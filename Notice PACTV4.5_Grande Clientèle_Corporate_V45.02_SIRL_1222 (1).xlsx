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defaultThemeVersion="124226"/>
  <mc:AlternateContent xmlns:mc="http://schemas.openxmlformats.org/markup-compatibility/2006">
    <mc:Choice Requires="x15">
      <x15ac:absPath xmlns:x15ac="http://schemas.microsoft.com/office/spreadsheetml/2010/11/ac" url="G:\DSID\KLx\12_KLX_RisqLeasing\01_Projets\Projet - [CORTEX PACT 4.5]\SFG TECH\SIRL-1222 - E04-01-01 – Séparateurs et Fillers\"/>
    </mc:Choice>
  </mc:AlternateContent>
  <xr:revisionPtr revIDLastSave="0" documentId="13_ncr:1_{8BD70A2A-C28D-46A4-B0EA-328597C128E2}" xr6:coauthVersionLast="47" xr6:coauthVersionMax="47" xr10:uidLastSave="{00000000-0000-0000-0000-000000000000}"/>
  <bookViews>
    <workbookView xWindow="4065" yWindow="465" windowWidth="44340" windowHeight="19335" tabRatio="603" activeTab="1" xr2:uid="{00000000-000D-0000-FFFF-FFFF00000000}"/>
  </bookViews>
  <sheets>
    <sheet name="Modifications" sheetId="103" r:id="rId1"/>
    <sheet name="PACT Corp" sheetId="130" r:id="rId2"/>
    <sheet name="Ctrl cohérence-consistency ctr " sheetId="138" r:id="rId3"/>
  </sheets>
  <externalReferences>
    <externalReference r:id="rId4"/>
    <externalReference r:id="rId5"/>
    <externalReference r:id="rId6"/>
  </externalReferences>
  <definedNames>
    <definedName name="_xlnm._FilterDatabase" localSheetId="1" hidden="1">'PACT Corp'!$A$2:$BF$1505</definedName>
    <definedName name="aaaa" localSheetId="2">#REF!</definedName>
    <definedName name="aaaa">#REF!</definedName>
    <definedName name="aaaaa" localSheetId="2">#REF!</definedName>
    <definedName name="aaaaa">#REF!</definedName>
    <definedName name="anomalies" localSheetId="2">#REF!</definedName>
    <definedName name="anomalies">#REF!</definedName>
    <definedName name="CAP_01__02__03__04__Clientèle_de_détail___Pas_de_données_complémentaires_obligatoires_associées_à_ces_CAP__Les_expositions_sur_la_Clientèle_de_détail_sont_pondérées_à_75_." localSheetId="2">#REF!</definedName>
    <definedName name="CAP_01__02__03__04__Clientèle_de_détail___Pas_de_données_complémentaires_obligatoires_associées_à_ces_CAP__Les_expositions_sur_la_Clientèle_de_détail_sont_pondérées_à_75_.">#REF!</definedName>
    <definedName name="CAP_de_l_exposition" localSheetId="2">#REF!</definedName>
    <definedName name="CAP_de_l_exposition">#REF!</definedName>
    <definedName name="CAPtest" localSheetId="2">'[1]A1 Degraded Data Entry'!#REF!</definedName>
    <definedName name="CAPtest">'[1]A1 Degraded Data Entry'!#REF!</definedName>
    <definedName name="Groupe_caractéristiques" localSheetId="2">#REF!</definedName>
    <definedName name="Groupe_caractéristiques">#REF!</definedName>
    <definedName name="Méthodo_CAP" localSheetId="2">#REF!</definedName>
    <definedName name="Méthodo_CAP">#REF!</definedName>
    <definedName name="Méthodo_Conditions_réglementaires" localSheetId="2">#REF!</definedName>
    <definedName name="Méthodo_Conditions_réglementaires">#REF!</definedName>
    <definedName name="Méthodo_Crédit_bail" localSheetId="2">#REF!</definedName>
    <definedName name="Méthodo_Crédit_bail">#REF!</definedName>
    <definedName name="Méthodo_DeterminationCAP" localSheetId="2">#REF!</definedName>
    <definedName name="Méthodo_DeterminationCAP">#REF!</definedName>
    <definedName name="Méthodo_douteux_impayé" localSheetId="2">#REF!</definedName>
    <definedName name="Méthodo_douteux_impayé">#REF!</definedName>
    <definedName name="Méthodo_engagement" localSheetId="2">#REF!</definedName>
    <definedName name="Méthodo_engagement">#REF!</definedName>
    <definedName name="Méthodo_impayé" localSheetId="2">#REF!</definedName>
    <definedName name="Méthodo_impayé">#REF!</definedName>
    <definedName name="Méthodo_indicateur" localSheetId="2">#REF!</definedName>
    <definedName name="Méthodo_indicateur">#REF!</definedName>
    <definedName name="Méthodo_indicateur_couverture" localSheetId="2">[2]Méthodologie!#REF!</definedName>
    <definedName name="Méthodo_indicateur_couverture">#REF!</definedName>
    <definedName name="Méthodo_Montants" localSheetId="2">#REF!</definedName>
    <definedName name="Méthodo_Montants">#REF!</definedName>
    <definedName name="Méthodo_NATO" localSheetId="2">#REF!</definedName>
    <definedName name="Méthodo_NATO">#REF!</definedName>
    <definedName name="Méthodo_PNU" localSheetId="2">#REF!</definedName>
    <definedName name="Méthodo_PNU">#REF!</definedName>
    <definedName name="Méthodo_Pond_pref" localSheetId="2">#REF!</definedName>
    <definedName name="Méthodo_Pond_pref">#REF!</definedName>
    <definedName name="méthodo_provisions" localSheetId="2">#REF!</definedName>
    <definedName name="Méthodo_provisions">#REF!</definedName>
    <definedName name="Méthodo_sûretés" localSheetId="2">#REF!</definedName>
    <definedName name="Méthodo_sûretés">#REF!</definedName>
    <definedName name="Méthodo_Tiers_Agrégat" localSheetId="2">#REF!</definedName>
    <definedName name="Méthodo_Tiers_Agrégat">#REF!</definedName>
    <definedName name="Méthodo_usage_bien_immo" localSheetId="2">#REF!</definedName>
    <definedName name="Méthodo_usage_bien_immo">#REF!</definedName>
    <definedName name="Objets">'[3]Liste des objets'!$A:$A</definedName>
    <definedName name="Règles_corr" localSheetId="2">#REF!</definedName>
    <definedName name="Règles_corr">#REF!</definedName>
    <definedName name="test" localSheetId="2">#REF!</definedName>
    <definedName name="test">#REF!</definedName>
    <definedName name="Tiers_Agrégat" localSheetId="2">#REF!</definedName>
    <definedName name="Tiers_Agrégat">#REF!</definedName>
    <definedName name="Toto" localSheetId="2">#REF!</definedName>
    <definedName name="Tot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898" i="130" l="1"/>
  <c r="V1493" i="130"/>
  <c r="V1454" i="130"/>
  <c r="V1296" i="130"/>
  <c r="V1502" i="130"/>
  <c r="V18" i="130"/>
  <c r="V1505" i="130"/>
  <c r="V116" i="130"/>
  <c r="V189" i="130"/>
  <c r="V235" i="130"/>
  <c r="L9" i="103"/>
  <c r="J9" i="103"/>
  <c r="I9" i="103"/>
  <c r="H9" i="103"/>
  <c r="K9" i="103" s="1"/>
  <c r="L8" i="103"/>
  <c r="J8" i="103"/>
  <c r="I8" i="103"/>
  <c r="H8" i="103"/>
  <c r="K8" i="103" s="1"/>
  <c r="L7" i="103"/>
  <c r="J7" i="103"/>
  <c r="I7" i="103"/>
  <c r="H7" i="103"/>
  <c r="K7" i="103" s="1"/>
  <c r="L6" i="103"/>
  <c r="J6" i="103"/>
  <c r="I6" i="103"/>
  <c r="H6" i="103"/>
  <c r="K6" i="103" s="1"/>
  <c r="L5" i="103"/>
  <c r="K5" i="103" s="1"/>
  <c r="J5" i="103"/>
  <c r="I5" i="103"/>
  <c r="H5" i="103"/>
  <c r="L4" i="103"/>
  <c r="J4" i="103"/>
  <c r="I4" i="103"/>
  <c r="H4" i="103"/>
  <c r="K4" i="103" s="1"/>
</calcChain>
</file>

<file path=xl/sharedStrings.xml><?xml version="1.0" encoding="utf-8"?>
<sst xmlns="http://schemas.openxmlformats.org/spreadsheetml/2006/main" count="51157" uniqueCount="10122">
  <si>
    <t>Modifications</t>
  </si>
  <si>
    <t>Nombre de contrôles par type et sévérité</t>
  </si>
  <si>
    <r>
      <t xml:space="preserve">Emetteur </t>
    </r>
    <r>
      <rPr>
        <b/>
        <sz val="11"/>
        <color rgb="FF0070C0"/>
        <rFont val="Calibri"/>
        <family val="2"/>
        <scheme val="minor"/>
      </rPr>
      <t>/ Issuer</t>
    </r>
  </si>
  <si>
    <t>Crédit Agricole SA : Programme Convergence Finances Risques (Crédit Agricole SA/FIG/DOP/CFR)</t>
  </si>
  <si>
    <t>Mix</t>
  </si>
  <si>
    <t>total</t>
  </si>
  <si>
    <r>
      <t>Date de diffusion  </t>
    </r>
    <r>
      <rPr>
        <b/>
        <sz val="11"/>
        <color rgb="FF0070C0"/>
        <rFont val="Calibri"/>
        <family val="2"/>
        <scheme val="minor"/>
      </rPr>
      <t xml:space="preserve">/ Publication date </t>
    </r>
  </si>
  <si>
    <r>
      <t xml:space="preserve">Lorsque cette date est renseignée, cela signifie que la notice est publiée dans </t>
    </r>
    <r>
      <rPr>
        <u/>
        <sz val="11"/>
        <rFont val="Calibri"/>
        <family val="2"/>
        <scheme val="minor"/>
      </rPr>
      <t>https://service.ca-mocca.com/maia-collab/CFR/SitePages/Notices.aspx</t>
    </r>
    <r>
      <rPr>
        <sz val="11"/>
        <rFont val="Calibri"/>
        <family val="2"/>
        <scheme val="minor"/>
      </rPr>
      <t xml:space="preserve"> qui reprend l'ensemble des versions publiées.</t>
    </r>
  </si>
  <si>
    <t>Présence</t>
  </si>
  <si>
    <r>
      <t xml:space="preserve">You can find all the published versions on </t>
    </r>
    <r>
      <rPr>
        <u/>
        <sz val="11"/>
        <color rgb="FF0070C0"/>
        <rFont val="Calibri"/>
        <family val="2"/>
        <scheme val="minor"/>
      </rPr>
      <t>https://service.ca-mocca.com/maia-collab/CFR/SitePages/Notices_EN.aspx</t>
    </r>
  </si>
  <si>
    <t>Référentiel</t>
  </si>
  <si>
    <r>
      <t xml:space="preserve">Descriptif de la Mise à jour </t>
    </r>
    <r>
      <rPr>
        <b/>
        <sz val="11"/>
        <color rgb="FF0070C0"/>
        <rFont val="Calibri"/>
        <family val="2"/>
        <scheme val="minor"/>
      </rPr>
      <t xml:space="preserve">/ Modifications </t>
    </r>
  </si>
  <si>
    <r>
      <t xml:space="preserve">Descriptif de la modification / </t>
    </r>
    <r>
      <rPr>
        <sz val="11"/>
        <color rgb="FF0070C0"/>
        <rFont val="Calibri"/>
        <family val="2"/>
        <scheme val="minor"/>
      </rPr>
      <t>Modification description</t>
    </r>
  </si>
  <si>
    <t>Valeur</t>
  </si>
  <si>
    <r>
      <t xml:space="preserve">Couleur </t>
    </r>
    <r>
      <rPr>
        <b/>
        <sz val="11"/>
        <color rgb="FF0070C0"/>
        <rFont val="Calibri"/>
        <family val="2"/>
        <scheme val="minor"/>
      </rPr>
      <t>/ Color</t>
    </r>
  </si>
  <si>
    <t>Permet d'identifier les zones ajoutées/modifiées</t>
  </si>
  <si>
    <t>Intra-objet</t>
  </si>
  <si>
    <t>The color code enables identification of the different kinds of evolutions</t>
  </si>
  <si>
    <t>Inter-objet</t>
  </si>
  <si>
    <t>Cohérence</t>
  </si>
  <si>
    <r>
      <t xml:space="preserve">Suivi des versions / </t>
    </r>
    <r>
      <rPr>
        <b/>
        <sz val="11"/>
        <color rgb="FF0070C0"/>
        <rFont val="Calibri"/>
        <family val="2"/>
        <scheme val="minor"/>
      </rPr>
      <t>Version tracking</t>
    </r>
  </si>
  <si>
    <r>
      <t xml:space="preserve">Date de diffusion / </t>
    </r>
    <r>
      <rPr>
        <b/>
        <sz val="11"/>
        <color rgb="FF0070C0"/>
        <rFont val="Calibri"/>
        <family val="2"/>
        <scheme val="minor"/>
      </rPr>
      <t>Publication date</t>
    </r>
  </si>
  <si>
    <t>Publication mocca n°</t>
  </si>
  <si>
    <r>
      <t xml:space="preserve">Descriptif de la mise à jour / </t>
    </r>
    <r>
      <rPr>
        <b/>
        <sz val="11"/>
        <color rgb="FF0070C0"/>
        <rFont val="Calibri"/>
        <family val="2"/>
        <scheme val="minor"/>
      </rPr>
      <t>Modifications</t>
    </r>
  </si>
  <si>
    <r>
      <t xml:space="preserve">Couleur / </t>
    </r>
    <r>
      <rPr>
        <b/>
        <sz val="11"/>
        <color rgb="FF0070C0"/>
        <rFont val="Calibri"/>
        <family val="2"/>
        <scheme val="minor"/>
      </rPr>
      <t>Color</t>
    </r>
  </si>
  <si>
    <t>45.00</t>
  </si>
  <si>
    <r>
      <t xml:space="preserve">Ajout de nouvelles données / </t>
    </r>
    <r>
      <rPr>
        <sz val="11"/>
        <color rgb="FF0070C0"/>
        <rFont val="Calibri"/>
        <family val="2"/>
        <scheme val="minor"/>
      </rPr>
      <t>New data addition</t>
    </r>
  </si>
  <si>
    <r>
      <t>Ajouter des séparateurs ';' entre chaque donnée /</t>
    </r>
    <r>
      <rPr>
        <sz val="11"/>
        <color rgb="FF0070C0"/>
        <rFont val="Calibri"/>
        <family val="2"/>
        <scheme val="minor"/>
      </rPr>
      <t xml:space="preserve"> Semicolon ';' to be added between each data</t>
    </r>
  </si>
  <si>
    <r>
      <t xml:space="preserve">Modifications / </t>
    </r>
    <r>
      <rPr>
        <sz val="11"/>
        <color rgb="FF0070C0"/>
        <rFont val="Calibri"/>
        <family val="2"/>
        <scheme val="minor"/>
      </rPr>
      <t xml:space="preserve">Modifications
</t>
    </r>
    <r>
      <rPr>
        <sz val="11"/>
        <rFont val="Calibri"/>
        <family val="2"/>
        <scheme val="minor"/>
      </rPr>
      <t xml:space="preserve">Changement de longueur en passant de 5 à 50 caractères sur P1 21.65 / </t>
    </r>
    <r>
      <rPr>
        <sz val="11"/>
        <color rgb="FF0070C0"/>
        <rFont val="Calibri"/>
        <family val="2"/>
        <scheme val="minor"/>
      </rPr>
      <t>Length change from 5 to 50 characters on P1 21.65</t>
    </r>
  </si>
  <si>
    <t>45.01</t>
  </si>
  <si>
    <r>
      <t xml:space="preserve">Modifications mineures / </t>
    </r>
    <r>
      <rPr>
        <sz val="11"/>
        <color rgb="FF0070C0"/>
        <rFont val="Calibri"/>
        <family val="2"/>
        <scheme val="minor"/>
      </rPr>
      <t>Minor modifications</t>
    </r>
    <r>
      <rPr>
        <sz val="11"/>
        <rFont val="Calibri"/>
        <family val="2"/>
        <scheme val="minor"/>
      </rPr>
      <t xml:space="preserve">
Ajustement d'un libéllé de contrôle, ajout des codes contrôles, ajustement de la liste des usages déclarés, ajustement du périmètre de collecte /  </t>
    </r>
    <r>
      <rPr>
        <sz val="11"/>
        <color rgb="FF0070C0"/>
        <rFont val="Calibri"/>
        <family val="2"/>
        <scheme val="minor"/>
      </rPr>
      <t>Control name update, control codes addition, declared usages update,
collection scope update</t>
    </r>
  </si>
  <si>
    <r>
      <t xml:space="preserve">Modifications majeures / </t>
    </r>
    <r>
      <rPr>
        <sz val="11"/>
        <color rgb="FF0070C0"/>
        <rFont val="Calibri"/>
        <family val="2"/>
        <scheme val="minor"/>
      </rPr>
      <t>Major modifications</t>
    </r>
    <r>
      <rPr>
        <sz val="11"/>
        <rFont val="Calibri"/>
        <family val="2"/>
        <scheme val="minor"/>
      </rPr>
      <t xml:space="preserve">
Ajout d'une donnée, modification de contrôle, suppression de contrôle, désactivation de données, / </t>
    </r>
    <r>
      <rPr>
        <sz val="11"/>
        <color rgb="FF0070C0"/>
        <rFont val="Calibri"/>
        <family val="2"/>
        <scheme val="minor"/>
      </rPr>
      <t>Data addition, Control update or deletion, data deactivation</t>
    </r>
  </si>
  <si>
    <t>45.02</t>
  </si>
  <si>
    <r>
      <t xml:space="preserve">Modifications majeures / </t>
    </r>
    <r>
      <rPr>
        <sz val="11"/>
        <color rgb="FF0070C0"/>
        <rFont val="Calibri"/>
        <family val="2"/>
        <scheme val="minor"/>
      </rPr>
      <t>Major modifications</t>
    </r>
    <r>
      <rPr>
        <sz val="11"/>
        <rFont val="Calibri"/>
        <family val="2"/>
        <scheme val="minor"/>
      </rPr>
      <t xml:space="preserve">
Modification de définitions, règles de gestion et contrôles pour les données P1 621 et P1 622/ </t>
    </r>
    <r>
      <rPr>
        <sz val="11"/>
        <color rgb="FF0070C0"/>
        <rFont val="Calibri"/>
        <family val="2"/>
        <scheme val="minor"/>
      </rPr>
      <t>Modification of definitions, management rules and controls for P1 621 and P1 622 data items</t>
    </r>
  </si>
  <si>
    <r>
      <t xml:space="preserve">Modifications mineures / </t>
    </r>
    <r>
      <rPr>
        <sz val="11"/>
        <color rgb="FF0070C0"/>
        <rFont val="Calibri"/>
        <family val="2"/>
        <scheme val="minor"/>
      </rPr>
      <t>Minor modifications</t>
    </r>
    <r>
      <rPr>
        <sz val="11"/>
        <rFont val="Calibri"/>
        <family val="2"/>
        <scheme val="minor"/>
      </rPr>
      <t xml:space="preserve">
Retrait de l'usage CALCULS PRUDENTIELS des donnée P1 30.x, Ajustement du périmètre de collecte / </t>
    </r>
    <r>
      <rPr>
        <sz val="11"/>
        <color rgb="FF0070C0"/>
        <rFont val="Calibri"/>
        <family val="2"/>
        <scheme val="minor"/>
      </rPr>
      <t>Removal of CALCULS PRUDENTIELS usage the from the P1 30.X data items, correction of collection scope</t>
    </r>
  </si>
  <si>
    <r>
      <rPr>
        <b/>
        <sz val="11"/>
        <color theme="0"/>
        <rFont val="Calibri"/>
        <family val="2"/>
        <scheme val="minor"/>
      </rPr>
      <t>Liens utiles</t>
    </r>
    <r>
      <rPr>
        <b/>
        <sz val="11"/>
        <rFont val="Calibri"/>
        <family val="2"/>
        <scheme val="minor"/>
      </rPr>
      <t xml:space="preserve"> </t>
    </r>
    <r>
      <rPr>
        <b/>
        <sz val="11"/>
        <color theme="0"/>
        <rFont val="Calibri"/>
        <family val="2"/>
        <scheme val="minor"/>
      </rPr>
      <t xml:space="preserve">/ </t>
    </r>
    <r>
      <rPr>
        <b/>
        <sz val="11"/>
        <color rgb="FF0070C0"/>
        <rFont val="Calibri"/>
        <family val="2"/>
        <scheme val="minor"/>
      </rPr>
      <t>Useful Links</t>
    </r>
  </si>
  <si>
    <r>
      <t xml:space="preserve">Langages Communs / </t>
    </r>
    <r>
      <rPr>
        <sz val="11"/>
        <color rgb="FF0070C0"/>
        <rFont val="Calibri"/>
        <family val="2"/>
        <scheme val="minor"/>
      </rPr>
      <t>Common Languages</t>
    </r>
  </si>
  <si>
    <r>
      <t xml:space="preserve">https://service.ca-mocca.com/maia-collab/CFR/SitePages/Langages_Communs.aspx
</t>
    </r>
    <r>
      <rPr>
        <sz val="11"/>
        <color rgb="FF0070C0"/>
        <rFont val="Calibri"/>
        <family val="2"/>
        <scheme val="minor"/>
      </rPr>
      <t>https://service.ca-mocca.com/maia-collab/CFR/SitePages/Common_Languages.aspx</t>
    </r>
  </si>
  <si>
    <r>
      <t xml:space="preserve">Manuel des Echanges Entités-Zone de Partage et Notices / </t>
    </r>
    <r>
      <rPr>
        <sz val="11"/>
        <color rgb="FF0070C0"/>
        <rFont val="Calibri"/>
        <family val="2"/>
        <scheme val="minor"/>
      </rPr>
      <t>Exchange Manual ZP-entities and Notices</t>
    </r>
  </si>
  <si>
    <r>
      <t xml:space="preserve">https://service.ca-mocca.com/maia-collab/CFR/SitePages/Notices.aspx
</t>
    </r>
    <r>
      <rPr>
        <sz val="11"/>
        <color rgb="FF0070C0"/>
        <rFont val="Calibri"/>
        <family val="2"/>
        <scheme val="minor"/>
      </rPr>
      <t>https://service.ca-mocca.com/maia-collab/CFR/SitePages/Notices_EN.aspx</t>
    </r>
  </si>
  <si>
    <r>
      <t xml:space="preserve">Guide Méthodologique - Alimentation PACT (ex CRR) / </t>
    </r>
    <r>
      <rPr>
        <sz val="11"/>
        <color rgb="FF0070C0"/>
        <rFont val="Calibri"/>
        <family val="2"/>
        <scheme val="minor"/>
      </rPr>
      <t>Methodological Guide - PACT (ex CRR) Feeding</t>
    </r>
  </si>
  <si>
    <r>
      <t xml:space="preserve">CTRL PRESENCE / </t>
    </r>
    <r>
      <rPr>
        <b/>
        <sz val="11"/>
        <color rgb="FF0070C0"/>
        <rFont val="Calibri"/>
        <family val="2"/>
        <scheme val="minor"/>
      </rPr>
      <t>PRESENCE CTRL</t>
    </r>
  </si>
  <si>
    <r>
      <t xml:space="preserve">CTRL REFERENTIEL / </t>
    </r>
    <r>
      <rPr>
        <b/>
        <sz val="11"/>
        <color rgb="FF0070C0"/>
        <rFont val="Calibri"/>
        <family val="2"/>
        <scheme val="minor"/>
      </rPr>
      <t>REFERENTIEL CTRL</t>
    </r>
  </si>
  <si>
    <r>
      <t xml:space="preserve">CTRL VALEUR / </t>
    </r>
    <r>
      <rPr>
        <b/>
        <sz val="11"/>
        <color rgb="FF0070C0"/>
        <rFont val="Calibri"/>
        <family val="2"/>
        <scheme val="minor"/>
      </rPr>
      <t>VALUE CTRL</t>
    </r>
  </si>
  <si>
    <r>
      <t xml:space="preserve">CTRL INTRA-OBJET / </t>
    </r>
    <r>
      <rPr>
        <b/>
        <sz val="11"/>
        <color rgb="FF0070C0"/>
        <rFont val="Calibri"/>
        <family val="2"/>
        <scheme val="minor"/>
      </rPr>
      <t>INTRA-OBJECT CTRL</t>
    </r>
  </si>
  <si>
    <r>
      <t xml:space="preserve">CTRL INTER-OBJET / </t>
    </r>
    <r>
      <rPr>
        <b/>
        <sz val="11"/>
        <color rgb="FF0070C0"/>
        <rFont val="Calibri"/>
        <family val="2"/>
        <scheme val="minor"/>
      </rPr>
      <t>INTER-OBJECT CTRL</t>
    </r>
  </si>
  <si>
    <r>
      <t xml:space="preserve">CTRL COHERENCE (cf. onglet dédié) / </t>
    </r>
    <r>
      <rPr>
        <b/>
        <sz val="11"/>
        <color rgb="FF0070C0"/>
        <rFont val="Calibri"/>
        <family val="2"/>
        <scheme val="minor"/>
      </rPr>
      <t>CONSISTENCY CTRL (cf. dedicated tab)</t>
    </r>
  </si>
  <si>
    <r>
      <t xml:space="preserve">OBJET DE COLLECTE </t>
    </r>
    <r>
      <rPr>
        <b/>
        <sz val="11"/>
        <color rgb="FF0070C0"/>
        <rFont val="Calibri"/>
        <family val="2"/>
        <scheme val="minor"/>
      </rPr>
      <t>/ COLLECTION OBJECT</t>
    </r>
  </si>
  <si>
    <r>
      <rPr>
        <b/>
        <sz val="11"/>
        <color theme="0"/>
        <rFont val="Calibri"/>
        <family val="2"/>
        <scheme val="minor"/>
      </rPr>
      <t>N° D'ORDRE TECHNIQUE DE LA DONNEE</t>
    </r>
    <r>
      <rPr>
        <b/>
        <sz val="11"/>
        <rFont val="Calibri"/>
        <family val="2"/>
        <scheme val="minor"/>
      </rPr>
      <t xml:space="preserve"> </t>
    </r>
    <r>
      <rPr>
        <b/>
        <sz val="11"/>
        <color rgb="FF0070C0"/>
        <rFont val="Calibri"/>
        <family val="2"/>
        <scheme val="minor"/>
      </rPr>
      <t>/ TECHNICAL ORDER NUMBER OF THE DATA IN THE FILE</t>
    </r>
  </si>
  <si>
    <t>BLOC DE DONNEES</t>
  </si>
  <si>
    <t>DATA BLOCK</t>
  </si>
  <si>
    <r>
      <rPr>
        <b/>
        <sz val="11"/>
        <color theme="0"/>
        <rFont val="Calibri"/>
        <family val="2"/>
        <scheme val="minor"/>
      </rPr>
      <t>REFERENCE DE COLLECTE</t>
    </r>
    <r>
      <rPr>
        <b/>
        <sz val="11"/>
        <rFont val="Calibri"/>
        <family val="2"/>
        <scheme val="minor"/>
      </rPr>
      <t xml:space="preserve"> </t>
    </r>
    <r>
      <rPr>
        <b/>
        <sz val="11"/>
        <color rgb="FF0070C0"/>
        <rFont val="Calibri"/>
        <family val="2"/>
        <scheme val="minor"/>
      </rPr>
      <t>/ COLLECTION REFERENCE</t>
    </r>
  </si>
  <si>
    <t>NOM DE LA DONNEE</t>
  </si>
  <si>
    <t>DATA NAME</t>
  </si>
  <si>
    <t>DEFINITION</t>
  </si>
  <si>
    <t>TERME METIER</t>
  </si>
  <si>
    <t>BUSINESS TERM</t>
  </si>
  <si>
    <r>
      <rPr>
        <b/>
        <sz val="11"/>
        <color theme="0"/>
        <rFont val="Calibri"/>
        <family val="2"/>
        <scheme val="minor"/>
      </rPr>
      <t>CODE TECHNIQUE</t>
    </r>
    <r>
      <rPr>
        <b/>
        <sz val="11"/>
        <rFont val="Calibri"/>
        <family val="2"/>
        <scheme val="minor"/>
      </rPr>
      <t xml:space="preserve"> </t>
    </r>
    <r>
      <rPr>
        <b/>
        <sz val="11"/>
        <color rgb="FF0070C0"/>
        <rFont val="Calibri"/>
        <family val="2"/>
        <scheme val="minor"/>
      </rPr>
      <t>/ TECHNICAL CODE</t>
    </r>
  </si>
  <si>
    <t>EXIGENCE D'ALIMENTATION</t>
  </si>
  <si>
    <t>SUPPLY REQUIREMENT</t>
  </si>
  <si>
    <r>
      <rPr>
        <b/>
        <sz val="11"/>
        <color theme="0"/>
        <rFont val="Calibri"/>
        <family val="2"/>
        <scheme val="minor"/>
      </rPr>
      <t>REFERENCE DE LANGAGE COMMUN</t>
    </r>
    <r>
      <rPr>
        <b/>
        <sz val="11"/>
        <rFont val="Calibri"/>
        <family val="2"/>
        <scheme val="minor"/>
      </rPr>
      <t xml:space="preserve"> </t>
    </r>
    <r>
      <rPr>
        <b/>
        <sz val="11"/>
        <color rgb="FF0070C0"/>
        <rFont val="Calibri"/>
        <family val="2"/>
        <scheme val="minor"/>
      </rPr>
      <t>/</t>
    </r>
    <r>
      <rPr>
        <b/>
        <sz val="11"/>
        <rFont val="Calibri"/>
        <family val="2"/>
        <scheme val="minor"/>
      </rPr>
      <t xml:space="preserve"> </t>
    </r>
    <r>
      <rPr>
        <b/>
        <sz val="11"/>
        <color rgb="FF0070C0"/>
        <rFont val="Calibri"/>
        <family val="2"/>
        <scheme val="minor"/>
      </rPr>
      <t>COMMON LANGUAGE REFERENCE</t>
    </r>
  </si>
  <si>
    <r>
      <rPr>
        <b/>
        <sz val="11"/>
        <color theme="0"/>
        <rFont val="Calibri"/>
        <family val="2"/>
        <scheme val="minor"/>
      </rPr>
      <t>TABLE START</t>
    </r>
    <r>
      <rPr>
        <b/>
        <sz val="11"/>
        <color rgb="FF0070C0"/>
        <rFont val="Calibri"/>
        <family val="2"/>
        <scheme val="minor"/>
      </rPr>
      <t xml:space="preserve"> / START Table</t>
    </r>
  </si>
  <si>
    <t>REGLE DE GESTION</t>
  </si>
  <si>
    <t>MANAGEMENT RULE</t>
  </si>
  <si>
    <r>
      <rPr>
        <b/>
        <sz val="11"/>
        <color theme="0"/>
        <rFont val="Calibri"/>
        <family val="2"/>
        <scheme val="minor"/>
      </rPr>
      <t>FORMAT</t>
    </r>
    <r>
      <rPr>
        <b/>
        <sz val="11"/>
        <rFont val="Calibri"/>
        <family val="2"/>
        <scheme val="minor"/>
      </rPr>
      <t/>
    </r>
  </si>
  <si>
    <t>REGLE DE FORMATAGE</t>
  </si>
  <si>
    <t>FORMATTING RULE</t>
  </si>
  <si>
    <r>
      <rPr>
        <b/>
        <sz val="11"/>
        <color theme="0"/>
        <rFont val="Calibri"/>
        <family val="2"/>
        <scheme val="minor"/>
      </rPr>
      <t>LONGUEUR</t>
    </r>
    <r>
      <rPr>
        <b/>
        <sz val="11"/>
        <rFont val="Calibri"/>
        <family val="2"/>
        <scheme val="minor"/>
      </rPr>
      <t xml:space="preserve"> </t>
    </r>
    <r>
      <rPr>
        <b/>
        <sz val="11"/>
        <color rgb="FF0070C0"/>
        <rFont val="Calibri"/>
        <family val="2"/>
        <scheme val="minor"/>
      </rPr>
      <t>/ LENGTH</t>
    </r>
  </si>
  <si>
    <r>
      <t xml:space="preserve">POSITION </t>
    </r>
    <r>
      <rPr>
        <b/>
        <sz val="11"/>
        <color rgb="FF0070C0"/>
        <rFont val="Calibri"/>
        <family val="2"/>
        <scheme val="minor"/>
      </rPr>
      <t>/ POSITION</t>
    </r>
  </si>
  <si>
    <r>
      <rPr>
        <b/>
        <sz val="11"/>
        <color theme="0"/>
        <rFont val="Calibri"/>
        <family val="2"/>
        <scheme val="minor"/>
      </rPr>
      <t>VERSION DE CREATION</t>
    </r>
    <r>
      <rPr>
        <b/>
        <sz val="11"/>
        <color rgb="FF0070C0"/>
        <rFont val="Calibri"/>
        <family val="2"/>
        <scheme val="minor"/>
      </rPr>
      <t xml:space="preserve"> / FIRST APPEARANCE VERSION</t>
    </r>
  </si>
  <si>
    <r>
      <rPr>
        <b/>
        <sz val="11"/>
        <color theme="0"/>
        <rFont val="Calibri"/>
        <family val="2"/>
        <scheme val="minor"/>
      </rPr>
      <t>VERSION DE DERNIERE APPARITION</t>
    </r>
    <r>
      <rPr>
        <b/>
        <sz val="11"/>
        <rFont val="Calibri"/>
        <family val="2"/>
        <scheme val="minor"/>
      </rPr>
      <t xml:space="preserve"> </t>
    </r>
    <r>
      <rPr>
        <b/>
        <sz val="11"/>
        <color rgb="FF0070C0"/>
        <rFont val="Calibri"/>
        <family val="2"/>
        <scheme val="minor"/>
      </rPr>
      <t>/ LAST APPEARANCE VERSION</t>
    </r>
  </si>
  <si>
    <r>
      <rPr>
        <b/>
        <sz val="11"/>
        <color theme="0"/>
        <rFont val="Calibri"/>
        <family val="2"/>
        <scheme val="minor"/>
      </rPr>
      <t>VERSION DE MODIFICATION</t>
    </r>
    <r>
      <rPr>
        <b/>
        <sz val="11"/>
        <rFont val="Calibri"/>
        <family val="2"/>
        <scheme val="minor"/>
      </rPr>
      <t xml:space="preserve"> </t>
    </r>
    <r>
      <rPr>
        <b/>
        <sz val="11"/>
        <color rgb="FF0070C0"/>
        <rFont val="Calibri"/>
        <family val="2"/>
        <scheme val="minor"/>
      </rPr>
      <t>/ MODIFICATION VERSION</t>
    </r>
  </si>
  <si>
    <r>
      <rPr>
        <b/>
        <sz val="11"/>
        <color theme="0"/>
        <rFont val="Calibri"/>
        <family val="2"/>
        <scheme val="minor"/>
      </rPr>
      <t>USAGE(S) DECLARE(S)</t>
    </r>
    <r>
      <rPr>
        <b/>
        <sz val="11"/>
        <rFont val="Calibri"/>
        <family val="2"/>
        <scheme val="minor"/>
      </rPr>
      <t xml:space="preserve"> </t>
    </r>
    <r>
      <rPr>
        <b/>
        <sz val="11"/>
        <color rgb="FF0070C0"/>
        <rFont val="Calibri"/>
        <family val="2"/>
        <scheme val="minor"/>
      </rPr>
      <t>/ DECLARED USAGE</t>
    </r>
  </si>
  <si>
    <r>
      <rPr>
        <b/>
        <sz val="11"/>
        <color theme="0"/>
        <rFont val="Calibri"/>
        <family val="2"/>
        <scheme val="minor"/>
      </rPr>
      <t xml:space="preserve">DONNEE CRITIQUE POUR </t>
    </r>
    <r>
      <rPr>
        <b/>
        <sz val="11"/>
        <color rgb="FF0070C0"/>
        <rFont val="Calibri"/>
        <family val="2"/>
        <scheme val="minor"/>
      </rPr>
      <t>/ CRITICAL DATA FOR</t>
    </r>
  </si>
  <si>
    <r>
      <rPr>
        <b/>
        <sz val="11"/>
        <color theme="0"/>
        <rFont val="Calibri"/>
        <family val="2"/>
        <scheme val="minor"/>
      </rPr>
      <t>DONNEE A CARACTERE PERSONNEL</t>
    </r>
    <r>
      <rPr>
        <b/>
        <sz val="11"/>
        <rFont val="Calibri"/>
        <family val="2"/>
        <scheme val="minor"/>
      </rPr>
      <t xml:space="preserve"> </t>
    </r>
    <r>
      <rPr>
        <b/>
        <sz val="11"/>
        <color rgb="FF0070C0"/>
        <rFont val="Calibri"/>
        <family val="2"/>
        <scheme val="minor"/>
      </rPr>
      <t>/ PERSONNAL DATA</t>
    </r>
  </si>
  <si>
    <r>
      <rPr>
        <b/>
        <sz val="11"/>
        <color theme="0"/>
        <rFont val="Calibri"/>
        <family val="2"/>
        <scheme val="minor"/>
      </rPr>
      <t>PERIMETRE DE COLLECTE</t>
    </r>
    <r>
      <rPr>
        <b/>
        <sz val="11"/>
        <rFont val="Calibri"/>
        <family val="2"/>
        <scheme val="minor"/>
      </rPr>
      <t xml:space="preserve"> </t>
    </r>
    <r>
      <rPr>
        <b/>
        <sz val="11"/>
        <color rgb="FF0070C0"/>
        <rFont val="Calibri"/>
        <family val="2"/>
        <scheme val="minor"/>
      </rPr>
      <t>/ COLLECTION SCOPE</t>
    </r>
  </si>
  <si>
    <r>
      <rPr>
        <b/>
        <sz val="11"/>
        <color theme="0"/>
        <rFont val="Calibri"/>
        <family val="2"/>
        <scheme val="minor"/>
      </rPr>
      <t>APPLICATION REMETTANTE</t>
    </r>
    <r>
      <rPr>
        <b/>
        <sz val="11"/>
        <rFont val="Calibri"/>
        <family val="2"/>
        <scheme val="minor"/>
      </rPr>
      <t xml:space="preserve"> </t>
    </r>
    <r>
      <rPr>
        <b/>
        <sz val="11"/>
        <color rgb="FF0070C0"/>
        <rFont val="Calibri"/>
        <family val="2"/>
        <scheme val="minor"/>
      </rPr>
      <t>/ REMITTING APPLICATION</t>
    </r>
  </si>
  <si>
    <r>
      <rPr>
        <b/>
        <sz val="11"/>
        <color theme="0"/>
        <rFont val="Calibri"/>
        <family val="2"/>
        <scheme val="minor"/>
      </rPr>
      <t>REFERENCE DE LA DONNEE DANS L'APPLICATION REMETTANTE</t>
    </r>
    <r>
      <rPr>
        <b/>
        <sz val="11"/>
        <rFont val="Calibri"/>
        <family val="2"/>
        <scheme val="minor"/>
      </rPr>
      <t xml:space="preserve"> </t>
    </r>
    <r>
      <rPr>
        <b/>
        <sz val="11"/>
        <color rgb="FF0070C0"/>
        <rFont val="Calibri"/>
        <family val="2"/>
        <scheme val="minor"/>
      </rPr>
      <t>/ DATA REFERENCE IN REMITTING APPLICATION</t>
    </r>
  </si>
  <si>
    <t>CTRL PRESENCE</t>
  </si>
  <si>
    <t>PRESENCE CTRL</t>
  </si>
  <si>
    <t>PRESENCE
SCORE
CONSEQUENCE</t>
  </si>
  <si>
    <t>PRESENCE Code CTRL ZP</t>
  </si>
  <si>
    <t>CTRL REFERENTIEL</t>
  </si>
  <si>
    <t>REFERENTIEL CTRL</t>
  </si>
  <si>
    <t>REFERENTIEL 
SCORE
CONSEQUENCE</t>
  </si>
  <si>
    <t>REFERENTIEL Code CTRL ZP</t>
  </si>
  <si>
    <t>CTRL VALEUR</t>
  </si>
  <si>
    <t>VALUE CTRL</t>
  </si>
  <si>
    <t>VALEUR 
SCORE
CONSEQUENCE</t>
  </si>
  <si>
    <t>VALEUR Code CTRL ZP</t>
  </si>
  <si>
    <t>CTRL INTRA-OBJET</t>
  </si>
  <si>
    <t>INTRA-OBJECT CTRL</t>
  </si>
  <si>
    <t>COHERENCE
SCORE
CONSEQUENCE</t>
  </si>
  <si>
    <t>COHERENCE
Code CTRL ZP</t>
  </si>
  <si>
    <t>CTRL INTER-OBJECT</t>
  </si>
  <si>
    <t>INTER-OBJET CTRL</t>
  </si>
  <si>
    <t>Score
Consequence</t>
  </si>
  <si>
    <t>Code CTRL ZP</t>
  </si>
  <si>
    <t>CTRL COHERENCE</t>
  </si>
  <si>
    <t>CONSISTENCY CTRL</t>
  </si>
  <si>
    <r>
      <t xml:space="preserve">Famille de flux et Objet de Collecte véhiculant la donnée / </t>
    </r>
    <r>
      <rPr>
        <i/>
        <sz val="11"/>
        <color rgb="FF0070C0"/>
        <rFont val="Calibri"/>
        <family val="2"/>
        <scheme val="minor"/>
      </rPr>
      <t>Flow family and data collection object</t>
    </r>
  </si>
  <si>
    <r>
      <t xml:space="preserve">Numéro séquentiel correspondant au numéro d'ordre de la donnée dans le fichier physique. 
Invariant dans le temps (toute nouvelle donnée sera ajoutée en fin de fichier) / </t>
    </r>
    <r>
      <rPr>
        <i/>
        <sz val="11"/>
        <color rgb="FF0070C0"/>
        <rFont val="Calibri"/>
        <family val="2"/>
        <scheme val="minor"/>
      </rPr>
      <t>Sequential number corresponding to the order number of the data in the physical file.
Invariant in time (any new data will be added at the end of the file)</t>
    </r>
  </si>
  <si>
    <t>Classification de la donnée dans un des blocs structurant l'Objet de Collecte</t>
  </si>
  <si>
    <t>Classification of the data in one of the blocks structuring the Collection Object.</t>
  </si>
  <si>
    <r>
      <t xml:space="preserve">Référence de la donnée collectée via l'Objet de Collecte. Attribut communément appelé 'Etiquette' / </t>
    </r>
    <r>
      <rPr>
        <i/>
        <sz val="11"/>
        <color rgb="FF0070C0"/>
        <rFont val="Calibri"/>
        <family val="2"/>
        <scheme val="minor"/>
      </rPr>
      <t>Reference of the data collected via the Collection Object. Attribute commonly referred to as 'Label'</t>
    </r>
  </si>
  <si>
    <t>Libellé Métier de la donnée</t>
  </si>
  <si>
    <t>Data business name</t>
  </si>
  <si>
    <t xml:space="preserve">Définition métier de la donnée </t>
  </si>
  <si>
    <t>Business data definition</t>
  </si>
  <si>
    <t>Terme métier parent du glossaire métier auquel se rapporte la donnée</t>
  </si>
  <si>
    <t>Term parent business of the business glossary to which the data relates</t>
  </si>
  <si>
    <r>
      <t xml:space="preserve">Nom technique de la donnée / </t>
    </r>
    <r>
      <rPr>
        <i/>
        <sz val="11"/>
        <color rgb="FF0070C0"/>
        <rFont val="Calibri"/>
        <family val="2"/>
        <scheme val="minor"/>
      </rPr>
      <t>Technical name of the data</t>
    </r>
  </si>
  <si>
    <t xml:space="preserve">Exigence de présence de la donnée sur le périmètre de Collecte défini. 
L'information prend la valeur : 
- Obligatoire si la donnée est exigée
- Obligatoire Si si la donnée est exigée dans des conditions définies dans la Règle de Gestion
- Facultatif si la donnée n'est pas exigée
- NA si la donnée est devenue obsolète et n'est plus collectée sur le domaine de Collecte 
- A renseigner si l'information n'est pas encore disponible </t>
  </si>
  <si>
    <t xml:space="preserve">Requirement to have the data on the defined Collection perimeter.
Information is valued:
- Mandatory if data is required
- Mandatory If the data is required under conditions defined in the Management Rule
- Optional if data is not required
- NA if the data has become obsolete and is no longer collected on the Collection domain
- To be filled if the information is not yet available
</t>
  </si>
  <si>
    <r>
      <t>Référence du Langage Commun structurant le format autorisé et la nomenclature autorisée. 
L'information prend la valeur : 
- LC.NNNN si la donnée s'adosse au LC.NNNN
- LC à référencer si la donnée s'adosse à un LC en cours de référencement
- NA si la donnée ne s'adosse à aucun LC 
/</t>
    </r>
    <r>
      <rPr>
        <i/>
        <sz val="11"/>
        <color rgb="FF0070C0"/>
        <rFont val="Calibri"/>
        <family val="2"/>
        <scheme val="minor"/>
      </rPr>
      <t>A reference to the Common Language structuring the allowed format and the allowed nomenclature.
Information is valued:
- LC.NNNN if the data is based on LC.NNNN
- LC to be referenced if the data is against an LC being referenced
- NA if the data does not support any LC.</t>
    </r>
  </si>
  <si>
    <r>
      <t>Table(s)/Rubrique(s) Start porteuse(s) de la nomenclature du Langage Commun lorsque celui ci est référencé. Il peut être multiple. 
L'information prend la valeur : 
- TA XXXXX si la donnée s'adosse à la table TA XXXXX
- RB XXXXX si la donnée s'adosse à la rubrique RB XXXXX
- NA si la donnée ne s'adosse à aucun référentiel Start 
/</t>
    </r>
    <r>
      <rPr>
        <i/>
        <sz val="11"/>
        <color rgb="FF0070C0"/>
        <rFont val="Calibri"/>
        <family val="2"/>
        <scheme val="minor"/>
      </rPr>
      <t>Table(s)/Topic(s) Start carrying the nomenclature of the Common Language when it is referenced. It can be multiple.
Information is valued:
- TA XXXXX if the data is based on the table TA XXXXX
- RB XXXXX if the data is based on RB XXXXX
- NA if the data does not support any Start referential</t>
    </r>
  </si>
  <si>
    <t>Précisions sur les exigences posées sur la donnée (de type seuils, formules, calculs, règles d'alimentation hors LC...) ou commentaires.
En particulier, les exigences posées sur la donnée peuvent porter sur :
- sa présence (dans le contrôle) (ne pas reprendre les conditions du contrôle de présence si assez explicite)
Nota Bene sur le domaine de valeurs : 
-- si la donnée peut s'inscrire dans toute la nomenclature d'un Langage Commun, le LC est directement renseigné dans le champ dédié "Référence LC"
-- si la donnée s'inscrit dans un domaine de valeurs plus restreint lié au périmètre fonctionnel de l'objet collecté, ce domaine de valeurs strictement autorisé est indiqué ici (contrôle de valeur).
L'information prend la valeur NA sans exigences particulières</t>
  </si>
  <si>
    <t>Details on the requirements of the data (of the threshold type, formulas, calculations, rules of supply excluding LC...) or comments.
In particular, the data requirements may relate to:
- its presence (in the control) (do not take over the presence control conditions so explicitly)
Note Bene on the value domain:
— if the data can be inscribed in the entire nomenclature of a Common Language, the LC is directly filled in the dedicated field "LC Reference"
— if the data falls within a narrower value domain related to the functional scope of the collected object, this strictly authorized value domain is indicated here (value control).
Information is set to NA without any special requirements</t>
  </si>
  <si>
    <r>
      <t xml:space="preserve">Format de la donnée. 
L'information prend la valeur :
- DATE
- ALPHA
- NUM
- A renseigner si l'information n'est pas encore disponible 
</t>
    </r>
    <r>
      <rPr>
        <i/>
        <sz val="11"/>
        <color rgb="FF0070C0"/>
        <rFont val="Calibri"/>
        <family val="2"/>
        <scheme val="minor"/>
      </rPr>
      <t>Data format.
Information is valued:
- DATE
- ALPHA
- NUM
- To be filled if the information is not yet available</t>
    </r>
  </si>
  <si>
    <t>Structure de présentation des données de type date, montant et taux. 
L'information prend la valeur :
- "NA" en l'absence de règle de formatage.
- "A renseigner" si l'information n'est pas disponible</t>
  </si>
  <si>
    <t>Date, amount and rate data presentation structure.
Information is valued:
- "NA" in the absence of a formatting rule.
- "To be filled" if the information is not available</t>
  </si>
  <si>
    <r>
      <t xml:space="preserve">Longueur de la donnée 
La valeur 8 est attendue sur les formats DATE/
</t>
    </r>
    <r>
      <rPr>
        <i/>
        <sz val="11"/>
        <color rgb="FF0070C0"/>
        <rFont val="Calibri"/>
        <family val="2"/>
        <scheme val="minor"/>
      </rPr>
      <t>Data length
Value 8 is expected on DATE formats</t>
    </r>
  </si>
  <si>
    <t xml:space="preserve">Numéro correspondant à la position de la donnée dans la chaine de caractères du fichier physique. 
Nécessaire que pour les fichiers plats sans séparateurs (PACT par exemple).
Elle prend la valeur NA dans les autres cas. / 
The number that corresponds to the position of the data item in the character string of the physical file.
Required only for flat files without separators.
It is set to NA in other cases.
</t>
  </si>
  <si>
    <t>Version de la notice dans laquelle la donnée est apparue. 
L'information prend la valeur:
- De la donnée Verbloc figurant dans l'en-tête de la notice
- A renseigner si l'information n'est pas encore disponible./
The version of the notice in which the data appeared.
Information takes value:
- Verbloc data in the header of the notice
- To be filled if the information is not yet available.</t>
  </si>
  <si>
    <r>
      <t xml:space="preserve">Version de la notice dans laquelle la donnée apparaît pour la dernière fois. 
L'information prend la valeur:
- De la donnée Verbloc figurant dans l'en-tête de la notice quand la donnée est devenue obsolète
- NA quand la donnée est toujours collectée/ 
</t>
    </r>
    <r>
      <rPr>
        <i/>
        <sz val="11"/>
        <color rgb="FF0070C0"/>
        <rFont val="Calibri"/>
        <family val="2"/>
        <scheme val="minor"/>
      </rPr>
      <t>The version of the notice in which the data last appears.
Information takes value:
- Verbloc data in the header of the record when the data has become obsolete
- NA when data is still collected</t>
    </r>
  </si>
  <si>
    <r>
      <t xml:space="preserve">Dernière version de publication de la notice présentant la MAJ de la donnée / 
</t>
    </r>
    <r>
      <rPr>
        <i/>
        <sz val="11"/>
        <color rgb="FF0070C0"/>
        <rFont val="Calibri"/>
        <family val="2"/>
        <scheme val="minor"/>
      </rPr>
      <t>Latest publication version of the notice where the data was updated</t>
    </r>
  </si>
  <si>
    <t>Liste des usages industriels déclarant exploiter la donnée.
L'information prend la valeur : 
- Usage1, Usage2, Usage3, ..., UsageN si plusieurs usages sont déclarés
- NA en l'absence d'usage déclaré
- A renseigner si l'information n'est pas encore disponible 
/List of industrial uses declaring to exploit the data.
Information is valued:
- Use1, Use2, Use3, ..., UseN if more than one use is declared
- NA in the absence of declared use
- To be filled if the information is not yet available</t>
  </si>
  <si>
    <r>
      <t xml:space="preserve">Liste des usages signalant que la donnée est indispensable pour leur fonctionnement.
Le processus de production de reporting de ce(s) usage(s) est compromis par l'absence de cette donnée ou par sa non qualité.
L'information prend la valeur : 
- Usage1, Usage2, Usage3, ..., UsageN si plusieurs usages ont déclaré la donnée critique
- NA en l'absence de criticité de la donnée quel que soit l'usage 
- A renseigner si l'information n'est pas encore disponible/
</t>
    </r>
    <r>
      <rPr>
        <i/>
        <sz val="11"/>
        <color rgb="FF0070C0"/>
        <rFont val="Calibri"/>
        <family val="2"/>
        <scheme val="minor"/>
      </rPr>
      <t>List of uses indicating that the data is essential for their operation.
The reporting production process of this use(s) is compromised by the absence of this data or by its non-quality.
Information is valued:
- Usage1, Usage2, Usage3, ..., UsageN if several uses have declared critical data
- NA in the absence of criticality of the data whatever the use
- To be filled if the information is not yet available</t>
    </r>
  </si>
  <si>
    <t>Indicateur signalant que la donnée est à caractère personnel. Une donnée à caractère personnel au sens RGPD est une information se rapportant à une personne physique identifiée ou identifiable. Elle peut permettre d'identifier une personne physique directement (exemple : nom et prénom) ou indirectement (exemple : par un numéro de téléphone ou de plaque d'immatriculation, un identifiant tel que le numéro de sécurité sociale, une adresse postale ou courriel).
L'information prend la valeur : 
- Y si la donnée est une donnée à caractère personnel
- N dans le cas contraire
- A renseigner si l'information n'est pas encore disponible/
Indicator indicating that the data is personal. Personal data in the sense of GDPR is information relating to an identified or identifiable natural person. It can identify a natural person directly (example: first and last names) or indirectly (example: by a telephone or license plate number, an identifier such as a social security number, a postal or email address).
Information is valued:
- Y if the data is personal data
- N otherwise
- To be filled if the information is not yet available</t>
  </si>
  <si>
    <r>
      <t xml:space="preserve">Information concernant les données du P1, M1 et flux passifs seulement. 
Le périmètre de Collecte précise le domaine fonctionnel auquel se rapporte la Collecte de la donnée. La nature du domaine fonctionnel varie suivant les objets de collecte.
L'information peut être de nature:
- Type de risque
- Nature juridique de la sûreté 
- NA dans les autres cas/
</t>
    </r>
    <r>
      <rPr>
        <i/>
        <sz val="11"/>
        <color rgb="FF0070C0"/>
        <rFont val="Calibri"/>
        <family val="2"/>
        <scheme val="minor"/>
      </rPr>
      <t xml:space="preserve">Information on P1, M1 and liability flow data only.
The Collection scope specifies the functional area to which the Data Collection relates. The nature of the functional area varies according to the collection objects.
The information may be of a nature:
- Risk type
- Legal nature of security interest
- NA in other cases
</t>
    </r>
  </si>
  <si>
    <r>
      <t xml:space="preserve">Application en central qui met la donnée à disposition / </t>
    </r>
    <r>
      <rPr>
        <i/>
        <sz val="11"/>
        <color rgb="FF0070C0"/>
        <rFont val="Calibri"/>
        <family val="2"/>
        <scheme val="minor"/>
      </rPr>
      <t>Central application that makes data available</t>
    </r>
  </si>
  <si>
    <r>
      <t xml:space="preserve">Référence de la donnée en provenance de l'application remettante / </t>
    </r>
    <r>
      <rPr>
        <i/>
        <sz val="11"/>
        <color rgb="FF0070C0"/>
        <rFont val="Calibri"/>
        <family val="2"/>
        <scheme val="minor"/>
      </rPr>
      <t>Reference of data from remitting application</t>
    </r>
  </si>
  <si>
    <t>CRRC</t>
  </si>
  <si>
    <t>00 - En-tête du flux</t>
  </si>
  <si>
    <t>00 - File header</t>
  </si>
  <si>
    <t>CRRC H.ENREG</t>
  </si>
  <si>
    <t>Type d'enregistrement</t>
  </si>
  <si>
    <t>Type of record</t>
  </si>
  <si>
    <t>Type d'enregistrement correspondant au bloc En-tête</t>
  </si>
  <si>
    <t>Type of record corresponding to Header block</t>
  </si>
  <si>
    <t>ND</t>
  </si>
  <si>
    <t>ENREG</t>
  </si>
  <si>
    <t>Obligatoire</t>
  </si>
  <si>
    <t>Mandatory</t>
  </si>
  <si>
    <t>NA</t>
  </si>
  <si>
    <t>A alimenter à "00"</t>
  </si>
  <si>
    <t>To be filled with "00"</t>
  </si>
  <si>
    <t>ALPHA</t>
  </si>
  <si>
    <t>USAGE ZP</t>
  </si>
  <si>
    <t>CRRC H.IDFICHIER</t>
  </si>
  <si>
    <t>Identifiant du fichier</t>
  </si>
  <si>
    <t>File's identifier</t>
  </si>
  <si>
    <t>Identifiant caractérisant le contenu véhiculé par le fichier et servant à référencer chaque type de fichier échangé dans le Référentiel des Echanges du Groupe afin de favoriser la réutilisation</t>
  </si>
  <si>
    <t>Identifier characterising the content reported by the file and serving to reference each type of file exchanged in the Group's Exchange Referential to facilitate re-use</t>
  </si>
  <si>
    <t>IDFICHIER</t>
  </si>
  <si>
    <t>A alimenter à "00000533"</t>
  </si>
  <si>
    <t xml:space="preserve"> To be filled with "00000533"</t>
  </si>
  <si>
    <t>CRRC H.VERFICHIER</t>
  </si>
  <si>
    <t>Version technique du fichier</t>
  </si>
  <si>
    <t>File's technical version</t>
  </si>
  <si>
    <t>Qualifie les modalités techniques de constitution du fichier (positionnel, XML, …)</t>
  </si>
  <si>
    <t>Characterises the technical modalities for producing the file (positional, XML, etc.)</t>
  </si>
  <si>
    <t>VERFICHIER</t>
  </si>
  <si>
    <t>A alimenter à "001"</t>
  </si>
  <si>
    <t>To be filled with "001"</t>
  </si>
  <si>
    <t>CRRC H.TIMESTAMP</t>
  </si>
  <si>
    <t>Horodatage</t>
  </si>
  <si>
    <t>Timestamp</t>
  </si>
  <si>
    <t>Date et heure de production du fichier (norme ISO 8601 : séparateur normalisé « T » entre la date et l'heure)</t>
  </si>
  <si>
    <t>Date and time of the file's production (ISO 8601 standard: normalised separator “T” between the date and time)</t>
  </si>
  <si>
    <t>TIMESTAMP</t>
  </si>
  <si>
    <t>AAAAMMJJTHHMMSS</t>
  </si>
  <si>
    <t>YYYYMMDDTHHMMSS</t>
  </si>
  <si>
    <t>CRRC H.UOE</t>
  </si>
  <si>
    <t>Entité émettrice</t>
  </si>
  <si>
    <t>Issuing entity</t>
  </si>
  <si>
    <t>Identifiant national de l'entité produisant le fichier (pour son propre compte ou en cas de sous-traitance pour le compte de l'entité déclarante)</t>
  </si>
  <si>
    <t>National identifier of the entity producing the file (for its own account or, in the event of subcontracting, on behalf of the issuing entity)</t>
  </si>
  <si>
    <t>UOE</t>
  </si>
  <si>
    <t>LC.0003</t>
  </si>
  <si>
    <t>RB NM281</t>
  </si>
  <si>
    <t>CRRC H.UOD</t>
  </si>
  <si>
    <t>Entité déclarante</t>
  </si>
  <si>
    <t>Reporting entity</t>
  </si>
  <si>
    <t>Identifiant national de l'entité à laquelle se rapporte le contenu du fichier (entité porteuse du risque)</t>
  </si>
  <si>
    <t>National identifier of the entity to which the file's content relates (entity carrying the risk)</t>
  </si>
  <si>
    <t>UOD</t>
  </si>
  <si>
    <t>CRRC H.NMAPPU</t>
  </si>
  <si>
    <t>Application émettrice</t>
  </si>
  <si>
    <t>Issuing application</t>
  </si>
  <si>
    <t>Code ou nom de l'application ou du job utilisés pour produire le fichier dans le SI de l'entité</t>
  </si>
  <si>
    <t>Code or name of the application or job used to produce the file in the entity's IT system</t>
  </si>
  <si>
    <t>NMAPPU</t>
  </si>
  <si>
    <t>Facultatif</t>
  </si>
  <si>
    <t>Optional</t>
  </si>
  <si>
    <t>CRRC H.CDBLOC</t>
  </si>
  <si>
    <t>Code du flux</t>
  </si>
  <si>
    <t>Flow code</t>
  </si>
  <si>
    <t>Code du flux correspondant aux objets métier véhiculés par le fichier</t>
  </si>
  <si>
    <t>Flow code corresponding to the business objects reported by the file</t>
  </si>
  <si>
    <t>CDBLOC</t>
  </si>
  <si>
    <t>A alimenter à "CRRC"</t>
  </si>
  <si>
    <t>To filled filled with "CRRC"</t>
  </si>
  <si>
    <t>CRRC H.VERBLOC</t>
  </si>
  <si>
    <t>Version du flux</t>
  </si>
  <si>
    <t>Flow version</t>
  </si>
  <si>
    <t>Version du flux correspondant aux objets métier véhiculés par le fichier</t>
  </si>
  <si>
    <t>Version of flow corresponding to the business objects reported by the file</t>
  </si>
  <si>
    <t>VERBLOC</t>
  </si>
  <si>
    <t>A alimenter à "45"</t>
  </si>
  <si>
    <t>To filled filled with "45"</t>
  </si>
  <si>
    <t>CRRC H.NUMENV</t>
  </si>
  <si>
    <t>Numéro d'envoi du fichier</t>
  </si>
  <si>
    <t>File's dispatch number</t>
  </si>
  <si>
    <t>Permet de gérer les réemissions</t>
  </si>
  <si>
    <t>Serves to manage re-issues</t>
  </si>
  <si>
    <t>NUMENV</t>
  </si>
  <si>
    <t>A alimenter à "00001" et à incrémenter de +1 à chaque réémission</t>
  </si>
  <si>
    <t>To be filled with "00001"and incrementing by +1 at each reissue</t>
  </si>
  <si>
    <t>CRRC H.CRARRETE</t>
  </si>
  <si>
    <t xml:space="preserve">Type d'arrêté </t>
  </si>
  <si>
    <t xml:space="preserve">Reporting type </t>
  </si>
  <si>
    <t>Périodicité de l'arrêté</t>
  </si>
  <si>
    <t>Reporting frequency</t>
  </si>
  <si>
    <t>CRARRETE</t>
  </si>
  <si>
    <t>LC.0056</t>
  </si>
  <si>
    <t>TA KVFREQU</t>
  </si>
  <si>
    <t>CRRC H.DTARRETE</t>
  </si>
  <si>
    <t>Date d'arrêté</t>
  </si>
  <si>
    <t>Closing date</t>
  </si>
  <si>
    <t>Date d'arrêté correspondant au contenu du fichier (norme ISO 8601)</t>
  </si>
  <si>
    <t>Closing date corresponding to the file's content (ISO 8601 standard)</t>
  </si>
  <si>
    <t>DTARRETE</t>
  </si>
  <si>
    <t>DATE</t>
  </si>
  <si>
    <t>AAAAMMJJ</t>
  </si>
  <si>
    <t>YYYYMMDD</t>
  </si>
  <si>
    <t>CRRC H.NUMSEQ</t>
  </si>
  <si>
    <t>Numéro de séquence du fichier</t>
  </si>
  <si>
    <t>File sequence number</t>
  </si>
  <si>
    <t>Permet d'identifier un lot</t>
  </si>
  <si>
    <t>Allows to identify a batch</t>
  </si>
  <si>
    <t>NUMSEQ</t>
  </si>
  <si>
    <t>A alimenter avec une valeur comprise entre "00001" et "99999" en fonction des lots définis par l'entité</t>
  </si>
  <si>
    <t>To be filled with a value between "00001" and "99999" depending   of batches defined by entity</t>
  </si>
  <si>
    <t>CRRC H.NMAPPFIN</t>
  </si>
  <si>
    <t>Application émettrice Finance</t>
  </si>
  <si>
    <t>Issuing Finance application code</t>
  </si>
  <si>
    <t>Code de l'application émettrice spécifique à PALMA</t>
  </si>
  <si>
    <t>Issuing application code specific to PALMA</t>
  </si>
  <si>
    <t>NMAPPFIN</t>
  </si>
  <si>
    <t>CRRC H.FILLER</t>
  </si>
  <si>
    <t>Filler</t>
  </si>
  <si>
    <t>Filler pour évolutions futures</t>
  </si>
  <si>
    <t>Filler for future evolution</t>
  </si>
  <si>
    <t>FILLER</t>
  </si>
  <si>
    <t>C1</t>
  </si>
  <si>
    <t>02 - Caractéristiques d'identification fonctionnelles</t>
  </si>
  <si>
    <t>02 - Functional identification characteristics</t>
  </si>
  <si>
    <t>0.1 (C1)</t>
  </si>
  <si>
    <t xml:space="preserve">Date d'arrêté </t>
  </si>
  <si>
    <t>Correspond à la date d'arrêté des données transmises (dernier jour calendaire du mois)</t>
  </si>
  <si>
    <t>Represents the cut-off date of the data transmitted (final calendar day of the month)</t>
  </si>
  <si>
    <t>Il doit y avoir unicité de la date d'arrêté au sein du flux</t>
  </si>
  <si>
    <t>The cut-off date must be the same across the flow</t>
  </si>
  <si>
    <t>TIGRE</t>
  </si>
  <si>
    <t>N</t>
  </si>
  <si>
    <t>La donnée est obligatoire</t>
  </si>
  <si>
    <t>The data is mandatory</t>
  </si>
  <si>
    <t>EN0011</t>
  </si>
  <si>
    <t>Si renseignée, pour un même BAAPID, la date d'arrêté doit être supérieure ou égale à la date d'arrêté du dernier lot intégré.
(= on n'accepte pas de flux sur un arrêté précédent)
Dans la table INTEGRATED_PARENT, pour le même SCOPE_SRC_CD (= BAAPID), la date d'arrêté doit être supérieure ou égale à la dernière date d'arrêté avec le statut « QUALITY_OK ».
---
Si renseignée, la date doit être égale au dernier jour calendaire du mois de l'arrêté en cours (ex : 20190131, 20190228, 20190331, etc.)</t>
  </si>
  <si>
    <t>If filled in, for the same BAAPID, the cut-off date must be greater than or equal to the cut-off date of the last integrated batch.
(= no flow on previous order accepted)
In the INTEGRATED_PARENT table, for the same SCOPE_SRC_CD (= BAAPID), the stop date must be greater than or equal to the last stop date with the status 'QUALITY_OK'.
—
If filled in, the date must be equal to the last calendar day of the month of the current order (e.g. 20190131, 20190228, 20190331, etc.)</t>
  </si>
  <si>
    <t>EN0017
EN0019</t>
  </si>
  <si>
    <t>Si renseignée, pour le même BAAPID, si le dernier lot a un statut "rejeté" ou "à recycler" ou "abandonner", et qu'il n'y a pas d'autres lots en attente, la date d'arrêté doit être inférieure ou égale à la date d'arrêté du dernier lot. 
Dans la table INTEGRATED_PARENT, pour le même SCOPE_SRC_CD (= BAAPID), la date doit être inférieure ou égale à la dernière date (= STTM_DT) avec le statut « QUALITY_KO », « REJECTED » ou « DECERTIFIED ».</t>
  </si>
  <si>
    <t>If filled in for the same BAAPID, if the last batch has a "rejected" or "to recycle" or "abort" status, and there are no other batches pending, the stop date must be less than or equal to the last batch stop date. 
In the INTEGRATED_PARENT table, for the same SCOPE_SRC_CD (= BAAPID), the date must be less than or equal to the last date (= STTM_DT) with the status “QUALITY_KO”, “REJECTED” or “DECERTIFIED”.</t>
  </si>
  <si>
    <t>EN001B</t>
  </si>
  <si>
    <t>0.2 (C1)</t>
  </si>
  <si>
    <t>Entité Porteuse de Risques</t>
  </si>
  <si>
    <t>Risk taker entity</t>
  </si>
  <si>
    <t xml:space="preserve">Correspond au code consolidation comptable de l'Entité porteuse de risque dans les comptes de Crédit Agricole S.A. </t>
  </si>
  <si>
    <t xml:space="preserve">Represents the accounting consolidation code of the Entity in the financial statements of Crédit Agricole S.A. </t>
  </si>
  <si>
    <t>TA FI59</t>
  </si>
  <si>
    <t>EN0021</t>
  </si>
  <si>
    <t>Si renseignée,
1/ Si dans la table START "TA 0990 KVAPPBK", il existe un KVBAPPID pour le KVAPPBK valant la concaténation "Entité porteuse de risque" [EN 0.2] et "Application source" [EN 0.3], alors, les 9 premiers caractères de ce KVBAPPID doivent être présents dans la colonne TMNOMOBE de la table TMTAKOBE.
2/ Si pas présent dans TMTAKOBE, l'entité porteuse de risque [EN 0.2] doit exister dans la colonne TMCCONSU de la table TMTAKOBU.</t>
  </si>
  <si>
    <t>If filled,
1/ If in the START table "TA 0990 KVAPPBK", there is a KVBAPPID for the KVAPPBK with the concatenation "risk-carrying Entity" [EN 0.2] and "Source application" [EN 0.3], then the first 9 characters of this KVBAPPID must be present in the TMNOMOBE column of the TMTAKOBE table.
2/ If not present in TMTAKOBE, the risk carrying entity [EN 0.2] shall exist in the TMCCONSU column of the TMTAKOBU table.</t>
  </si>
  <si>
    <t>EN0023</t>
  </si>
  <si>
    <t>0.3 (C1)</t>
  </si>
  <si>
    <t>Application source</t>
  </si>
  <si>
    <t>Source application</t>
  </si>
  <si>
    <t>Correspond au code du Système d'Information utilisé en local pour générer le flux
Dans le flux Grande Clientèle, il faut préfixer par la lettre ‘C' le code application source</t>
  </si>
  <si>
    <t xml:space="preserve">Represents the code of the Information System used locally to generate the flow
In Corporate flow, the source application code must be prefix with the letter 'C' </t>
  </si>
  <si>
    <t>TA KVAPPBK</t>
  </si>
  <si>
    <t>La codification est ‘libre' mais doit être obligatoirement préfixé par la valeur "C" (Corporate).
Il convient à chaque entité émettrice du flux de déterminer le(s) code(s) ‘Application source' qu'elle utilise et de le(s) porter à la connaissance de la DRG avant première utilisation dans le flux. Une fois communiqué, le code est définitif
Il s'agit d'un critère discriminant à l'acquisition des flux par CASA DRG</t>
  </si>
  <si>
    <t>The code is entered as ‘Free zone' but must be pre-fixed with "C" (Corporate).
Every entity issuing flows must determine what ‘Source application' code(s) it uses and inform the Group Risk Management Division thereof prior to using them in the flow. Once notified, the code can't be changed
This is a determining factor as regards flow capture by Crédit Agricole S.A. Group Risk Management Division</t>
  </si>
  <si>
    <t>EN0031</t>
  </si>
  <si>
    <t>Si elle est renseignée, la valeur doit être connue du Langage Commun associé</t>
  </si>
  <si>
    <t>If specified, the value must be known to the associated Common Language</t>
  </si>
  <si>
    <t>EN0035</t>
  </si>
  <si>
    <t>01 - Caractéristiques d'identification techniques</t>
  </si>
  <si>
    <t>01 - Technical identification characteristics</t>
  </si>
  <si>
    <t>0.4 (C1)</t>
  </si>
  <si>
    <t>Fréquence de transmission</t>
  </si>
  <si>
    <t>Transmission frequency</t>
  </si>
  <si>
    <t>Permet d'identifier le flux dans les traitements</t>
  </si>
  <si>
    <t>Makes it possible to identify the flow in the treatments</t>
  </si>
  <si>
    <t>La seule valeur admise est 'M' pour mensuel</t>
  </si>
  <si>
    <t>The only permitted value is 'M' for month</t>
  </si>
  <si>
    <t>EN0041</t>
  </si>
  <si>
    <t>Si renseignée, la donnée doit être égale à 'M' ou 'C'.</t>
  </si>
  <si>
    <t>If filled, the data must be equal to 'M' or 'C'.</t>
  </si>
  <si>
    <t>EN0043</t>
  </si>
  <si>
    <t>0.5 (C1)</t>
  </si>
  <si>
    <t>Date et Heure de traitement</t>
  </si>
  <si>
    <t>Date and time of processing</t>
  </si>
  <si>
    <t>Correspond à la date et heure du début du traitement ayant produit le flux</t>
  </si>
  <si>
    <t>Represents the date and time at which treatment began</t>
  </si>
  <si>
    <t>Unicité obligatoire au sein d'un Lot déterminé</t>
  </si>
  <si>
    <t>Has to be unique within a specific Batch</t>
  </si>
  <si>
    <t>EN0051</t>
  </si>
  <si>
    <t xml:space="preserve">Si renseignée, la date doit être strictement supérieure à la date de traitement [EN 0.5] du dernier lot traité et non recyclé.
(= on ne peut pas intégrer un lot déjà présenté sauf si ce lot avait été mis en recyclage)
Dans la table INTEGRATED_PARENT, pour le même SCOPE_SRC_CD (= BAAPID), la date doit être supérieure à la dernière date (= SRC_DT) avec le statut « QUALITY_OK ». </t>
  </si>
  <si>
    <t xml:space="preserve">If filled in, the date must be strictly greater than the treatment date [EN 0.5] of the last batch processed and not recycled.
(= a previously submitted batch cannot be included unless the batch has been placed in recycling)
In the INTEGRATED_PARENT table, for the same SCOPE_SRC_CD (= BAAPID), the date must be greater than the last date (= SRC_DT) with the status 'QUALITY_OK'. </t>
  </si>
  <si>
    <t>EN0056</t>
  </si>
  <si>
    <t>0.6 (C1)</t>
  </si>
  <si>
    <t>Record type</t>
  </si>
  <si>
    <t>Caractérise le type d'enregistrement remonté par l'entité</t>
  </si>
  <si>
    <t>Represents the record type reported by the entity</t>
  </si>
  <si>
    <t>La valeur admise est 'C1' pour le domaine Tiers</t>
  </si>
  <si>
    <t>The permitted value is 'C1' for the External Counterparty section</t>
  </si>
  <si>
    <t>EN0061</t>
  </si>
  <si>
    <t>Si renseignée, la donnée doit être égale à 'C1'</t>
  </si>
  <si>
    <t>If filled in, the data must be equal to 'C1'</t>
  </si>
  <si>
    <t>0.7 (C1)</t>
  </si>
  <si>
    <t>Nature de flux (Zone réservée DRG)</t>
  </si>
  <si>
    <t>Nature of flow (Zone reserved for Group Risk Management Division)</t>
  </si>
  <si>
    <t>(Zone réservée DRG)</t>
  </si>
  <si>
    <t>(Zone reserved for the Group Risk Management Division)</t>
  </si>
  <si>
    <t>0.99 (C1)</t>
  </si>
  <si>
    <t>Zone libre</t>
  </si>
  <si>
    <t>Free zone</t>
  </si>
  <si>
    <t>Laisser à vide</t>
  </si>
  <si>
    <t>Leave empty</t>
  </si>
  <si>
    <t>16 - Identification Tiers</t>
  </si>
  <si>
    <t>16 - Third party identification</t>
  </si>
  <si>
    <t>1.1 (C1)</t>
  </si>
  <si>
    <t>Identifiant local du tiers</t>
  </si>
  <si>
    <t>Local identifier for the counterparty</t>
  </si>
  <si>
    <t>Identifiant du tiers dans le système utilisé pour générer le flux</t>
  </si>
  <si>
    <t>ID of external counterparty in the system used to generate the flow</t>
  </si>
  <si>
    <t>La codification est à discrétion de chaque entité mais il est nécessaire d'utiliser un identifiant stable
Pour un lot déterminé, l'identifiant local doit être unique</t>
  </si>
  <si>
    <t>The coding is at the discretion of each entity but IDs must be permanent
For a given batch, the local ID must be unique</t>
  </si>
  <si>
    <t>1.2 (C1)</t>
  </si>
  <si>
    <t>Identifiant interne du tiers Crédit Agricole</t>
  </si>
  <si>
    <t>Central identifier for the counterparty</t>
  </si>
  <si>
    <t xml:space="preserve">Identifiant du tiers dans le SI DRG IDTCA – (i.e. Identifiant Tiers Central CASA) </t>
  </si>
  <si>
    <t xml:space="preserve">ID of the external counterparty in the Group Risk Management Division IT System IDTCA – (i.e. Identifier Central CASA counterparty) </t>
  </si>
  <si>
    <t>Identifiant central fourni par la DRG dans le flux diffusion Tiers (DTG) transmis aux entités émettrices du flux
A la première remontée d'un tiers nouvellement créé via le flux , cet identifiant doit être à vide
L'identifiant interne est déterminé en central et communiqué aux entités via le flux diffusion Tiers (DTG) et doit être fourni dans le flux du mois suivant (si toujours des engagements sur ce Tiers)</t>
  </si>
  <si>
    <t>Central ID provided by the Group Risk Management Division in the External Counterparty distribution flow (DTG) sent out to entities issuing flows.
When first reporting an external counterparty that has just been added via the flow, this ID must be left empty.
The internal ID is determined centrally and sent out to the entities via the External Counterparty distribution flow (DTG) and must be provided in the subsequent month's flow (if there are still commitments vis-à-vis this External Counterparty)</t>
  </si>
  <si>
    <t>1.4 (C1)</t>
  </si>
  <si>
    <t xml:space="preserve">Référence de l'Autorisation Mise En Place </t>
  </si>
  <si>
    <t xml:space="preserve">Overall facility reference </t>
  </si>
  <si>
    <t xml:space="preserve">Reference code of Arranged facility </t>
  </si>
  <si>
    <t>1.6 (C1)</t>
  </si>
  <si>
    <t>Référence de la ligne de détail de l'Autorisation Mise En Place</t>
  </si>
  <si>
    <t>Facility detail line reference</t>
  </si>
  <si>
    <t>Reference code of the line of the Arranged facility</t>
  </si>
  <si>
    <t>1.8 (C1)</t>
  </si>
  <si>
    <t>Identifiant de la sûreté reçue</t>
  </si>
  <si>
    <t>Mitigant identifier</t>
  </si>
  <si>
    <t>ID of Mitigant received</t>
  </si>
  <si>
    <t>1.11 (C1)</t>
  </si>
  <si>
    <t>Identifiant de l'engagement</t>
  </si>
  <si>
    <t>Product identifier</t>
  </si>
  <si>
    <t>ID of commitment</t>
  </si>
  <si>
    <t>1.16 (C1)</t>
  </si>
  <si>
    <t>Référence de la provision sur tiers</t>
  </si>
  <si>
    <t>Reference for the counterparty provision</t>
  </si>
  <si>
    <t>Reference code of the provision for external counterparties</t>
  </si>
  <si>
    <t>1.99 (C1)</t>
  </si>
  <si>
    <t>C1 2.1</t>
  </si>
  <si>
    <t>Dénomination sociale INSEE</t>
  </si>
  <si>
    <t>Counterparty name</t>
  </si>
  <si>
    <t>Dénomination sociale INSEE pour les tiers français</t>
  </si>
  <si>
    <t>Corporate name INSEE for French counterparties
National's corporate name for other counterparties when it exists; corporate name otherwise</t>
  </si>
  <si>
    <t>Obligatoire pour les tiers français (c'est-à-dire siréné), valoriser le champ avec la dénomination officielle INSEE sinon à vide
Donnée sous responsabilité du RUN.</t>
  </si>
  <si>
    <t>Mandatory for French external counterparties (i.e. those with SIREN numbers). Input the official INSEE corporate name, otherwise leave empty
Data owned by the «RUN».</t>
  </si>
  <si>
    <t>C1 4.22</t>
  </si>
  <si>
    <t xml:space="preserve">Date de génération du CRE ANADEFI </t>
  </si>
  <si>
    <t>CRE ANADEFI processing Date</t>
  </si>
  <si>
    <t>Obligatoire si le tiers est noté (la note finale retenue du tiers (C1 4.1) est renseignée et différente de 'ND' )</t>
  </si>
  <si>
    <t>Mandatory where the assigned rating (C1 4.1) &lt;&gt; ‘ND' or equals spaces</t>
  </si>
  <si>
    <t>AAAAMMJJHHMMSS</t>
  </si>
  <si>
    <t>SSAAMMJJHHMMSS</t>
  </si>
  <si>
    <t>C1 4.30</t>
  </si>
  <si>
    <t>Identifiant de l'entreprise mère immédiate</t>
  </si>
  <si>
    <t>Immediate parent undertaking identifier</t>
  </si>
  <si>
    <t>Permet d'identifier la maison mère immédiate</t>
  </si>
  <si>
    <t>Enable the identification of the immediate mother entity</t>
  </si>
  <si>
    <t xml:space="preserve">Identifiant de l'entreprise mère immédiate correspondant à l'Identifiant Central du Tiers (IDTCA) présent dans le référentiel Tiers &amp; Groupes
- Si le tiers représente une succursale d'un établissement dont le siège social à l'étranger (et connu de Tiers et Groupe) alors :
    C1 4.30 = identifiant IDTCA du siège social (ou maison mère) à l'étranger 
    C1 4.31 = 1
- Si le tiers appartient à un groupe dont le parent immédiat existe (et connu de Tiers et Groupe) alors on renseigne :
    C1 4.30 = identifiant IDTCA du parent immédiat 
    C1 4.31 = 0
Remarque : dans certains cas, le parent immédiat peut être l'ECU
- Sinon, ne pas renseigner l'Identifiant de l'entreprise mère immédiate et l'Indicateur Maison mère identifiée
</t>
  </si>
  <si>
    <t xml:space="preserve">The Immediate parent undertaking identifier corresponding to the IDTCA of the counterparty in the referential ‘Counterparties &amp; Groups'
- If the client of the FTCA represents a branch of a credit insititution whose head office is abroad (and known of the process T&amp;G), then:
    C10430 = Identifier IDTCA of the head office (or mother entity) abroad
    C10431 = 1
- If the client of the FTCA is part of a Groupe whose immediate parent exists (and known of the process T&amp;G) then:
    C10430 = Identifier IDTCA of the immediate parent 
    C10431 = 0
Note : in some cases, the immediate parent may be the ECU
- If none of the mis known, the field C10430 remains empty
</t>
  </si>
  <si>
    <t>ANACREDIT</t>
  </si>
  <si>
    <t>C1 4.31</t>
  </si>
  <si>
    <t>Maison Mère Identifiée</t>
  </si>
  <si>
    <t>Head Office Identifier</t>
  </si>
  <si>
    <t>Permet d'identifier si le tiers est la maison mère</t>
  </si>
  <si>
    <t>Enable the identification of the mother entity</t>
  </si>
  <si>
    <t>LC.0302</t>
  </si>
  <si>
    <t>TA KVMAMEID</t>
  </si>
  <si>
    <t>Indicateur 0 ou 1 permettant de préciser que le tiers déclaré est maison mère</t>
  </si>
  <si>
    <t>Value 0 or 1 aiming at precising if the counterparty is the mother entity</t>
  </si>
  <si>
    <t>C1 4.32</t>
  </si>
  <si>
    <t>Adresse : département/division administrative (NUTS)</t>
  </si>
  <si>
    <t>Address: department/administrative division (NUTS)</t>
  </si>
  <si>
    <t>Permet d'identifier le département du tiers</t>
  </si>
  <si>
    <t>Enable the identification of the administrative area of the counterparty</t>
  </si>
  <si>
    <t>LC.0265</t>
  </si>
  <si>
    <t>TA NMNUTS</t>
  </si>
  <si>
    <t>C1 4.33</t>
  </si>
  <si>
    <t>État d'avancement des procédures judiciaires</t>
  </si>
  <si>
    <t>Status of legal Proceeding</t>
  </si>
  <si>
    <t>Permet d'identifier si une procédure judiciaire est en cours</t>
  </si>
  <si>
    <t>Enable to indicate if a legal procedure is ongoing</t>
  </si>
  <si>
    <t>LC.0226</t>
  </si>
  <si>
    <t>TA KVINPROC</t>
  </si>
  <si>
    <t>C1 4.34</t>
  </si>
  <si>
    <t>Date d'ouverture de la procédure judiciaire</t>
  </si>
  <si>
    <t>Date of initiation of legal proceedings</t>
  </si>
  <si>
    <t>Informe sur la date de début de cette procédure</t>
  </si>
  <si>
    <t>Indicate the original date of the legal procedure</t>
  </si>
  <si>
    <t xml:space="preserve">Si la valeur du champ « Etat d'avancement des procédures judiciaires » est différente de 0 ou 1 alors date obligatoire sinon le champ doit rester à vide
</t>
  </si>
  <si>
    <t xml:space="preserve">Mandatory where status of legal proceeding different from 0 or 1 </t>
  </si>
  <si>
    <t>C1 4.35</t>
  </si>
  <si>
    <t>Nombre de salariés</t>
  </si>
  <si>
    <t>Number of employees</t>
  </si>
  <si>
    <t>Informe sur le nombre de salariés de l'entreprise</t>
  </si>
  <si>
    <t>Indicate the number of employees</t>
  </si>
  <si>
    <t>C1 4.40</t>
  </si>
  <si>
    <t>Indicateur CEL (Corporate Leveraged)</t>
  </si>
  <si>
    <t>Corporate Leveraged indicator</t>
  </si>
  <si>
    <t>Cette valeur permet d'identifier un tiers pour lequel un financement à effet de levier est en place</t>
  </si>
  <si>
    <t>This criteria identifies the counterpart leveraged</t>
  </si>
  <si>
    <t>Donnée sous responsabilité du RUN.
Si renseigné, les valeurs autorisées sont : 
- 0 : " Pas de financements à effet de levier pour ce tiers" 
- 1 : " Tiers déclaré à effet de levier"</t>
  </si>
  <si>
    <t>Data owned by the «RUN»
Value 0 or 1 aiming at precising if the counterparty is leveraged : 
- 0: "No leveraged transaction for this counterparty"
- 1: "Leveraged counterparty"</t>
  </si>
  <si>
    <t>FEL</t>
  </si>
  <si>
    <t>C1 4.41</t>
  </si>
  <si>
    <t>Niveau d'intégration groupe du tiers</t>
  </si>
  <si>
    <t>Group Integration degree</t>
  </si>
  <si>
    <t>Cette donnée permet de définir le soutien financier de la maison mère à sa filiale</t>
  </si>
  <si>
    <t xml:space="preserve">This criteria defines the support of the group to the subsidiary </t>
  </si>
  <si>
    <t>LC.0304</t>
  </si>
  <si>
    <t>TA KVNIVITG</t>
  </si>
  <si>
    <t>Donnée sous responsabilité du RUN</t>
  </si>
  <si>
    <t>Data owned by the «RUN»</t>
  </si>
  <si>
    <t>C1 4.42</t>
  </si>
  <si>
    <t>Indicateur OPCVM à effet de levier</t>
  </si>
  <si>
    <t>Leveraged FUNDS indicator</t>
  </si>
  <si>
    <t>Permet d'identifier les fonds à effet de levier</t>
  </si>
  <si>
    <t xml:space="preserve">This criteria identifies the leveraged FUNDS </t>
  </si>
  <si>
    <t>LC.0321</t>
  </si>
  <si>
    <t>TA KVIOPCEL</t>
  </si>
  <si>
    <t>La donnée concerne les catégories de contreparties MCG31, MCG32, MCG41, MCG42, MCG43 et MCG44
Donnée sous responsabilité du RUN</t>
  </si>
  <si>
    <t>This data aims to precising if the FUNDS is leveraged for the following counterparties categories MCG31, MGC32, MCG41, MCG42, MCG43 and MCG44
Data owned by the «RUN»</t>
  </si>
  <si>
    <t>C1 4.43</t>
  </si>
  <si>
    <t>Typologie du fonds OPCVM</t>
  </si>
  <si>
    <t>FUNDS categories</t>
  </si>
  <si>
    <t>Permet de renseigner la typologie du fonds</t>
  </si>
  <si>
    <t>This criteria identifies the FUNDS categories</t>
  </si>
  <si>
    <t>LC.0320</t>
  </si>
  <si>
    <t>TA KVCLASFD</t>
  </si>
  <si>
    <t>Obligatoire si l'entité est RUN du tiers et si la catégorie de contrepartie du fonds est MCG31, MCG32, MCG41, MCG42, MCG43 et MCG44
Donnée sous responsabilité du RUN</t>
  </si>
  <si>
    <t>Mandatory if the entity is the RUN of the counterparty and the fund's counterparty category is MCG31, MCG32, MCG41, MCG42, MCG43 and MCG44
Data owned by the «RUN»</t>
  </si>
  <si>
    <t>C1 4.44</t>
  </si>
  <si>
    <t>Agent économique</t>
  </si>
  <si>
    <t>Economic Agent</t>
  </si>
  <si>
    <t>Identifie le code de l'agent économique FINREP</t>
  </si>
  <si>
    <t>Relates to the FINREP Economic Agent codes</t>
  </si>
  <si>
    <t>LC.0323</t>
  </si>
  <si>
    <t>TA H8AESTAT</t>
  </si>
  <si>
    <t>C1 4.45</t>
  </si>
  <si>
    <t>Type d'identifiant national BCE</t>
  </si>
  <si>
    <t>Identification du type d'identifiant National selon la norme BCE</t>
  </si>
  <si>
    <t>Identification of the National identifier type according to the BCE standard</t>
  </si>
  <si>
    <t>LC.0356</t>
  </si>
  <si>
    <t>TA Z8TIDBCE</t>
  </si>
  <si>
    <t>Concerne tous les tiers dont le pays de résidence fiscal est hors de France. Des types d'identifiants nationaux sont donnés pour 41 pays hors de France (AT, BE, BG, BR, CA, CH, CN, CY, CZ, DE, DK, EE, ES, FI, GB, GR, HK, IE, IN, IT, JP, LT, LU, LV, MC, MH, MT, MX, NL, NO, PL, PT, RO, RU, SE, SI, SK, TR, US,HR, HU) et pour les autres un code générique est prévu</t>
  </si>
  <si>
    <t>Concerns all third parties whose country of tax residence is outside France. National identifier types are given for 41 countries outside of France (AT, BE, BG, BR, CA, CH, CN, CY, CZ, DE, DK, EE, ES, FI, GB, GR, HK, IE , IN, IT, JP, LT, LU, LV, MC, MH, MT, MX, NL, NO, PL, PT, RO, RU, SE, SI, SK, TR, US, HR, HU) and for others a generic code is provided</t>
  </si>
  <si>
    <t>C1 4.46</t>
  </si>
  <si>
    <t>Valeur de l'identifiant national BCE</t>
  </si>
  <si>
    <t>Valeur de l'identifiant national associé au type d'identifiant national</t>
  </si>
  <si>
    <t>Value of the national identifier associated with the type of national identifier</t>
  </si>
  <si>
    <t>Concerne tous les tiers dont le pays de résidence fiscal est hors de France</t>
  </si>
  <si>
    <t>Concerns all third parties whose country of tax residence is outside France</t>
  </si>
  <si>
    <t>C1 4.47</t>
  </si>
  <si>
    <t>Forme juridique BCE du tiers</t>
  </si>
  <si>
    <t>Third Party ECB Legal Form</t>
  </si>
  <si>
    <t>Décrit la forme juridique BCE du tiers en UE</t>
  </si>
  <si>
    <t>Describes the ECB legal form of third parties outside France in the EU</t>
  </si>
  <si>
    <t>LC.0357</t>
  </si>
  <si>
    <t>TA Z8FJUBCE</t>
  </si>
  <si>
    <t>Concerne tous les tiers dont le pays de résidence fiscal est hors de France et dans l'UE. Des formes juridiques génériques peuvent être utilisées pour les autres pays
Donnée sous responsabilité du RUN</t>
  </si>
  <si>
    <t>Concerns all third parties whose country of tax residence is outside France and in the EU. Generic legal forms can be used for other countries
Data owned by the «RUN»</t>
  </si>
  <si>
    <t>C1 2.98</t>
  </si>
  <si>
    <t>C1 2.3</t>
  </si>
  <si>
    <t>Référence d'Identification nationale</t>
  </si>
  <si>
    <t>National ID framework</t>
  </si>
  <si>
    <t>Type de référence d'identification nationale</t>
  </si>
  <si>
    <t>Type of national ID framework</t>
  </si>
  <si>
    <t>LC.0013</t>
  </si>
  <si>
    <t>TA KVIDENT</t>
  </si>
  <si>
    <t>Cette donnée indique le référentiel de l'identifiant national renseigné au champ suivant</t>
  </si>
  <si>
    <t>This data indicates the national ID framework input into the next field</t>
  </si>
  <si>
    <t>C1 2.4</t>
  </si>
  <si>
    <t>Identifiant national</t>
  </si>
  <si>
    <t>National ID</t>
  </si>
  <si>
    <t>Code issu de la référence d'identification nationale</t>
  </si>
  <si>
    <t>Code under the national ID framework</t>
  </si>
  <si>
    <t>Le champ est obligatoire si la Référence d'identification nationale (C1 2.3) est renseignée
- SIREN pour les tiers unitaires résidant en France, Guadeloupe, Martinique, Réunion, Guyane Française, Mayotte ou St Pierre et Miquelon ;
- Tax ID pour les tiers unitaires résidant aux USA.
- codice fiscale pour les tiers Italiens
- ...
Si le tiers est siréné, alors valoriser obligatoirement le champ avec le code SIREN
Sinon, fournir si disponible le code d'identification du référentiel national concerné (à vide si indisponible)</t>
  </si>
  <si>
    <t>The field is mandatory where the National ID framework (C1 2.3) is indicated
- SIREN for individual external counterparties resident in France, Guadeloupe, Martinique, Reunion, French Guyana, Mayotte or St Pierre et Miquelon;
- Tax ID for individual external counterparties resident in the US.
- codice fiscale for Italian external counterparties
- ...
Where the external counterparty has a SIREN number it must be input into the field
Otherwise, where available provide the ID code of the relevant national framework (empty where not available)</t>
  </si>
  <si>
    <t>ANACREDIT, NZBA</t>
  </si>
  <si>
    <t>C1 2.5</t>
  </si>
  <si>
    <t>Identification en local</t>
  </si>
  <si>
    <t>Local identification flag</t>
  </si>
  <si>
    <t xml:space="preserve">Réservé à CACIB – Permet à l'entité CACIB d'indiquer qu'elle a procédé à l'identification du Tiers au sein du SI central et qu'il s'agit bien d'un nouveau tiers de catégorie de contrepartie autorisée dont la création peut être validée automatiquement.
</t>
  </si>
  <si>
    <t>For CACIB only - Using this field, CACIB can confirm that the identification of the counterparty within the central IS has been made properly, and the category of counterparty is authorized.(Specific CASA
CACIB)</t>
  </si>
  <si>
    <t>Zone reservée pour CACIB. Laisser à vide si non concerné</t>
  </si>
  <si>
    <t>Zone reserved for CACIB. Leave empty if not concerned</t>
  </si>
  <si>
    <t>C1 4.48</t>
  </si>
  <si>
    <t>Numéro du Registre Nationale des associations</t>
  </si>
  <si>
    <t xml:space="preserve"> Number of the National Register of associations</t>
  </si>
  <si>
    <t xml:space="preserve">Identification de l'association (Sous la forme W + 9 chiffres) au Registre National des Associations (RNA) </t>
  </si>
  <si>
    <t xml:space="preserve"> Identification of the association (as W + 9 digits) in the National Register of Associations (RNA)</t>
  </si>
  <si>
    <t>Le numéro du RNA est obligatoire pour les associations qui n'ont pas de SIREN</t>
  </si>
  <si>
    <t>The NAS No. is mandatory for associations that do not have a SIREN</t>
  </si>
  <si>
    <t>C1 5.13</t>
  </si>
  <si>
    <t>25 - Notation du tiers</t>
  </si>
  <si>
    <t>25 - Third party rating</t>
  </si>
  <si>
    <t>C1 2.9</t>
  </si>
  <si>
    <t>Agence de notation</t>
  </si>
  <si>
    <t>Rating agency</t>
  </si>
  <si>
    <t>Organisme de notation reconnu</t>
  </si>
  <si>
    <t>Recognised rating body</t>
  </si>
  <si>
    <t>LC.0189</t>
  </si>
  <si>
    <t>TA KVON</t>
  </si>
  <si>
    <t>A renseigner pour les Tiers domicilié à l'étranger si l'agence de notation est autorisée par la DRG
Donnée sous responsabilité du RUN</t>
  </si>
  <si>
    <t>Fill in for “Corporate” Clients domiciled abroad
Data owned by the «RUN»</t>
  </si>
  <si>
    <t>C1 2.10</t>
  </si>
  <si>
    <t>Type de cotation</t>
  </si>
  <si>
    <t>Type of rating</t>
  </si>
  <si>
    <t xml:space="preserve">Codification indiquant le type LT ou CT de la cotation </t>
  </si>
  <si>
    <t>Codification giving the LT or CT type of rating</t>
  </si>
  <si>
    <t>LC.0181</t>
  </si>
  <si>
    <t>TA KVTCOTA</t>
  </si>
  <si>
    <t>Obligatoire si agence de notation renseignée.
Donnée sous responsabilité du RUN</t>
  </si>
  <si>
    <t>Mandatory where Rating agency is indicated
Data owned by the «RUN»</t>
  </si>
  <si>
    <t>C1 2.11</t>
  </si>
  <si>
    <t>Cotation</t>
  </si>
  <si>
    <t>Rating</t>
  </si>
  <si>
    <t>Cotation externes (selon le la nomenclature de l'organisme)</t>
  </si>
  <si>
    <t>External rating (depending on the body classification)</t>
  </si>
  <si>
    <t>C1 2.12</t>
  </si>
  <si>
    <t>Date de cotation</t>
  </si>
  <si>
    <t>Date of rating</t>
  </si>
  <si>
    <t>C1 3.1</t>
  </si>
  <si>
    <t>Pays de résidence du siège social</t>
  </si>
  <si>
    <t>Country of residence of registered office</t>
  </si>
  <si>
    <t>Code du pays d'immatriculation du tiers</t>
  </si>
  <si>
    <t>Code of country of registration of external counterparty</t>
  </si>
  <si>
    <t>LC.0004</t>
  </si>
  <si>
    <t>TA NM252</t>
  </si>
  <si>
    <t>Norme ISO 2.
Code du pays de l'adresse du siège social prenant en compte le cas échéant la notion de territoire (ex: Guadeloupe).
Cette notion diffère du pays de nationalité (ex: la France pour la Guadeloupe)
Donnée sous responsabilité du RUN</t>
  </si>
  <si>
    <t>ISO 2 standard.
Code of country of registered address encompassing where necessary territories (e.g. Guadeloupe).
This concept differs from country of nationality (e.g. France for Guadeloupe)
Data owned by the «RUN»</t>
  </si>
  <si>
    <t>C1 3.2</t>
  </si>
  <si>
    <t>Pays de résidence</t>
  </si>
  <si>
    <t>Country of tax residence</t>
  </si>
  <si>
    <t>Code du pays dans lequel est implanté le tiers</t>
  </si>
  <si>
    <t>Code of country in which the third party is established. Corresponds to country of tax residence</t>
  </si>
  <si>
    <t>Norme ISO 2
Code du pays de l'adresse fiscale
Il permet de connaître le système de droit dans lequel s'inscrit la contrepartie financée
Donnée sous responsabilité du RUN</t>
  </si>
  <si>
    <t>ISO 2 standard
Code of country of tax address
This makes it possible to identify the legal system under which the financed counterparty operates
Data owned by the «RUN»</t>
  </si>
  <si>
    <t>ANACREDIT, CORFOU</t>
  </si>
  <si>
    <t>C1 3.3</t>
  </si>
  <si>
    <t>Pays de contrôle</t>
  </si>
  <si>
    <t>Country of control</t>
  </si>
  <si>
    <t>Code du pays de la maison mère ou du principal actionnaire. Tous les tiers d'un même groupe ont le même pays de contrôle</t>
  </si>
  <si>
    <t>Code of country of parent company or main shareholder. All external counterparties within a single group share the same country of control</t>
  </si>
  <si>
    <t>Le pays de contrôle par défaut est le pays de résidence du siège social
Dans le cas du tiers isolé: il s'agit du pays de la principale activité économique du bénéficiaire principal de la contrepartie, i.e. le pays où elle a ses principaux intérêts économiques (activité, avoirs, patrimoine, ...)
Dans le cas d'un tiers est rattaché à un groupe: cette information est sous responsabilité de l'entité RUN groupe car tous les tiers d'un même groupe ont le même pays de contrôle</t>
  </si>
  <si>
    <t>The default country of control is the country of residence of the registered office
In the case of an individual external counterparty: it is the country in which the counterparty's primary beneficiary has its main business activities, i.e. the country in which it has its main economic interests (business activities, holdings, assets, ...)
In the event of an external counterparty that belongs to a group: this information is the responsibility of the Group RUN entity because all external counterparties within the same group share the same country of control</t>
  </si>
  <si>
    <t>C1 3.5</t>
  </si>
  <si>
    <t>Adresse</t>
  </si>
  <si>
    <t>Address</t>
  </si>
  <si>
    <t>Adresse fiscale. Numéro et nom de la rue
Fournir prioritairement le nom de la rue</t>
  </si>
  <si>
    <t>Tax address. Street name and number
First provide the street name</t>
  </si>
  <si>
    <t>Adresse fiscale de niveau personne morale. Obligatoire à la création du Tiers</t>
  </si>
  <si>
    <t>Tax address of legal entity. Mandatory for the creation of External Counterparties</t>
  </si>
  <si>
    <t>C1 3.6</t>
  </si>
  <si>
    <t>Ville</t>
  </si>
  <si>
    <t>City</t>
  </si>
  <si>
    <t>Ville de résidence du tiers</t>
  </si>
  <si>
    <t>City of residence of external counterparty</t>
  </si>
  <si>
    <t>Ville de l'adresse fiscale de niveau personne morale. Obligatoire à la création du Tiers</t>
  </si>
  <si>
    <t>City component of tax address of legal entity. Mandatory for the creation of External Counterparties</t>
  </si>
  <si>
    <t>C1 3.7</t>
  </si>
  <si>
    <t>Code postal</t>
  </si>
  <si>
    <t>Postcode</t>
  </si>
  <si>
    <t>Code postal de la ville de résidence</t>
  </si>
  <si>
    <t>Postcode of the city of residence</t>
  </si>
  <si>
    <t>Code postal de l'adresse fiscale de niveau personne morale. Obligatoire à la création du Tiers</t>
  </si>
  <si>
    <t>Postcode component of tax address of legal entity. Mandatory for the creation of External Counterparties</t>
  </si>
  <si>
    <t>C1 4.0</t>
  </si>
  <si>
    <t>Date d'arrêté des comptes pour la notation</t>
  </si>
  <si>
    <t>Reporting date of accounts used for the rating</t>
  </si>
  <si>
    <t>Date de clôture des comptes ayant servi pour noter le tiers</t>
  </si>
  <si>
    <t>Closing date of financial statements used to rate the external counterparty</t>
  </si>
  <si>
    <t>Obligatoire dès que le tiers est noté (note finale retenue (C1 4.1) &lt;&gt; ‘ND')
A vide si C1 4.1 = ‘ND'
Donnée sous responsabilité du RUN</t>
  </si>
  <si>
    <t>Mandatory once the external counterparty is rated (assigned rating (C1 4.1) &lt;&gt; ‘ND')
Empty where C1 4.1 = ‘ND'
Data owned by the «RUN»</t>
  </si>
  <si>
    <t>C1 4.1</t>
  </si>
  <si>
    <t>Note finale retenue</t>
  </si>
  <si>
    <t>Assigned final rating</t>
  </si>
  <si>
    <t>La NOte finale Retenue (NOR) est la note attribuée au tiers en fin de processus de calcul, et validée par l'instance décisionnelle de l'entité RUN</t>
  </si>
  <si>
    <t>The assigned rating is the rating given to the external counterparty at the end of the calculation process, and approved by the decision-making body of the RUN entity</t>
  </si>
  <si>
    <t>LC.0006</t>
  </si>
  <si>
    <t>TA NM648</t>
  </si>
  <si>
    <t>La valeur par défaut étant ‘ND'
Donnée sous responsabilité du RUN.</t>
  </si>
  <si>
    <t>The default value being ‘ND'
Data owned by the «RUN».</t>
  </si>
  <si>
    <t>C1 4.2</t>
  </si>
  <si>
    <t>Date de révision de la note</t>
  </si>
  <si>
    <t>Date rating reviewed</t>
  </si>
  <si>
    <t>La date de la note est la date de la dernière révision, c'est-à-dire date à laquelle la note a été revue, même si celle-ci n'a pas changé</t>
  </si>
  <si>
    <t>The date of the rating is the date of the most recent revision, namely the date on which the rating was reviewed, even if it hasn't changed</t>
  </si>
  <si>
    <t>Obligatoire pour un tiers ‘Unitaire' si la note finale retenue (C1 4.1) &lt;&gt; ‘ND'
A vide si C1 4.1 = ‘ND'
Donnée sous responsabilité du RUN</t>
  </si>
  <si>
    <t>Mandatory for an “individual” external counterparty with an assigned rating (C1 4.1) &lt;&gt; ‘ND'
Empty where C1 4.1 = ‘ND'
Data owned by the «RUN»</t>
  </si>
  <si>
    <t>C1 4.15</t>
  </si>
  <si>
    <t>Date d'entrée en défaut</t>
  </si>
  <si>
    <t>Date of placement in default</t>
  </si>
  <si>
    <t>Il s'agit de la Date d'entrée en défaut du Tiers au niveau Groupe Crédit Agricole. Cad = Date de passage d'une note saine à une note F ou Z</t>
  </si>
  <si>
    <t>It is the date on which the External Counterparty is declared to be in default within the Crédit Agricole Group. Namely, the date a performing rating was changed to an F or Z rating</t>
  </si>
  <si>
    <t>Obligatoire en cas de défaut
Cette donnée doit être renseignée à vide lorsque le tiers sort du défaut. Si ce dernier entre de nouveau en défaut, c'est la nouvelle date d'entrée en défaut qui compte
Donnée sous responsabilité du RUN</t>
  </si>
  <si>
    <t>Mandatory in the event of default
This data must be reset to empty when the external counterparty comes out of default. If the latter goes back into default, the new date of placement in default is used
Data owned by the «RUN»</t>
  </si>
  <si>
    <t>C1 4.3</t>
  </si>
  <si>
    <t>Méthodologie de notation</t>
  </si>
  <si>
    <t>Rating methodology</t>
  </si>
  <si>
    <t>Type de méthodologie de la notation utilisée pour l'obtention de la note transmise</t>
  </si>
  <si>
    <t>Type of methodology of the rating used to obtain the rating given</t>
  </si>
  <si>
    <t>LC.0007</t>
  </si>
  <si>
    <t>TA NM196</t>
  </si>
  <si>
    <t>Obligatoire si la note finale retenue (C1 4.1) &lt;&gt; ‘ND'.
Chaque grille de notation est associée à une méthodologie
Donnée sous responsabilité du RUN</t>
  </si>
  <si>
    <t>Mandatory where the assigned rating (C1 4.1) &lt;&gt; ‘ND'
Each rating scale is associated with a methodology
Data owned by the «RUN»</t>
  </si>
  <si>
    <t>C1 4.4</t>
  </si>
  <si>
    <t>Motif de la notation</t>
  </si>
  <si>
    <t>Grounds for rating</t>
  </si>
  <si>
    <t>Raison de la notation</t>
  </si>
  <si>
    <t>Grounds for the rating</t>
  </si>
  <si>
    <t>LC.0008</t>
  </si>
  <si>
    <t>TA NM730</t>
  </si>
  <si>
    <t>Obligatoire si la note finale retenue (C1 4.1) &lt;&gt; ‘ND'
Donnée sous responsabilité du RUN</t>
  </si>
  <si>
    <t>Mandatory where the assigned rating (C1 4.1) &lt;&gt; ‘ND'
Data owned by the «RUN»</t>
  </si>
  <si>
    <t>C1 4.19</t>
  </si>
  <si>
    <t>Note NAFA</t>
  </si>
  <si>
    <t>NAFA rating</t>
  </si>
  <si>
    <t>Note après prise en compte du défaut et des facteurs d'alerte, l'éventuel appartenance à un groupe mais avant correctif pays</t>
  </si>
  <si>
    <t>Rating after factoring in of the default and warning factors, possible membership of a group but prior to country correction</t>
  </si>
  <si>
    <t>Ne peut être renseigné que si la note (NOR) est renseignée et différente de 'ND'
Donnée sous responsabilité du RUN</t>
  </si>
  <si>
    <t>Can only be indicated where the assigned rating is input and doesn't equal 'ND'
Data owned by the «RUN»</t>
  </si>
  <si>
    <t>C1 4.20</t>
  </si>
  <si>
    <t>Note après correctif groupe</t>
  </si>
  <si>
    <t>Rating following group adjustment</t>
  </si>
  <si>
    <t>Obligatoire si la note (NOR) est renseignée et différente de 'ND'
Donnée sous responsabilité du RUN</t>
  </si>
  <si>
    <t>Mandatory where the assigned rating is indicated and doesn't equal 'ND'
Data owned by the «RUN»</t>
  </si>
  <si>
    <t>C1 4.21</t>
  </si>
  <si>
    <t>C1 4.5</t>
  </si>
  <si>
    <t>Grille modèle de notation</t>
  </si>
  <si>
    <t>Rating scale model</t>
  </si>
  <si>
    <t>Référence de la grille de notation utilisée pour la détermination de la note interne</t>
  </si>
  <si>
    <t>Reference code of the rating scale used to determine the internal rating</t>
  </si>
  <si>
    <t>LC.0153</t>
  </si>
  <si>
    <t>TA KVVGNTIE</t>
  </si>
  <si>
    <t>Obligatoire si la note finale retenue (C1 4.1) &lt;&gt; ‘ND'.
La Grille de notation doit être cohérente avec la Méthodologie de notation (C1 4.3)
Donnée sous responsabilité du RUN</t>
  </si>
  <si>
    <t>Mandatory where the assigned rating (C1 4.1) &lt;&gt; ‘ND'
The rating scale must be consistent with the rating methodology (C1 4.3)
Data owned by the «RUN»</t>
  </si>
  <si>
    <t>C1 4.6</t>
  </si>
  <si>
    <t>Catégorie de contrepartie</t>
  </si>
  <si>
    <t>Category of counterparty</t>
  </si>
  <si>
    <t>Code de la catégorie de contrepartie du tiers.
La catégorie de contrepartie est une segmentation détaillée des tiers utilisée pour déterminer les catégories d'exposition réglementaires</t>
  </si>
  <si>
    <t>Code of the external counterparty category.
Counterparty categories represent a low level segmentation of external counterparties used to determine the regulatory exposure categories</t>
  </si>
  <si>
    <t>LC.0009</t>
  </si>
  <si>
    <t>TA NM201</t>
  </si>
  <si>
    <t>Le code renseigné doit correspondre au niveau de rattachement le plus fin
Cette catégorie dérive du code activité interne, du chiffre d'affaires consolidé de référence (c) et de la catégorie juridique. La valeur dérivée est modifiable à dire d'expert
Donnée sous responsabilité du RUN</t>
  </si>
  <si>
    <t>The code input must represent the lowest possible reporting level
This category is derived from the internal business activity code, from the reference consolidated revenue (c) and the legal classification. The value calculated can be changed on the basis of expert opinion
Data owned by the «RUN»</t>
  </si>
  <si>
    <t>31 - Paramètres bâlois</t>
  </si>
  <si>
    <t>31 - Basel settings</t>
  </si>
  <si>
    <t>C1 4.7</t>
  </si>
  <si>
    <t>Portefeuille Bâle Tiers</t>
  </si>
  <si>
    <t>Basel External Counterparty Portfolio</t>
  </si>
  <si>
    <t>Identifie le portefeuille de Bâle au niveau du tiers</t>
  </si>
  <si>
    <t>Identifies the Basel portfolio of the External Counterparty</t>
  </si>
  <si>
    <t>LC.0010</t>
  </si>
  <si>
    <t>TA NM205</t>
  </si>
  <si>
    <t>Segmentation plus agrégée que la catégorie de contrepartie permettant de faire le lien entre les catégories d'exposition réglementaire et les classes d'actifs de pondération
Dérive de la catégorie de contrepartie, mais forçage possible
Donnée sous responsabilité du RUN</t>
  </si>
  <si>
    <t>More highly aggregated segmentation than the counterparty category, making it possible to link regulatory exposure categories and asset classes for weighting purposes
Derived from the counterparty category, but can be forced
Data owned by the «RUN»</t>
  </si>
  <si>
    <t>C1 4.8</t>
  </si>
  <si>
    <t>Secteur d'activité</t>
  </si>
  <si>
    <t>Business sector</t>
  </si>
  <si>
    <t>Code du secteur d'activité du tiers traduisant son activité dominante quelle que soit sa nationalité</t>
  </si>
  <si>
    <t>Business sector code of the external counterparty, constituting its main business activity regardless of its nationality</t>
  </si>
  <si>
    <t>LC.0011</t>
  </si>
  <si>
    <t>TA NM199</t>
  </si>
  <si>
    <t>Le code renseigné correspond au niveau de rattachement le plus fin.
Le secteur d'activité utilisé pour la notation doit être cohérent avec le code APE interne
Donnée sous responsabilité du RUN</t>
  </si>
  <si>
    <t>The code input must represent the lowest possible reporting level.
The business sector used for the rating must be consistent with the internal APE code
Data owned by the «RUN»</t>
  </si>
  <si>
    <t>C1 4.9</t>
  </si>
  <si>
    <t>C1 4.10</t>
  </si>
  <si>
    <t>Norme locale de l'activité</t>
  </si>
  <si>
    <t>Local business regulations</t>
  </si>
  <si>
    <t>Norme locale de l'activité principale exercée</t>
  </si>
  <si>
    <t>Local regulations governing the main business activity</t>
  </si>
  <si>
    <t>LC.0014</t>
  </si>
  <si>
    <t>TA KVNORM</t>
  </si>
  <si>
    <t>Obligatoire si l'activité dans la norme locale (C1 4.11) est renseignée
Elle précise le référentiel local utilisé pour le code activité renseigné au champ suivant (C1 4.11)
Donnée sous responsabilité du RUN</t>
  </si>
  <si>
    <t>Mandatory where business activity code under local regulations (C1 4.11) is indicated
It specifies the local framework from which the business code input into the next field (C1 4.11) is drawn
Data owned by the «RUN»</t>
  </si>
  <si>
    <t>C1 4.11</t>
  </si>
  <si>
    <t>Activité dans la norme locale</t>
  </si>
  <si>
    <t>Business activity code under local regulations</t>
  </si>
  <si>
    <t>Code de l'Activité économique dominante du tiers issue de la norme locale (ex. : Code APE – Activité Principale Exercée - tel qu'il est attribué par l'INSEE, i.e. le "code APE officiel")</t>
  </si>
  <si>
    <t>Code of the main business activity of the external counterparty under local regulations (e.g.: APE Code – Main Business Activity - as attributed by INSEE, i.e. the "official APE code")</t>
  </si>
  <si>
    <t>LC.0123</t>
  </si>
  <si>
    <t>RB NM160</t>
  </si>
  <si>
    <t>Code activité de l'activité principale exercée 
- Résidents en France : code APE 'officiel' de l'INSEE
- Non-résidents en France : code activité selon la norme locale 
Obligatoire pour les résidents Francais: à renseigner avec le code NAF
Donnée sous responsabilité du RUN</t>
  </si>
  <si>
    <t>Business activity code of the main business carried on 
- Resident in France: “Official” INSEE APE code
- Non-resident in France: business activity code under local regulations 
Mandatory for French residents: input the NAF code
Data owned by the «RUN»</t>
  </si>
  <si>
    <t>29 - Ratio</t>
  </si>
  <si>
    <t>C1 8.81</t>
  </si>
  <si>
    <t xml:space="preserve">Indicateur ratio CET 1 &gt;= 14% </t>
  </si>
  <si>
    <t xml:space="preserve">Indicator CET 1 ratio &gt;= 14% </t>
  </si>
  <si>
    <t>Indique si le ratio de fonds propres de base de catégorie 1 de l'institution financière est égal ou supérieur à 14 %.</t>
  </si>
  <si>
    <t>Indicates whether the Common Equity Tier 1 capital ratio of the financial institution is equal to or greater than 14%.</t>
  </si>
  <si>
    <t>LC.0507</t>
  </si>
  <si>
    <t>TA Z8ICET14</t>
  </si>
  <si>
    <t>Indicateur en lien avec la notion du grade SCRA.
Concerne les institutions financières.
Se référer l'article 121 de la réglementation CRR3</t>
  </si>
  <si>
    <t>Indicator related to the concept of SCRA grade.
Only for financial institutions.
Refer to Article 121 of the CRR3 Regulation</t>
  </si>
  <si>
    <t>CALCULS PRUDENTIELS</t>
  </si>
  <si>
    <t>C1 8.82</t>
  </si>
  <si>
    <t xml:space="preserve">Indicateur Ratio de Levier supérieur ou égal à 5 % </t>
  </si>
  <si>
    <t xml:space="preserve">Indicator Leverage Ratio greater than or equal to 5 % </t>
  </si>
  <si>
    <t>Indique si le ratio de levier de l'institution financière est supérieur ou égal à 5%.</t>
  </si>
  <si>
    <t>Indicates if the leverage ratio of the financial institution is greater than or equal to 5%.</t>
  </si>
  <si>
    <t>LC.0508</t>
  </si>
  <si>
    <t>TA Z8IRLEV5</t>
  </si>
  <si>
    <t>C1 4.13</t>
  </si>
  <si>
    <t>Zone libre (Ex Statut de filiation)</t>
  </si>
  <si>
    <t>Free zone (ex-Subsidiary relationship)</t>
  </si>
  <si>
    <t>Indique si le tiers a des liens juridiques ou financiers avec une autre entité</t>
  </si>
  <si>
    <t>Indicates whether the external counterparty has legal or financial ties to another entity</t>
  </si>
  <si>
    <t>NUM</t>
  </si>
  <si>
    <t>C1 4.18</t>
  </si>
  <si>
    <t>Indicateur Watch List</t>
  </si>
  <si>
    <t>Watch list indicator</t>
  </si>
  <si>
    <t>Indicateur qui permet d’identifier si le tiers est en WatchList (Alertes Précoces)</t>
  </si>
  <si>
    <t>Flag to identify whether the third party is in WatchList (Early Warnings)</t>
  </si>
  <si>
    <t>LC.0526</t>
  </si>
  <si>
    <t>TA Z8INWALI</t>
  </si>
  <si>
    <t>OMP, PAP</t>
  </si>
  <si>
    <t>C1 4.23</t>
  </si>
  <si>
    <t>Date d'entrée en Watch List</t>
  </si>
  <si>
    <t>Date of entry into the Watch List</t>
  </si>
  <si>
    <t>Date à laquelle le tiers est entré en WatchList (Alertes Précoces)</t>
  </si>
  <si>
    <t>Date the third party entered the WatchList (Early Warnings)</t>
  </si>
  <si>
    <t>C1 4.24</t>
  </si>
  <si>
    <t>Date de sortie en Watch List</t>
  </si>
  <si>
    <t>Date of release in Watch list</t>
  </si>
  <si>
    <t>Date à laquelle le tiers est sorti de WatchList (Alertes Précoces)</t>
  </si>
  <si>
    <t>Date the third party exited WatchList (Early Warnings)</t>
  </si>
  <si>
    <t>PAP</t>
  </si>
  <si>
    <t>C1 4.25</t>
  </si>
  <si>
    <t>Motif d'entrée en Watch List</t>
  </si>
  <si>
    <t>Reason for entry in Watch List</t>
  </si>
  <si>
    <t>Motif pour lequel le tiers est entré en Watch List (Alertes Précoces)</t>
  </si>
  <si>
    <t>Reason the third party entered the Watch List (Early Warnings)</t>
  </si>
  <si>
    <t>LC.0527</t>
  </si>
  <si>
    <t>RB Z8MOTIGE</t>
  </si>
  <si>
    <t>C1 4.26</t>
  </si>
  <si>
    <t>Motif de sortie en Watch List</t>
  </si>
  <si>
    <t>Watch List Exit Pattern</t>
  </si>
  <si>
    <t>Motif pour lequel le tiers est sortie de Watch List (Alertes Précoces)</t>
  </si>
  <si>
    <t>Reason the third party is removed from Watch List (Early Warnings)</t>
  </si>
  <si>
    <t>TA Z8MOTIWL</t>
  </si>
  <si>
    <t>C1 4.17</t>
  </si>
  <si>
    <t>Zone libre (Ex Type d'Acteur (Banque Assurance)</t>
  </si>
  <si>
    <t>Free zone (ex-Type of player (Bank Insurance))</t>
  </si>
  <si>
    <t>Classification des tiers de portefeuille Bâle Banque ou Assurance en fonction du soutien de l'Etat
Banque Centrale ou de l'importance de la position sur leur Marché</t>
  </si>
  <si>
    <t>Classification of external counterparties in the Basel Banking or Insurance portfolio on the basis of Government 
Central Bank backing or their standing in their Market</t>
  </si>
  <si>
    <t>C1 4.99</t>
  </si>
  <si>
    <t>C1 5.1</t>
  </si>
  <si>
    <t>Type de relation</t>
  </si>
  <si>
    <t>Type of relationship</t>
  </si>
  <si>
    <t>Définit le type de relation entre une contrepartie et un déclarant (client, garant, prospect….). Lorsque l'entité entretient avec une contrepartie des relations de plusieurs types (par exemple, la contrepartie est à la fois cliente de l'entité et l'émetteur de titres détenus par l'entité) elle déclare le type de relation du niveau le plus élevé</t>
  </si>
  <si>
    <t>Defines the type of relationship between a counterparty and a reporter (client, guarantor, prospect….). Where the entity has a number of different relationships with a counterparty (for example, the counterparty is both a client of the entity and the issuer of securities held by the entity) it declares the highest level relationship</t>
  </si>
  <si>
    <t>LC.0018</t>
  </si>
  <si>
    <t>TA KVRELA</t>
  </si>
  <si>
    <t xml:space="preserve">La hiérarchie des types de relation est la suivante : C (client) &gt; G (garant) E (émetteur) &gt; D (Déposant) &gt; S ( Sponsor ) etc.
Devient obligatoire par défaut il sera forcé à ‘C' pour Client par le traducteur si non renseigné 
</t>
  </si>
  <si>
    <t>The types of relationship hierarchy is as follows: C (client) &gt; G (guarantor) &gt; I (issuer) &gt; D (Depositor) &gt; S (Sponsor) etc</t>
  </si>
  <si>
    <t>FEL, MREL</t>
  </si>
  <si>
    <t>C1 5.2</t>
  </si>
  <si>
    <t>Chiffre d'Affaires utilisé pour la notation</t>
  </si>
  <si>
    <t>Revenue used for rating</t>
  </si>
  <si>
    <t>Obligatoire dès que le tiers est noté avec une NOR (C1 4.1) renseignée &lt;&gt; 'ND'
Exprimé obligatoirement en EURO …. (unité euro)
Donnée sous responsabilité du RUN</t>
  </si>
  <si>
    <t>Mandatory once an external counterparty is given an assigned rating (C1 4.1) &lt;&gt; 'ND'
Must be denominated in EURO …. (euro units)
Data owned by the «RUN»</t>
  </si>
  <si>
    <t>C1 5.3</t>
  </si>
  <si>
    <t>Indicateur Chiffre d'Affaires consolidé</t>
  </si>
  <si>
    <t>Consolidated turnover indicator</t>
  </si>
  <si>
    <t>Indique si le CA renseigné est établi sur une base consolidée</t>
  </si>
  <si>
    <t>Indicates whether the specified revenue is calculated on a consolidated basis</t>
  </si>
  <si>
    <t>LC.0424</t>
  </si>
  <si>
    <t>TA TMCACONS</t>
  </si>
  <si>
    <t>Obligatoire si Chiffre d'affaires utilisé pour la notation (C1 5.2) est renseigné
Donnée sous responsabilité du RUN</t>
  </si>
  <si>
    <t>Mandatory where revenue used for rating (C1 5.2) is indicated
Data owned by the «RUN»</t>
  </si>
  <si>
    <t>C1 5.4</t>
  </si>
  <si>
    <t>Devise du Chiffre d'Affaires</t>
  </si>
  <si>
    <t>Currency of revenue</t>
  </si>
  <si>
    <t>Code de la devise d'expression du CA</t>
  </si>
  <si>
    <t>Code of the currency in which the revenue is denominated</t>
  </si>
  <si>
    <t>LC.0005</t>
  </si>
  <si>
    <t>TA NM253</t>
  </si>
  <si>
    <t>Obligatoire si Chiffre d'affaires utilisé pour la notation (C1 5.2) est renseigné
Seule valeur autorisée = EUR
Donnée sous responsabilité du RUN</t>
  </si>
  <si>
    <t>Mandatory where revenue used for rating (C1 5.2) is indicated
Only permitted value = EUR
Data owned by the «RUN»</t>
  </si>
  <si>
    <t>C1 5.5</t>
  </si>
  <si>
    <t>Année du Chiffre d'Affaires</t>
  </si>
  <si>
    <t>Financial year of revenue</t>
  </si>
  <si>
    <t>Année de l'exercice pour lequel le CA est fourni</t>
  </si>
  <si>
    <t>Financial year in which the revenue was generated</t>
  </si>
  <si>
    <t>Obligatoire si Chiffre d'affaires utilisé pour la notation (C1 5.2) est renseigné
Format de la date 'AAAA'
Donnée sous responsabilité du RUN</t>
  </si>
  <si>
    <t>Mandatory where revenue used for rating (C1 5.2) is indicated
“YYYY” date format
Data owned by the «RUN»</t>
  </si>
  <si>
    <t>C1 5.6</t>
  </si>
  <si>
    <t>C1 8.1</t>
  </si>
  <si>
    <t>Durée d'exercice</t>
  </si>
  <si>
    <t>Duration of financial year</t>
  </si>
  <si>
    <t>Durée d'exercice auquel se rapporte le chiffre d'affaires</t>
  </si>
  <si>
    <t>Duration of the financial year in which the revenue was generated</t>
  </si>
  <si>
    <t>Obligatoire si Chiffre d'affaires utilisé pour la notation (C1 5.2) est renseigné
Format JJJ
Donnée sous responsabilité du RUN</t>
  </si>
  <si>
    <t>Mandatory where revenue used for rating (C1 5.2) is indicated
DDD format
Data owned by the «RUN»</t>
  </si>
  <si>
    <t>C1 8.2</t>
  </si>
  <si>
    <t>Nature du chiffre d'affaires</t>
  </si>
  <si>
    <t>Nature of revenue</t>
  </si>
  <si>
    <t>LC.0135</t>
  </si>
  <si>
    <t>TA NM218</t>
  </si>
  <si>
    <t>Obligatoire si Chiffre d'affaires utilisé pour la notation (C1 5.2) est renseigné
Précise si le chiffre d'affaires est prévisionnel, publié ou retraité
Donnée sous responsabilité du RUN</t>
  </si>
  <si>
    <t>Mandatory where revenue used for rating (C1 5.2) is indicated
It specifies whether revenue is forecast, published or restated
Data owned by the «RUN»</t>
  </si>
  <si>
    <t>C1 8.9</t>
  </si>
  <si>
    <t>Zone libre (Ex Chiffre d'affaires retraité (IFRS) en unité d'euros</t>
  </si>
  <si>
    <t>Free zone (ex-Restated (IFRS) revenue in euro units)</t>
  </si>
  <si>
    <t>Chiffre d'affaires retraité (IFRS) en unite d'euros</t>
  </si>
  <si>
    <t>Restated (IFRS) revenue in euro units</t>
  </si>
  <si>
    <t>C1 8.10</t>
  </si>
  <si>
    <t>Montant de résultat net retraité en unité d'euros</t>
  </si>
  <si>
    <t>Amount of restated net income in euro units</t>
  </si>
  <si>
    <t>Résultat net retraité en unite d'euros</t>
  </si>
  <si>
    <t>Restated net income in euro units</t>
  </si>
  <si>
    <t>Obligatoire dès que le tiers est noté avec une NOR (C1 4.1) renseignée &lt;&gt; 'ND'
Donnée sous responsabilité du RUN</t>
  </si>
  <si>
    <t>Mandatory once an external counterparty is given an assigned rating (C1 4.1) &lt;&gt; 'ND'
Data owned by the «RUN»</t>
  </si>
  <si>
    <t>13 dont signe</t>
  </si>
  <si>
    <t>13 including sign</t>
  </si>
  <si>
    <t>C1 99.98</t>
  </si>
  <si>
    <t>C1 8.3</t>
  </si>
  <si>
    <t>Code APE interne</t>
  </si>
  <si>
    <t>Internal APE code</t>
  </si>
  <si>
    <t>Obligatoire, doit être valorisée par défaut avec le code APE officiel INSEE (C1 4.11) dans le cas d'un résident
Il permet, à dire d'expert :
1- d'attribuer un code activité NAF différent du code APE officiel INSEE du tiers, quand celui-ci ne correspond pas à l'activité réelle (ex. : holding)
2- d'attribuer un code activité NAF à un tiers non résident. Cette opération à dire d'expert est dans ce cas obligatoire (en vue de la détermination du secteur d'activité, notamment)
Donnée sous responsabilité du RUN</t>
  </si>
  <si>
    <t>Mandatory, must be indicated by default with the INSEE official APE code (C1 4.11) in the case of a resident
It makes it possible, with expert support:
1- to assign a NAF business activity code that differs from the external counterparty's INSEE official APE code, when the latter doesn't reflect the actual business activity (e.g.: a holding company)
2- to assign a NAF business activity code to a non-resident external counterparty. This expert assessment is mandatory in this instance (in order to, in particular, determine the business sector)
Data owned by the «RUN»</t>
  </si>
  <si>
    <t>C1 8.4</t>
  </si>
  <si>
    <t>Statut d'activité / inactivité du tiers</t>
  </si>
  <si>
    <t>Counterparty activity / inactivity status</t>
  </si>
  <si>
    <t>Permet de distinguer si le tiers possède une relation locale active ou inactive avec l'entité contributrice du flux</t>
  </si>
  <si>
    <t>Makes it possible to distinguish whether the external counterparty has an active or inactive local relationship with the entity contributing the flow</t>
  </si>
  <si>
    <t>LC.0290</t>
  </si>
  <si>
    <t>TA KVSACTI</t>
  </si>
  <si>
    <t>La seule valeur admise est 'A' pour Actif</t>
  </si>
  <si>
    <t>The only permitted value is 'A' for Active</t>
  </si>
  <si>
    <t>C1 8.5</t>
  </si>
  <si>
    <t>Date du statut d'activité/Inactivité du tiers</t>
  </si>
  <si>
    <t>Date of change in activity status</t>
  </si>
  <si>
    <t>Date à laquelle le statut d'activité a évolué</t>
  </si>
  <si>
    <t>Date at which the trading status changed</t>
  </si>
  <si>
    <t>Ex. : Date de changement de statut</t>
  </si>
  <si>
    <t>E.g.: Date on which status changed</t>
  </si>
  <si>
    <t>C1 8.6</t>
  </si>
  <si>
    <t>Référence d'Identification nationale 2</t>
  </si>
  <si>
    <t>National ID framework 2</t>
  </si>
  <si>
    <t>Obligatoire si identifiant national 2 (C1 8.7) est renseigné.
Le champ permet de remonter un deuxième identifiant national.
Cette donnée permet de connaître le type d'identifiant national renseigné au champ suivant C1 8.7</t>
  </si>
  <si>
    <t>Mandatory where national ID 2 (C1 8.7) is indicated.
The field makes it possible to report a second national ID.
This data makes it possible to know the type of national ID input into the next field C1 8.7</t>
  </si>
  <si>
    <t>C1 8.7</t>
  </si>
  <si>
    <t>Identifiant national 2</t>
  </si>
  <si>
    <t>National ID 2</t>
  </si>
  <si>
    <t>Obligatoire si Référence d'identification nationale 2 (C1 8.6) est renseignée
Permet de remonter par exemple un SIREN BDF couplé à un autre identifiant national comme le Tax_ Id.
NB: Le SIREN BDF est un identifiant attribué par la Banque de France afin d'immatriculer les sociétés étrangères</t>
  </si>
  <si>
    <t>Mandatory where National ID framework 2 (C1 8.6) is input
Makes it possible, for example, to report a SIREN BDF combined with another national ID such as Tax_ Id
NB: The SIREN BDF is an ID assigned by the Bank of France when registering foreign companies</t>
  </si>
  <si>
    <t>C1 8.8</t>
  </si>
  <si>
    <t>Dénomination sociale du certificat d'immatriculation</t>
  </si>
  <si>
    <t>Corporate name on registration certificate</t>
  </si>
  <si>
    <t>Dénomination figurant sur le certificat d'immatriculation de la contrepartie
France : raison sociale du KBIS
Etranger : certificat d'incorporation traduit en alphabet latin sans accent en minuscule ou en majuscule
Donnée sous responsabilité du RUN</t>
  </si>
  <si>
    <t>Corporate name specified on the counterparty's registration certificate
France: Company name on KBIS (certificate of incorporation)
Foreign: certificate of incorporation converted into Latin characters without accents, in lowercase or uppercase
Data owned by the «RUN»</t>
  </si>
  <si>
    <t>C1 8.11</t>
  </si>
  <si>
    <t>Total Bilan retraité en unité d'euros</t>
  </si>
  <si>
    <t>Restated total Balance Sheet in euro units</t>
  </si>
  <si>
    <t>C1 8.12</t>
  </si>
  <si>
    <t>Code correspondant RUN du tiers</t>
  </si>
  <si>
    <t>RUN code of external counterparty</t>
  </si>
  <si>
    <t>Personne physique, au sein de l'entité responsable de la contrepartie, chargée d'assurer les relations avec les entités extérieures</t>
  </si>
  <si>
    <t>Individual, within the entity responsible for the counterparty, responsible for managing relationships with outside entities</t>
  </si>
  <si>
    <t>Code fourni par DRG dans le fichier mensuel Référentiel ‘Tiers&amp;Groupes' (DTG) transmis aux entités émettrices du flux</t>
  </si>
  <si>
    <t>Code provided by the Group Risk Management Division in the monthly “External Counterparties &amp; Groups” file (DTG) sent to entities issuing flows</t>
  </si>
  <si>
    <t>C1 8.13</t>
  </si>
  <si>
    <t>Secteur Risque systémique</t>
  </si>
  <si>
    <t>Systemic Risk Sector</t>
  </si>
  <si>
    <t>Code du secteur d'activité relevant du risque systémique pour le tiers</t>
  </si>
  <si>
    <t>Code of business sector constituting systemic risk for the external counterparty</t>
  </si>
  <si>
    <t>Le code renseigné doit correspondre au niveau de rattachement le plus fin
Cette nouvelle donnée permet de différencier le secteur d'activité lié à la notation du Tiers du secteur d'activité relevant du risque systémique
Donnée sous responsabilité du RUN</t>
  </si>
  <si>
    <t>The code input must represent the lowest possible reporting level
This new data makes it possible to differentiate the business sector associated with the rating of the External Counterparty from the business sector constituting systemic risk
Data owned by the «RUN»</t>
  </si>
  <si>
    <t>C1 8.14</t>
  </si>
  <si>
    <t>C1 8.15</t>
  </si>
  <si>
    <t>Note Calculée Finale (NCF)</t>
  </si>
  <si>
    <t>Final Calculated Rating (NCF)</t>
  </si>
  <si>
    <t>Note Calculée Finale</t>
  </si>
  <si>
    <t>Final Calculated Rating</t>
  </si>
  <si>
    <t>C1 8.16</t>
  </si>
  <si>
    <t xml:space="preserve">Elément de structure </t>
  </si>
  <si>
    <t>Part of Business structure</t>
  </si>
  <si>
    <t>Correspondant à un centre d'affaires ou commercial gérant le tiers</t>
  </si>
  <si>
    <t xml:space="preserve"> Corresponding to a business centre or an management centre to which belongs the contact of the entity in relationship with the counterparty </t>
  </si>
  <si>
    <t>Permet à l'entité de déclarer le chargé d'affaire/centre d'affaire/direction commerciale gérant le tiers le plus à même de traiter les anomalies liées à un tiers (renoter le tiers, ..)</t>
  </si>
  <si>
    <t>Allows the entity to declare a management center/business center/sales department managing the external counterparty most able to deal with anomalies linked to an external counterparty (to rename the counterparty, ..)</t>
  </si>
  <si>
    <t>C1 99.99</t>
  </si>
  <si>
    <t>F1</t>
  </si>
  <si>
    <t>0.1 (F1)</t>
  </si>
  <si>
    <t>SttmDt</t>
  </si>
  <si>
    <t>40</t>
  </si>
  <si>
    <t>Si renseignée, pour un même BAAPID, la date d'arrêté doit être supérieure ou égale à la date d'arrêté du dernier lot intégré.
(= on n'accepte pas de flux sur un arrêté précédent)
Dans la table INTEGRATED_PARENT, pour le même SCOPE_SRC_CD (= BAAPID), la date d'arrêté doit être supérieure ou égale à la dernière date d'arrêté avec le statut « QUALITY_OK ».
---
Si renseignée, la date doit être égale au dernier jour calendaire du mois de l'arrêté en cours (ex : 20190131, 20190228, 20190331, etc.)</t>
  </si>
  <si>
    <t>0.2 (F1)</t>
  </si>
  <si>
    <t>Correspond au code consolidation comptable de l'Entité porteuse de risque dans les comptes de Crédit Agricole S.A.</t>
  </si>
  <si>
    <t>EntPortRisq</t>
  </si>
  <si>
    <t>Unicité au sein de l'entité porteuse de risque</t>
  </si>
  <si>
    <t>Uniqueness within the entity bearing the risk</t>
  </si>
  <si>
    <t>TU0001</t>
  </si>
  <si>
    <t>0.3 (F1)</t>
  </si>
  <si>
    <t>AppliSource</t>
  </si>
  <si>
    <t>0.4 (F1)</t>
  </si>
  <si>
    <t>FreqTrans</t>
  </si>
  <si>
    <t>If filled in, the data must be equal to 'M' or 'C'.</t>
  </si>
  <si>
    <t>0.5 (F1)</t>
  </si>
  <si>
    <t>DtHeureTrait</t>
  </si>
  <si>
    <t>0.6 (F1)</t>
  </si>
  <si>
    <t>TypEnreg</t>
  </si>
  <si>
    <t>Valeur admise : 'F1' (Domaine Chapeau Autorisations)</t>
  </si>
  <si>
    <t>Permitted value: 'F1' (Facilities Header Section)</t>
  </si>
  <si>
    <t>Si renseignée, la donnée doit être égale à 'F1'</t>
  </si>
  <si>
    <t>If filled in, the data must be equal to 'F1'</t>
  </si>
  <si>
    <t>0.7 (F1)</t>
  </si>
  <si>
    <t>NatFlux</t>
  </si>
  <si>
    <t>Zone réservée DRG</t>
  </si>
  <si>
    <t>Zone reserved for the Group Risk Management Division</t>
  </si>
  <si>
    <t>Si renseignée et type d'enregistrement (EN [0.6]) est différent de 'Z9', la donnée doit être égale à 'R'.</t>
  </si>
  <si>
    <t>If entered and record type (EN [0.6]) is different from 'Z9', the data must be equal to 'R'.</t>
  </si>
  <si>
    <t>EN0071</t>
  </si>
  <si>
    <t xml:space="preserve">Si renseignée et type d'enregistrement (EN [0.6]) est différent de 'Z9', pour le même BAAPID, il doit exister un lot au statut « intégré / certifié ».
Dans la table INTEGRATED_PARENT, pour le même SCOPE_SRC_CD (= BAAPID), il doit exister un lot avec le statut « QUALITY_OK ». </t>
  </si>
  <si>
    <t xml:space="preserve">If filled in and type of registration (EN [0.6]) is different from 'Z9', for the same BAAPID, there must be a batch with an ‘integrated/certified' status.
In the INTEGRATED_PARENT table, for the same SCOPE_SRC_CD (= BAAPID), there must be a batch with the status 'QUALITY_OK'. </t>
  </si>
  <si>
    <t>0.8 (F1)</t>
  </si>
  <si>
    <t>Centre de Responsabilité Comptable (Zone réservée CAsa social)</t>
  </si>
  <si>
    <t>Accounting responsibility center (Zone reserved for Crédit Agricole S.A. Holding)</t>
  </si>
  <si>
    <t>Pour Crédit Agricole SA entité sociale, indique le numéro de CRC (Centre de Responsabilité Comptable) concerné</t>
  </si>
  <si>
    <t>For CASAes entity, indicate the relevant CRC (Center of accounting responsability) number</t>
  </si>
  <si>
    <t>ZoneResCasa</t>
  </si>
  <si>
    <t>LC.0072</t>
  </si>
  <si>
    <t>TA KVCRC</t>
  </si>
  <si>
    <t>Zone exploitée uniquement par les entités déclarant les risques portés par Crédit Agricole S.A.
Décomposition comptable du Siège en Activités (comptabilités auxiliaires). Permet de gérer les opérations pour compte propre Casa</t>
  </si>
  <si>
    <t>Zone only used for entities reporting risks borne by Crédit Agricole S.A.
Accounting breakdown of HQ into Activities (sub-ledgers). Makes it possible to manage Crédit Agricole S.A. proprietary trading</t>
  </si>
  <si>
    <t xml:space="preserve"> ALPHA</t>
  </si>
  <si>
    <t>TIG0001</t>
  </si>
  <si>
    <t>0.9 (F1)</t>
  </si>
  <si>
    <t>Unité d'exploitation (Zone réservée CACIB)</t>
  </si>
  <si>
    <t>Operating unit in the risk taker (Zone reserved for CACIB)</t>
  </si>
  <si>
    <t>Permet d'indiquer l'unité d'exploitation</t>
  </si>
  <si>
    <t>Allows to indicate operating unit in the risk taker entity</t>
  </si>
  <si>
    <t>UniteExploit</t>
  </si>
  <si>
    <t>Obligatoire sous conditions</t>
  </si>
  <si>
    <t>Mandatory under conditions</t>
  </si>
  <si>
    <t xml:space="preserve"> Réservé CACIB - laisser à vide si non concerné</t>
  </si>
  <si>
    <t>La donnée est obligatoire si le Type d'enregistrement [0.6 (F1)] est différent de 'C1' et de 'Z9', et que, dans la table START "TA 0990 KVAPPBK", KVBAPPID commence par 'CACI' pour le KVAPPBK valant la concaténation "Entité porteuse de risque" [0.2 (F1)] et "Application source" [0.3 (F1)]</t>
  </si>
  <si>
    <t>The data is mandatory if the record type [0.6 (F1)] is different from 'C1' and 'Z9', and in the START table "TA 0990 KVAPPBK", KVBAPPID starts with 'CACI' for the KVAPPBK with the concatenation 'Risk taker entity' [0.2 (F1)]and 'Source application' [0.3 (F1)]</t>
  </si>
  <si>
    <t>EN0091</t>
  </si>
  <si>
    <t>Si renseignée, et si le type d'enregistrement [0.6 (F1] est différent de 'C1' et de 'Z9' :
1/ Si dans la table START "TA 0990 KVAPPBK", KVBAPPID commence par 'CACI' pour le KVAPPBK valant la concaténation "Entité porteuse de risque" [0.2 (F1)] et "Application source" [0.3 (F1)], alors, dans la table START "TA TMTAKOBU", la concaténation 'CA-CIB' + un blanc + [0.9 (F1)] + "_" + [0.2 (F1)] doit être présente dans le champ TMNOMOBU.
2/ Sinon, dans la table START "TA TMTAKOBU", la concaténation des 9 premiers caractères du BAPPID + '_' + 0.9 (F1)] doit être présente dans le champ TMNOMOBU.</t>
  </si>
  <si>
    <t>If filled in, and the type of record [0.6 (F1] is different from 'C1' and 'Z9':
1/ If in the START table "TA 0990 KVAPPBK", KVBAPPID starts with "CACI" for the KVAPPBK with the concatenation "risk carrying Entity" [0.2 (F1)] and "Source application" [0.3 (F1)], then in the START table "TA TMTAKOBU", the concatenation 'CA-CIB' + a blank + [0.9 (F1)] + "_" + [0.2 (F1)] must be present in the TMNOMOBU field.
2/ Otherwise, in the START table "TA TMTAKOBU", the concatenation of the first 9 characters of the BAPPID + '_' + [0.9 (F1)] must be present in the TMNOMOBU field.</t>
  </si>
  <si>
    <t>EN0092</t>
  </si>
  <si>
    <t>0.99 (F1)</t>
  </si>
  <si>
    <t>ZoneLibre0</t>
  </si>
  <si>
    <t>1.1 (F1)</t>
  </si>
  <si>
    <t>Identifiant local du tiers en risque</t>
  </si>
  <si>
    <t>Identifiant du tiers dans le système utilisé pour générer le PACT</t>
  </si>
  <si>
    <t>ID of external counterparty in the system used to generate the PACT</t>
  </si>
  <si>
    <t>IdLocalTiersRisq</t>
  </si>
  <si>
    <t>1.2 (F1)</t>
  </si>
  <si>
    <t>Identifiant central du tiers en risque</t>
  </si>
  <si>
    <t>Identifiant du tiers dans le système central DRG</t>
  </si>
  <si>
    <t>ID of the external counterparty in the Group Risk Management Division IT System</t>
  </si>
  <si>
    <t>cdCentralTiers</t>
  </si>
  <si>
    <t>02a - Caractéristiques d'identification fonctionnelles (clé)</t>
  </si>
  <si>
    <t>02a - Functional identification characteristics (key)</t>
  </si>
  <si>
    <t>1.4 (F1)</t>
  </si>
  <si>
    <t xml:space="preserve">Reference code of the overall facility </t>
  </si>
  <si>
    <t>IdAuto</t>
  </si>
  <si>
    <t>Pour un lot déterminé, la référence de l'autorisation mise en place doit être unique au sein du lot et et ne doit pas avoir de référence de ligne d'autorisation, d'encours, de garantie ou de provision ayant la même valeur dans le lot</t>
  </si>
  <si>
    <t>For a given batch, the reference code of the arranged facility must be unique within the batch and no facility line, outstanding amount, mitigant or provision within the batch may have the same reference code</t>
  </si>
  <si>
    <t>ASTRE, CALCULS PRUDENTIELS</t>
  </si>
  <si>
    <t>TP0001</t>
  </si>
  <si>
    <t xml:space="preserve">Si la donnée « contrôle interlot » (donnée Enreg A0) pour le lot en cours de traitement n'est pas renseignée, vérification de la présence d'au moins un enregistrement F2 doté de cette référence dans le même lot
---
Si la donnée « contrôle interlot » (donnée Enreg A0) pour le lot en cours de traitement est renseignée, vérification de la présence d'au moins un enregistrement F2 doté de cette référence dans tous les lots du flux Global ayant la même valeur « contrôle interlot » (donnée Enreg A0).
---
L'identifiant renseigné doit être unique au sein de l'entité porteuse de risque
---
Il ne doit pas y avoir de doublon (quelque soit l'entité et quelque soit le flux)
---
Unicité absolue de la donnée au sein du lot
</t>
  </si>
  <si>
    <t>If the data item ‘interlot check' (data item Reg A0) for the batch being processed is not filled in, check that at least one F2 record with this reference is present in the same batch
---
If the data ‘interlot control' (data Enreg A0) for the batch being processed is entered, verification of the presence of at least one F2 record with this reference in all batches of the Global flow having the same value ‘interlot control' (data Enreg A0).
---
The identifier provided must be unique within the entity carrying the risk
---
There should be no duplicates (whatever the entity and flow are)
---
The data must be unique within the batch</t>
  </si>
  <si>
    <t>TC0265
TC0274
TU0001
TU0003
TU0007</t>
  </si>
  <si>
    <t>1.6 (F1)</t>
  </si>
  <si>
    <t>Reference code of the facility detail line</t>
  </si>
  <si>
    <t>IdLigneAuto</t>
  </si>
  <si>
    <t>1.8 (F1)</t>
  </si>
  <si>
    <t>IdSurRecue</t>
  </si>
  <si>
    <t>1.11 (F1)</t>
  </si>
  <si>
    <t>Identifiant unique de l'engagement dans le système local utilisé pour générer le flux</t>
  </si>
  <si>
    <t>Unique ID of the commitment in the local system used to generate the flow</t>
  </si>
  <si>
    <t>IdEng</t>
  </si>
  <si>
    <t>1.16 (F1)</t>
  </si>
  <si>
    <t xml:space="preserve">Reference for the counterparty provision </t>
  </si>
  <si>
    <t>IdProvTiers</t>
  </si>
  <si>
    <t>1.99 (F1)</t>
  </si>
  <si>
    <t>ZoneLibre1</t>
  </si>
  <si>
    <t>1.98 (F1)</t>
  </si>
  <si>
    <t>1.97 (F1)</t>
  </si>
  <si>
    <t>03 - Caractéristiques Générales</t>
  </si>
  <si>
    <t>03 - General characteristics</t>
  </si>
  <si>
    <t>F1 2.2</t>
  </si>
  <si>
    <t>Identifiant de regroupement</t>
  </si>
  <si>
    <t>ID of grouping</t>
  </si>
  <si>
    <t>Identifiant permettant de regrouper plusieurs objets de type ‘autorisation - crédit ' afin de matérialiser le fait qu'elles sont issues d'un même dossier de financement</t>
  </si>
  <si>
    <t>ID making it possible to pool a number of “facility – loan” type objects in order to reflect the fact that they stem from a single financing</t>
  </si>
  <si>
    <t>IdRegrpmt</t>
  </si>
  <si>
    <t>Ex : dans le cas des financements spécialisés, cet identifiant permet de regrouper les tranches d'un même projet</t>
  </si>
  <si>
    <t>E.g.: in the case of specialised financing, this ID makes it possible to group together the tranches within a single project</t>
  </si>
  <si>
    <t>F1 2.5</t>
  </si>
  <si>
    <t>Entité initiatrice</t>
  </si>
  <si>
    <t>Originating entity</t>
  </si>
  <si>
    <t>Correspond au code Consolidation Comptable de l'entité initiatrice (demandeuse) de l'autorisation. Il s'agit de l'entité ayant initialisé la demande</t>
  </si>
  <si>
    <t>Represents the Accounting Consolidation code of the originating entity (applicant) of the facility. This is the entity having initiated the application</t>
  </si>
  <si>
    <t>EntInitiat</t>
  </si>
  <si>
    <t>F1 2.6</t>
  </si>
  <si>
    <t>Identifiant local du tiers principal</t>
  </si>
  <si>
    <t>Local ID of principal external counterparty</t>
  </si>
  <si>
    <t>Identifiant du tiers principal dans le système local utilisé pour générer le flux</t>
  </si>
  <si>
    <t>ID of principal external counterparty in the local system used to generate the flow</t>
  </si>
  <si>
    <t>IdLocalTiersPrn</t>
  </si>
  <si>
    <t>Le tiers principal est le tiers privilégié au nom duquel la demande d'autorisation est réalisée par l'entité initiatrice.
Peut être différent des tiers inscrits sur les lignes d'autorisation attachées. Ce tiers doit donc être connu du Référentiel Groupe au même titre que les contreparties "directes"</t>
  </si>
  <si>
    <t>The principal external counterparty is the preferred external counterparty on whose behalf the originating entity seeks the facility.
May differ from the external counterparties specified in the associated facility lines. This external counterparty can thus be found in the Group Reference Base on the same basis as “direct” counterparties</t>
  </si>
  <si>
    <t>TPG0001</t>
  </si>
  <si>
    <t>Le tiers doit exister (présence du tiers dans TIGRE)</t>
  </si>
  <si>
    <t>The third-party must exist (presence of the third-party in TIGRE)</t>
  </si>
  <si>
    <t>TIG0002</t>
  </si>
  <si>
    <t>F1 2.7</t>
  </si>
  <si>
    <t>Identifiant central du tiers principal</t>
  </si>
  <si>
    <t>Central ID of principal external counterparty</t>
  </si>
  <si>
    <t>Identifiant du Tiers principal dans le système central DRG</t>
  </si>
  <si>
    <t>ID of the principal External Counterparty in the Group Risk Management Division IT system</t>
  </si>
  <si>
    <t>IdCentralTiersPrn</t>
  </si>
  <si>
    <t>Identifiant fourni par DRG dans le fichier mensuel Référentiel ‘Tiers groupes' transmis aux entités émettrices du flux.
Obligatoire pour une entité amettrice d'un flux FTCA</t>
  </si>
  <si>
    <t>ID provided by the Group Risk Management Division in the monthly “External Counterparties Groups” file (DTG) sent to entities issuing flows.
Mandatory for entities issuing an FTCA flow</t>
  </si>
  <si>
    <t>PALMA</t>
  </si>
  <si>
    <t xml:space="preserve">S'il est renseigné, l'identifiant doit correspondre à un enregistrement dans l'objet associé, indépendamment de l'entité
---
Le tiers doit exister (présence du tiers dans TIGRE)
---
Le couple identifiant local / central (F1 2.6 et F1 2.7) doit exister dans TIGRE
</t>
  </si>
  <si>
    <t xml:space="preserve">If it is filled in, the identifier must correspond to a record in the associated object, regardless of the entity
---
The third-party must exist (presence of the third-party in TIGRE)
---
The local/central identifier pair (F1 2.6 and F1 2.7) must exist in TIGRE
</t>
  </si>
  <si>
    <t>7
6
6</t>
  </si>
  <si>
    <t>TI0025
TIG0002
TIG0004</t>
  </si>
  <si>
    <t>F1 2.8</t>
  </si>
  <si>
    <t>Type Opération</t>
  </si>
  <si>
    <t>Transaction Type</t>
  </si>
  <si>
    <t>Correspond au type des opérations autorisées à être tirées dans le cadre de l'autorisation mise en place</t>
  </si>
  <si>
    <t>Represents the type of transactions authorised for draw-down under the arranged facility</t>
  </si>
  <si>
    <t>cdTypeOpe</t>
  </si>
  <si>
    <t>LC.0021</t>
  </si>
  <si>
    <t>TA KVOPER</t>
  </si>
  <si>
    <t>F1 2.9</t>
  </si>
  <si>
    <t>Objet du crédit</t>
  </si>
  <si>
    <t>Purpose of loan</t>
  </si>
  <si>
    <t>Correspond à la destination économique du financement lié à l'autorisation mise en place</t>
  </si>
  <si>
    <t>Represents the economic purpose of the financing associated with the arranged facility</t>
  </si>
  <si>
    <t>OcdbjCred</t>
  </si>
  <si>
    <t>LC.0022</t>
  </si>
  <si>
    <t>TA KVOBJET</t>
  </si>
  <si>
    <t>F1 2.10</t>
  </si>
  <si>
    <t>Hiérarchie d'accord</t>
  </si>
  <si>
    <t>Approval hierarchy</t>
  </si>
  <si>
    <t>Correspond au cadre de délégation ayant accordé l'autorisation</t>
  </si>
  <si>
    <t>Represents the delegation framework having granted the facility</t>
  </si>
  <si>
    <t>cdHierarAccor</t>
  </si>
  <si>
    <t>LC.0023</t>
  </si>
  <si>
    <t>TA KVHIER</t>
  </si>
  <si>
    <t>Information nécessaire pour déterminer si l'autorisation est de délégation locale ou Siège</t>
  </si>
  <si>
    <t>Information required to determine whether the facility has been granted locally or by HQ</t>
  </si>
  <si>
    <t>F1 2.11</t>
  </si>
  <si>
    <t>Code confirmation de l'autorisation</t>
  </si>
  <si>
    <t>Facility confirmation code</t>
  </si>
  <si>
    <t>Correspond au niveau d'engagement de l'établissement dans une opération</t>
  </si>
  <si>
    <t>Represents the institution's level of commitment in a transaction</t>
  </si>
  <si>
    <t>cdConfAut</t>
  </si>
  <si>
    <t>LC.0024</t>
  </si>
  <si>
    <t>TA KVCONF</t>
  </si>
  <si>
    <t>Seuls les encours portés par une autorisation confirmée sont pris en compte dans les traitements règlementaires (Bâle, GRR ..)</t>
  </si>
  <si>
    <t>Only outstanding amounts relating to a confirmed facility are taken into account for regulatory treatments (Basel II, Large Exposures..)</t>
  </si>
  <si>
    <t>ANACREDIT, DEI, LOAN TAPE</t>
  </si>
  <si>
    <t>F1 2.12</t>
  </si>
  <si>
    <t>Montant global initial</t>
  </si>
  <si>
    <t>Initial overall amount</t>
  </si>
  <si>
    <t>MtGloIni</t>
  </si>
  <si>
    <t>19 dont signe et 2 décimales</t>
  </si>
  <si>
    <t>19 including sign and 2 decimals</t>
  </si>
  <si>
    <t>ANACREDIT, DEI, PALMA</t>
  </si>
  <si>
    <t>Si renseignée, la donnée doit être positive (supérieure ou égale à 0)</t>
  </si>
  <si>
    <t xml:space="preserve">If filled, data must be positive (greater or equal to 0) </t>
  </si>
  <si>
    <t>TVG0001</t>
  </si>
  <si>
    <t>F1 2.13</t>
  </si>
  <si>
    <t>Montant global révisé</t>
  </si>
  <si>
    <t>Revised overall amount</t>
  </si>
  <si>
    <t>Montant révisé de l'autorisation (après prise en compte des échéanciers éventuels de l'autorisation)</t>
  </si>
  <si>
    <t>Revised amount of the facility (after taking account of any due dates under the facility)</t>
  </si>
  <si>
    <t>MtGloRev</t>
  </si>
  <si>
    <t>Il s'agit du montant en vie au moment de la génération du flux et sur lequel s'appuie, le cas échéant, le calcul de la PNU "globale"</t>
  </si>
  <si>
    <t>It is the outstanding amount when the flow is generated and on which the calculation, as the case may be, of the “overall” undrawn portion is based</t>
  </si>
  <si>
    <t>ANACREDIT, DEI</t>
  </si>
  <si>
    <t>F1 2.14</t>
  </si>
  <si>
    <t>Devise de l'autorisation</t>
  </si>
  <si>
    <t>Currency of facility</t>
  </si>
  <si>
    <t>Devise d'expression des montants F1 2.12 et F1 2.13</t>
  </si>
  <si>
    <t>Currency in which amounts F1 2.12 and F1 2.13 are denominated</t>
  </si>
  <si>
    <t>cdDevAuto</t>
  </si>
  <si>
    <t>ANACREDIT, CALCULS PRUDENTIELS, DEI, PALMA</t>
  </si>
  <si>
    <t>F1 2.16</t>
  </si>
  <si>
    <t>Indicateur Autorisation Spécifique</t>
  </si>
  <si>
    <t>Special facility Indicator</t>
  </si>
  <si>
    <t>Indicateur permettant de préciser la nature spécifique de l'autorisation</t>
  </si>
  <si>
    <t>Indicator making it possible to indicate the exact nature of the facility</t>
  </si>
  <si>
    <t>IndAutoSpecif</t>
  </si>
  <si>
    <t>LC.0251</t>
  </si>
  <si>
    <t>TA KVIAUTSP</t>
  </si>
  <si>
    <t>F1 2.17</t>
  </si>
  <si>
    <t>Permet d'indiquer l'unité d'exploitation au sein de CACIB entité initiatrice de l'autorisation</t>
  </si>
  <si>
    <t>Allows to indicate the operating unit in the originating entity (applicant) of the facility (F1 2.5)</t>
  </si>
  <si>
    <t>UniteExploitEntAuto</t>
  </si>
  <si>
    <t>TA TMTAKOBU rubrique TMNOMOBU</t>
  </si>
  <si>
    <t xml:space="preserve"> Zone reserved for CACIB. Leave empty if not concerned</t>
  </si>
  <si>
    <t>F1 2.18</t>
  </si>
  <si>
    <t>Type de produit bancaire</t>
  </si>
  <si>
    <t>Banking Product type</t>
  </si>
  <si>
    <t>Classification des produits bancaires et financiers</t>
  </si>
  <si>
    <t>Banking and financial products classification</t>
  </si>
  <si>
    <t>TypProdCd</t>
  </si>
  <si>
    <t>LC.0303</t>
  </si>
  <si>
    <t xml:space="preserve">TA Z8PRODUI </t>
  </si>
  <si>
    <t>Le type de produit bancaire doit être cohérent avec le type d'enregistrement (la colonne Z8OMZPFR lié au type de produit de la table Z8COPROM doit correspondre à l'objet métier concerné)</t>
  </si>
  <si>
    <t>The type of banking product must be consistent with the type of record (the Z8OMZPFR column linked to the product type of the Z8COPROM table must correspond to the business object concerned)</t>
  </si>
  <si>
    <t>TCG0001</t>
  </si>
  <si>
    <t>F1 2.99</t>
  </si>
  <si>
    <t>ZoneLibre2</t>
  </si>
  <si>
    <t>F1 3.1</t>
  </si>
  <si>
    <t>Date de début de validité de l'autorisation</t>
  </si>
  <si>
    <t>Start date of validity of facility</t>
  </si>
  <si>
    <t>Date à partir de laquelle un tirage peut être initié</t>
  </si>
  <si>
    <t>Date from which draw-downs can be started</t>
  </si>
  <si>
    <t>dtDebAuto</t>
  </si>
  <si>
    <t>ANACREDIT, PALMA</t>
  </si>
  <si>
    <t>Si renseignée, la donnée doit être supérieure ou égale à '19000101'</t>
  </si>
  <si>
    <t>If filled, data must be greater or equal to '19000101'</t>
  </si>
  <si>
    <t>TVG0005</t>
  </si>
  <si>
    <t>La donnée doit être inférieure ou égale à la date d'arrêté</t>
  </si>
  <si>
    <t>Data must be lower or equal than closing date</t>
  </si>
  <si>
    <t>TCG0004</t>
  </si>
  <si>
    <t>F1 3.2</t>
  </si>
  <si>
    <t>Date limite de tirage de l'autorisation</t>
  </si>
  <si>
    <t>Draw-down cut-off date of facility</t>
  </si>
  <si>
    <t>Date limite d'initialisation d'un tirage</t>
  </si>
  <si>
    <t>Cut-off date for commencing draw-downs</t>
  </si>
  <si>
    <t>dtLimTirAuto</t>
  </si>
  <si>
    <t>Par défaut, F1 3.2 = F1 3.3 (date de fin de tirage = date de fin de validité)</t>
  </si>
  <si>
    <t>By default, F1 3.2 = F1 3.3 (last draw-down date = date of expiry)</t>
  </si>
  <si>
    <t>Si la donnée est renseignée et si l'année de la date est égale à '9999', alors la donnée doit être égale à '99990630'</t>
  </si>
  <si>
    <t>If filled, and if the year of the date = '9999', then the data must be equal to '99990630'</t>
  </si>
  <si>
    <t>TVG0008</t>
  </si>
  <si>
    <t>Si renseignée, la Date limite de tirage de l'autorisation [F1 3.2] doit être antérieure ou égale à la date de fin de validité de l'autorisation [F1 3.3]</t>
  </si>
  <si>
    <t>If filled, the Draw-down cut-off date of facility [F1 3.2] must be before or equal to the date of expiry of facility [F1 3.3]</t>
  </si>
  <si>
    <t>TCS0700</t>
  </si>
  <si>
    <t>F1 3.3</t>
  </si>
  <si>
    <t>Date de fin de validité de l'autorisation</t>
  </si>
  <si>
    <t>Date of expiry of facility</t>
  </si>
  <si>
    <t>Date limite à partir de laquelle tous les tirages réalisés doivent être remboursés</t>
  </si>
  <si>
    <t>Cut-off date following which all draw-downs must be repaid</t>
  </si>
  <si>
    <t>dtMatur</t>
  </si>
  <si>
    <t>La donnée doit être supérieure ou égale à la date d'arrêté</t>
  </si>
  <si>
    <t>Data must be greater or equal than closing date</t>
  </si>
  <si>
    <t>TCG0002</t>
  </si>
  <si>
    <t>F1 3.4</t>
  </si>
  <si>
    <t>Date de prochaine révision de l'autorisation</t>
  </si>
  <si>
    <t>Next facility review date</t>
  </si>
  <si>
    <t>Date à laquelle est prévue la prochaine révision de l'autorisation</t>
  </si>
  <si>
    <t>Scheduled date of next facility review</t>
  </si>
  <si>
    <t>dtProchRevAuto</t>
  </si>
  <si>
    <t>Si renseignée, la date de prochaine révision de l'autorisation [F1 3.4] doit être antérieure ou égale à la date de fin de validité de l'autorisation [F1 3.3]</t>
  </si>
  <si>
    <t>If filled, the next facility review date [F1 3.4] must be before or equal to the date of expiry of facility [F1 3.3]</t>
  </si>
  <si>
    <t>TCS0701</t>
  </si>
  <si>
    <t>F1 3.99</t>
  </si>
  <si>
    <t>ZoneLibre3</t>
  </si>
  <si>
    <t>28 - Caractéristiques de syndication</t>
  </si>
  <si>
    <t>28 - Syndication caracteristics</t>
  </si>
  <si>
    <t>F1 4.1</t>
  </si>
  <si>
    <t>Indicateur 'Syndication'</t>
  </si>
  <si>
    <t>Syndication' Indicator</t>
  </si>
  <si>
    <t>Indicateur permettant de préciser s'il s'agit d'une syndication</t>
  </si>
  <si>
    <t>Indicator showing whether there has been syndication</t>
  </si>
  <si>
    <t>IndSynd</t>
  </si>
  <si>
    <t>LC.0252</t>
  </si>
  <si>
    <t>TA KVISYNDI</t>
  </si>
  <si>
    <t>Il est possible d'avoir soit la convention de partage, soit la syndication mais pas les 2</t>
  </si>
  <si>
    <t>It is possible to have either the risk transfert convention or the syndication but not both</t>
  </si>
  <si>
    <t>ANACREDIT, LOAN TAPE</t>
  </si>
  <si>
    <t>Si renseigné et si l'indicateur convention de partage [F1 4.18] est renseigné et &lt;&gt; '0', alors l'indicateur Syndication [F1 4.1] = 'N'</t>
  </si>
  <si>
    <t>If filled and if the sharing convention flag [F1 4.18] is filled and &lt;&gt; '0', then the Syndication flag [F1 4.1] = 'N'</t>
  </si>
  <si>
    <t>TVS0703</t>
  </si>
  <si>
    <t>F1 4.2</t>
  </si>
  <si>
    <t>Position de l'entité porteuse de risques</t>
  </si>
  <si>
    <t>Position of entity bearing risks</t>
  </si>
  <si>
    <t>Position de l'entité dans la syndication</t>
  </si>
  <si>
    <t>Position of entity in syndication</t>
  </si>
  <si>
    <t>cdPosEntRisq</t>
  </si>
  <si>
    <t>LC.0025</t>
  </si>
  <si>
    <t>TA KVPOSI</t>
  </si>
  <si>
    <t>LOAN TAPE</t>
  </si>
  <si>
    <t>La donnée est obligatoire si l'indicateur 'Syndication' [F1 4.1] est égal à 'Y'</t>
  </si>
  <si>
    <t>The data is mandatory if 'Syndication' flag [F1 4.1] equals 'Y'</t>
  </si>
  <si>
    <t>TPS0700</t>
  </si>
  <si>
    <t xml:space="preserve"> </t>
  </si>
  <si>
    <t>F1 4.3</t>
  </si>
  <si>
    <t>Entité du groupe CA pilote de l'opération</t>
  </si>
  <si>
    <t>CA Group entity transaction lead</t>
  </si>
  <si>
    <t>Correspond au code consolidation comptable du pilote, ou chef de file, de l'opération au sein du groupe CA</t>
  </si>
  <si>
    <t>Represents the accounting consolidation code of the transaction lead manager within the CA Group</t>
  </si>
  <si>
    <t>IdEntPil</t>
  </si>
  <si>
    <t>La donnée est obligatoire si [l'indicateur 'Syndication' [F1 4.1] est égal à 'Y' OU l'Indicateur convention-de-partage-en-risque pour le crédit-bail [F1 4.18] est renseigné et différent de 0] ET si la donnée 'Entité hors groupe CA pilote de l'opération - identifiant local' [F1 4.4] n'est pas renseignée</t>
  </si>
  <si>
    <t>The data is mandatory if [the “Syndication” Indicator [F1 4.1] is equal to 'Y' OR the 'Risk-transfer-convention indicator for leasing' [F1 4.18] is filled and different from 0] AND if the data 'Non CA Group entity transaction lead – local ID' [F1 4.4] is not filled</t>
  </si>
  <si>
    <t>TPS0701</t>
  </si>
  <si>
    <t>F1 4.4</t>
  </si>
  <si>
    <t>Entité hors groupe CA pilote de l'opération - identifiant local</t>
  </si>
  <si>
    <t>Non CA Group entity transaction lead – local ID</t>
  </si>
  <si>
    <t>Identifiant du tiers pilote de l'opération dans le système local utilisé pour générer le flux</t>
  </si>
  <si>
    <t>ID of external counterparty transaction lead in the local system used to generate the flow</t>
  </si>
  <si>
    <t>IdLocalTiersPil</t>
  </si>
  <si>
    <t>La donnée est obligatoire si [l'indicateur 'Syndication' [F1 4.1] est égal à 'Y' OU l'Indicateur convention-de-partage-en-risque pour le crédit-bail [F1 4.18] est renseigné et différent de 0] ET si la donnée 'Entité du groupe CA pilote de l'opération' [F1 4.3] n'est pas renseignée</t>
  </si>
  <si>
    <t>The data is mandatory if [the “Syndication” Indicator [F1 4.1] is equal to 'Y' OR the 'Risk-transfer-convention indicator for leasing' [F1 4.18] is filled and different from 0] AND if the data 'CA Group entity transaction lead' [F1 4.3] is not filled</t>
  </si>
  <si>
    <t>TPS0702</t>
  </si>
  <si>
    <t>F1 4.5</t>
  </si>
  <si>
    <t>Entité hors groupe CA pilote de l'opération - identifiant central</t>
  </si>
  <si>
    <t>Non CA Group entity transaction lead – central ID</t>
  </si>
  <si>
    <t>Identifiant du tiers pilote de l'opération dans le système central DRG</t>
  </si>
  <si>
    <t>ID of external counterparty transaction lead in the central database</t>
  </si>
  <si>
    <t>IdCentralTiersPil</t>
  </si>
  <si>
    <t>Si renseigné, identifiant fourni par DRG dans le fichier mensuel Référentiel ‘Tiers groupes' transmis aux entités émettrices du flux</t>
  </si>
  <si>
    <t>If indicated, ID provided by the Group Risk Management Division in the monthly “External Counterparties Groups” file (DTG) sent to entities issuing flows</t>
  </si>
  <si>
    <t>ANACREDIT, ASTRE</t>
  </si>
  <si>
    <t>S'il est renseigné, l'identifiant doit correspondre à un enregistrement dans l'objet associé, indépendamment de l'entité
---
Le tiers doit exister (présence du tiers dans TIGRE)
---
Le couple identifiant local / central (F1 4.4 et F1 4.5) doit exister dans TIGRE</t>
  </si>
  <si>
    <t>If it is filled in, the identifier must correspond to a record in the associated object, regardless of the entity
---
The third-party must exist (presence of the third-party in TIGRE)
---
The local/central identifier pair (F1 4.4 and F1 4.5) must exist in TIGRE</t>
  </si>
  <si>
    <t>F1 4.6</t>
  </si>
  <si>
    <t>Montant initial global toutes banques toutes tranches confondues</t>
  </si>
  <si>
    <t>Initial overall amount all banks all tranches combined</t>
  </si>
  <si>
    <t>Montant initial total de la syndication (toutes banques et toutes tranches confondues)</t>
  </si>
  <si>
    <t>Total initial syndicated amount (all banks and all tranches combined)</t>
  </si>
  <si>
    <t>MtIniTteTran</t>
  </si>
  <si>
    <t xml:space="preserve">La donnée est obligatoire si l'indicateur 'Syndication' [F1 4.1] est égal à 'Y' OU l'indicateur convention de partage [F1 4.18] est renseigné et différent de 0 </t>
  </si>
  <si>
    <t xml:space="preserve">The data is mandatory if the 'Syndication' flag [F1 4.1] is equal to 'Y' OR the sharing convention flag [F1 4.18] is filled in and not equal to 0 </t>
  </si>
  <si>
    <t>TPS0703</t>
  </si>
  <si>
    <t>F1 4.7</t>
  </si>
  <si>
    <t>Montant mis à jour global toutes banques toutes tranches confondues</t>
  </si>
  <si>
    <t>Updated overall amount all banks all tranches combined</t>
  </si>
  <si>
    <t>Montant révisé (après prise en compte des échéanciers) total de la syndication (toutes banques et toutes tranches confondues)</t>
  </si>
  <si>
    <t>The revised (after taking account of due dates) total syndicated amount (all banks and all tranches combined)</t>
  </si>
  <si>
    <t>MtMajTteTran</t>
  </si>
  <si>
    <t>F1 4.8</t>
  </si>
  <si>
    <t>Devise des montants de syndication toutes tranches</t>
  </si>
  <si>
    <t>Currency in which syndicated amounts are denominated all tranches</t>
  </si>
  <si>
    <t>Devise d'expression des montants de syndication toutes tranches</t>
  </si>
  <si>
    <t>cdDevSyndTteTran</t>
  </si>
  <si>
    <t xml:space="preserve">La donnée est obligatoire si l'un des montants suivants est renseigné : 'Montant initial global toutes banques toutes tranches confondues' [F1 4.6] ou 'Montant mis à jour global toutes banques toutes tranches confondues' [F1 4.7] ou 'Part en risque (montant) de l'entité pour la tranche en cours' [F1 4.13] ou 'Part en trésorerie (montant) de l'entité pour la tranche en cours' [F1 4.15] </t>
  </si>
  <si>
    <t xml:space="preserve">The data is mandatory if one of the following amounts is filled: 'Initial overall amount all banks all tranches combined' [F1 4.6] or 'Updated overall amount all banks all tranches combined' [F1 4.7] or 'Risk portion (amount) of entity for current tranche' [F1 4.13] or 'Cash portion (amount) of entity for current tranche' [F1 4.15] </t>
  </si>
  <si>
    <t>TPG0002</t>
  </si>
  <si>
    <t>F1 4.9</t>
  </si>
  <si>
    <t>Montant initial global toutes banques pour la tranche de l'autorisation</t>
  </si>
  <si>
    <t>Initial overall amount all banks for the facility tranche</t>
  </si>
  <si>
    <t>Montant initial de la syndication pour la tranche en cours (toutes banques confondues)</t>
  </si>
  <si>
    <t>The initial syndicated amount for the current tranche (all banks combined)</t>
  </si>
  <si>
    <t>MtIniTranAuto</t>
  </si>
  <si>
    <t>F1 4.10</t>
  </si>
  <si>
    <t>Montant mis à jour global toutes banques pour la tranche de l'autorisation</t>
  </si>
  <si>
    <t>Updated overall amount all banks for the facility tranche</t>
  </si>
  <si>
    <t>Montant révisé (après prise en compte des échéanciers) de la syndication pour la tranche en cours (toutes banques confondues)</t>
  </si>
  <si>
    <t>The revised (after taking account of due dates) syndicated amount for the current tranche (all banks combined)</t>
  </si>
  <si>
    <t>MtMajTranAuto</t>
  </si>
  <si>
    <t>F1 4.11</t>
  </si>
  <si>
    <t>Devise des montants de syndication pour la tranche de l'autorisation</t>
  </si>
  <si>
    <t>Currency of syndicated amounts for the facility tranche</t>
  </si>
  <si>
    <t>Devise d'expression des montants de syndication pour la tranche de l'autorisation</t>
  </si>
  <si>
    <t>Currency in which syndicated amounts are denominated for the facility tranche</t>
  </si>
  <si>
    <t>cdDevSyndTranAuto</t>
  </si>
  <si>
    <t>La donnée est obligatoire si le 'Montant initial global toutes banques pour la tranche de l'autorisation' [F1 4.9] et/ou le 'Montant mis à jour global toutes banques pour la tranche de l'autorisation' [F1 4.10] est renseigné</t>
  </si>
  <si>
    <t>The data is mandatory if the 'Initial overall amount all banks for the facility tranche' [F1 4.9] and/or the 'Updated overall amount all banks for the facility tranche' [F1 4.10] is filled</t>
  </si>
  <si>
    <t>F1 4.12</t>
  </si>
  <si>
    <t>Part en risque (%) de l'entité pour la tranche en cours</t>
  </si>
  <si>
    <t>Risk portion (%) of entity for current tranche</t>
  </si>
  <si>
    <t>% de la part en risque de l'entité pour la tranche en cours (% par rapport au champ F1 2.12)</t>
  </si>
  <si>
    <t>The % of the portion at-risk of the entity for the current tranche (% with respect to field F1 2.12)</t>
  </si>
  <si>
    <t>ParRisqSyndTran</t>
  </si>
  <si>
    <t>10 dont signe et 5 décimales</t>
  </si>
  <si>
    <t>10 including sign and 5 decimals</t>
  </si>
  <si>
    <t>Si renseignée, la donnée doit être comprise entre 0 et 100</t>
  </si>
  <si>
    <t>If filled, data must be between 0 and 100</t>
  </si>
  <si>
    <t>TVG0004</t>
  </si>
  <si>
    <t>F1 4.13</t>
  </si>
  <si>
    <t>Montant de part en risque de l'entité pour la tranche en cours</t>
  </si>
  <si>
    <t>Amount of risk portion of entity for current tranche</t>
  </si>
  <si>
    <t>MtRisqSyndTran</t>
  </si>
  <si>
    <t>F1 4.14</t>
  </si>
  <si>
    <t>Part en trésorerie (%) de l'entité pour la tranche en cours</t>
  </si>
  <si>
    <t>Cash portion (%) of entity for current tranche</t>
  </si>
  <si>
    <t>% de la part en trésorerie de l'entité pour la tranche en cours (% par rapport au champ F1 2.12)</t>
  </si>
  <si>
    <t>% of the cash portion of the entity for the current tranche (% with respect to field F1 2.12)</t>
  </si>
  <si>
    <t>ParTresSyndTran</t>
  </si>
  <si>
    <t>F1 4.15</t>
  </si>
  <si>
    <t>Montant de part en trésorerie de l'entité pour la tranche en cours</t>
  </si>
  <si>
    <t>Cash portion of entity for current tranche</t>
  </si>
  <si>
    <t>MtTresSyndTran</t>
  </si>
  <si>
    <t>F1 4.16</t>
  </si>
  <si>
    <t>Unité d'exploitation au sein de l'entité du groupe CA pilote de l'opération</t>
  </si>
  <si>
    <t xml:space="preserve">Operating unit in the CA Group entity transaction lead </t>
  </si>
  <si>
    <t>Permet d'indiquer l'unité d'exploitation au sein de l'entité du groupe CA pilote de l'opération de syndication - Donnée réservée CA-CIB</t>
  </si>
  <si>
    <t>Allows to indicate the operating unit in the CA Group entity transaction lead in syndication</t>
  </si>
  <si>
    <t>UniteExploiEntSynd</t>
  </si>
  <si>
    <t>TA TMNOMOBU</t>
  </si>
  <si>
    <t>Donnée réservée CA-CIB</t>
  </si>
  <si>
    <t>Zone reserved for CACIB</t>
  </si>
  <si>
    <t>F1 4.17</t>
  </si>
  <si>
    <t xml:space="preserve">Indicateur position de la banque </t>
  </si>
  <si>
    <t>Role of the bank indicator</t>
  </si>
  <si>
    <t>Permet d'indiquer la position de l'entité (Leader ou Participant) dans la syndication ou dans la convention de partage</t>
  </si>
  <si>
    <t>Used to indicate the position of the entity (Leader or Participant) in the syndication or in the risk transfert convention</t>
  </si>
  <si>
    <t>IndPosEntPortRisq</t>
  </si>
  <si>
    <t>LC.0293</t>
  </si>
  <si>
    <t>TA KVIPOSBQ</t>
  </si>
  <si>
    <t>Si indicateur convention de partage (F1 4.18) renseigné et différent de '0'</t>
  </si>
  <si>
    <t>If risk transfert convention indicator(F1 4.18) filled and different from '0'</t>
  </si>
  <si>
    <t xml:space="preserve">Si renseigné ET si 'Indicateur 'Syndication''[F1 4.1] = 'Y' ET si 'Position de l'entité porteuse de risques' [F1 4.2] = ‘A', ‘B', ‘C' ou ‘G', alors Indicateur position de la banque [F1 4.17] = 'L'
---
Si renseigné ET si 'Indicateur 'Syndication''[F1 4.1] = 'Y' ET si 'Position de l'entité porteuse de risques' [F1 4.2] = 'D', 'E' ou 'F', alors Indicateur position de la banque [F1 4.17] = 'P' </t>
  </si>
  <si>
    <t>If filled AND if ‘Syndication' indicator' [F1 4.1] = ‘Y' AND if ‘Position of risk-carrying entity' [F1 4.2] = ‘A', ‘B', ‘C' or ‘G', then Role of the bank indicator [F1 4.17] = 'L'
---
If filled AND if 'Syndication Indicator' [F1 4.1] = 'Y' AND if 'risk Carrier entity Position' [F1 4.2] = 'D', 'E' or 'F', then Role of the bank indicator [F1 4.17] = 'P'</t>
  </si>
  <si>
    <t>TVS0704
TVS0705</t>
  </si>
  <si>
    <t>F1 4.18</t>
  </si>
  <si>
    <t>Indicateur convention-de-partage-en-risque pour le crédit-bail</t>
  </si>
  <si>
    <t>Risk-transfer-convention indicator for leasing</t>
  </si>
  <si>
    <t>Indicateur permettant de préciser si l'autorisation porte sur une convention de partage en risque et en trésorerie</t>
  </si>
  <si>
    <t>Indicator making it possible to specify that the authorization relates to a risk transfert convention</t>
  </si>
  <si>
    <t>indConPart</t>
  </si>
  <si>
    <t>LC.0331</t>
  </si>
  <si>
    <t>TA Z8ICVPAR</t>
  </si>
  <si>
    <t>Si non concerné par la convention de partage et type de produit ‘crédit-bail', renseigner ‘0'
Il est possible d'avoir soit la convention de partage, soit la syndication mais pas les 2</t>
  </si>
  <si>
    <t>If not concerned by the risk transfer convention and type of product ‘ leasing' , fill ‘ 0 '
It is possible to have either the risk transfert convention or the syndication but not both</t>
  </si>
  <si>
    <t>TPG0001
TPA0001</t>
  </si>
  <si>
    <t>Si renseigné ET si l'indicateur Syndication [F1 4.1] est égal à 'Y', alors Indicateur convention-de-partage-en-risque pour le crédit-bail [F1 4.18] doit être égal à '0'</t>
  </si>
  <si>
    <t>If filled and if the Syndication flag [F1 4.1] is equal to 'Y', then Risk-transfer-convention indicator for leasing [F1 4.18] must be equal to '0'</t>
  </si>
  <si>
    <t>TVS0706</t>
  </si>
  <si>
    <t>F1 4.19</t>
  </si>
  <si>
    <t>Type de participation de l'entité</t>
  </si>
  <si>
    <t>Participation type</t>
  </si>
  <si>
    <t>Indique le type de participation (transparent 
 opaque) de l'entité dans la syndication ou dans la convention de partage en risque et en trésorerie</t>
  </si>
  <si>
    <t>Indicates the type of participation (transparent 
 opaque) of the entity in the syndication or the risk transfert convention</t>
  </si>
  <si>
    <t>cdTypPartiEnt</t>
  </si>
  <si>
    <t>LC.0332</t>
  </si>
  <si>
    <t>TA Z8TYPART</t>
  </si>
  <si>
    <t>F1 4.99</t>
  </si>
  <si>
    <t>ZoneLibre4</t>
  </si>
  <si>
    <t>18 - Caractéristiques Titrisation</t>
  </si>
  <si>
    <t>18 - Securitization characteristics</t>
  </si>
  <si>
    <t>F1 5.1</t>
  </si>
  <si>
    <t>Indicateur Titrisation</t>
  </si>
  <si>
    <t>Securitisation indicator</t>
  </si>
  <si>
    <t>Indicateur permettant de préciser si l'opération autorisée fait l'objet d'une titrisation</t>
  </si>
  <si>
    <t>Indicator specifying whether the authorised transaction has been securitised</t>
  </si>
  <si>
    <t>IndTitri</t>
  </si>
  <si>
    <t>LC.0187</t>
  </si>
  <si>
    <t>TA KVICTITR</t>
  </si>
  <si>
    <t>F1 5.2</t>
  </si>
  <si>
    <t>Identifiant local du véhicule de titrisation</t>
  </si>
  <si>
    <t>Local ID of securitisation special purpose vehicle (SPV)</t>
  </si>
  <si>
    <t>Identifiant du véhicule dans le système local utilisé pour générer le flux</t>
  </si>
  <si>
    <t>ID of vehicle in the local system used to generate the flow</t>
  </si>
  <si>
    <t>IdLocVehTitri</t>
  </si>
  <si>
    <t>La donnée est obligatoire si Indicateur Titrisation [F1 5.1] = ‘Y'</t>
  </si>
  <si>
    <t>The data is mandatory if Securitisation indicator [F1 5.1] = ‘Y'</t>
  </si>
  <si>
    <t>TPS0705</t>
  </si>
  <si>
    <t>F1 5.7</t>
  </si>
  <si>
    <t>Identifiant central du véhicule de titrisation</t>
  </si>
  <si>
    <t>Central ID of securitisation SPV</t>
  </si>
  <si>
    <t>Identifiant du véhicule de titrisation dans le système central DRG</t>
  </si>
  <si>
    <t>ID of the securitisation vehicle in the Group Risk Management Division IT system</t>
  </si>
  <si>
    <t>IdCenVehTitri</t>
  </si>
  <si>
    <t>Identifiant fourni par DRG dans le fichier mensuel Référentiel ‘Tiers groupes' transmis aux entités émettrices du flux</t>
  </si>
  <si>
    <t>ID provided by the Group Risk Management Division in the monthly “External Counterparties Groups” file (DTG) sent to entities issuing flows</t>
  </si>
  <si>
    <t>Le tiers doit exister (présence du tiers dans TIGRE)
---
Le couple identifiant local / central (F1 5.2 et F1 5.7) doit exister dans TIGRE</t>
  </si>
  <si>
    <t>The third-party must exist (presence of the third-party in TIGRE)
---
The local/central identifier pair (F1 5.2 and F1 5.7) must exist in TIGRE</t>
  </si>
  <si>
    <t>TIG0002
TIG0004</t>
  </si>
  <si>
    <t>F1 5.3</t>
  </si>
  <si>
    <t>Séniorité de la tranche dans le véhicule</t>
  </si>
  <si>
    <t>Seniority of tranche in SPV</t>
  </si>
  <si>
    <t>Séniorité de la tranche associée à l'opération autorisée</t>
  </si>
  <si>
    <t>Seniority of the tranche associated with the authorised transaction</t>
  </si>
  <si>
    <t>SenTranVeh</t>
  </si>
  <si>
    <t>LC.0026</t>
  </si>
  <si>
    <t>TA KVSENIOR</t>
  </si>
  <si>
    <t>F1 5.4</t>
  </si>
  <si>
    <t>Montant vendu à l'intérieur de la tranche</t>
  </si>
  <si>
    <t>Amount sold within tranche</t>
  </si>
  <si>
    <t>MtPartVendue</t>
  </si>
  <si>
    <t>F1 5.5</t>
  </si>
  <si>
    <t>Devise du montant vendu à l'intérieur de la tranche</t>
  </si>
  <si>
    <t>Currency of the amount sold within tranche</t>
  </si>
  <si>
    <t>Devise de la part vendue</t>
  </si>
  <si>
    <t>Currency of the portion sold</t>
  </si>
  <si>
    <t>cdDevPartVendue</t>
  </si>
  <si>
    <t>La donnée est obligatoire si le Montant vendu à l'intérieur de la tranche [F1 5.4] est renseigné</t>
  </si>
  <si>
    <t>The data is mandatory if the Amount sold within tranche [F1 5.4] is filled</t>
  </si>
  <si>
    <t>F1 5.99</t>
  </si>
  <si>
    <t>ZoneLibre5</t>
  </si>
  <si>
    <t>F1 6.1</t>
  </si>
  <si>
    <t xml:space="preserve">Code séniorité </t>
  </si>
  <si>
    <t>Seniority code</t>
  </si>
  <si>
    <t>Le code séniorité de l'opération correspond au niveau de recours de la Banque sur le créancier vis à vis des opérations associées au même identifiant de regroupement (champ F1 2.2), le cas échéant</t>
  </si>
  <si>
    <t>The transaction seniority code refers to the Bank's level of recourse to the creditor compared to transactions sharing the same grouping ID (field F1 2.2), where applicable</t>
  </si>
  <si>
    <t>NivSeniorite</t>
  </si>
  <si>
    <t>Valeur par défaut = ‘SEN'</t>
  </si>
  <si>
    <t>Default value = ‘SEN'</t>
  </si>
  <si>
    <t>F1 6.5</t>
  </si>
  <si>
    <t>Portefeuille Bâlois Opération Autorisée</t>
  </si>
  <si>
    <t>Basel Portfolio Authorised Transaction</t>
  </si>
  <si>
    <t>Code opération dans le corpus de Bâle</t>
  </si>
  <si>
    <t>Transaction code in the Basel corpus</t>
  </si>
  <si>
    <t>cdPortBale</t>
  </si>
  <si>
    <t>LC.0028</t>
  </si>
  <si>
    <t>TA KVPTFO</t>
  </si>
  <si>
    <t>ASTRE</t>
  </si>
  <si>
    <t>F1 6.6</t>
  </si>
  <si>
    <t>Référence unique du contrat</t>
  </si>
  <si>
    <t>Unique contract reference</t>
  </si>
  <si>
    <t>Référence du contrat d'octroi, référence du contrat syndiqué</t>
  </si>
  <si>
    <t xml:space="preserve">Reference of the loan contract, reference of the syndicated contract </t>
  </si>
  <si>
    <t>cdCt</t>
  </si>
  <si>
    <t>ANACREDIT, LOAN TAPE, MREL, PALMA</t>
  </si>
  <si>
    <t>F1 6.7</t>
  </si>
  <si>
    <t xml:space="preserve">Système de gestion source </t>
  </si>
  <si>
    <t xml:space="preserve">Source management system </t>
  </si>
  <si>
    <t>Code ou nom du système opérationnel de gestion de l'autorisation en entité</t>
  </si>
  <si>
    <t>Code or name of the operational management system within entity for the facility</t>
  </si>
  <si>
    <t>appliSysGestSource</t>
  </si>
  <si>
    <t>Codification libre.
Le système de gestion source de l'autorisation peut-être différent du système de gestion source de l'engagement couvert</t>
  </si>
  <si>
    <t>Free codification
The source management system of the authorization may be different from the source management system of the covered commitment</t>
  </si>
  <si>
    <t>F1 6.8</t>
  </si>
  <si>
    <t>Code entité de la succursale à l'origine de l'opération</t>
  </si>
  <si>
    <t>Entity code of the branch that originated the transaction</t>
  </si>
  <si>
    <t>Code consolidation de la succursale qui a fait l'opération
contrat dans le cas où les engagements sont portés par la maison mère</t>
  </si>
  <si>
    <t>Consolidation code of the branch which carried out the operation 
 contract in the event that the commitments are made by the parent company</t>
  </si>
  <si>
    <t>CdEntSuccOri</t>
  </si>
  <si>
    <t>LC.0475</t>
  </si>
  <si>
    <t>TA H8ENTITY</t>
  </si>
  <si>
    <t>Demandé pour les entités qui ont des succursales (ex : CACEIS)</t>
  </si>
  <si>
    <t>Required for entities that have branches (eg: CACEIS)</t>
  </si>
  <si>
    <t>F1 99.99</t>
  </si>
  <si>
    <t>ZoneLibre99</t>
  </si>
  <si>
    <t>F2</t>
  </si>
  <si>
    <t>0.1 (F2)</t>
  </si>
  <si>
    <t>CALCULS PRUDENTIELS, RISQUES SYSTEMIQUES</t>
  </si>
  <si>
    <t>0.2 (F2)</t>
  </si>
  <si>
    <t>0.3 (F2)</t>
  </si>
  <si>
    <t>0.4 (F2)</t>
  </si>
  <si>
    <t>0.5 (F2)</t>
  </si>
  <si>
    <t>0.6 (F2)</t>
  </si>
  <si>
    <t>Valeur admise : 'F2' (Domaine Détail autorisations)</t>
  </si>
  <si>
    <t>Permitted value: 'F2' (Facilities Detail Section)</t>
  </si>
  <si>
    <t>Si renseignée, la donnée doit être égale à 'F2'</t>
  </si>
  <si>
    <t>If filled in, the data must be equal to 'F2'</t>
  </si>
  <si>
    <t>0.7 (F2)</t>
  </si>
  <si>
    <t>0.8 (F2)</t>
  </si>
  <si>
    <t>0.9 (F2)</t>
  </si>
  <si>
    <t>La donnée est obligatoire si le Type d'enregistrement [0.6 (F2)] est différent de 'C1' et de 'Z9', et que, dans la table START "TA 0990 KVAPPBK", KVBAPPID commence par 'CACI' pour le KVAPPBK valant la concaténation "Entité porteuse de risque" [0.2 (F2)] et "Application source" [0.3 (F2)]</t>
  </si>
  <si>
    <t>The data is mandatory if the record type [0.6 (F2)] is different from 'C1' and 'Z9', and in the START table "TA 0990 KVAPPBK", KVBAPPID starts with 'CACI' for the KVAPPBK with the concatenation 'Risk taker entity' [0.2 (F2)]and 'Source application' [0.3 (F2)]</t>
  </si>
  <si>
    <t>Si renseignée, et si le type d'enregistrement [0.6 (F2] est différent de 'C1' et de 'Z9' :
1/ Si dans la table START "TA 0990 KVAPPBK", KVBAPPID commence par 'CACI' pour le KVAPPBK valant la concaténation "Entité porteuse de risque" [0.2 (F2)] et "Application source" [0.3 (F2)], alors, dans la table START "TA TMTAKOBU", la concaténation 'CA-CIB' + un blanc + [0.9 (F2)] + "_" + [0.2 (F2)] doit être présente dans le champ TMNOMOBU.
2/ Sinon, dans la table START "TA TMTAKOBU", la concaténation des 9 premiers caractères du BAPPID + '_' + 0.9 (F2)] doit être présente dans le champ TMNOMOBU.</t>
  </si>
  <si>
    <t>If filled in, and the type of record [0.6 (F2] is different from 'C1' and 'Z9':
1/ If in the START table "TA 0990 KVAPPBK", KVBAPPID starts with "CACI" for the KVAPPBK with the concatenation "risk carrying Entity" [0.2 (F2)] and "Source application" [0.3 (F2)], then in the START table "TA TMTAKOBU", the concatenation 'CA-CIB' + a blank + [0.9 (F2)] + "_" + [0.2 (F2)] must be present in the TMNOMOBU field.
2/ Otherwise, in the START table "TA TMTAKOBU", the concatenation of the first 9 characters of the BAPPID + '_' + [0.9 (F2)] must be present in the TMNOMOBU field.</t>
  </si>
  <si>
    <t>0.99 (F2)</t>
  </si>
  <si>
    <t>1.1 (F2)</t>
  </si>
  <si>
    <t>1.2 (F2)</t>
  </si>
  <si>
    <t>Identifiant fourni par DRG dans le fichier mensuel Référentiel ‘Tiers groupes' transmis aux entités émettrices du flux.
Obligatoire pour une entité émettrice d'un flux FTCA</t>
  </si>
  <si>
    <t>S'il est renseigné, l'identifiant doit correspondre à un enregistrement dans l'objet associé, indépendamment de l'entité
---
Le tiers doit exister (présence du tiers dans TIGRE)
---
Le couple identifiant local / central (1.1 (F1) et 1.2 (F1)) doit exister dans TIGRE</t>
  </si>
  <si>
    <t>If it is filled in, the identifier must correspond to a record in the associated object, regardless of the entity
---
The third-party must exist (presence of the third-party in TIGRE)
---
The local/central identifier pair (1.1 (F1) and 1.2 (F1)) must exist in TIGRE</t>
  </si>
  <si>
    <t>1.4 (F2)</t>
  </si>
  <si>
    <t>Unicité absolue de la donnée au sein du lot</t>
  </si>
  <si>
    <t>Data absolutely has to be unique within the batch</t>
  </si>
  <si>
    <t>ASTRE, CALCULS PRUDENTIELS, PALMA</t>
  </si>
  <si>
    <t>S'il est renseigné, l'identifiant doit correspondre à un enregistrement dans l'objet associé, indépendamment de l'entité</t>
  </si>
  <si>
    <t>If it is filled in, the identifier must correspond to a record in the associated object, regardless of the entity</t>
  </si>
  <si>
    <t>TI0003</t>
  </si>
  <si>
    <t>1.6 (F2)</t>
  </si>
  <si>
    <t>Dans le cadre du PACT Interlot, l'identifiant de la ligne d'autorisation doit être unique.
---
Vérification de l'unicité absolue de la donnée au sein du lot (i.e. pas de doublons de [EN0106], ni d'égalité, après complément par des blancs, avec une des valeurs prises par [EN0111], [EN0104], [EN0108] ou encore [EN0116])
---
L'identifiant renseigné doit être unique au sein de l'entité porteuse de risque
---
Unicité absolue de la donnée au sein du lot</t>
  </si>
  <si>
    <t>In the "interlot" scope, the value of authorization line identification must be unique.
---
Verification of the absolute uniqueness of the data within the batch (i.e. no duplicates of [EN0106], nor of equality, after addition by blanks, with one of the values taken by [EN0111], [EN0104], [EN0108] or [EN0116])
---
The identifier provided must be unique within the entity carrying the risk
---
The data must be unique within the batch</t>
  </si>
  <si>
    <t>TC0266
TC0275
TU0001
TU0007</t>
  </si>
  <si>
    <t>1.8 (F2)</t>
  </si>
  <si>
    <t>1.11 (F2)</t>
  </si>
  <si>
    <t>1.16 (F2)</t>
  </si>
  <si>
    <t>1.99 (F2)</t>
  </si>
  <si>
    <t>1.98 (F2)</t>
  </si>
  <si>
    <t>1.97 (F2)</t>
  </si>
  <si>
    <t>F2 2.1</t>
  </si>
  <si>
    <t>Type de risque</t>
  </si>
  <si>
    <t>Risk type</t>
  </si>
  <si>
    <t>Codification du produit autorisé</t>
  </si>
  <si>
    <t>Coding of authorised product</t>
  </si>
  <si>
    <t>cdTypRis</t>
  </si>
  <si>
    <t>LC.0030</t>
  </si>
  <si>
    <t>TA KVTYPRIS</t>
  </si>
  <si>
    <t xml:space="preserve">Les encours P1 et P2 ont obligatoirement le même type de risque que celui de leur ligne de rattachement </t>
  </si>
  <si>
    <t xml:space="preserve">Outstanding amounts P1 and P2 must share the same risk type as their reporting line </t>
  </si>
  <si>
    <t>ANACREDIT, ASTRE, CALCULS PRUDENTIELS, DEI, GRR, RISQUES SYSTEMIQUES</t>
  </si>
  <si>
    <t>Si renseignée, la valeur doit être différente de 'DVP100'</t>
  </si>
  <si>
    <t>If filled, the value must be different from 'DVP100'</t>
  </si>
  <si>
    <t>TVS0707</t>
  </si>
  <si>
    <t>La valeur renseignée doit être cohérente avec l'objet métier (LC.0030 - TA 0990 Z8COTROM)</t>
  </si>
  <si>
    <t>The value filled must be consistent with the business object (LC.0030 - TA 0990 Z8COTROM)</t>
  </si>
  <si>
    <t>TCG0005</t>
  </si>
  <si>
    <t>F2 2.4</t>
  </si>
  <si>
    <t>Montant autorisé d'origine du client (tous produits)</t>
  </si>
  <si>
    <t>Client authorised initial amount (all products)</t>
  </si>
  <si>
    <t>mtCtOr</t>
  </si>
  <si>
    <t>Le Montant autorisé d'origine du client (tous produits) doit être inférieur ou égale au montant global du F1</t>
  </si>
  <si>
    <t>Client authorised initial amount must be less or equal than Initial overall amount of F1</t>
  </si>
  <si>
    <t>TC0063</t>
  </si>
  <si>
    <t>F2 2.5</t>
  </si>
  <si>
    <t>Montant autorisé révisé du client (tous produits)</t>
  </si>
  <si>
    <t>Client authorised revised amount (all products)</t>
  </si>
  <si>
    <t>MtRev</t>
  </si>
  <si>
    <t>Le Montant autorisé révisé du client (tous produits) doit être inférieur ou égale au montant global révisé du F1</t>
  </si>
  <si>
    <t>Client authorised revised amount must be less or equal than revised overall amount of F1</t>
  </si>
  <si>
    <t>TC0064</t>
  </si>
  <si>
    <t>F2 2.6</t>
  </si>
  <si>
    <t>Montant autorisé du client pour la ligne d'autorisation</t>
  </si>
  <si>
    <t>Client authorised amount for the facility line</t>
  </si>
  <si>
    <t>mtLigneAuto</t>
  </si>
  <si>
    <t>CALCULS PRUDENTIELS, DEI</t>
  </si>
  <si>
    <t>F2 2.7</t>
  </si>
  <si>
    <t>Devise de la ligne d'autorisation</t>
  </si>
  <si>
    <t>Currency of the facility line</t>
  </si>
  <si>
    <t>cdDevLigneAuto</t>
  </si>
  <si>
    <t>ANACREDIT, CALCULS PRUDENTIELS, DEI</t>
  </si>
  <si>
    <t>F2 2.9</t>
  </si>
  <si>
    <t>Identifiant local du bénéficiaire final de l'EPS</t>
  </si>
  <si>
    <t>Local ID of the ultimate beneficiary of the authorised signed undertaking</t>
  </si>
  <si>
    <t>Identifiant du bénéficiaire final de l'EPS dans le système local utilisé pour générer le flux</t>
  </si>
  <si>
    <t>ID of ultimate beneficiary in the local system used to generate the flow</t>
  </si>
  <si>
    <t>cdLocalBenefEPS</t>
  </si>
  <si>
    <t>La donnée doit être présente dans TIGRE</t>
  </si>
  <si>
    <t>Data must be present in TIGRE</t>
  </si>
  <si>
    <t>F2 2.10</t>
  </si>
  <si>
    <t>Identifiant central du bénéficiaire final de l'EPS</t>
  </si>
  <si>
    <t>Central ID of the ultimate beneficiary of the authorised signed undertaking</t>
  </si>
  <si>
    <t>Identifiant du bénéficiaire final de l'EPS dans le système central DRG</t>
  </si>
  <si>
    <t>ID of the ultimate beneficiary in the Group Risk Management Division IT system</t>
  </si>
  <si>
    <t>cdCentralBenefEPS</t>
  </si>
  <si>
    <t>S'il est renseigné, l'identifiant doit correspondre à un enregistrement dans l'objet associé, indépendamment de l'entité
---
Le tiers doit exister (présence du tiers dans TIGRE)
---
Le couple identifiant local / central (F2 2.9 et F2 2.10) doit exister dans TIGRE</t>
  </si>
  <si>
    <t>If it is filled in, the identifier must correspond to a record in the associated object, regardless of the entity
---
The third-party must exist (presence of the third-party in TIGRE)
---
The local/central identifier pair (F2 2.9 and F2 2.10) must exist in TIGRE</t>
  </si>
  <si>
    <t>F2 2.17</t>
  </si>
  <si>
    <t>Méthodologie Bâloise</t>
  </si>
  <si>
    <t>Basel methodology</t>
  </si>
  <si>
    <t>Correspond à la méthode de calcul des risques pondérés dans Bâle</t>
  </si>
  <si>
    <t>Represents the risk-weighted asset calculation method in Basel 2</t>
  </si>
  <si>
    <t>cdMetBal</t>
  </si>
  <si>
    <t>LC.0068</t>
  </si>
  <si>
    <t xml:space="preserve">TA KVBAL22 </t>
  </si>
  <si>
    <t>F2 2.18</t>
  </si>
  <si>
    <t>Traitement moteur bâlois</t>
  </si>
  <si>
    <t>Basel engine treatment</t>
  </si>
  <si>
    <t>Correspond au traitement moteur de calcul des RWA Bâlois</t>
  </si>
  <si>
    <t>Represents treatment by the Basel 2 RWA calculation engine</t>
  </si>
  <si>
    <t>cdTraitMot</t>
  </si>
  <si>
    <t>LC.0154</t>
  </si>
  <si>
    <t>TA KVTBALE</t>
  </si>
  <si>
    <t>Cette donnée permet d'indiquer le traitement Bâle II associé à la méthodologie</t>
  </si>
  <si>
    <t>This data makes it possible to indicate the Basel II treatment associated with the methodology</t>
  </si>
  <si>
    <t>Si renseignée, alors la donnée doit être cohérente avec la donnée Méthodologie Bâloise [F2 2.17] (LC.0154 - TA 0990 KVCOTMMC)</t>
  </si>
  <si>
    <t>If filled, then the data must be consistent with Basel methodology [F2 2.17] (LC.0154 - TA 0990 KVCOTMMC)</t>
  </si>
  <si>
    <t>TCS0702</t>
  </si>
  <si>
    <t>F2 2.19</t>
  </si>
  <si>
    <t>F2 2.99</t>
  </si>
  <si>
    <t>F2 3.1</t>
  </si>
  <si>
    <t>Date de début de validité de la ligne</t>
  </si>
  <si>
    <t>Start date of validity of line</t>
  </si>
  <si>
    <t>dtDebEng</t>
  </si>
  <si>
    <t>&gt;= [F1 3.1] du chapeau d'autorisation associé</t>
  </si>
  <si>
    <t>&gt;= [F1 3.1] of the associated authorization cap</t>
  </si>
  <si>
    <t>TC0304</t>
  </si>
  <si>
    <t>F2 3.2</t>
  </si>
  <si>
    <t>Date limite de tirage de la ligne</t>
  </si>
  <si>
    <t>Line draw-down cut-off date</t>
  </si>
  <si>
    <t>dtLimitTiraLigne</t>
  </si>
  <si>
    <t>Par défaut, F2 3.2 = F2 3.3 (date limite de tirage = date de fin de validité)</t>
  </si>
  <si>
    <t>By default, F2 3.2 = F2 3.3 (last draw-down date = date of expiry)</t>
  </si>
  <si>
    <t>ANACREDIT, DEI, GRR</t>
  </si>
  <si>
    <t>La Date limite de tirage de la ligne [F2 3.2] doit être antérieure ou égale à la date de fin de validité de la ligne [F2 3.3]</t>
  </si>
  <si>
    <t>The Line draw-down cut-off date [F2 3.2] must be before or equal to the Date of expiry of line [F2 3.3]</t>
  </si>
  <si>
    <t>TCS0703</t>
  </si>
  <si>
    <t>Si renseignée, &lt;= [F1 3.2] du chapeau d'autorisation associé</t>
  </si>
  <si>
    <t>If filled in, &lt;= [F1 3.2] of the associated authorization cap</t>
  </si>
  <si>
    <t>TC0305</t>
  </si>
  <si>
    <t>F2 3.3</t>
  </si>
  <si>
    <t>Date de fin de validité de la ligne</t>
  </si>
  <si>
    <t>Date of expiry of line</t>
  </si>
  <si>
    <t>dtFinEng</t>
  </si>
  <si>
    <t>ANACREDIT, CALCULS PRUDENTIELS, DEI, GRR</t>
  </si>
  <si>
    <t>&lt;= [F1 3.3] du chapeau d'autorisation associé</t>
  </si>
  <si>
    <t>&lt;= [F1 3.3] of the associated authorization cap</t>
  </si>
  <si>
    <t>TC0306</t>
  </si>
  <si>
    <t>F2 3.4</t>
  </si>
  <si>
    <t>Durée maximale de l'engagement</t>
  </si>
  <si>
    <t>Maximum length of commitment</t>
  </si>
  <si>
    <t>Période, en nombre de jours, définissant la durée maximale de l'engagement</t>
  </si>
  <si>
    <t>Period, in number of days, defining the maximum length of the commitment</t>
  </si>
  <si>
    <t>prdMaxEng</t>
  </si>
  <si>
    <t>F2 3.99</t>
  </si>
  <si>
    <t>F2 6.1</t>
  </si>
  <si>
    <t>Devise ou panier de devises de restriction de la ligne d'autorisation</t>
  </si>
  <si>
    <t>Restriction currency basket or currency of facility line</t>
  </si>
  <si>
    <t>Permet de préciser une devise ou un panier de devise autorisé pour l'utilisation de la ligne</t>
  </si>
  <si>
    <t>Makes it possible to specify an authorised currency basket or currency for line usage</t>
  </si>
  <si>
    <t>cdDevRestrLigneAuto</t>
  </si>
  <si>
    <t>Valeur par défaut = '*DV'</t>
  </si>
  <si>
    <t>Default value = '*DV'</t>
  </si>
  <si>
    <t>SI RISQUE</t>
  </si>
  <si>
    <t>F2 6.2</t>
  </si>
  <si>
    <t>Liquidité par défaut</t>
  </si>
  <si>
    <t>Default liquidity</t>
  </si>
  <si>
    <t>Indique le délai prévisible de réalisation de notre engagement sur le marché en cas de revente</t>
  </si>
  <si>
    <t>Indicates the expected timeframe required to sell our commitment on the market in the event of resale</t>
  </si>
  <si>
    <t>cdLiquiDefaut</t>
  </si>
  <si>
    <t>LC.0031</t>
  </si>
  <si>
    <t>TA KVLIQU</t>
  </si>
  <si>
    <t>Valeur par défaut ‘0'</t>
  </si>
  <si>
    <t>Default value ‘0'</t>
  </si>
  <si>
    <t>F2 6.3</t>
  </si>
  <si>
    <t>Note de la transaction autorisée</t>
  </si>
  <si>
    <t>Rating of authorised transaction</t>
  </si>
  <si>
    <t>Permet de tenir compte du contexte particulier de l'opération afin de modifier (en général améliorer) la note qui sera prise en compte pour qualifier le risque pris par l'établissement</t>
  </si>
  <si>
    <t>Makes it possible to take account of the particular circumstances of the transaction in order to change (in general upgrade) the rating to be used to assess the risk taken on by the institution</t>
  </si>
  <si>
    <t>cdNoteTrans</t>
  </si>
  <si>
    <t>F2 4.1</t>
  </si>
  <si>
    <t>Montant du Add-on affacturage</t>
  </si>
  <si>
    <t>Amount of the Add-on factoring</t>
  </si>
  <si>
    <t>Amount of Add-on factoring</t>
  </si>
  <si>
    <t>mtAddAff</t>
  </si>
  <si>
    <t>Spécifique à l'affacturage dans le cadre de l'IRB avancé</t>
  </si>
  <si>
    <t>Specific to factoring for advanced IRB</t>
  </si>
  <si>
    <t>Si Montant du Add-on affacturage [F2 4.1] est renseigné, alors Méthodologie Bâloise [F2 2.17] = ‘IRB A'</t>
  </si>
  <si>
    <t>If Amount of the Add-on factoring [F2 4.1] is filled, then Basel methodology [F2 2.17] = ‘IRB A'</t>
  </si>
  <si>
    <t>TCS0704</t>
  </si>
  <si>
    <t>F2 4.2</t>
  </si>
  <si>
    <t>Devise du montant du Add-on affacturage</t>
  </si>
  <si>
    <t>Currency of the Add-on factoring</t>
  </si>
  <si>
    <t>Currency of the amount of the Add-on factoring</t>
  </si>
  <si>
    <t>cdDevMtAddAff</t>
  </si>
  <si>
    <t>La donnée est obligatoire si le Montant du Add-on affacturage [F2 4.1] est renseigné</t>
  </si>
  <si>
    <t>The data is mandatory if Amount of the Add-on factoring [F2 4.1] is filled in</t>
  </si>
  <si>
    <t>F2 4.3</t>
  </si>
  <si>
    <t xml:space="preserve">Référence du contrat d'octroi </t>
  </si>
  <si>
    <t>Codification libre</t>
  </si>
  <si>
    <t>Free codification</t>
  </si>
  <si>
    <t>ANACREDIT, MREL</t>
  </si>
  <si>
    <t>F2 4.4</t>
  </si>
  <si>
    <t>Code consolidation de l'entité de l'autorisation chapeau rattachée</t>
  </si>
  <si>
    <t>Entity consolidation code of the attached cap authorization</t>
  </si>
  <si>
    <t>Code consolidation de l'entité Entité Porteuse de Risques déclarant l'autorisation chapeau F1</t>
  </si>
  <si>
    <t>Consolidation Code of Risk taker Entity Declaring Cap F1 Authorization</t>
  </si>
  <si>
    <t>cdConsoEntAuto</t>
  </si>
  <si>
    <t>Besoin CACIB.
Obligatoire si absence de l'autorisation chapeau F1 dans le lot de l'entité déclarant la ligne d'autorisation F2 (cas par ex d'une autorisation accordée par une maison mère à ces filiales ou à une autre entité du Groupe dans le cadre d'un contrat de sous-traitance), l'autorisation chapeau sera déclarée par la maison mère sous son code consolidation. Les flilales
entités déclareront les lignes d'autorisation F2 rattachées à leurs encours en indiquant la référence de l'autorisation chapeau de la maison mère dans la donnée [F2 1.4 - Référence de l'Autorisation Mise En Place] et dans le code entité de la maison mère dans la donnée [F2 4.4 - Code consolidation de l'entité de l'autorisation chapeau rattachée].
laisser à vide si sans objet</t>
  </si>
  <si>
    <t>Zone reserved for CACIB.
Mandatory if absence of the F1 cap authorization in the batch of the entity declaring the F2 authorization line (case for example of an authorization granted by a parent company to these subsidiaries or to another Group entity within the framework of a subcontract), the cap authorization will be declared by the parent company under its consolidation code. The subsidiaries 
 entities will declare the F2 authorization lines attached to their outstandings by indicating the reference of the parent company's hat authorization in the data [F2 1.4 - Overall facility reference ] and in the entity code of the parent company in the data [F2 4.4 - Entity consolidation code of the attached cap authorization]. 
Leave empty if not concerned</t>
  </si>
  <si>
    <t>Dans le cadre du flux Interlot, le code consolidation de l'entité sur la ligne d'autorisation doit faire référence à un lot avec l'autorisation liée.</t>
  </si>
  <si>
    <t>In the Interlot flow, the consolidation code of the entity on the authorization line must refer to a batch with the linked authorization.</t>
  </si>
  <si>
    <t>TC0273</t>
  </si>
  <si>
    <t>F2 4.5</t>
  </si>
  <si>
    <t>F2 4.6</t>
  </si>
  <si>
    <t>F2 99.99</t>
  </si>
  <si>
    <t>43</t>
  </si>
  <si>
    <t>P1</t>
  </si>
  <si>
    <t>0.1 (P1)</t>
  </si>
  <si>
    <t>CALCULS PRUDENTIELS, CONGLOMERATS, CORFOU, LOAN TAPE, NZBA, RISQUE PHYSIQUE, RISQUES SYSTEMIQUES</t>
  </si>
  <si>
    <t>EQU101
EQU201
ISS100
ISS200 et 300
TRE100
TRE2 à 4XX hors 203,205,206,207
TRE203, 205, 207
TRE206
TRE5XX
SIG
VAR*
INT</t>
  </si>
  <si>
    <t>0.2 (P1)</t>
  </si>
  <si>
    <t>Represents the accounting consolidation code of the Entity bearing risks in the financial statements of Crédit Agricole S.A.</t>
  </si>
  <si>
    <t>ALMM, CALCULS PRUDENTIELS, CONGLOMERATS, CORFOU, LOAN TAPE, NPE, NSFR, NZBA, PALMA, RISQUES SYSTEMIQUES, SRB VALUATION</t>
  </si>
  <si>
    <t>0.3 (P1)</t>
  </si>
  <si>
    <t>0.4 (P1)</t>
  </si>
  <si>
    <t>0.5 (P1)</t>
  </si>
  <si>
    <t>0.6 (P1)</t>
  </si>
  <si>
    <t>Valeur admise : 'P1' (Domaine Engagement)</t>
  </si>
  <si>
    <t>Accepted value: 'P1' (Funds in use domain)</t>
  </si>
  <si>
    <t>Si renseignée, la donnée doit être égale à 'P1'</t>
  </si>
  <si>
    <t>If filled in, the data must be equal to 'P1'</t>
  </si>
  <si>
    <t>0.7 (P1)</t>
  </si>
  <si>
    <t>0.8 (P1)</t>
  </si>
  <si>
    <t>A renseigner pour CASAes. Pour les autres entités, ne pas renseigner</t>
  </si>
  <si>
    <t>To be filled in for CASAes. For other entities, do not enter</t>
  </si>
  <si>
    <t>LIQUIDITE, PALMA</t>
  </si>
  <si>
    <t>La donnée est obligatoire si l'entité porteuse de risques [0.2 (P1)] est égale à '00018'</t>
  </si>
  <si>
    <t>The data is mandatory if Risk taker entity [0.2 (P1)] is equal to '00018'</t>
  </si>
  <si>
    <t>TPS0735</t>
  </si>
  <si>
    <t>0.9 (P1)</t>
  </si>
  <si>
    <t>Réservé CACIB - laisser à vide si non concerné</t>
  </si>
  <si>
    <t>CACIB Reserved - leave empty if not concerned</t>
  </si>
  <si>
    <t>La donnée est obligatoire si le Type d'enregistrement [0.6 (P1)] est différent de 'C1' et de 'Z9', et que, dans la table START "TA 0990 KVAPPBK", KVBAPPID commence par 'CACI' pour le KVAPPBK valant la concaténation "Entité porteuse de risque" [0.2 (P1)] et "Application source" [0.3 (P1)]</t>
  </si>
  <si>
    <t>The data is mandatory if the record type [0.6 (P1)] is different from 'C1' and 'Z9', and in the START table "TA 0990 KVAPPBK", KVBAPPID starts with 'CACI' for the KVAPPBK with the concatenation 'Risk taker entity' [0.2 (P1)]and 'Source application' [0.3 (P1)]</t>
  </si>
  <si>
    <t>Si renseignée, et si le type d'enregistrement [0.6 (P1] est différent de 'C1' et de 'Z9' :
1/ Si dans la table START "TA 0990 KVAPPBK", KVBAPPID commence par 'CACI' pour le KVAPPBK valant la concaténation "Entité porteuse de risque" [0.2 (P1)] et "Application source" [0.3 (P1)], alors, dans la table START "TA TMTAKOBU", la concaténation 'CA-CIB' + un blanc + [0.9 (P1)] + "_" + [0.2 (P1)] doit être présente dans le champ TMNOMOBU.
2/ Sinon, dans la table START "TA TMTAKOBU", la concaténation des 9 premiers caractères du BAPPID + '_' + 0.9 (P1)] doit être présente dans le champ TMNOMOBU.</t>
  </si>
  <si>
    <t>If filled in, and the type of record [0.6 (P1] is different from 'C1' and 'Z9':
1/ If in the START table "TA 0990 KVAPPBK", KVBAPPID starts with "CACI" for the KVAPPBK with the concatenation "risk carrying Entity" [0.2 (P1)] and "Source application" [0.3 (P1)], then in the START table "TA TMTAKOBU", the concatenation 'CA-CIB' + a blank + [0.9 (P1)] + "_" + [0.2 (P1)] must be present in the TMNOMOBU field.
2/ Otherwise, in the START table "TA TMTAKOBU", the concatenation of the first 9 characters of the BAPPID + '_' + [0.9 (P1)] must be present in the TMNOMOBU field.</t>
  </si>
  <si>
    <t>0.99 (P1)</t>
  </si>
  <si>
    <t>1.1 (P1)</t>
  </si>
  <si>
    <t>Vérification présence d'un enregistrement de type C1 avec même identifiant dans le lot (Sauf entité émettrice d'un flux FTCA)
Dans le cas de détention de titres, le tiers en risque correspond à l'émetteur du titre</t>
  </si>
  <si>
    <t>Check that there is a C1-type record with the same identifier in the batch (except entity issuing a FTCA flow)
In the case of holdings of securities, the third party in risk corresponds to the issuer of the security</t>
  </si>
  <si>
    <t>CONGLOMERATS, DEI, NSFR, OMP, PALMA, SRB VALUATION</t>
  </si>
  <si>
    <t>La donnée doit être présente dans TIGRE
---
L'Identifiant local du tiers en risque doit etre identique à l'Identifiant local du tiers en risque du F2 lié</t>
  </si>
  <si>
    <t>Data must be present in TIGRE
---
The local ID of the third party in risk must be identical to the local ID of the third party in risk of the linked F2</t>
  </si>
  <si>
    <t>7
6</t>
  </si>
  <si>
    <t>TIG0002
TC0262</t>
  </si>
  <si>
    <t>1.2 (P1)</t>
  </si>
  <si>
    <t>Identifiant central fourni par la DRG dans le fichier mensuel Référentiel ‘Tiers&amp;Groupes' (DTG) transmis aux entités émettrices du flux
Le tiers en risque correspond à l'émetteur du titre pour les types de risques (EQU101, EQU201, ISS100, ISS200 et 300 et TRE100)
Obligatoire pour une entité émettrice d'un flux FTCA</t>
  </si>
  <si>
    <t>Central identifier provided by the DRG in the monthly "Third Party&amp;Group" repository (DTG) file sent to the flow issuing
The third party in risk corresponds to the issuer of the security for the risk types (EQU101, EQU201, ISS100, ISS200 and 300 and TRE100)
Mandatory for an entity issuing an FTCA flow</t>
  </si>
  <si>
    <t>ALMM, ASTRE, CONGLOMERATS, NPE, NSFR, RISQUE PHYSIQUE, RISQUES SYSTEMIQUES</t>
  </si>
  <si>
    <t>S'il est renseigné, l'identifiant doit correspondre à un enregistrement dans l'objet associé, indépendamment de l'entité
---
La donnée doit être présente dans TIGRE
---
Le couple identifiant local / central (1.1 (P1) et 1.2 (P1)) doit exister dans TIGRE</t>
  </si>
  <si>
    <t>If it is filled in, the identifier must correspond to a record in the associated object, regardless of the entity
---
Data must be present in TIGRE
---
The local/central identifier pair (1.1 (P1) and 1.2 (P1)) must exist in TIGRE</t>
  </si>
  <si>
    <t>TI0003
TIG0002
TIG0004</t>
  </si>
  <si>
    <t>1.4 (P1)</t>
  </si>
  <si>
    <t xml:space="preserve">Facility reference </t>
  </si>
  <si>
    <t>Correspond à la référence unique de l'autorisation mise en place dans le système émetteur</t>
  </si>
  <si>
    <t>1.6 (P1)</t>
  </si>
  <si>
    <t>A renseigner si l'engagement est lié à une autorisation et donc à une ligne de détail</t>
  </si>
  <si>
    <t>To be completed if the funds in use is linked to an authorization and therefore to a detail line</t>
  </si>
  <si>
    <t>ASTRE, CALCULS PRUDENTIELS, CONGLOMERATS, NPE, NSFR, RISQUES SYSTEMIQUES</t>
  </si>
  <si>
    <t>TRE2 à 4XX hors 203,205,206,207
TRE203, 205, 207
TRE206
TRE5XX
SIG
VAR*
INT</t>
  </si>
  <si>
    <t>La ligne d'autorisation associée au P1 doit exister dans le flux F2</t>
  </si>
  <si>
    <t>The authorization line associated with P1 must exist in the flow F2</t>
  </si>
  <si>
    <t>TI0123</t>
  </si>
  <si>
    <t>15 - Caractéristiques Sureté</t>
  </si>
  <si>
    <t>15 - Safety characteristics</t>
  </si>
  <si>
    <t>1.8 (P1)</t>
  </si>
  <si>
    <t>ID of mitigant received</t>
  </si>
  <si>
    <t>Leave unladen</t>
  </si>
  <si>
    <t>1.11 (P1)</t>
  </si>
  <si>
    <t>Commitment identifier</t>
  </si>
  <si>
    <t>Pour un lot déterminé, l'identifiant de l'engagement doit être unique au sein du lot et et ne doit pas avoir de référence de ligne d'autorisation, d'encours, de garantie ou de provision ayant la même valeur dans le lot
L'identifiant doit être invariant dans le temps</t>
  </si>
  <si>
    <t xml:space="preserve">For a given batch, the funds in use identifier must be unique within the batch and must not have an authorization line, outstanding, guarantee or provision reference having the same value in the batch
The identifier must be time invariant </t>
  </si>
  <si>
    <t>ALMM, ASTRE, CALCULS PRUDENTIELS, CORFOU, ESG PILIER 3, LIQUIDITE, MREL, NPE, NSFR, NZBA, PALMA, RISQUE PHYSIQUE, SRB VALUATION</t>
  </si>
  <si>
    <t>L'identifiant renseigné doit être unique au sein de l'entité porteuse de risque
---
Il ne doit pas y avoir de doublon (quelque soit l'entité et quelque soit le flux)
---
Dans le cadre du flux Interlot, un engagement doit être rattaché à une ligne d'autorisation
---
Unicité absolue de la donnée au sein du lot</t>
  </si>
  <si>
    <t>The identifier provided must be unique within the entity carrying the risk
---
There should be no duplicates (whatever the entity and flow are)
---
Within the Interlot flow, a funds in use must be attached to an authorization line
--
The data must be unique within the batch</t>
  </si>
  <si>
    <t>TU0001
TU0003
TC0268
TU0007</t>
  </si>
  <si>
    <t>Pour la Grande Clientèle (P1/P2), si la combinaison de donnée n'est pas trouvée dans la matrice des règles de gestion C01, le contrôle doit se lever
---
Pour la Grande Clientèle (P1/P2), si la combinaison de donnée n'est pas trouvée dans la matrice des règles de gestion C14, le contrôle doit se lever</t>
  </si>
  <si>
    <t>For P1/P2, if the data combinaison is not found in the C01 business rules matrix, the control must trigger
---
For P1/P2, if the data combinaison is not found in the C14 business rules matrix, the control must trigger</t>
  </si>
  <si>
    <t>TC0C01
TC0C14</t>
  </si>
  <si>
    <t>1.16 (P1)</t>
  </si>
  <si>
    <t>1.99 (P1)</t>
  </si>
  <si>
    <t>1.98 (P1)</t>
  </si>
  <si>
    <t>1.97 (P1)</t>
  </si>
  <si>
    <t>P1 1.1</t>
  </si>
  <si>
    <t>Represents the risk-weighted asset calculation method in Basel</t>
  </si>
  <si>
    <t>ASTRE, CALCULS PRUDENTIELS, ESG PILIER 3, LOAN TAPE, NPE, OMP</t>
  </si>
  <si>
    <t xml:space="preserve">Si le type de risque [P1 2.0] 
- = 'EQU101' alors la donnée P1 1.1 = 'STD' ou 'IRB FT' ou 'NON RC'
- = 'EQU201' alors la donnée P1 1.1 = 'STD' ou 'NON RC'
- = 'ISS100' alors la donnée P1 1.1 = 'RM' ou 'NON RC'
- commence par 'INTxx' alors la donnée P1 1.1 = 'NON RC'
---
Si renseignée et si le type de risque [P1 2.0] = 'TRE2xx' à 'TRE4xx', 'ISS200', 'ISS300', 'SIG*' hors (TRE201,TRE203,TRE205, TRE206, TRE207) et le 'Portefeuille Bâle Opération' [P1 2.18] = '070' alors la donnée P1 1.1 = 'STD'
</t>
  </si>
  <si>
    <t xml:space="preserve">If the Risk type [P1 2.0] 
- = 'EQU101' then the data P1 1.1 = 'STD' or 'IRB FT' or 'NON RC'
- = 'EQU201' then data P1 1.1 = 'STD' or 'NON RC'
- = 'ISS100' then data P1 1.1 = 'RM' or 'NON RC'
- starts with 'INTxx' then the data P1 1.1 = 'NO RC'
---
If filled and if the Risk type [P1 2.0] = 'TRE2xx' to 'TRE4xx', 'ISS200', 'ISS300', 'SIG*' out (TRE201, TRE203, TRE205, TRE206, TRE207) and the 'Basel Operation Portfolio' [P1 2.18] = '070' then the data P1 1.1 = 'STD'
</t>
  </si>
  <si>
    <t>TVS0710
TVS0711</t>
  </si>
  <si>
    <t>P1 1.2</t>
  </si>
  <si>
    <t xml:space="preserve">Correspond au traitement moteur de calcul des RWA Bâlois </t>
  </si>
  <si>
    <t>Represents treatment by the Basel RWA calculation engine</t>
  </si>
  <si>
    <t>Non applicable pour les ISS100, renseigner avec la valeur '09' (Hors moteur)</t>
  </si>
  <si>
    <t>Not applicable for ISS100, enter the value '09' (excluding engine)</t>
  </si>
  <si>
    <t>CALCULS PRUDENTIELS, ESG PILIER 3</t>
  </si>
  <si>
    <t>Si le type de risque [P1 2.0] = 'ISS100', alors la donnée 'Traitement moteur bâlois' [P1 1.2] = '09'</t>
  </si>
  <si>
    <t>If Risk type [P1 2.0] = 'ISS100' then the data 'Basel engine treatment' [P1 1.2] = '09'</t>
  </si>
  <si>
    <t>TVS0712</t>
  </si>
  <si>
    <t>La valeur renseignée doit être cohérente avec la 'Méthodologie Bâloise' [P1 1.1] (LC.0154 - TA 0990 KVCOTMMC)</t>
  </si>
  <si>
    <t>Value filled must be consistent with the 'Basel Methodology' [P1 1.1] (LC.0154 - TA 0990 KVCOTTM)</t>
  </si>
  <si>
    <t>TCS0705</t>
  </si>
  <si>
    <t>P1 4.34</t>
  </si>
  <si>
    <t>Traitement GRR</t>
  </si>
  <si>
    <t>Large Exposure Treatment</t>
  </si>
  <si>
    <t>Permet de filtrer certains engagements du moteur GRR (pour faciliter les correctifs)</t>
  </si>
  <si>
    <t>Makes it possible to filter certain commitments of the Large Exposures engine (to facilitate corrections)</t>
  </si>
  <si>
    <t>cdTraitGRR</t>
  </si>
  <si>
    <t>Ce champ doit être utilisé pour gérer des cas d'exception et doit faire l'objet d'un accord de la DRG</t>
  </si>
  <si>
    <t>This field must be used to manage exceptions and must be subject to a DRG agreement</t>
  </si>
  <si>
    <t>GRR</t>
  </si>
  <si>
    <t>P1 2.0</t>
  </si>
  <si>
    <t>Classification de l'opération selon la nomenclature risque</t>
  </si>
  <si>
    <t>Classification of transaction on the basis of the risk nomenclature</t>
  </si>
  <si>
    <t>Les titres de créances sont classés en ISS200 ou ISS300, en norme française, en fonction de la durée de conservation de ces titres dans le bilan de l'établissement
Pour les types de risques (TRE100, TRE2xx à 4xx, TRE203,205,207, TRE206, TRE5xx, SIG, VAR (hors Repos), VAR105 et 302, INT) si l'engagement est lié à une autorisation, le type de risque est égal au type de risque de la ligne de détail associée (F2)</t>
  </si>
  <si>
    <t>Debts securities are classified in ISS200 or ISS300, in French standard, depending on the length of retention of these securities in the balance sheet of the institution
For risk types (TRE100, TRE2xx to 4xx, TRE203,205,207, TRE206, TRE5xx, SIG, VAR (excluding Rest), VAR105 and 302, INT) if the funds in use is linked to an authorization, the risk type is equal to the risk type of the associated detail line (F2)</t>
  </si>
  <si>
    <t>AER, ALMM, ANACREDIT, ASTRE, CALCULS PRUDENTIELS, CONGLOMERATS, CORFOU, DEI, ESG PILIER 3, GRR, LOAN TAPE, NPE, NSFR, OMP, PVA, RISQUES SYSTEMIQUES, SA-CCR, SHS, SRB VALUATION</t>
  </si>
  <si>
    <t>Si la donnée P1 2.0 = 'TRE2xx' à ‘TRE5xx' alors elle doit être identique au 'Type de risque' [F2 2.1] de l'objet métier F2 associé</t>
  </si>
  <si>
    <t>If the data item P1 2.0 = 'TRE2xx' to 'TRE5xx' then it must be identical to the 'risk Type' [F2 2.1] of the associated business object F2</t>
  </si>
  <si>
    <t>TC0065</t>
  </si>
  <si>
    <t>Pour la Grande Clientèle (P1), si la combinaison de donnée n'est pas trouvée dans la matrice des règles de gestion C25, le contrôle doit se lever
---
Si la combinaison de donnée n'est pas trouvée dans la matrice des règles de gestion C31, le contrôle doit se lever</t>
  </si>
  <si>
    <t>For P1, if the data combinaison is not found in the C25 business rules matrix, the control must trigger
---
If the data combinaison is not found in the C31 business rules matrix, the control must trigger</t>
  </si>
  <si>
    <t>TC0C25
TC0C31</t>
  </si>
  <si>
    <t>P1 2.4</t>
  </si>
  <si>
    <t>Portefeuille de booking Intention de Gestion</t>
  </si>
  <si>
    <t>Booking portfolio Management intent</t>
  </si>
  <si>
    <t>Désigne si l'opération appartient au banking book (portefeuille bancaire) ou au trading book (portefeuille de négociation)</t>
  </si>
  <si>
    <t>Indicates whether the deal belongs to banking book or trading book</t>
  </si>
  <si>
    <t>cdIntGest</t>
  </si>
  <si>
    <t>LC.0029</t>
  </si>
  <si>
    <t>TA KVINTENT</t>
  </si>
  <si>
    <t>AER, ANACREDIT, ASTRE, CALCULS PRUDENTIELS, CONGLOMERATS, CORFOU, DEI, ESG PILIER 3, GRR, LIQUIDITE, MREL, NPE, PALMA, PVA, RISQUES SYSTEMIQUES, SHS, SRB VALUATION</t>
  </si>
  <si>
    <t xml:space="preserve">Si le type de risque [P1 2.0] = 'EQU201', 'ISS200', 'ISS300', 'TRE100', alors la donnée 'Portefeuille de booking Intention de Gestion' [P1 2.4] = 'B' et si le type de risque = 'ISS100' alors la donnée 'Portefeuille de booking Intention de Gestion' [P1 2.4] = 'T'
---
Si le type de risque [P1 2.0] = 'EQU101' et si Méthodologie Bâloise [P1 1.1] = 'RM', alors la donnée 'Portefeuille de booking Intention de Gestion' [P1 2.4] = 'B' </t>
  </si>
  <si>
    <t xml:space="preserve">If Risk type [P1 2.0] = 'EQU201', 'ISS200', 'ISS300', 'TRE100', then the data 'Booking portfolio Management intent' [P1 2.4] = 'B' and if Risk type = 'ISS100' then the data 'Booking portfolio Management intent' [P1 2.4] = 'T'
---
If Risk type [P1 2.0] = 'EQU101' and if Basel methodology [P1 1.1] = 'RM', then the data 'Booking portfolio Management intent' [P1 2.4] = 'B' </t>
  </si>
  <si>
    <t>TVS0714
TVS0715</t>
  </si>
  <si>
    <t>P1 2.6</t>
  </si>
  <si>
    <t>Ligne Métier</t>
  </si>
  <si>
    <t>Business line</t>
  </si>
  <si>
    <t>Classification de l'opération selon la ligne Métier</t>
  </si>
  <si>
    <t>Classification of the transaction by business line</t>
  </si>
  <si>
    <t>cdLm</t>
  </si>
  <si>
    <t>Obligatoire (SC)</t>
  </si>
  <si>
    <t>Mandatory (SC)</t>
  </si>
  <si>
    <t>LC.0033</t>
  </si>
  <si>
    <t>TA KVMETIER</t>
  </si>
  <si>
    <t>Nomenclature définie par CACIB. Permet de distinguer les encours par ligne métier dans les outils de consolidation risques et notamment la distinction des lignes métier Leasing et Affacturage</t>
  </si>
  <si>
    <t>Nomenclature defined by CACIB. Allows to distinguish the outstandings by business line in the risk consolidation tools and in particular the distinction of business lines Leasing and Factoring</t>
  </si>
  <si>
    <t>ANACREDIT, CALCULS PRUDENTIELS, DEI, LIQUIDITE, MREL</t>
  </si>
  <si>
    <t>P1 2.18</t>
  </si>
  <si>
    <t>Portefeuille Bâle Opération</t>
  </si>
  <si>
    <t>Basel Transaction Portfolio</t>
  </si>
  <si>
    <t>Permet d'identifier le portefeuille de Bâle opération associé</t>
  </si>
  <si>
    <t>Identifies the associated transaction Basel portfolio</t>
  </si>
  <si>
    <t>ANACREDIT, ASTRE, CALCULS PRUDENTIELS, CONGLOMERATS, DEI, ESG PILIER 3, LOAN TAPE, NPE, OMP, PVA, SHS, SRB VALUATION</t>
  </si>
  <si>
    <t>EQU101
EQU201
ISS200 et 300
TRE100
TRE2 à 4XX hors 203,205,206,207
TRE203, 205, 207
TRE206
TRE5XX
SIG
VAR*
INT</t>
  </si>
  <si>
    <t>La donnée est obligatoire si le type de risque [P1 2.0] est égal à ('TRE100', 'TRE2xx', 'TRE3xx', 'TRE4xx', 'TRE5xx', 'SIGxxx', 'VARxxx', 'EQU201', 'ISS200', 'ISS300', 'INTxxx') OU (si le type de risque [P1 2.0] est égal à 'EQU101' ET si le 'Portefeuille de booking / Intention de Gestion' [P1 2.4] est égal à 'B' (Banking Book))</t>
  </si>
  <si>
    <t>The data is mandatory if Risk type [P1 2.0] is equal to ('TRE100', 'TRE2xx', 'TRE3xx', 'TRE4xx', 'TRE5xx', 'SIGxxx', 'VARxxx', 'EQU201', 'ISS200', 'ISS300', 'INTxxx') OR (if Risk type [P1 2.0] is equal to 'EQU101' AND if the 'Booking portfolio / Management intent' [P1 2.4] is equal to 'B' (Banking Book))</t>
  </si>
  <si>
    <t>TPS0736</t>
  </si>
  <si>
    <t>Si le 'Type de risque' [P1 2.0] =
- 'TRE100', 'VAR105', 'VAR302', 'INTxxx' alors la donnée P1 2.18 = '900'
- 'VARxxx' (hors 'VAR105' et 'VAR302') alors la donnée P1 2.18 = '900' ou '06x' ou '070'
- 'SIGxxx' hors SIG201', 'SIG206' alors la donnée P1 2.18 = '070' ou '900 ou '06x'
- 'SIG201', 'SIG206' alors la donnée P1 2.18 = '070' ou '900 ou '06x' ou '081'
- 'TRE2xx','TRE3xx','TRE4xx' (hors 'TRE203','TRE205','TRE206','TRE207','TRE405' et 'TRE406') alors la donnée P1 2.18 = '06x', '070', '090', '900' 
- 'TRE405', 'TRE406' alors la donnée P1 2.18 = '06x' ou '070' ou '090' ou '900' ou '080'
- 'TRE203', 'TRE205', 'TRE206', 'TRE207' alors la donnée P1 2.18 = '06x' ou '900' 
- 'TRE5xx' alors la donnée P1 2.18 = '06x' ou '900'
- 'ISS200', 'ISS300' alors la donnée P1 2.18 = '070' ou '077' ou '080' ou '081' ou '900' 
---
Si le 'Type de risque' [P1 2.0] = 'EQU201' alors la donnée P1 2.18 = '080'</t>
  </si>
  <si>
    <t>If the 'Risk type' [P1 2.0] =
- 'TRE100', 'VAR105', 'VAR302', 'INTxxx' then the data P1 2.18 = '900'
- 'VARxxx' (except 'VAR105' and 'VAR302') then the data P1 2.18 = '900' or '06x' or '070'
- 'SIGxxx' except 'SIG201', 'SIG206' then the data P1 2.18 = '070' or '900 or '06x'
- 'SIG201', 'SIG206' then the data P1 2.18 = '070' or '900 or '06x' or '081'
- 'TRE2xx','TRE3xx','TRE4xx' (except 'TRE203','TRE205','TRE206','TRE207','TRE405' and 'TRE406') then the data P1 2.18 = '06x', '070', '090', '900' 
- 'TRE405', 'TRE406' then the data P1 2.18 = '06x' or '070' or '090' or '900' or '080'
- 'TRE203', 'TRE205', 'TRE206', 'TRE207' then the data P1 2.18 = '06x' or '900' 
- 'TRE5xx' then the data P1 2.18 = '06x' or '900'
- 'ISS200', 'ISS300' then the data P1 2.18 = '070' or '077' or '080' or '081' or '900' 
---
If the 'Risk type' [P1 2.0] = 'EQU201' then the data P1 2.18 = '080'</t>
  </si>
  <si>
    <t>TVS0716
TVS0717</t>
  </si>
  <si>
    <t>Si le type de risque [P1 2.0] = 'EQU101' ET si le Portefeuille de booking / Intention de Gestion [P1 2.4] = 'B' (Banking Book), alors la donnée = '080'
OU
Si le type de risque [P1 2.0] = 'EQU101' ET si le Portefeuille de booking / Intention de Gestion [P1 2.4] = 'T' (Trading Book) alors la donnée ne doit pas être renseignée</t>
  </si>
  <si>
    <t>If Risk type [P1 2.0] = 'EQU101' AND if the 'Booking portfolio / Management intent' [P1 2.4] = 'B' (Banking Book) then the data = '080'
OR
If Risk type [P1 2.0] = 'EQU101' AND if the 'Booking portfolio / Management intent' [P1 2.4] = 'T' (Trading Book) then the data must be not filled</t>
  </si>
  <si>
    <t>TCS0706</t>
  </si>
  <si>
    <t>Pour la Grande Clientèle (P1/P2), si la combinaison de donnée n'est pas trouvée dans la matrice des règles de gestion C03, le contrôle doit se lever
---
Pour la Grande Clientèle (P1), si la combinaison de donnée n'est pas trouvée dans la matrice des règles de gestion C17, le contrôle doit se lever</t>
  </si>
  <si>
    <t>For P1/P2, if the data combinaison is not found in the C03 business rules matrix, the control must trigger
---
For P1, if the data combinaison is not found in the C17 business rules matrix, the control must trigger</t>
  </si>
  <si>
    <t>TC0C03
TC0C17</t>
  </si>
  <si>
    <t>P1 2.29</t>
  </si>
  <si>
    <t>NATure d'Opération de l'engagement</t>
  </si>
  <si>
    <t>Commitment Transaction Nature</t>
  </si>
  <si>
    <t>Correspond à la classification de l'encours selon la nomenclature Groupe CA "NATO" commune aux Risques et à la Comptabilité</t>
  </si>
  <si>
    <t>Represents the classification of outstanding amounts on the basis of the CA Group shared Risk and Accounting "NATO" (transaction nature) nomenclature</t>
  </si>
  <si>
    <t>cdNatOp</t>
  </si>
  <si>
    <t>LC.0064</t>
  </si>
  <si>
    <t xml:space="preserve">TA H8NATOPE
</t>
  </si>
  <si>
    <t>Il s'agit ici de la NATure d'Opération telle que déterminée et employée par l'entité dans son rapprochement comptabilité risques</t>
  </si>
  <si>
    <t>This is the NATure of Operation as determined and used by the entity in its accounting reconciliation Risks</t>
  </si>
  <si>
    <t>AER, ASTRE, CALCULS PRUDENTIELS, ESG PILIER 3, NPE, PVA</t>
  </si>
  <si>
    <t>Si renseignée, la donnée doit être cohérente avec la 'Méthodologie Bâloise' [P1 1.1] (LC.0064 - TA 0990 H8NATOPE (H8IRB, H8STD, H8IRBF))</t>
  </si>
  <si>
    <t>If filled in, the data must be consistent with the 'Basel Methodology' [P1 1.1] (LC.0064 - TA 0990 H8NATOPE (H8IRB, H8STD, H8IRBF))</t>
  </si>
  <si>
    <t xml:space="preserve">TC0051 </t>
  </si>
  <si>
    <t>Si la combinaison de donnée n'est pas trouvée dans la matrice des règles de gestion C11, le contrôle doit se lever
---
Si la combinaison de donnée n'est pas trouvée dans la matrice des règles de gestion C26, le contrôle doit se lever
---
Si la combinaison de donnée n'est pas trouvée dans la matrice des règles de gestion C28, le contrôle doit se lever</t>
  </si>
  <si>
    <t>If the data combinaison is not found in the C11 business rules matrix, the control must trigger
---
If the data combinaison is not found in the C26 business rules matrix, the control must trigger
---
If the data combinaison is not found in the C28 business rules matrix, the control must trigger</t>
  </si>
  <si>
    <t>TC0C11
TC0C26
TC0C28</t>
  </si>
  <si>
    <t>P1 3.2</t>
  </si>
  <si>
    <t>Date de début de l'engagement</t>
  </si>
  <si>
    <t>Start date of commitment</t>
  </si>
  <si>
    <t xml:space="preserve">Date de contractualisation </t>
  </si>
  <si>
    <t xml:space="preserve">Contract's inception date </t>
  </si>
  <si>
    <t>Pour les types de risques (EQU101, EQU201, ISS100, ISS200 et 300), date d'acquisition du titre. Par défaut, la date doit être celle de l'arrêté. Ex : "20110930"
Pour le type de risque TRE100, par convention, puisqu'il s'agit du solde d'un compte, c'est la date d'arrêté qui doit être renseignée
Pour les types de risques (TRE2 à 4XX, TRE203,205,207, TRE206, TRE5XX), date de mise en place de l'opération</t>
  </si>
  <si>
    <t>For risk types (EQU101, EQU201, ISS100, ISS200 and 300), the date of acquisition of the security. By default, the date must be the closing date. E.g., "20110930"
For the TRE100 risk type, by convention, since it is the balance of an account, the closing date must be filled in
For risk types (TRE2 to 4XX, TRE203,205,207, TRE206, TRE5XX), the date of implementation of the operation</t>
  </si>
  <si>
    <t>ACTIF VERT, ANACREDIT, ASTRE, CALCULS PRUDENTIELS, CONGLOMERATS, CORFOU, DEI, ESG PILIER 3, LIQUIDITE, LOAN TAPE, NPE, OMP, PALMA, PVA, RISQUES SYSTEMIQUES</t>
  </si>
  <si>
    <t>La Date de début de l'engagement [P1 3.2] doit être &lt; Date de fin de l'engagement [P1 3.4]
---
La donnée doit être inférieure ou égale à la date d'arrêté</t>
  </si>
  <si>
    <t>The Start date of commitment [P1 3.2] must be &lt; End date of commitment [P1 3.4]
—
Data must be lower or equal than closing date</t>
  </si>
  <si>
    <t>TCS0708
TCG0004</t>
  </si>
  <si>
    <t>P1 3.4</t>
  </si>
  <si>
    <t>Date de fin de l'engagement</t>
  </si>
  <si>
    <t>End date of commitment</t>
  </si>
  <si>
    <t>Date contractuelle d'échéance</t>
  </si>
  <si>
    <t>Contractual due date</t>
  </si>
  <si>
    <t>Pour les types de risques (EQU101, EQU201, ISS100), cette donnée sera renseignée avec la date par défaut, cad "99990630"
Pour les types de risques (ISS200 et 300), date d'échéance des titres
Pour les types de risques (TRE2 à 4XX, TRE203,205,207, TRE206), date d'échéance de l'opération
Pour le type de risque TRE5XX, date contractuelle d'échéance du crédit-bail location</t>
  </si>
  <si>
    <t>For risk types (EQU101, EQU201, ISS100), this data will be entered with the default date, cad "99990630"
For risk types (ISS200 and 300), the securities due date date
For risk types (TRE2 to 4XX, TRE203,205,207, TRE206), due date date of the operation
For risk type TRE5XX, contract date of lease credit due date leasing</t>
  </si>
  <si>
    <t>AER, ALMM, ANACREDIT, ASTRE, CALCULS PRUDENTIELS, CONGLOMERATS, CORFOU, DEI, ESG PILIER 3, LIQUIDITE, LOAN TAPE, NPE, NSFR, OMP, PALMA, PVA, RISQUES SYSTEMIQUES, SA-CCR, SHS, SRB VALUATION, YOSHIKUNI</t>
  </si>
  <si>
    <t>EQU101
EQU201
ISS100
ISS200 et 300
TRE100
TRE2 à 4XX hors 203,205,206,207
TRE203, 205, 207
TRE206
TRE5XX
SIG
VAR*</t>
  </si>
  <si>
    <t>Si la donnée est renseignée et si l'année de la date est égale à '9999', alors la donnée doit être égale à '99990630'
---
Si renseignée et si le type de risque [P1 2.0] = (EQU101, EQU201, ISS100), alors la Date de fin de l'engagement [P1 3.4] doit être égale à '99990630'</t>
  </si>
  <si>
    <t>If filled, and if the year of the date = '9999', then the data must be equal to '99990630'
---
If filled and if the risk type [P1 2.0] = (EQU101, EQU201, ISS100), then the End date of commitment [P1 3.4] must be equal to '99990630'</t>
  </si>
  <si>
    <t>TVG0008
TVS0719</t>
  </si>
  <si>
    <t>P1 16.6</t>
  </si>
  <si>
    <t>Pondération Bâloise de l'engagement (%)</t>
  </si>
  <si>
    <t>Basel weighting of commitment (%)</t>
  </si>
  <si>
    <t>Pondération Bâloise</t>
  </si>
  <si>
    <t>Basel weighting</t>
  </si>
  <si>
    <t>txPondeBal</t>
  </si>
  <si>
    <t>Ce champ sera utilisé : 
- pour les calculs IRB et STD des emplois pondérés des expositions de titrisation
- pour les calculs IRBA Corporate lorsque l'exposition est en défaut et que le champ ELBE n'est pas disponible</t>
  </si>
  <si>
    <t>This field will be used:
- for IRB and STD calculations of weighted uses of securitization exposures
- for IRBA Corporate calculations when the exposure is in default and the ELBE field is not available</t>
  </si>
  <si>
    <t>ISS200 et 300
TRExx hors 203, 205, 206 et 207
SIGxxx
VAR hors repos</t>
  </si>
  <si>
    <t>La donnée est obligatoire, si le type de risque [P1 2.0] est égal à 'ISS200', 'ISS300', 'TRExx' (hors 'TRE203', 'TRE205', 'TRE206', 'TRE207), 'SIGxxx', VAR hors repos ET si le Portefeuille Bâle Opération [P1 2.18] est égal à '070'</t>
  </si>
  <si>
    <t>The data is mandatory, if the risk type [P1 2.0] is equal to 'ISS200', 'ISS300', 'TRExx' (except 'TRE203', 'TRE205', ''TRE206', 'TRE207), 'SIGxxx', VAR except repos AND if the Basel Transaction Portfolio [P1 2.18] is equal to '070'</t>
  </si>
  <si>
    <t>TPS0737</t>
  </si>
  <si>
    <t>P1 18.1</t>
  </si>
  <si>
    <t>Loss Given Default (LGD)</t>
  </si>
  <si>
    <t>LGD calculé par l'entité</t>
  </si>
  <si>
    <t>LGD calculated by the entity</t>
  </si>
  <si>
    <t>txLGD</t>
  </si>
  <si>
    <t>Donnée utilisée par le moteur IRB A et utilisée pour les engagements de certaines activités du groupe
A renseigner uniquement pour les financements spécialisés en IRB A</t>
  </si>
  <si>
    <t>Data used by the IRB A engine and used for funds in use of certain Group activities
To be filled in only for specialized funding in IRB A</t>
  </si>
  <si>
    <t>CALCULS PRUDENTIELS, LOAN TAPE, SRB VALUATION</t>
  </si>
  <si>
    <t>ISS200 et 300
TRE2 à 4XX hors 203,205,206,207
TRE5XX
SIG
VAR (hors Repos)
INT</t>
  </si>
  <si>
    <t>La donnée est obligatoire, si le type de risque [P1 2.0] = ‘TRE2xx' à 'TRE4xx' (sauf ‘TRE203,205&amp;206,207'), 'TRE5xx', 'SIGxxx', 'ISS200', 'ISS300', ‘VARxxx' (hors VAR105 et VAR302) ET si la Méthodologie Bâloise [P1 1.1] = ‘IRB A' ET si le Portefeuille Bâlois - Opération [P1 2.18] = '06x'</t>
  </si>
  <si>
    <t>The data is mandatory, if the risk type [P1 2.0] = ‘TRE2xx' to 'TRE4xx' (except ‘TRE203,205&amp;206,207'), 'TRE5xx', 'SIGxxx', 'ISS200', 'ISS300', ‘VARxxx' (except VAR105 and VAR302) AND if the Basel methodology [P1 1.1] = ‘IRB A' AND if the Basel Transaction Portfolio [P1 2.18] = '06x'</t>
  </si>
  <si>
    <t>TPS0738</t>
  </si>
  <si>
    <t>Si renseignée, la donnée doit être comprise entre '0' et '150'</t>
  </si>
  <si>
    <t>If filled, data must be between '0' and '150'</t>
  </si>
  <si>
    <t>TVG0007</t>
  </si>
  <si>
    <t>P1 18.10</t>
  </si>
  <si>
    <t>Crédit Conversion Factor (CCF)</t>
  </si>
  <si>
    <t>Credit Conversion Factor (CCF)</t>
  </si>
  <si>
    <t>Crédit Conversion Factor (CCF)
Exprimé en %</t>
  </si>
  <si>
    <t>Integer portion of the CCF
Expressed as %</t>
  </si>
  <si>
    <t>txCCF</t>
  </si>
  <si>
    <t>A renseigner uniquement en IRB A</t>
  </si>
  <si>
    <t>To be filled in only in IRB A</t>
  </si>
  <si>
    <t>SIGxxx</t>
  </si>
  <si>
    <t>P1 18.5</t>
  </si>
  <si>
    <t>Montant de l'Exposition en cas de Défaut (EAD)</t>
  </si>
  <si>
    <t>Exposure At Default (EAD) amount</t>
  </si>
  <si>
    <t>mtEAD</t>
  </si>
  <si>
    <t>Obligatoire pour la titrisation</t>
  </si>
  <si>
    <t>Mandatory for securitisation</t>
  </si>
  <si>
    <t>ASTRE, CALCULS PRUDENTIELS, LOAN TAPE</t>
  </si>
  <si>
    <t xml:space="preserve">ISS200 et 300
TRE2 à 4XX hors 203,205,206,207
TRE5XX
SIG
</t>
  </si>
  <si>
    <t>La donnée est obligatoire si (le type de risque [P1 2.0] est égal à 'TRE2xx' à 'TRE4xx', 'ISS200', 'ISS300', 'SIGxxx' hors ('TRE203', 'TRE205', 'TRE206', 'TRE207')) ET si (le Portefeuille Bâle Opération [P1 2.18] est égal à '070')</t>
  </si>
  <si>
    <t>The data is mandatory if (Risk type [P1 2.0] is equal to 'TRE2xx' to 'TRE4xx', 'ISS200', 'ISS300', 'SIGxxx' except ('TRE203', 'TRE205', 'TRE206', 'TRE207')) AND if (the Basel Transaction Portfolio [P1 2.18] is equal to '070')</t>
  </si>
  <si>
    <t>TPS0739</t>
  </si>
  <si>
    <t>P1 18.17</t>
  </si>
  <si>
    <t>Devise du montant de l'Exposition en cas de Défaut (EAD)</t>
  </si>
  <si>
    <t>Exposure At Default (EAD) amount's currency</t>
  </si>
  <si>
    <t>cdDevMtEAD</t>
  </si>
  <si>
    <t>La donnée est obligatoire, si Montant de l'Exposition en cas de Défaut (EAD) [P1 18.5] est renseigné</t>
  </si>
  <si>
    <t>The data is mandatory, if Exposure At Default (EAD) amount [P1 18.5] is filled</t>
  </si>
  <si>
    <t>P1 18.18</t>
  </si>
  <si>
    <t>Devise d'origine du contrat</t>
  </si>
  <si>
    <t>Original currency of contract</t>
  </si>
  <si>
    <t>Devise de montant du contrat à l'origine</t>
  </si>
  <si>
    <t>Currency of the Initial amount of contract</t>
  </si>
  <si>
    <t>cdDevOrig</t>
  </si>
  <si>
    <t>Cette devise est indispensable. Utilisée pour les traitements Bâlois dans certaines conditions et pour la déclaration des Engagements Internationaux du Groupe
Pour le type de risques ISS100 uniquement, utilisée par le moteur de la Déclaration des Grands Risques</t>
  </si>
  <si>
    <t>This currency is critical. Used for Basel treatments under certain conditions and for reporting by the Group's International Funds in use
For the ISS100 risk type only, used by the Major Risks Declaration engine</t>
  </si>
  <si>
    <t>AER, ALMM, ANACREDIT, ASTRE, CALCULS PRUDENTIELS, DEI, GRR, LIQUIDITE, LOAN TAPE, MREL, NSFR, OMP, PALMA, SHS, SRB VALUATION</t>
  </si>
  <si>
    <t>P1 3.98</t>
  </si>
  <si>
    <t>Zone réservée locale</t>
  </si>
  <si>
    <t>Local reserved zone</t>
  </si>
  <si>
    <t>ZoneResLoc</t>
  </si>
  <si>
    <t>La constitution de ce champ et la maintenance de son contenu seront assurées par l'entité en collaboration avec le suivi métier</t>
  </si>
  <si>
    <t>The establishment of this field and the maintenance of its contents will be ensured by the entity in collaboration with the follow-up|monitoring business</t>
  </si>
  <si>
    <t xml:space="preserve">08 - Caractéristiques d'arriérés et de restructuration </t>
  </si>
  <si>
    <t>08 - Characteristics of overdues and restructuring</t>
  </si>
  <si>
    <t>P1 21.1</t>
  </si>
  <si>
    <t>Indicateur Type de Restructuration</t>
  </si>
  <si>
    <t>Restructuring Type Indicator</t>
  </si>
  <si>
    <t>Indicateur permettant d'identifier les encours ayant fait l'objet d'une restructuration, et préciser le type de celle-ci</t>
  </si>
  <si>
    <t>Indicator making it possible to identify outstanding amounts having been restructured, and specify type thereof</t>
  </si>
  <si>
    <t>cdTypRest</t>
  </si>
  <si>
    <t>LC.0112</t>
  </si>
  <si>
    <t>TA KVTRESTR</t>
  </si>
  <si>
    <t>Obligatoire en cas de restructuration (ex obligation d'état pour le type de risque ISS200 et 300)
L'origine de la restructuration devra être précisée par le Front Office dans l'accord de crédit</t>
  </si>
  <si>
    <t>Mandatory in case of restructuring (e.g. status obligation for risk type ISS200 and 300)
The origin of the restructuring must be specified by the Front Office in the credit agreement</t>
  </si>
  <si>
    <t>ANACREDIT, ASTRE, NPE, OMP</t>
  </si>
  <si>
    <t xml:space="preserve">ISS200 et 300
TRE2 à 4XX hors 203,205,206,207
TRE5XX
</t>
  </si>
  <si>
    <t>P1 21.2</t>
  </si>
  <si>
    <t>Date de Restructuration</t>
  </si>
  <si>
    <t>Date of Restructuring</t>
  </si>
  <si>
    <t>Correspond à la date à laquelle la restructuration a été validée par l'organe décisionnel compétent</t>
  </si>
  <si>
    <t>Represents the date on which the restructuring was approved by the competent decision-making body</t>
  </si>
  <si>
    <t>dtRest</t>
  </si>
  <si>
    <t>La donnée est obligatoire si la donnée Indicateur type de restructuration [P1 21.1] est renseignée</t>
  </si>
  <si>
    <t>The data is mandatory if the data Restructuring Standard Indicator [P1 21.1] is filled</t>
  </si>
  <si>
    <t>TPS0740</t>
  </si>
  <si>
    <t>P1 5.5</t>
  </si>
  <si>
    <t>Indicateur Arriéré de paiement</t>
  </si>
  <si>
    <t>Payment Arrears indicator</t>
  </si>
  <si>
    <t>Indicateur permettant de préciser si le montant remonté est de type arriéré (l'arriéré de paiement naît au 1er incident de paiement)</t>
  </si>
  <si>
    <t>Indicator making it possible to specify if the amount reported is an arrears (payment arrears begin with the first payment incident)</t>
  </si>
  <si>
    <t>cdInArrPai</t>
  </si>
  <si>
    <t>LC.0247</t>
  </si>
  <si>
    <t>TA KVIAP</t>
  </si>
  <si>
    <t>Pour les types de risques (EQU101, EQU201, ISS100, ISS200 et 300) : Non paiement des coupons
Pour les types de risques TRE2 à 4XX et TRE5XX : Impayé sur un prêt
Pour le type de risque TRE203, 205, 206, 207 : Valeur attendue 'N'
Pour le type de risque SIG : Non paiement de la commission d'engagement (donnée facultative).
Quand l'indicateur "Arriéré de paiement" est à ‘Y', la ligne est un arriéré de paiement.
Ce qui signifie que, quand sur un contrat, il y a un arriéré de paiement, il faut envoyer 2 lignes : 1 ligne avec le code à 'Y' et le montant d'impayés correspondant et 1 ligne avec le code à ‘N'et le montant d'engagement du contrat hors arriéré de paiement</t>
  </si>
  <si>
    <t>For the types of risks (EQU101, EQU201, ISS100, ISS200 and 300): Non payment of coupons
For types of risk TRE2 to 4XX and TRE5XX: Default on a loan
For the type of risk TRE203, 205, 206, 207: Expected value 'N'
For the type of SIG risk: Non payment of the commitment commission (optional data).
When the "Payment arrears" indicator is "Y", the line is payment arrears.
This means that, when there is a payment arrears on a contract, 2 lines must be sent: 1 line with the code at 'Y' and the corresponding amount of outstanding in payments arrears and 1 line with the code at 'N' and the contract commitment amount excluding payment arrears</t>
  </si>
  <si>
    <t>ANACREDIT, ASTRE, CALCULS PRUDENTIELS, DEI, GRR, LIQUIDITE, LOAN TAPE, OMP, SHS</t>
  </si>
  <si>
    <t>EQU101
ISS100
ISS200 et 300
TRE2 à 4XX hors 203,205,206,207
TRE203, 205, 207
TRE206
TRE5XX
SIG</t>
  </si>
  <si>
    <t>La donnée est obligatoire si le type de risque [P1 2.0] = 'TRE2xx' à 'TRE5xx'.
---
La donnée est obligatoire si le type de risque [P1 2.0] = 'EQU101', 'ISS100', 'ISS200', 'ISS300' ET si la Classification comptable de référence des actifs [P1 19.5] = 'CAM'</t>
  </si>
  <si>
    <t>The data is mandatory if Risk type [P1 2.0] = ‘TRE2xx' to ‘TRE5xx'.
---
The data is mandatory if Risk type [P1 2.0] = 'EQU101', 'ISS100', 'ISS200', 'ISS300' AND if the Reference accounting classification of assets [P1 19.5] = ‘CAM'</t>
  </si>
  <si>
    <t>TPS0741
TPS0742</t>
  </si>
  <si>
    <t>Si renseigné, ET si le type de risque [P1 2.0] = 'TRE206', alors Indicateur Arriéré de paiement [P1 5.5] = 'N'
---
Si renseigné, ET si le type de risque [P1 2.0] = 'TRE203', 'TRE205', 'TRE207', alors Indicateur Arriéré de paiement [P1 5.5] = 'N'</t>
  </si>
  <si>
    <t>If filled and if the risk type [P1 2.0] = 'TRE206', then the Payment Arrears indicator [P1 5.5] = 'N'
---
If filled and if the risk type [P1 2.0] = 'TRE203', 'TRE205', 'TRE207', then the Payment Arrears indicator [P1 5.5] = 'N'</t>
  </si>
  <si>
    <t>TVS0720
TVS0721</t>
  </si>
  <si>
    <t>P1 4.1</t>
  </si>
  <si>
    <t>Indicateur Impayé prudentiel</t>
  </si>
  <si>
    <t>Prudential past due indicator</t>
  </si>
  <si>
    <t>Indicateur permettant de préciser que l'opération est prudentiellement en arriéré de paiement de + de 90 jours</t>
  </si>
  <si>
    <t>Indicator making it possible to specify that the transaction is prudentially in payment arrears for over 90 days</t>
  </si>
  <si>
    <t>cdIndImpPrud</t>
  </si>
  <si>
    <t>LC.0185</t>
  </si>
  <si>
    <t>TA KVIIP</t>
  </si>
  <si>
    <t>Il s'agit ici de la notion d'impayé prudentiel; Ainsi cet indicateur permet de préciser si l'opération est comptabilisée en douteux et ainsi différencier les impayés à - de 90 jours de ceux de + de 90 jours
A noter : jusqu'à nouvel ordre, la notion d'impayé prudentiel est adossé à la notion comptable du douteux déprécié.
Pour les types de risques TRE203, 205, 207 et TRE206, la seule valeur possible est :"N"</t>
  </si>
  <si>
    <t>This is the concept of unpaid incidents prudential ; This indicator helps to clarify whether the transaction is recorded as doubtful and thus differentiates unpaid incidents at - 90 days from those over 90 days
Note: until further notice, the concept of prudential unpaid incidents is based on the accounting concept of the doubtful impaired.
For risk types TRE203, 205, 207 and TRE206, the only possible value is: "N"</t>
  </si>
  <si>
    <t>ANACREDIT, ASTRE, DEI, GRR, OMP</t>
  </si>
  <si>
    <t>TRE2 à 5XX 
SIG</t>
  </si>
  <si>
    <t>La donnée est obligatoire, si Type de risque [P1 2.0] = "TRE2xx à TRE5xx, SIG"</t>
  </si>
  <si>
    <t>The data is mandatory, if Risk Type [P1 2.0] = "TRE2xx to TRE5xx, SIG"</t>
  </si>
  <si>
    <t>TPS0743</t>
  </si>
  <si>
    <t>P1 5.2</t>
  </si>
  <si>
    <t>Indicateur Engagement en défaut</t>
  </si>
  <si>
    <t>Defaulted commitments indicator</t>
  </si>
  <si>
    <t>Indicateur permettant de préciser si les opérations sont comptabilisées en engagement en défaut</t>
  </si>
  <si>
    <t>Indicator to specify whether transactions are recognised as defaulted commitments</t>
  </si>
  <si>
    <t>cdIndEngDout</t>
  </si>
  <si>
    <t>LC.0175</t>
  </si>
  <si>
    <t>TA KVIED</t>
  </si>
  <si>
    <t>ANACREDIT, ASTRE, CALCULS PRUDENTIELS, ESG PILIER 3, GRR, NPE, OMP, PALMA, SHS</t>
  </si>
  <si>
    <t>Si renseigné ET si Bucket IFRS9 [P1 22.72] = 'B3' ET si le type de risque [P1 2.0] = (TRE100, TRE2xx, TRE3xx, TRE4xx, TRE5xx, SIGxxx, VARxxx, EQU101, EQU201, ISS200, ISS300, INTxxx'), alors Indicateur engagement en défaut [P1 5.2] = 'Y'</t>
  </si>
  <si>
    <t xml:space="preserve">If filled AND if Bucket IFRS9 [P1 22.72] = 'B3' AND if the risk type [P1 2.0] = (TRE100, TRE2xx, TRE3xx, TRE4xx, TRE5xx, SIGxxx, VARxxx, EQU101, EQU201, ISS200, ISS300, INTxxx'), then Defaulted Commitments Indicator [P1 5.2] = 'Y' </t>
  </si>
  <si>
    <t>TVS0722</t>
  </si>
  <si>
    <t>Pour la Grande Clientèle (P1/P2), si la combinaison de donnée n'est pas trouvée dans la matrice des règles de gestion C01, le contrôle doit se lever</t>
  </si>
  <si>
    <t>For P1/P2, if the data combinaison is not found in the C01 business rules matrix, the control must trigger</t>
  </si>
  <si>
    <t>TC0C01</t>
  </si>
  <si>
    <t>P1 5.3</t>
  </si>
  <si>
    <t>Date de passage en engagement en défaut</t>
  </si>
  <si>
    <t>Entry date of commitment into default</t>
  </si>
  <si>
    <t>Date de passage en engagement en défaut (ex douteux)</t>
  </si>
  <si>
    <t>Entry date of commitment into default (ex doubtful)</t>
  </si>
  <si>
    <t>dtEntEngDout</t>
  </si>
  <si>
    <t>ANACREDIT, ASTRE, CALCULS PRUDENTIELS, NPE, OMP</t>
  </si>
  <si>
    <t>La donnée est obligatoire si le type de risque [P1 2.0] est égal à ('TRE100', 'TRE2xx', 'TRE3xx', 'TRE4xx', 'TRE5xxx', 'SIGxxx', 'VARxxx', 'EQU101', 'EQU201', 'ISS100', 'ISS200', 'ISS300', 'INTxxx') et si la donnée Indicateur engagement en défaut [P1 5.2] est égale à 'Y'</t>
  </si>
  <si>
    <t>The data is mandatory if Risk type [P1 2.0] is equal to ('TRE100', 'TRE2xx', 'TRE3xx', 'TRE4xx', 'TRE5xx', 'SIGxxx', 'VARxxx', 'EQU101', 'EQU201', 'ISS100', 'ISS200', 'ISS300', 'INTxxx') and the data Doubtful Commitment Indicator [P1 5.2] is equal to 'Y'</t>
  </si>
  <si>
    <t>TPS0751</t>
  </si>
  <si>
    <t>P1 4.2</t>
  </si>
  <si>
    <t>Montant du solde de compte</t>
  </si>
  <si>
    <t>Balance account amount</t>
  </si>
  <si>
    <t>mtSolde</t>
  </si>
  <si>
    <t>AER, ANACREDIT, CALCULS PRUDENTIELS, CONGLOMERATS, DEI, ESG PILIER 3, GRR, LIQUIDITE, LOAN TAPE, NSFR, SA-CCR, SRB VALUATION</t>
  </si>
  <si>
    <r>
      <t>TRE100
TRE203, 205, 207
TRE206</t>
    </r>
    <r>
      <rPr>
        <sz val="11"/>
        <rFont val="Calibri"/>
        <family val="2"/>
        <scheme val="minor"/>
      </rPr>
      <t/>
    </r>
  </si>
  <si>
    <t>La donnée est obligatoire, si type de risque [P1 2.0] = 'TRE100, TRE203, TRE205, TRE206, TRE207'</t>
  </si>
  <si>
    <t>The data is mandatory, if Risk type [P1 2.0] = 'TRE100, TRE203, TRE205, TRE206, TRE207'</t>
  </si>
  <si>
    <t>TPS0752</t>
  </si>
  <si>
    <t>P1 4.3</t>
  </si>
  <si>
    <t>Devise du montant du solde de compte</t>
  </si>
  <si>
    <t xml:space="preserve">Currency of balance account amount </t>
  </si>
  <si>
    <t>cdDevMtSolde</t>
  </si>
  <si>
    <t>AER, ANACREDIT, CALCULS PRUDENTIELS, CONGLOMERATS, DEI, ESG PILIER 3, GRR, LIQUIDITE, NSFR, SA-CCR, SRB VALUATION</t>
  </si>
  <si>
    <t xml:space="preserve">TRE100
TRE203, 205, 207
TRE206
</t>
  </si>
  <si>
    <t>La donnée est obligatoire si Montant du solde de compte [P1 4.2] est renseigné</t>
  </si>
  <si>
    <t>The data is mandatory if Balance account amount [P1 4.2] is filled</t>
  </si>
  <si>
    <t>P1 4.4</t>
  </si>
  <si>
    <t>Montant du découvert</t>
  </si>
  <si>
    <t>Amount of overdraft</t>
  </si>
  <si>
    <t>mtDec</t>
  </si>
  <si>
    <t>Hors intérêts débiteurs</t>
  </si>
  <si>
    <t>Excluding debtor interests</t>
  </si>
  <si>
    <t>AER, ANACREDIT, CALCULS PRUDENTIELS, DEI, ESG PILIER 3, GRR, LIQUIDITE, LOAN TAPE, OMP</t>
  </si>
  <si>
    <t xml:space="preserve">TRE2 à 4XX hors 203,205,206,207
</t>
  </si>
  <si>
    <t>La donnée est obligatoire si le type de risque [P1 2.0] = ‘TRE201'</t>
  </si>
  <si>
    <t>The data is mandatory if Risk type [P1 2.0] = ‘TRE201'</t>
  </si>
  <si>
    <t>TPS0753</t>
  </si>
  <si>
    <t>P1 4.5</t>
  </si>
  <si>
    <t>Devise du montant du découvert</t>
  </si>
  <si>
    <t>Currency of amount of overdraft</t>
  </si>
  <si>
    <t xml:space="preserve">Devise du montant du découvert </t>
  </si>
  <si>
    <t xml:space="preserve">Currency in which the overdraft amount is denominated </t>
  </si>
  <si>
    <t>cdMtDec</t>
  </si>
  <si>
    <t>AER, ANACREDIT, CALCULS PRUDENTIELS, CONGLOMERATS, DEI, ESG PILIER 3, GRR, LIQUIDITE, OMP</t>
  </si>
  <si>
    <t>La donnée est obligatoire si Montant du découvert [P1 4.4] est renseigné</t>
  </si>
  <si>
    <t>The data is mandatory if Amount of overdraft [P1 4.4] is filled</t>
  </si>
  <si>
    <t>P1 4.9</t>
  </si>
  <si>
    <t>Montant du capital restant dû</t>
  </si>
  <si>
    <t>Amount of principal outstanding</t>
  </si>
  <si>
    <t>Capital restant dû</t>
  </si>
  <si>
    <t>Principal outstanding</t>
  </si>
  <si>
    <t>mtCapResDu</t>
  </si>
  <si>
    <t>AER, ANACREDIT, CALCULS PRUDENTIELS, DEI, ESG PILIER 3, GRR, LIQUIDITE, LOAN TAPE, OMP, PALMA</t>
  </si>
  <si>
    <t xml:space="preserve">TRE2 à 4XX hors 201,203,205,206,207
</t>
  </si>
  <si>
    <t>La donnée est obligatoire, si type de risque [P1 2.0] = 'TRE2xx à TRE4xx (sauf 'TRE201, TRE203, TRE205, TRE206, TRE207')' ET que Montant du MtM [P1 3.52] est non renseigné (vide ou égal à 0)</t>
  </si>
  <si>
    <t>The data is mandatory if Risk type = 'TRE2xx to TRE4xx (except 'TRE201, TRE203, TRE205, TRE206, TRE207')' AND Amount of MtM [P1 3.52] is not filled (empty or equal to 0)</t>
  </si>
  <si>
    <t>TPS0754</t>
  </si>
  <si>
    <t>Si renseignée, ET si le type de risque =TRE2xx à TRE4xx (sauf ‘TRE201, TRE203, TRE205, TRE206, TRE207')' ET si Montant du MtM [P1 3.52] est non renseigné (vide ou égal à 0), alors la donnée doit être positive (&gt;=0)</t>
  </si>
  <si>
    <t>If filled, AND if Risk type =TRE2xx à TRE4xx (except ‘TRE201, TRE203, TRE205, TRE206, TRE207) AND Amount of MtM [P1 3.52] is not filled (empty or equal to 0), the data must be positive (&gt;=0)</t>
  </si>
  <si>
    <t>TVS0723</t>
  </si>
  <si>
    <t>P1 4.13</t>
  </si>
  <si>
    <t>Devise du montant du capital restant dû</t>
  </si>
  <si>
    <t>Currency of amount of principal outstanding</t>
  </si>
  <si>
    <t>Devise du capital restant dû</t>
  </si>
  <si>
    <t>Currency of principal outstanding</t>
  </si>
  <si>
    <t>cdDevMtCapResDu</t>
  </si>
  <si>
    <t>AER, ANACREDIT, CALCULS PRUDENTIELS, CONGLOMERATS, DEI, ESG PILIER 3, GRR, LIQUIDITE, MREL, OMP, PALMA</t>
  </si>
  <si>
    <t>La donnée est obligatoire, si Montant du capital restant dû [P1 4.9] est renseigné</t>
  </si>
  <si>
    <t>The data is mandatory, if Amount of principal outstanding [P1 4.9] is filled</t>
  </si>
  <si>
    <t>07 - Caractéristiques Crédit Bail</t>
  </si>
  <si>
    <t>07 - Credit Lease characteristics</t>
  </si>
  <si>
    <t>P1 4.14</t>
  </si>
  <si>
    <t>Montant des loyers</t>
  </si>
  <si>
    <t>Amount of lease payments</t>
  </si>
  <si>
    <t>Loyers</t>
  </si>
  <si>
    <t>Lease payments</t>
  </si>
  <si>
    <t>mtLoyers</t>
  </si>
  <si>
    <t>ANACREDIT, CALCULS PRUDENTIELS, CONGLOMERATS, DEI, ESG PILIER 3, GRR, LIQUIDITE, LOAN TAPE, OMP</t>
  </si>
  <si>
    <t>TRE5XX</t>
  </si>
  <si>
    <t>La donnée est obligatoire, si type de risque [P1 2.0] = 'TRE5*'</t>
  </si>
  <si>
    <t>The data is mandatory, if Risk type [P1 2.0] = 'TRE5*'</t>
  </si>
  <si>
    <t>TPS0755</t>
  </si>
  <si>
    <t>P1 4.15</t>
  </si>
  <si>
    <t>Devise d'origine des loyers</t>
  </si>
  <si>
    <t>Original currency of lease payments</t>
  </si>
  <si>
    <t>cdDevMtLoyers</t>
  </si>
  <si>
    <t>ANACREDIT, CALCULS PRUDENTIELS, CONGLOMERATS, DEI, ESG PILIER 3, GRR, LIQUIDITE, OMP</t>
  </si>
  <si>
    <t>La donnée est obligatoire, si Montant des loyers [P1 4.14] est renseigné</t>
  </si>
  <si>
    <t>The data is mandatory, if Amount of lease payments [P1 4.14] is filled</t>
  </si>
  <si>
    <t>P1 4.16</t>
  </si>
  <si>
    <t>Montant du nominal de l'engagement</t>
  </si>
  <si>
    <t>Commitment's nominal amount</t>
  </si>
  <si>
    <t>mtNomiEPS</t>
  </si>
  <si>
    <t>Montant contractuel de l'engagement</t>
  </si>
  <si>
    <t>Contractual amount of the funds in use</t>
  </si>
  <si>
    <t>ANACREDIT, CALCULS PRUDENTIELS, CONGLOMERATS, DEI, ESG PILIER 3, GRR, LIQUIDITE</t>
  </si>
  <si>
    <t>SIG</t>
  </si>
  <si>
    <t xml:space="preserve">La donnée est obligatoire si le type de risque [P1 2.0] = 'SIGxxx' </t>
  </si>
  <si>
    <t xml:space="preserve">The data is mandatory if risk type [P1 2.0] = 'SIGxxx' </t>
  </si>
  <si>
    <t>TPS0756</t>
  </si>
  <si>
    <t>P1 4.17</t>
  </si>
  <si>
    <t>Devise du nominal de l'engagement</t>
  </si>
  <si>
    <t>Currency of commitment's nominal amount</t>
  </si>
  <si>
    <t>Devise d'expression du nominal de l'engagement</t>
  </si>
  <si>
    <t>Currency in which the commitment's nominal amount is expressed</t>
  </si>
  <si>
    <t>cdDevMtNomiEPS</t>
  </si>
  <si>
    <t>La donnée est obligatoire si le Montant du nominal de l'engagement [P1 4.16] est renseigné</t>
  </si>
  <si>
    <t>The data is mandatory if the Commitment's nominal amount [P1 4.16] is filled</t>
  </si>
  <si>
    <t xml:space="preserve">19 - Données comptables </t>
  </si>
  <si>
    <t>19 - Accounting data</t>
  </si>
  <si>
    <t>P1 4.18</t>
  </si>
  <si>
    <t>Zone libre (Ex PCCO du montant demandé)</t>
  </si>
  <si>
    <t>Free zone (Ex PCCO of declared amount)</t>
  </si>
  <si>
    <t>ZoneLibre418</t>
  </si>
  <si>
    <t>P1 4.6</t>
  </si>
  <si>
    <t>Montant des intérêts restant dus</t>
  </si>
  <si>
    <t>Amount of interest outstanding</t>
  </si>
  <si>
    <t>mtIntResDu</t>
  </si>
  <si>
    <t>Pour le type de risques (TRE2 à 4XX hors 203,205-207), ce sont les intérêts restant dus, échus (cas impayés) ou non échus (cas sans impayés), enregistrés comptablement en "créances rattachées".
Pour le type de risques SIG : Commissions d'engagements</t>
  </si>
  <si>
    <t>For the type of risk (TRE2 to 4XX excluding 203,205-207), it is the interest remaining due, due (unpaid payment incidents case) or not due (case without unpaid payment incidents), which is accounted for in "connected debts".
For the GIS risk type: Funds in use commissions</t>
  </si>
  <si>
    <t>AER, ANACREDIT, CALCULS PRUDENTIELS, DEI, ESG PILIER 3, GRR, LOAN TAPE, PALMA, SHS</t>
  </si>
  <si>
    <t>TRE2 à 4XX hors 203,205,206,207
TRE5XX
SIG</t>
  </si>
  <si>
    <t>La donnée est obligatoire si le type de risque [P1 2.0] = 'TRE2xx à TRE4xx, SIGxx (sauf TRE203, TRE205, TRE206, TRE207)'</t>
  </si>
  <si>
    <t>The data is mandatory if Risk type [P1 2.0] = 'TRE2xx to TRE4xx, SIGxx (except TRE203, TRE205, TRE206, TRE207)'</t>
  </si>
  <si>
    <t>TPS0952</t>
  </si>
  <si>
    <t>Si renseignée, la donnée doit être positive (supérieure ou égale à 0)
---
Si renseignée ET si Indicateur Arriéré de paiement [P1 5.5] = 'N', alors la donnée doit être strictement positive</t>
  </si>
  <si>
    <t>If filled, data must be positive (greater or equal to 0)
---
If filled in AND if Payment Arrears indicator [P1 5.5] = 'N', then the data must be strictly positive</t>
  </si>
  <si>
    <t>TVG0001
TVS0771</t>
  </si>
  <si>
    <t>P1 4.7</t>
  </si>
  <si>
    <t>Devise du montant des intérêts restant dus</t>
  </si>
  <si>
    <t>Currency of amount of interest outstanding</t>
  </si>
  <si>
    <t>Devise d'expression des intérêts restant dus</t>
  </si>
  <si>
    <t>Currency in which outstanding interest is denominated</t>
  </si>
  <si>
    <t>cdDevMtIntResDu</t>
  </si>
  <si>
    <t>TRE2 à 4XX hors 203,205,206,207
SIG</t>
  </si>
  <si>
    <t xml:space="preserve">La donnée est obligatoire si le Montant des intérêts restant dus [P1 4.6] est renseigné
</t>
  </si>
  <si>
    <t>The data is mandatory if the Amount of interest outstanding [P1 4.6] is filled</t>
  </si>
  <si>
    <t>P1 4.19</t>
  </si>
  <si>
    <t>Zone libre (Ex PCCO – des intérêts restant dus)</t>
  </si>
  <si>
    <t>Free zone (Ex PCCO - of interest outstanding)</t>
  </si>
  <si>
    <t>Zone Libre</t>
  </si>
  <si>
    <t>ZoneLibre419</t>
  </si>
  <si>
    <t xml:space="preserve">EQU101
</t>
  </si>
  <si>
    <t>22 - Caractéristiques de taux</t>
  </si>
  <si>
    <t>22 - Rate characteristics</t>
  </si>
  <si>
    <t>P1 4.20</t>
  </si>
  <si>
    <t>Taux facial du prêt fixe</t>
  </si>
  <si>
    <t>Nominal interest rate of fixed-rate loan</t>
  </si>
  <si>
    <t>Taux facial du prêt fixe
Exprimé en %</t>
  </si>
  <si>
    <t>Nominal interest rate of fixed-rate loan
Expressed as %</t>
  </si>
  <si>
    <t>txFacPretFix</t>
  </si>
  <si>
    <t>Le taux facial du prêt fixe sera renseigné à vide si taux variable ou révisable</t>
  </si>
  <si>
    <t>The fixed loan face rate will be empty if floating rate or variable</t>
  </si>
  <si>
    <t>DEI</t>
  </si>
  <si>
    <t>P1 4.21</t>
  </si>
  <si>
    <t>Montant de la décote sur actif déprécié à l'achat</t>
  </si>
  <si>
    <t>Amount of haircut on asset impaired at purchase</t>
  </si>
  <si>
    <t>Différence entre le montant de rachat de la créance par l'entité et le montant effectif de la créance dû</t>
  </si>
  <si>
    <t>Difference between the buyback amount of the receivable by the entity and the effective amount of the receivable due</t>
  </si>
  <si>
    <t>mtDecote</t>
  </si>
  <si>
    <t>Obligatoire s'il s'agit de rachat de créances dépréciées</t>
  </si>
  <si>
    <t>Mandatory in the case of the repurchase of impaired debts</t>
  </si>
  <si>
    <t>ANACREDIT, CALCULS PRUDENTIELS, DEI, ESG PILIER 3, GRR, LOAN TAPE, PALMA</t>
  </si>
  <si>
    <t>TRE2 à 4XX hors 203,205,206,207</t>
  </si>
  <si>
    <t>P1 4.22</t>
  </si>
  <si>
    <t>Devise du montant de la décote sur actif déprécié à l'achat</t>
  </si>
  <si>
    <t>Currency of amount of haircut on asset impaired at purchase</t>
  </si>
  <si>
    <t xml:space="preserve">Devise du montant de la décote sur actif déprécié à l'achat </t>
  </si>
  <si>
    <t>cdDeMtDecote</t>
  </si>
  <si>
    <t>ANACREDIT, CALCULS PRUDENTIELS, DEI, ESG PILIER 3, GRR</t>
  </si>
  <si>
    <t>La donnée est obligatoire si Montant de la décote sur actif déprécié à l'achat [P1 4.21] est renseigné</t>
  </si>
  <si>
    <t>The data is mandatory, if Amount of haircut on asset impaired at purchase [P1 4.21] is filled</t>
  </si>
  <si>
    <t>P1 4.23</t>
  </si>
  <si>
    <t>Circuit de distribution</t>
  </si>
  <si>
    <t>Distribution channel</t>
  </si>
  <si>
    <t>cdCirDis</t>
  </si>
  <si>
    <t>LC.0143</t>
  </si>
  <si>
    <t>TA KVCIRCUI</t>
  </si>
  <si>
    <t>TRE2 à 4XX hors 203,205,206,207
TRE5XX</t>
  </si>
  <si>
    <t>10 - Caractéristiques Engagements par Signature</t>
  </si>
  <si>
    <t>10 - Funds in use by signature characteristics</t>
  </si>
  <si>
    <t>P1 5.6</t>
  </si>
  <si>
    <t>Indicateur 'Prêt Revolving Roll-over'</t>
  </si>
  <si>
    <t>Revolving Loan Roll-over' indicator</t>
  </si>
  <si>
    <t>Indicateur permettant de préciser si le prêt est de caractère 'Revolving' ou 'Roll-over'</t>
  </si>
  <si>
    <t>Indicator making it possible to specify whether the loan is 'Revolving' or 'Roll-over' in nature</t>
  </si>
  <si>
    <t>cdIndRvRoll</t>
  </si>
  <si>
    <t>LC.0160</t>
  </si>
  <si>
    <t>TA KVIREVOL</t>
  </si>
  <si>
    <t>ANACREDIT, ASTRE, LOAN TAPE</t>
  </si>
  <si>
    <t>P1 5.7</t>
  </si>
  <si>
    <t>Local ID of the ultimate beneficiary of the signed undertaking</t>
  </si>
  <si>
    <t>A renseigner en cas de bénéficiaire unique, il permet d'identifier le caractère intra ou extra Groupe CA de l'engagement.
En cas de bénéficiaires multiples, ne pas renseigner</t>
  </si>
  <si>
    <t>To be completed in the event of a single beneficiary, it is used to identify the funds'in use intra or extra CA Group character.
In case of multiple beneficiaries, do not enter</t>
  </si>
  <si>
    <t xml:space="preserve">SIG
</t>
  </si>
  <si>
    <t>P1 5.8</t>
  </si>
  <si>
    <t>Central ID of the ultimate beneficiary of the signed undertaking</t>
  </si>
  <si>
    <t>ID of the ultimate beneficiary of the signed undertaking in the Group Risk Management Division IT system</t>
  </si>
  <si>
    <t>Identifiant central fourni par la DRG dans le fichier mensuel Référentiel ‘Tiers&amp;Groupes' (DTG) transmis aux entités émettrices du flux.
Obligatoire pour une entité émettrice d'un flux FTCA</t>
  </si>
  <si>
    <t>Central identifier provided by the DRG in the monthly "Third Party&amp;Group" repository (DTG) file sent to the flow issuing .
Mandatory for an entity issuing a FTCA flow</t>
  </si>
  <si>
    <t>ASTRE, CALCULS PRUDENTIELS, CONGLOMERATS, ESG PILIER 3, DEI</t>
  </si>
  <si>
    <t>S'il est renseigné, l'identifiant doit correspondre à un enregistrement dans l'objet associé, indépendamment de l'entité
---
La donnée doit être présente dans TIGRE
---
Le couple identifiant local / central (P1 5.7 et P1 5.8) doit exister dans TIGRE</t>
  </si>
  <si>
    <t>If it is filled in, the identifier must correspond to a record in the associated object, regardless of the entity
---
Data must be present in TIGRE
---
The local/central identifier pair (P1 5.7 and P1 5.8) must exist in TIGRE</t>
  </si>
  <si>
    <t>P1 3.33</t>
  </si>
  <si>
    <t>Nature d'OPCVM Garanti</t>
  </si>
  <si>
    <t>Nature of the guaranteed mutual fund</t>
  </si>
  <si>
    <t>Permet de déterminer le CCF des protections données aux OPCVM en central</t>
  </si>
  <si>
    <t>Makes it possible to determine the CCF of protection given to the UCITS centrally</t>
  </si>
  <si>
    <t>cdNatOPCVM</t>
  </si>
  <si>
    <t>LC.0145</t>
  </si>
  <si>
    <t>TA KVNOPCVM</t>
  </si>
  <si>
    <t>Il permet de traiter en IRB A, les garanties aux OPCVM données par AMUNDI Finance</t>
  </si>
  <si>
    <t>It enables the processing of guarantees to UCITS given by AMUNDI Finance in IRB A</t>
  </si>
  <si>
    <t>P1 5.10</t>
  </si>
  <si>
    <t>Indicateur Accord de Fusion</t>
  </si>
  <si>
    <t>Merger agreement indicator</t>
  </si>
  <si>
    <t>Indicateur permettant de préciser si le prêt entre dans le cadre d'une lettre de fusion.
Indique que l'engagement a fait l'objet d'une compensation de comptes suite à l'accord de fusion</t>
  </si>
  <si>
    <t>Indicator making it possible to specify whether the loan outstanding amount comes under a merger letter.
Indicates that the commitment has been the subject of account netting following the merger agreement</t>
  </si>
  <si>
    <t>indAccordFusion</t>
  </si>
  <si>
    <t>LC.0288</t>
  </si>
  <si>
    <t>TA KVIAF</t>
  </si>
  <si>
    <t>P1 5.11</t>
  </si>
  <si>
    <t>Référence de la lettre de Fusion</t>
  </si>
  <si>
    <t>Merger letter reference code</t>
  </si>
  <si>
    <t>Référence locale de la lettre de Fusion</t>
  </si>
  <si>
    <t>Local reference code of merger letter</t>
  </si>
  <si>
    <t>idLettreFusion</t>
  </si>
  <si>
    <t>P1 3.32</t>
  </si>
  <si>
    <t>Rôle du Tiers dans l'opération d'affacturage</t>
  </si>
  <si>
    <t>Role of External Counterparty in the factoring transaction</t>
  </si>
  <si>
    <t>Doit permettre d'identifier le rôle du tiers en risque « Client ou Acheteur » sur l'engagement</t>
  </si>
  <si>
    <t xml:space="preserve">Makes it possible to identify the role of the “Client or Buyer” external counterparty at-risk </t>
  </si>
  <si>
    <t>ZoneResAffa</t>
  </si>
  <si>
    <t>LC.0163</t>
  </si>
  <si>
    <t>TA KVROLAFF</t>
  </si>
  <si>
    <t>A renseigner uniquement par les entités exerçant une activité d'affacturage
Ne pas renseigner sinon</t>
  </si>
  <si>
    <t>To be filled in only by entities carrying out an factoring activity
Do not enter otherwise</t>
  </si>
  <si>
    <t>La donnée est obligatoire si le type de Risque [P1 2.0] est égal à ('TRE2xx' (hors 'TRE203', 'TRE205', 'TRE206', 'TRE207'), 'TRE3xx', 'TRE4xx') et si le Portefeuille Bâle Opération [P1 2.18] est égal à ‘090'</t>
  </si>
  <si>
    <t>The data is mandatory if Risk type [P1 2.0] is equal to ('TRE2xx' (except 'TRE203', 'TRE205', 'TRE206', 'TRE207'), 'TRE3xx', 'TRE4xx') and if Basel Transaction Portfolio [P1 2.18] is equal to ‘090'</t>
  </si>
  <si>
    <t>TPS0757</t>
  </si>
  <si>
    <t>P1 3.46</t>
  </si>
  <si>
    <t>Usage du bien immobilier apporté en garantie</t>
  </si>
  <si>
    <t>Use of real-estate brought into guarantee</t>
  </si>
  <si>
    <t xml:space="preserve">Permet de préciser l'usage à retenir pour l'exposition garantie par un bien immobilier (usage résidentiel ou commercial).
Il s'agit d'un attribut au niveau de l'exposition </t>
  </si>
  <si>
    <t>Specifies the use to be made of exposure secured by immovable property (residential or commercial use).
This is an attribute at the level of the exposure</t>
  </si>
  <si>
    <t>cdUsBien</t>
  </si>
  <si>
    <t>LC.0166</t>
  </si>
  <si>
    <t>TA KVUSGBI</t>
  </si>
  <si>
    <t>Cette donnée est obligatoire et permet de déterminer la méthode de calcul de la pondération RWA pour les prêts garantis par un bien immobilier. Donnée uniquement pour l'usage COREP</t>
  </si>
  <si>
    <t>This data is mandatory and used to determine the method for calculating the RWA weighting for loans secured by real estate. Data only for COREP use</t>
  </si>
  <si>
    <t>P1 3.47</t>
  </si>
  <si>
    <t>Respect des conditions réglementaires</t>
  </si>
  <si>
    <t>Compliance with regulatory conditions</t>
  </si>
  <si>
    <t>indRespectCdtRegle</t>
  </si>
  <si>
    <t>LC.0171</t>
  </si>
  <si>
    <t>TA KVRCR</t>
  </si>
  <si>
    <t xml:space="preserve">Obligatoire si usage du bien immobilier est renseigné.
A renseigner à 'N' (Sans objet), si "Usage du bien immmobilier" (P1 3.46) à '0' (ne s'applique pas)
</t>
  </si>
  <si>
    <t xml:space="preserve">Mandatory if use of the property is completed.
To be filled in to 'N' (Not applicable), if "Use of real estate" (P1 3.46) to '0' (not applicable)
</t>
  </si>
  <si>
    <t>45</t>
  </si>
  <si>
    <t xml:space="preserve">TRE2 à 4XX hors 203,205,206,207
TRE5XX
</t>
  </si>
  <si>
    <t>P1 3.40</t>
  </si>
  <si>
    <t>Valeur de marché du bien immobilier loué à la dernière date d'évaluation</t>
  </si>
  <si>
    <t>Market value of the leased real-estate as of the most recent valuation date</t>
  </si>
  <si>
    <t>mtMarLastEval</t>
  </si>
  <si>
    <t>Obligatoire si le type de risque (P1 2.0) = TRE502 (crédit-bail immobilier)
Ce champ correspond au montant de la valeur de marché du bien immobilier loué à la date d'évaluation.
NA sinon</t>
  </si>
  <si>
    <t>Mandatory if risk type (P1 2.0) = TRE502 (real estate leasing)
This field corresponds to the market value amount of the leased property on the valuation date.
NA</t>
  </si>
  <si>
    <t>La donnée est obligatoire si le Type de risque [P1 2.0] est égal à ‘TRE502' et la Méthodologie Bâloise [P1 1.1] = 'STD'</t>
  </si>
  <si>
    <t>The data is mandatory if Risk type [P1 2.0] is equal to ‘TRE502' and the Basel Methodology [P1 1.1] = ‘STD'</t>
  </si>
  <si>
    <t>TPS0759</t>
  </si>
  <si>
    <t>P1 3.41</t>
  </si>
  <si>
    <t>Devise de la valeur de marché du bien immobilier loué à la date d'évaluation</t>
  </si>
  <si>
    <t>Currency of market value of the leased real-estate as of the valuation date</t>
  </si>
  <si>
    <t>Currency of the leased real property's market value at the valuation date</t>
  </si>
  <si>
    <t>cdDevMtMarLastEval</t>
  </si>
  <si>
    <t xml:space="preserve">TRE5XX
</t>
  </si>
  <si>
    <t>La donnée est obligatoire, si Valeur de marché du bien immobilier loué à la dernière date d'évaluation [P1 3.40] est renseignée</t>
  </si>
  <si>
    <t>The data is mandatory, if Market value of the leased real-estate as of the most recent valuation date [P1 3.40] is filled</t>
  </si>
  <si>
    <t>P1 3.42</t>
  </si>
  <si>
    <t>Valeur hypothécaire du bien immobilier loué à la date d'évaluation</t>
  </si>
  <si>
    <t>Mortgage lending value of the leased real-estate as of the valuation date</t>
  </si>
  <si>
    <t>mtHypoLastEval</t>
  </si>
  <si>
    <t>La donnée est obligatoire si Type de risque [P1 2.0] = ‘TRE502' et Usage du bien immobilier apporté en garantie [P1 3.46] = ‘2'</t>
  </si>
  <si>
    <t>The data is mandatory if Risk type [P1 2.0] = ‘TRE502' and Use of real-estate brought into guarantee [P1 3.46] = ‘2'</t>
  </si>
  <si>
    <t>TPS0760</t>
  </si>
  <si>
    <t>P1 3.43</t>
  </si>
  <si>
    <t>Devise de la valeur hypothécaire du bien immobilier loué à la date d'évaluation</t>
  </si>
  <si>
    <t>Currency of mortgage lending value of the leased real-estate as of the valuation date</t>
  </si>
  <si>
    <t>Currency of the leased real property's mortgage value at the valuation date</t>
  </si>
  <si>
    <t>cdDEvMtHypoLastEval</t>
  </si>
  <si>
    <t>La donnée est obligatoire, si Valeur hypothécaire du bien immobilier loué à la date d'évaluation [P1 3.42] est renseignée</t>
  </si>
  <si>
    <t>The data is mandatory, if Mortgage lending value of the leased real-estate as of the valuation date [P1 3.42] is filled</t>
  </si>
  <si>
    <t>P1 3.44</t>
  </si>
  <si>
    <t>Zone libre (Ex Localisation du bien immobilier)</t>
  </si>
  <si>
    <t>Free zone (Ex Location of real-estate)</t>
  </si>
  <si>
    <t xml:space="preserve">Remplacé par le champ "Lieu d'investissement du bien financé : Code pays" (P1 31.10) </t>
  </si>
  <si>
    <t>Replaced by the field "Investment location of the financed asset: Country code" (P1 31.10)</t>
  </si>
  <si>
    <t>Zonelibre344</t>
  </si>
  <si>
    <t>P1 3.45</t>
  </si>
  <si>
    <t xml:space="preserve">Achat en fin de contrat du bien loué </t>
  </si>
  <si>
    <t xml:space="preserve">Purchase of leased asset at end of lease </t>
  </si>
  <si>
    <t>Achat en fin de contrat du bien loué</t>
  </si>
  <si>
    <t>Purchase at end of leased property's contract</t>
  </si>
  <si>
    <t>cdAchatFinContrBien</t>
  </si>
  <si>
    <t>LC.0155</t>
  </si>
  <si>
    <t>TA KVIACHAT</t>
  </si>
  <si>
    <t>Obligatoire pour si le type de risque (P1 2.0) = TRE5XX, et valable pour toute opération de location financière et à caractère financier (bien mobilier et immobilier)</t>
  </si>
  <si>
    <t>Mandatory if the risk type (P1 2.0) = TRE5XX, and valid for any operating lease and financial transaction (real estate and property)</t>
  </si>
  <si>
    <t>ANACREDIT, CALCULS PRUDENTIELS, DEI, ESG PILIER 3, GRR, LOAN TAPE</t>
  </si>
  <si>
    <t>La donnée est obligatoire si le Type de risque [P1 2.0] = 'TRE5*' ET si la Méthodologie Bâloise [P1 1.1] = 'STD'</t>
  </si>
  <si>
    <t>The data is mandatory, if Risk type [P1 2.0] = 'TRE5*' AND if the Basel Methodology [P1 1.1] = 'STD'</t>
  </si>
  <si>
    <t>TPS0761</t>
  </si>
  <si>
    <t>Si la combinaison de donnée n'est pas trouvée dans la matrice des règles de gestion C16, le contrôle doit se lever</t>
  </si>
  <si>
    <t>If the data combinaison is not found in the C16 business rules matrix, the control must trigger</t>
  </si>
  <si>
    <t>TC0C16</t>
  </si>
  <si>
    <t>P1 5.19</t>
  </si>
  <si>
    <t xml:space="preserve">Valeur estimée en fin de période du bien loué </t>
  </si>
  <si>
    <t xml:space="preserve">Leased property's estimated value at end of period </t>
  </si>
  <si>
    <t>Valeur résiduelle en risque du portefeuille de Crédit-Bail</t>
  </si>
  <si>
    <t>Residual value at risk of the Leasing portfolio</t>
  </si>
  <si>
    <t>mtFinContrBien</t>
  </si>
  <si>
    <t>Cette valeur est ajoutée aux paiements minimaux pour constituer l'exposition à pondérer, seulement s'il existe une certitude raisonnable que le bien sera cédé à la fin du contrat (champ "Achat en fin de contrat du bien loué" = '1')</t>
  </si>
  <si>
    <t>This value is added to the minimum payments to constitute the exposure to be weighted, only if there is reasonable certainty that the property will be assigned at the end of the contract (field "Purchase at the end of the lease of the leased property" = '1')</t>
  </si>
  <si>
    <t>CALCULS PRUDENTIELS, DEI, ESG PILIER 3, GRR, LOAN TAPE, OMP</t>
  </si>
  <si>
    <t>La donnée est obligatoire, si type de risque [P1 2.0] = 'TRE5*' ET si Achat en fin de contrat du bien loué [P1 3.45] = ‘1'</t>
  </si>
  <si>
    <t>The data is mandatory, if Risk type [P1 2.0] = 'TRE5*'AND if Purchase of leased asset at end of lease [P1 3.45] = ‘1'</t>
  </si>
  <si>
    <t>TPS0762</t>
  </si>
  <si>
    <t>P1 5.20</t>
  </si>
  <si>
    <t>Devise de la valeur estimée en fin de période du bien loué</t>
  </si>
  <si>
    <t>Currency of the estimated value of leased asset at end of period</t>
  </si>
  <si>
    <t>Devise d'expression de la Valeur Résiduelle en risque du portefeuille de crédit-bail</t>
  </si>
  <si>
    <t>Currency in which the Residual Value at Risk of the Leasing Portfolio is expressed</t>
  </si>
  <si>
    <t>cdDevMtFinContrBien</t>
  </si>
  <si>
    <t>CALCULS PRUDENTIELS, DEI, ESG PILIER 3, GRR, OMP</t>
  </si>
  <si>
    <t>La donnée est obligatoire, si Valeur estimée en fin de période du bien loué [P1 5.19] est renseignée</t>
  </si>
  <si>
    <t>The data is mandatory, if Leased property's estimated value at end of period [P1 5.19] is filled</t>
  </si>
  <si>
    <t>P1 19.5</t>
  </si>
  <si>
    <t xml:space="preserve">Classification comptable de référence des actifs </t>
  </si>
  <si>
    <t>Reference accounting classification of assets</t>
  </si>
  <si>
    <t>Classification comptable de référence des actifs en norme IFRS 9</t>
  </si>
  <si>
    <t>Reference accounting classification of assets under IFRS 9</t>
  </si>
  <si>
    <t>cdClassNormeIAS</t>
  </si>
  <si>
    <t>LC.0066</t>
  </si>
  <si>
    <t>TA KVCLCOMP</t>
  </si>
  <si>
    <t>ANACREDIT, ASTRE, CALCULS PRUDENTIELS, CONGLOMERATS, CORFOU, ESG PILIER 3, LOAN TAPE, OMP, PALMA, PVA, RISQUES SYSTEMIQUES, SHS, SRB VALUATION, AER, GRR</t>
  </si>
  <si>
    <t>La valeur renseignée doit être cohérente avec le type de risque [P1 2.0] (LC.0066 - Z8COCCTR)</t>
  </si>
  <si>
    <t>The value filled must be consistent with the risk type [P1 2.0] (LC.0066 - Z8COCCTR)</t>
  </si>
  <si>
    <t>TCS0709</t>
  </si>
  <si>
    <t>P1 3.56</t>
  </si>
  <si>
    <t>Zone libre (Ex PCCO – Valeur du titre en norme IFRS)</t>
  </si>
  <si>
    <t>Free zone (Ex PCCO – Value of the security under IFRS)</t>
  </si>
  <si>
    <t>ZoneLibre356</t>
  </si>
  <si>
    <t>17 - Caractéristiques Titres</t>
  </si>
  <si>
    <t>17 - Securities characteristics</t>
  </si>
  <si>
    <t>P1 3.50</t>
  </si>
  <si>
    <t>Montant du coût d'acquisition</t>
  </si>
  <si>
    <t>Amount of acquisition cost</t>
  </si>
  <si>
    <t>mtOctroi</t>
  </si>
  <si>
    <t>Le coût d'acquisition est une donnée obligatoire. Ce montant est requis par le suivi métier sur les titres</t>
  </si>
  <si>
    <t>Acquisition cost is a mandatory data. This amount is required by the business follow-up on securities</t>
  </si>
  <si>
    <t>AER, CALCULS PRUDENTIELS, CORFOU, DEI, ESG PILIER 3, GRR, NPVA</t>
  </si>
  <si>
    <t xml:space="preserve">EQU101
ISS200 et 300
</t>
  </si>
  <si>
    <t>La donnée est obligatoire, si le 'Type de risque' [P1 2.0] = 'EQU101, ISS200, ISS300' ET si le 'Portefeuille de booking Intention de Gestion' [P1 2.4] = 'B'</t>
  </si>
  <si>
    <t>The data is mandatory, if 'Risk type' [P1 2.0] = 'EQU101, ISS200, ISS300' AND if the 'Booking portfolio Management intent' [P1 2.4] = 'B'</t>
  </si>
  <si>
    <t>TPS0763</t>
  </si>
  <si>
    <t>P1 3.51</t>
  </si>
  <si>
    <t>Devise du montant du coût d'acquisition</t>
  </si>
  <si>
    <t>Currency of amount of acquisition cost</t>
  </si>
  <si>
    <t>Currency of acquisition cost amount</t>
  </si>
  <si>
    <t>cdDevMtOctroi</t>
  </si>
  <si>
    <t>AER, CALCULS PRUDENTIELS, CORFOU, DEI, ESG PILIER 3, GRR, PVA</t>
  </si>
  <si>
    <t>La donnée est obligatoire si le Montant du coût d'acquisition [P1 3.50] est renseigné</t>
  </si>
  <si>
    <t>The data is mandatory if the Amount of acquisition cost [P1 3.50] is filled</t>
  </si>
  <si>
    <t>P1 3.52</t>
  </si>
  <si>
    <t>Montant du Mark-to-Market (MtM)</t>
  </si>
  <si>
    <t>Amount of Mark-to-Market (MtM)</t>
  </si>
  <si>
    <t>La juste valeur se définit comme le prix qui serait reçu pour la vente d'un actif ou payé pour le transfert d'un passif lors d'une transaction normale entre des intervenants du marché à la date d'évaluation.
Le prix de référence pour la juste valeur correspond à un prix de sortie directement observable sur le marché ou estimé selon une technique d'évaluation qui maximise le recours aux données observables: prix coté, prix indirectement observable, autres données de marché.
Le prix directement observable correspond au prix côté de l'instrument immédiatement observable sur le marché</t>
  </si>
  <si>
    <t>Fair value is defined as the price that would be received for the sale of an asset or paid for the transfer of a liability in a normal transaction between market participants at the valuation date.
The fair value reference price is an output price that is directly observable in the market or estimated using a valuation technique that maximizes the use of observable data: quoted price, indirectly observable price, other market data
The directly observable price corresponds to the price on the instrument side which is immediately observable on the market</t>
  </si>
  <si>
    <t>mtMtM</t>
  </si>
  <si>
    <t>Pour le type de risques ISS100, ce montant est obligatoire pour les titres de créances du portefeuille de négociation uniquement.
Pour les dérivés de crédit vendus, ce MtM ne doit pas être remonté, la valorisation du risque s'effectuant sur le notionnel (Nominal).
Pour les types de risques (ISS200 et 300 et TRE2 à 4XX), obligatoire si classification comptable de référence des actifs (P1 19.5) en juste valeur</t>
  </si>
  <si>
    <t>For the ISS100 risk type, this amount is mandatory for trading book debts securities only.
For credit derivatives sold, this MtM must not be reported, as the risk valuation is performed on the notional (Nominal).
For risk types (ISS200 and 300 and TRE2 to 4XX), mandatory if the accounting classification of asset (P1 19.5) is fair value</t>
  </si>
  <si>
    <t>AER, CALCULS PRUDENTIELS, CONGLOMERATS, CORFOU, DEI, ESG PILIER 3, GRR, LIQUIDITE, LOAN TAPE, MREL, PALMA, RISQUES SYSTEMIQUES, SHS, SRB VALUATION</t>
  </si>
  <si>
    <t>EQU101
ISS100
ISS200 et 300
TRE2 à 4XX hors 203,205,206,207</t>
  </si>
  <si>
    <t>La donnée est obligatoire si le type de risque [P1 2.0] = 'EQU101', 'ISSxxx', 'TRE2xx' à 'TRE4xx' (hors 'TRE203', 'TRE205', 'TRE206', 'TRE207'), ET si la classification comptable de référence des actifs [P1 19.5] = 'JCN','JCR','JVR'</t>
  </si>
  <si>
    <t>The data is mandatory if Risk type [P1 2.0] = 'EQU101', 'ISSxxx', 'TRE2xx' to 'TRE4xx' (except 'TRE203', 'TRE205', 'TRE206', 'TRE207'), AND if Reference accounting classification of assets [P1 19.5] = 'JCN','JCR','JVR'</t>
  </si>
  <si>
    <t>TPS0764</t>
  </si>
  <si>
    <t>Si type de risque [P1 2.0] = 'INTxxx', 'VARxxx', alors la donnée doit être vide</t>
  </si>
  <si>
    <t>If Risk type [P1 2.0] = 'INTxxx', 'VARxxx', then data must be empty</t>
  </si>
  <si>
    <t>TBD</t>
  </si>
  <si>
    <t>P1 3.53</t>
  </si>
  <si>
    <t>Devise du montant du Mark-to-Market (MtM)</t>
  </si>
  <si>
    <t>Currency of the amount of Mark-to-Market (MtM)</t>
  </si>
  <si>
    <t>Currency of the Amount of Mark-to-Market (MtM)</t>
  </si>
  <si>
    <t>cdDevMtM</t>
  </si>
  <si>
    <t xml:space="preserve">EQU101
ISS100
ISS200 et 300
TRE2 à 4XX hors 203,205,206,207
</t>
  </si>
  <si>
    <t>La donnée est obligatoire, si Montant du MtM [P1 3.52] est renseigné</t>
  </si>
  <si>
    <t>The data is mandatory, if Amount of MtM [P1 3.52] is filled</t>
  </si>
  <si>
    <t>P1 3.54</t>
  </si>
  <si>
    <t>Montant du coût amorti</t>
  </si>
  <si>
    <t>Amount of amortised cost</t>
  </si>
  <si>
    <t>mtAmort</t>
  </si>
  <si>
    <t>Pour le type de risques EQU101, obligatoire si classification comptable de référence de l'actif (P1 19.5) est égal à 'CAM' (Norme IFRS9).
Pour le type de risques ISS200 et 300, obligatoire si classification comptable de référence des actifs (P1 19.5) en coût amorti</t>
  </si>
  <si>
    <t>For the risk type EQU101, mandatory if the reference accounting classification of the asset (P1 19.5) is equal to 'CAM' (IFRS9 standard).
For the risk type ISS200 and 300, mandatory if the accounting classification of asset (P1 19.5) in amortized cost</t>
  </si>
  <si>
    <t>ANACREDIT, CALCULS PRUDENTIELS, CORFOU, DEI, ESG PILIER 3, GRR, LIQUIDITE, OMP, RISQUES SYSTEMIQUES</t>
  </si>
  <si>
    <t>EQU101
ISS200 et 300</t>
  </si>
  <si>
    <t>La donnée est obligatoire si la Classification comptable de référence des actifs [P1 19.5] = ‘CAM' et le type de risque [P1 2.0] = 'EQU101', ‘ISS200', ‘ISS300'</t>
  </si>
  <si>
    <t>The data is mandatory if the Reference accounting classification of assets [P1 19.5] = ‘CAM' and the Risk type [P1 2.0] = 'EQU101', ‘ISS200', ‘ISS300'</t>
  </si>
  <si>
    <t>TPS0765</t>
  </si>
  <si>
    <t>P1 3.55</t>
  </si>
  <si>
    <t>Devise du montant du coût amorti</t>
  </si>
  <si>
    <t>Currency of amount of amortised cost</t>
  </si>
  <si>
    <t>Currency of amortised cost amount</t>
  </si>
  <si>
    <t>cdDevMtAmort</t>
  </si>
  <si>
    <t>ANACREDIT, CALCULS PRUDENTIELS, CORFOU, DEI, ESG PILIER 3, GRR, OMP</t>
  </si>
  <si>
    <t>La donnée est obligatoire, si Montant du coût amorti [P1 3.54] est renseigné</t>
  </si>
  <si>
    <t>The data is mandatory, if Amount of amortised cost [P1 3.54] is filled</t>
  </si>
  <si>
    <t>P1 3.57</t>
  </si>
  <si>
    <t>Montant des coupons restant dû</t>
  </si>
  <si>
    <t>Amount of remaining due coupons</t>
  </si>
  <si>
    <t>mtICNE</t>
  </si>
  <si>
    <t>AER, ANACREDIT, CALCULS PRUDENTIELS, CORFOU, DEI, ESG PILIER 3, GRR, LIQUIDITE, SRB VALUATION</t>
  </si>
  <si>
    <t>EQU101
ISS100
ISS200 et 300</t>
  </si>
  <si>
    <t>La donnée est obligatoire si le type de risque [P1 2.0] = 'ISS100', 'ISS200', 'ISS300'</t>
  </si>
  <si>
    <t>The data is mandatory if risk type [P1 2.0] = 'ISS100', 'ISS200', 'ISS300'</t>
  </si>
  <si>
    <t>TPS0801</t>
  </si>
  <si>
    <t>P1 3.58</t>
  </si>
  <si>
    <t>Devise du montant des coupons restant dû</t>
  </si>
  <si>
    <t>Currency of remaining due coupons</t>
  </si>
  <si>
    <t>Devise d'expression des coupons</t>
  </si>
  <si>
    <t>Currency in which coupons are expressed</t>
  </si>
  <si>
    <t>cdDevMtICNE</t>
  </si>
  <si>
    <t xml:space="preserve">La donnée est obligatoire si le montant des coupons restant dus [P1 3.57] est renseigné </t>
  </si>
  <si>
    <t>The data is mandatory if the amount of coupons remaining due [P1 3.57] is filled</t>
  </si>
  <si>
    <t>P1 3.59</t>
  </si>
  <si>
    <t>Montant du solde du compte courant d'associé</t>
  </si>
  <si>
    <t>Amount of associated current account balance</t>
  </si>
  <si>
    <t>mtSoldeAss</t>
  </si>
  <si>
    <t>Ce montant constitue l'assiette en Risque</t>
  </si>
  <si>
    <t>This amount constitutes the Risk base</t>
  </si>
  <si>
    <t>ANACREDIT, CALCULS PRUDENTIELS, CONGLOMERATS, DEI, ESG PILIER 3, GRR</t>
  </si>
  <si>
    <t>EQU201</t>
  </si>
  <si>
    <t>La donnée est obligatoire, si le type de risque [P1 2.0] = 'EQU201'</t>
  </si>
  <si>
    <t>The data is mandatory, if Risk type [P1 2.0] = 'EQU201'</t>
  </si>
  <si>
    <t>TPS0770</t>
  </si>
  <si>
    <t>P1 3.60</t>
  </si>
  <si>
    <t>Devise du solde du compte courant d'associé</t>
  </si>
  <si>
    <t>Currency of associated current account balance</t>
  </si>
  <si>
    <t>Devise d'expression du solde du compte</t>
  </si>
  <si>
    <t>Currency of account's balance</t>
  </si>
  <si>
    <t>cdDevMtSoldeAss</t>
  </si>
  <si>
    <t>La donnée est obligatoire, si Montant du solde du compte courant d'associé [P1 3.59] est renseigné</t>
  </si>
  <si>
    <t>The data is mandatory, if Amount of associated current account balance [P1 3.59] is filled</t>
  </si>
  <si>
    <t>P1 3.61</t>
  </si>
  <si>
    <t>Traitement prudentiel des titres et créances subordonnées</t>
  </si>
  <si>
    <t>Prudential processing of securities and subordinated debt holdings</t>
  </si>
  <si>
    <t>Indicateur permettant de préciser s'il s'agit de titres ou créances subordonnées à traiter en quasi-fonds propres (déduction possible au numérateur)</t>
  </si>
  <si>
    <t>Indicator specifying if it concerns securities or subordinated debt holdings to be processed as quasi-equity (possible numerator deduction)</t>
  </si>
  <si>
    <t>cdTraitPrud</t>
  </si>
  <si>
    <t>LC.0176</t>
  </si>
  <si>
    <t>TA KVTPTCS</t>
  </si>
  <si>
    <t>EQU101
EQU201
ISS200 et 300
TRE2 à 4XX hors 203,205,206,207</t>
  </si>
  <si>
    <t>La donnée est obligatoire si le type de risque [P1 2.0] est égal à 'TRE405', 'TRE406'
---
La donnée est obligatoire si le type de risque [P1 2.0] est égal à ‘ISS200', ‘ISS300', 'EQUxxx' ET si la Classification comptable de référence des actifs [P1 19.5] est égale à 'JCN','JCR','JVR'</t>
  </si>
  <si>
    <t>The data is mandatory if Risk type [P1 2.0] is equal to 'TRE405', 'TRE406'
---
The data is mandatory if Risk type [P1 2.0] is equal to ‘ISS200' , ‘ISS300', 'EQUxxx' AND if the Reference accounting classification of assets [P1 19.5] is equal to 'JCN','JCR','JVR'</t>
  </si>
  <si>
    <t>TPS0771
TPS0772</t>
  </si>
  <si>
    <t>P1 3.99</t>
  </si>
  <si>
    <t>P1 3.8</t>
  </si>
  <si>
    <t>Montant nominal</t>
  </si>
  <si>
    <t>Nominal amount</t>
  </si>
  <si>
    <t>Montant notionnel ou transactionnel de l'engagement selon sa nature
Correspond au nominal des titres de créances ou au notionnel du dérivé de crédit vendu</t>
  </si>
  <si>
    <t>Notional or transactional amount of the commitment according to its nature
Corresponds to the nominal value of the debt securities or the notional value of the credit derivative sold</t>
  </si>
  <si>
    <t>mtNom</t>
  </si>
  <si>
    <t>AER, ALMM, ANACREDIT, CALCULS PRUDENTIELS, CONGLOMERATS, CORFOU, DEI, GRR, LIQUIDITE, MREL, NSFR, PALMA, PVA, RISQUES SYSTEMIQUES, SA-CCR, YOSHIKUNI</t>
  </si>
  <si>
    <t>EQU101
ISS100
ISS200 et 300
VAR*
INT</t>
  </si>
  <si>
    <t>La donnée est obligatoire si le type de risque [P1 2.0] = 'EQU101, 'ISS100, 'ISS200', 'ISS300', 'INTxxx', 'VARxxx' (sauf VAR105 et VAR302)</t>
  </si>
  <si>
    <t>The data is mandatory if risk type [P1 2.0] = 'EQU101, 'ISS100, 'ISS200', 'ISS300', 'INTxxx', 'VARxxx' (except VAR105 and VAR302)</t>
  </si>
  <si>
    <t>TPS0773</t>
  </si>
  <si>
    <t>P1 3.9</t>
  </si>
  <si>
    <t>Devise du montant nominal</t>
  </si>
  <si>
    <t>Currency of nominal amount</t>
  </si>
  <si>
    <t>cdDevMtNom</t>
  </si>
  <si>
    <t>La donnée est obligatoire, si Montant nominal [P1 3.8] est renseigné</t>
  </si>
  <si>
    <t>The data is mandatory, if Nominal amount [P1 3.8] is filled</t>
  </si>
  <si>
    <t>P1 3.31</t>
  </si>
  <si>
    <t>Zone libre (Ex PCCO – Nominal)</t>
  </si>
  <si>
    <t>Free zone (Ex PCCO – Nominal)</t>
  </si>
  <si>
    <t>ZoneLibre331</t>
  </si>
  <si>
    <t>CONGLOMERATS</t>
  </si>
  <si>
    <t>14 - Caractéristiques Sous-jacent</t>
  </si>
  <si>
    <t>14 - Underlying characteristics</t>
  </si>
  <si>
    <t>P1 12.1</t>
  </si>
  <si>
    <t>Nature du sous-Jacent</t>
  </si>
  <si>
    <t>Nature of underlying</t>
  </si>
  <si>
    <t>Correspond à la nature de l'actif sous-jacent servant de référence au contrat</t>
  </si>
  <si>
    <t>Represents the nature of the underlying asset used as contract reference</t>
  </si>
  <si>
    <t>cdNatSJ</t>
  </si>
  <si>
    <t>LC.0046</t>
  </si>
  <si>
    <t>TA KVNSJACE</t>
  </si>
  <si>
    <t>Elle est indispensable pour déterminer la pondération à appliquer
Pour les OPCVM déclarés en portefeuille Bâle Opération (P1 2.18) ='081' (OPCVM) et Type de risque (P1 2.0) = 'SIG201' ou 'SIG206', renseigner la composante la plus risquée</t>
  </si>
  <si>
    <t>It is essential to determine the risk weight to be applied
For UCITS reported in the Basel Transaction Portfolio (P1 2.18) ='081' (UCITS) and risk Type (P1 2.0) = 'SIG201' or 'SIG206', indicate the riskiest component</t>
  </si>
  <si>
    <t>AER, ANACREDIT, CALCULS PRUDENTIELS, CONGLOMERATS, CORFOU, DEI, GRR, LOAN TAPE, PVA, RISQUES SYSTEMIQUES, SA-CCR, SHS, SRB VALUATION, YOSHIKUNI</t>
  </si>
  <si>
    <t>EQU101
ISS100, ISS200, ISS 300
TRE203, 205, 206, 207
SIG201, SIG206
VAR (hors Repos)
INT</t>
  </si>
  <si>
    <t>La donnée est obligatoire si le type de risque [P1 2.0] est égal à 'EQU101, 'ISS100, 'ISS200', 'ISS300', 'INTxxx', 'TRE203', 'TRE205', 'TRE206', 'TRE207', 'VARxxx' (sauf VAR105 et VAR302)
---
La donnée est obligatoire si le type de risque [P1 2.0] est égal à 'SIG201' ou 'SIG206' ET si le Portefeuille Bâle Opération [P1 2.18] est égal à '081'
---
La donnée est obligatoire si l'indicateur de l'application de l'approche par mandat [P1 21.67] est renseigné à 'Y'</t>
  </si>
  <si>
    <t>The data is mandatory if Risk type [P1 2.0] is equal to 'EQU101, 'ISS100, 'ISS200', 'ISS300', 'INTxxx', 'TRE203', 'TRE205', 'TRE206', 'TRE207', 'VARxxx' (except VAR105 and VAR302)
---
The data is mandatory if Risk type [P1 2.0] is equal to 'SIG201' or 'SIG206' AND if the Basel Transaction Portfolio [P1 2.18] is equal to '081'
---
The data is mandatory if the Mandate-based approach indicator [P1 21.67] is filled in with 'Y'</t>
  </si>
  <si>
    <t>TPS0774
TPS0775
TPS0776</t>
  </si>
  <si>
    <t>09 - Caractéristiques Dérivés</t>
  </si>
  <si>
    <t>09 - Derivative characteristics</t>
  </si>
  <si>
    <t>P1 3.7</t>
  </si>
  <si>
    <t>Sens de la transaction</t>
  </si>
  <si>
    <t>Direction of transaction</t>
  </si>
  <si>
    <t>Indicateur précisant le sens de l'opération du point de vue de la banque</t>
  </si>
  <si>
    <t>Indicator specifying the direction of the transaction from the bank's perspective</t>
  </si>
  <si>
    <t>cdSensOpe</t>
  </si>
  <si>
    <t>LC.0116</t>
  </si>
  <si>
    <t>TA KVSENS</t>
  </si>
  <si>
    <t>CALCULS PRUDENTIELS, CORFOU, DEI, GRR, PALMA, SA-CCR, YOSHIKUNI</t>
  </si>
  <si>
    <t>VAR*
INT</t>
  </si>
  <si>
    <t>La donnée est obligatoire si Type de risque [P1 2.0] = ‘VAR200', ‘INT' est renseignée
---
La donnée est obligatoire si Type de risque [P1 2.0] = VAR* (hors VAR105/200/302) ET si l'indicateur call put [P1 10.2] est renseigné</t>
  </si>
  <si>
    <t>The data is mandatory if Risk type [P1 2.0] = ‘VAR200', ‘INT' is filled in
---
The data is mandatory if Risk type [P1 2.0] = VAR* (except VAR105/200/302) AND if Indicator Call Put [P1 10.2] is filled in</t>
  </si>
  <si>
    <t>TPS0777
TPS0778</t>
  </si>
  <si>
    <t>P1 3.70</t>
  </si>
  <si>
    <t>Montant du Mark-to-Market (MtM) net si accord de netting</t>
  </si>
  <si>
    <t>Amount of the net Mark-to-Market (MtM) where netting arrangement</t>
  </si>
  <si>
    <t>Net Mark-to-Market (MtM) amount where netting arrangement</t>
  </si>
  <si>
    <t>mtMtMNett</t>
  </si>
  <si>
    <t>Pour la déclaration du MTM net, se référer à l'onglet méthodologie</t>
  </si>
  <si>
    <t>For the MTM net declaration, please refer to the methodology tab</t>
  </si>
  <si>
    <t>VAR (hors Repos)
INT</t>
  </si>
  <si>
    <t>La donnée est obligatoire si l'Indicateur accord de netting prudentiel [P1 3.16] est égal à 'Y'</t>
  </si>
  <si>
    <t>The data is mandatory if the Prudential netting arrangement indicator [P1 3.16] is equal to 'Y'</t>
  </si>
  <si>
    <t>TPS0779</t>
  </si>
  <si>
    <t>P1 3.71</t>
  </si>
  <si>
    <t>Devise du montant du Mark-to-Market (MtM) net si accord de netting</t>
  </si>
  <si>
    <t>Currency of the amount of net Mark-to-Market (MtM) where netting arrangement</t>
  </si>
  <si>
    <t>Devise du Mark-to-Market (MtM) net si accord de netting</t>
  </si>
  <si>
    <t>Currency of net Mark-to-Market (MtM) amount where netting arrangement</t>
  </si>
  <si>
    <t>cdDevMtMNett</t>
  </si>
  <si>
    <t>ANACREDIT, YOSHIKUNI</t>
  </si>
  <si>
    <t>La donnée est obligatoire, si Montant du MtM net si accord de netting [P1 3.70] est renseigné</t>
  </si>
  <si>
    <t>The data is mandatory, if Net MtM amount where netting arrangement [P1 3.70] is filled</t>
  </si>
  <si>
    <t>P1 3.74</t>
  </si>
  <si>
    <t>Eligibilité des actifs sous-jacents des CDS TRS</t>
  </si>
  <si>
    <t>Eligibility of assets underlying CDS TRS</t>
  </si>
  <si>
    <t>Ce champ permet d'indiquer si les actifs de référence des CDS et TRS sont éligibles selon les règles de la méthode STD</t>
  </si>
  <si>
    <t>This field makes it possible to indicate whether the CDS and TRS reference assets qualify under Standardised approach rules</t>
  </si>
  <si>
    <t>cdEligActSsJacent</t>
  </si>
  <si>
    <t>LC.0197</t>
  </si>
  <si>
    <t>TA KVELISJ</t>
  </si>
  <si>
    <t>Permet de calculer un ADD-ON réduit</t>
  </si>
  <si>
    <t>Calculates a reduced ADD-ON</t>
  </si>
  <si>
    <t>CALCULS PRUDENTIELS, GRR</t>
  </si>
  <si>
    <t xml:space="preserve">VAR (hors Repos)
</t>
  </si>
  <si>
    <t xml:space="preserve">La donnée est obligatoire si Type de risque [P1 2.0] = ‘VAR200'
</t>
  </si>
  <si>
    <t xml:space="preserve">The data is mandatory if Risk type [P1 2.0] = ‘VAR200'
</t>
  </si>
  <si>
    <t>TPS0780</t>
  </si>
  <si>
    <t>P1 2.99</t>
  </si>
  <si>
    <t>Code méthode IFRS9 - PD à l'origine</t>
  </si>
  <si>
    <t>Method code IFRS9 - PD originally</t>
  </si>
  <si>
    <t>Clé d'appariement avec les courbes de PD du référentiel IFRS 9 à l'origine</t>
  </si>
  <si>
    <t>Matching code with IFRS 9 referential PD curves originally</t>
  </si>
  <si>
    <t>cdMetPDOri</t>
  </si>
  <si>
    <t>La donnée est attendue sur maximum 12 caractères</t>
  </si>
  <si>
    <t>Data is expected to be up to 12 characters long</t>
  </si>
  <si>
    <t>OMP</t>
  </si>
  <si>
    <t>P1 3.80</t>
  </si>
  <si>
    <t>Montant du Mark-to-Market (MtM) brut</t>
  </si>
  <si>
    <t>Amount of Mark-to-Market (MtM) gross</t>
  </si>
  <si>
    <t>mtMtMBrut</t>
  </si>
  <si>
    <t>Une Juste Valeur pouvant être qualifiée de « brute » ne prend en compte que les risques de marché</t>
  </si>
  <si>
    <t>A Fair Value that can be described as "gross" only considers market risks</t>
  </si>
  <si>
    <t>AER, CALCULS PRUDENTIELS, CONGLOMERATS, DEI, GRR, LIQUIDITE, MREL, NSFR, PALMA, PVA, SA-CCR, YOSHIKUNI</t>
  </si>
  <si>
    <t xml:space="preserve">La donnée est obligatoire si le type de risque [P1 2.0] = 'INTxxx', 'VARxxx' </t>
  </si>
  <si>
    <t xml:space="preserve">The data is mandatory if risk type [P1 2.0] = 'INTxxx', 'VARxxx' </t>
  </si>
  <si>
    <t>TPS0750</t>
  </si>
  <si>
    <t>P1 3.81</t>
  </si>
  <si>
    <t>Devise du montant du Mark-to-Market (MtM) brut</t>
  </si>
  <si>
    <t>Currency of the amount of Mark-to-Market (MtM) gross</t>
  </si>
  <si>
    <t>Currency of the Amount of Mark-to-Market (MtM) gross</t>
  </si>
  <si>
    <t>cdDevMtMBrut</t>
  </si>
  <si>
    <t>AER, CALCULS PRUDENTIELS, CONGLOMERATS, DEI, GRR, LIQUIDITE, MREL, NSFR, PVA, RISQUES SYSTEMIQUES, SA-CCR, YOSHIKUNI</t>
  </si>
  <si>
    <t>La donnée est obligatoire, si Montant du MtM brut [P1 3.80] est renseigné</t>
  </si>
  <si>
    <t>The data is mandatory, if Gross MtM amount [P1 3.80] is filled</t>
  </si>
  <si>
    <t>P1 3.82</t>
  </si>
  <si>
    <t>Zone libre (Ex PCCO – MtM brut)</t>
  </si>
  <si>
    <t>Free zone (Ex PCCO – Gross MtM)</t>
  </si>
  <si>
    <t>ZoneLibre382</t>
  </si>
  <si>
    <t>P1 3.83</t>
  </si>
  <si>
    <t xml:space="preserve">Modèle de l'assiette interne du risque de variation </t>
  </si>
  <si>
    <t xml:space="preserve">Model of internal variation risk base </t>
  </si>
  <si>
    <t>Permet d'identifier le modèle interne utilisé en local pour calculer le risque interne de variation</t>
  </si>
  <si>
    <t>Identifies the internal model used locally to calculate the internal risk of fluctuations in value</t>
  </si>
  <si>
    <t>cdAssieIntRisqVar</t>
  </si>
  <si>
    <t>LC.0148</t>
  </si>
  <si>
    <t>TA KVMAIRV</t>
  </si>
  <si>
    <t>P1 3.15</t>
  </si>
  <si>
    <t>Indicateur accord de collatéralisation</t>
  </si>
  <si>
    <t>Collateralisation arrangement indicator</t>
  </si>
  <si>
    <t>Indique si l'opération de marché entre dans le cadre d'un accord de collatéralisation</t>
  </si>
  <si>
    <t>Indicates whether the market transaction comes under a collateralisation agreement.</t>
  </si>
  <si>
    <t>indAccCollat</t>
  </si>
  <si>
    <t>LC.0184</t>
  </si>
  <si>
    <t>TA KVIADC</t>
  </si>
  <si>
    <t>Obligatoire pour les marges initiales versées auprès d'une CCP ou d'un dépositaire indépendant</t>
  </si>
  <si>
    <t>Mandatory for initial margins paid to a CCP or an independent depository</t>
  </si>
  <si>
    <t>CALCULS PRUDENTIELS, CONGLOMERATS, GRR, NSFR, PALMA, SA-CCR, SRB VALUATION</t>
  </si>
  <si>
    <t>TRE203, 207
TRE206
VAR*
INT</t>
  </si>
  <si>
    <t>La donnée est obligatoire si le type de risque [P1 2.0] est égal à 'INTxxx', 'VARxxx', 'TRE203', 'TRE206', 'TRE207'</t>
  </si>
  <si>
    <t>The data is mandatory if Risk type [P1 2.0] is equal to 'INTxxx', 'VARxxx', 'TRE203', 'TRE206', 'TRE207'</t>
  </si>
  <si>
    <t>TPS0781</t>
  </si>
  <si>
    <t>P1 13.10</t>
  </si>
  <si>
    <t>Référence du contrat de collatéralisation</t>
  </si>
  <si>
    <t>Collateralisation arrangement reference code</t>
  </si>
  <si>
    <t>Référence locale du contrat de collatéralisation</t>
  </si>
  <si>
    <t>Collateralisation contract's local reference</t>
  </si>
  <si>
    <t>cdContrCollat</t>
  </si>
  <si>
    <t>Pour le type de risques TRE203, 205, 207, obligatoire pour les marges initiales versées auprès d'une CCP ou d'un dépositaire indépendant
- 'Y' si l'opération entre dans le cadre d'un accord de collatéralisation; 'N' sinon</t>
  </si>
  <si>
    <t>For risk type TRE203, 205, 207, mandatory for initial margins paid to a CCP or an independent depository (SA-CCR requirement). Data not applicable for TRE205. 
- 'Y' if the transaction is part of a collateralization ; 'N' otherwise</t>
  </si>
  <si>
    <t>AER, CALCULS PRUDENTIELS, CONGLOMERATS, GRR, NSFR, SA-CCR</t>
  </si>
  <si>
    <t>TRE203, 205, 207
TRE206
VAR*
INT</t>
  </si>
  <si>
    <t>La donnée est obligatoire si l'indicateur accord de collatéralisation [P1 3.15] ='Y' et si le type de risque [P1 2.0] = INTxxx, VARxxx, TRE203, TRE206, TRE207</t>
  </si>
  <si>
    <t>The data is mandatory if Collateralisation arrangement indicator [P1 3.15] ='Y' and if Risk type [P1 2.0] = INTxxx, VARxxx, TRE203, TRE206, TRE207</t>
  </si>
  <si>
    <t>TPS0782</t>
  </si>
  <si>
    <t>P1 3.16</t>
  </si>
  <si>
    <t>Indicateur accord de netting prudentiel</t>
  </si>
  <si>
    <t>Prudential netting arrangement indicator</t>
  </si>
  <si>
    <t xml:space="preserve">Indique si l'opération de marché entre dans le cadre d'un accord de netting prudentiel </t>
  </si>
  <si>
    <t xml:space="preserve">Indicates whether the transaction is part of a prudentiel netting arrangement </t>
  </si>
  <si>
    <t>indAccNett</t>
  </si>
  <si>
    <t>LC.0174</t>
  </si>
  <si>
    <t>TA KVIADN</t>
  </si>
  <si>
    <t xml:space="preserve">Pour le type de risques TRE203, 206, 207, obligatoire pour les marges initiales versées auprès d'une CCP ou d'un dépositaire indépendant
- 'Y' si l'opération entre dans le cadre d'un accord de collatéralisation; 'N' sinon
</t>
  </si>
  <si>
    <t xml:space="preserve">For risk type TRE203, 206, 207, mandatory for initial margins paid to a CCP or an independent depository
- 'Y' if the transaction is part of a collateralization ; 'N' otherwise
</t>
  </si>
  <si>
    <t>CALCULS PRUDENTIELS, DEI, GRR, LIQUIDITE, MREL, NSFR, RISQUES SYSTEMIQUES, SA-CCR</t>
  </si>
  <si>
    <t>P1 3.17</t>
  </si>
  <si>
    <t>Référence du contrat de netting prudentiel</t>
  </si>
  <si>
    <t>Prudential netting arrangement reference code</t>
  </si>
  <si>
    <t>Référence locale du contrat de netting prudentiel</t>
  </si>
  <si>
    <t>Prudential netting contract's local reference</t>
  </si>
  <si>
    <t>cdContrNett</t>
  </si>
  <si>
    <t>Pour le type de risques TRE203, 206, 207, obligatoire pour les marges initiales versées auprès d'une CCP ou d'un dépositaire indépendant</t>
  </si>
  <si>
    <t>For risk type TRE203, 206, 207, mandatory for initial margins paid to a CCP or an independent depositary</t>
  </si>
  <si>
    <t>AER, CALCULS PRUDENTIELS, DEI, GRR, LIQUIDITE, MREL, NSFR, RISQUES SYSTEMIQUES, SA-CCR</t>
  </si>
  <si>
    <t>La donnée est obligatoire si l'Indicateur accord de netting prudentiel [P1 3.16] est égal à 'Y' ET si le type de risque [P1 2.0] = INTxxx, VARxxx, TRE203, TRE206, TRE207</t>
  </si>
  <si>
    <t>The data is mandatory if the Prudential netting arrangement indicator [P1 3.16] is equal to 'Y' AND if Risk type [P1 2.0] = INTxxx, VARxxx, TRE203, TRE206, TRE207</t>
  </si>
  <si>
    <t>TPS0783</t>
  </si>
  <si>
    <t>P1 3.19</t>
  </si>
  <si>
    <t>Devise de règlement de l'accord de netting prudentiel</t>
  </si>
  <si>
    <t>Prudential netting arrangement settlement currency</t>
  </si>
  <si>
    <t>Devise de référence de l'accord de netting prudentiel</t>
  </si>
  <si>
    <t>Prudential netting agreement's reference currency</t>
  </si>
  <si>
    <t>cdDevAccNett</t>
  </si>
  <si>
    <t>Permet de calculer une décote en cas d'assymétrie de devise</t>
  </si>
  <si>
    <t>Calculates a discount in case of currency mismatch</t>
  </si>
  <si>
    <t>CALCULS PRUDENTIELS, DEI, GRR, LIQUIDITE, MREL, NSFR, SA-CCR</t>
  </si>
  <si>
    <t>La donnée est obligatoire si l'Indicateur accord de netting prudentiel [P1 3.16] est égal à 'Y' ET si le type de risque [P1 2.0] = INTxxx, VARxxx, TRE206</t>
  </si>
  <si>
    <t>The data is mandatory if the Prudential netting arrangement indicator [P1 3.16] is equal to 'Y' AND if Risk type [P1 2.0] = INTxxx, VARxxx, TRE206</t>
  </si>
  <si>
    <t>TPS0784</t>
  </si>
  <si>
    <t>P1 3.84</t>
  </si>
  <si>
    <t>Montant de l'assiette interne du risque de variation</t>
  </si>
  <si>
    <t>Amount of internal variation risk base</t>
  </si>
  <si>
    <t>mtAssieIntRisqVar</t>
  </si>
  <si>
    <t>Obligatoire pour les engagements sur dérivés et repos (VAR hors courtage)
Ce champ répond aux besoins de suivi du risque de variation interne et permet de remonter l'exposition pseudo maximale calculée en locale</t>
  </si>
  <si>
    <t>Mandatory for funds in use on derivatives and repos (VAR excluding brokerage)
This field meets the follow-up|monitoring needs of the risk of internal variation and allows the maximum pseudo exposure calculated in local</t>
  </si>
  <si>
    <t>P1 3.85</t>
  </si>
  <si>
    <t>Devise de l'assiette interne du risque de variation</t>
  </si>
  <si>
    <t>Currency of internal variation risk base</t>
  </si>
  <si>
    <t>Currency of the internal base of the risk of fluctuations in value</t>
  </si>
  <si>
    <t>cdDevMtAssieIntRisqVar</t>
  </si>
  <si>
    <t>La donnée est obligatoire, si Montant de l'assiette interne du risque de variation [P1 3.84] est renseigné</t>
  </si>
  <si>
    <t>The data is mandatory, if Amount of internal variation risk base [P1 3.84] is filled</t>
  </si>
  <si>
    <t>P1 3.72</t>
  </si>
  <si>
    <t xml:space="preserve">Montant de l'assiette réglementaire </t>
  </si>
  <si>
    <t>Amount of regulatory base calculated locally</t>
  </si>
  <si>
    <t>mtAssieRegl</t>
  </si>
  <si>
    <t>Réservée exclusivement aux entités sous-traitant leurs opérations de marchés à CA-CIB
NA sinon, l'assiette réglementaire étant calculée en central</t>
  </si>
  <si>
    <t>Reserved exclusively for entities outsourcing their market transactions to CA-CIB
Otherwise, the regulatory base is calculated in central</t>
  </si>
  <si>
    <t xml:space="preserve">VAR*
</t>
  </si>
  <si>
    <t>P1 3.73</t>
  </si>
  <si>
    <t xml:space="preserve">Devise du montant de l'assiette réglementaire </t>
  </si>
  <si>
    <t>Currency of amount of regulatory base calculated locally</t>
  </si>
  <si>
    <t>Devise du montant de l'assiette réglementaire</t>
  </si>
  <si>
    <t>Currency of the regulatory base amount</t>
  </si>
  <si>
    <t>cdDevMtAssieRegl</t>
  </si>
  <si>
    <t>La donnée est obligatoire, si le montant de l'assiette réglementaire [P1 3.72] est renseigné</t>
  </si>
  <si>
    <t>The data is mandatory, if Amount of regulatory base calculated locally [P1 3.72] is filled</t>
  </si>
  <si>
    <t>05 - Caractéristiques Cessions temporaires de titres</t>
  </si>
  <si>
    <t>05 - Temporary Assignment characteristics of securities</t>
  </si>
  <si>
    <t>P1 7.0</t>
  </si>
  <si>
    <t>Périodicité de réévaluation</t>
  </si>
  <si>
    <t>Periodicity of revaluation</t>
  </si>
  <si>
    <t>Périodicité de réévaluation de l'opération (patte prêteuse patte emprunteuse)</t>
  </si>
  <si>
    <t>Periodicity of transaction's revaluation (Lending leg Borrowing leg)</t>
  </si>
  <si>
    <t>peReeval</t>
  </si>
  <si>
    <t>Obligatoire pour les marges initiales versées auprès d'une CCP ou d'un dépositaire indépendant
Exprimée en nombre de jours ouvrés</t>
  </si>
  <si>
    <t>Mandatory for initial margins paid to a CCP or an independent depository
Expressed as a number of business days</t>
  </si>
  <si>
    <t>CALCULS PRUDENTIELS, GRR, SA-CCR</t>
  </si>
  <si>
    <t>TRE203, 207
TRE206
VAR105 et 302</t>
  </si>
  <si>
    <t>La donnée est obligatoire si le type de risque [P1 2.0] = 'VAR105', 'VAR302', 'TRE203', 'TRE206' ou 'TRE207'</t>
  </si>
  <si>
    <t>The data is mandatory if Risk type [P1 2.0] = 'VAR105', 'VAR302', 'TRE203', 'TRE206' or 'TRE207'</t>
  </si>
  <si>
    <t>TPS0785</t>
  </si>
  <si>
    <t>P1 7.1</t>
  </si>
  <si>
    <t>Montant Mark-to-Market (MtM) de la jambe prêteuse du repo</t>
  </si>
  <si>
    <t>Amount of Mark-to-Market (MtM) of the lending leg from repo</t>
  </si>
  <si>
    <t>Mark-to-Market amount of the lending leg from repo</t>
  </si>
  <si>
    <t>mtMtMJamPret</t>
  </si>
  <si>
    <t>ALMM, ANACREDIT, CALCULS PRUDENTIELS, DEI, ESG PILIER 3, GRR, LIQUIDITE, LOAN TAPE, MREL, PALMA, RISQUES SYSTEMIQUES</t>
  </si>
  <si>
    <t>VAR105 et 302</t>
  </si>
  <si>
    <t>La donnée est obligatoire si le type de risque [P1 2.0] = 'VAR105','VAR302'</t>
  </si>
  <si>
    <t>The data is mandatory if Risk type [P1 2.0] = 'VAR105','VAR302'</t>
  </si>
  <si>
    <t>TPS0786</t>
  </si>
  <si>
    <t>P1 7.2</t>
  </si>
  <si>
    <t>Devise du montant Mark-to-Market (MtM) de la jambe prêteuse du repo</t>
  </si>
  <si>
    <t>Currency of the amount of the Mark-to-Market (MtM) of the lending leg from repo</t>
  </si>
  <si>
    <t>Currency of the amount of Mark-to-Market (MtM) of the lending leg from repo</t>
  </si>
  <si>
    <t>cdDevMtMtMJamPret</t>
  </si>
  <si>
    <t>ALMM, ANACREDIT, CALCULS PRUDENTIELS, DEI, ESG PILIER 3, GRR, LIQUIDITE, MREL, PALMA, RISQUES SYSTEMIQUES</t>
  </si>
  <si>
    <t>La donnée est obligatoire, si Montant Mark-to-Market de la jambe prêteuse [P1 7.1] est renseigné</t>
  </si>
  <si>
    <t>The data is mandatory, if Mark-to-Market amount of the lending leg [P1 7.1] is filled</t>
  </si>
  <si>
    <t>P1 7.6</t>
  </si>
  <si>
    <t>Zone libre (Ex PCCO du MtM de la jambe prêteuse)</t>
  </si>
  <si>
    <t>Free zone (Ex PCCO of MtM of the lending leg)</t>
  </si>
  <si>
    <t>ZoneLibre76</t>
  </si>
  <si>
    <t>P1 7.7</t>
  </si>
  <si>
    <t>Jambe prêteuse du repo : nature du sous-jacent</t>
  </si>
  <si>
    <t>Lending leg from repo: Nature of underlying</t>
  </si>
  <si>
    <t>Ce champ permet d'identifier la nature du sous-jacent de la jambe prêteuse du repo et de déterminer la décote relative à l'exposition</t>
  </si>
  <si>
    <t>This field identifies the type of underlying asset of the Lending leg from repo and determines the discount relating to the exposure</t>
  </si>
  <si>
    <t>cdNatSsJacJamPret</t>
  </si>
  <si>
    <t>AER, ALMM, ANACREDIT, CALCULS PRUDENTIELS, DEI, GRR, LIQUIDITE, LOAN TAPE, MREL, PALMA, RISQUES SYSTEMIQUES</t>
  </si>
  <si>
    <t>P1 7.8</t>
  </si>
  <si>
    <t>Jambe prêteuse du repo : localisation bourse de cotation</t>
  </si>
  <si>
    <t>Lending leg from repo: location listing exchange</t>
  </si>
  <si>
    <t>Code du pays de la place boursière sur laquelle sont côtés les titres de la jambe prêteuse du repo</t>
  </si>
  <si>
    <t>Country code of the stock exchange on which the securities are listed from lending leg from repo</t>
  </si>
  <si>
    <t>cdBourseCotaJamPret</t>
  </si>
  <si>
    <t>LC.0063</t>
  </si>
  <si>
    <t>TA KVMARCHE</t>
  </si>
  <si>
    <t>La donnée est obligatoire si le type de risque [P1 2.0] est égal à 'VAR105', 'VAR302' et la nature du sous-jacent de la jambe prêteuse [P1 7.7] est égale à (01, 06, 07, 08, 09, 11)</t>
  </si>
  <si>
    <t>The data is mandatory if Risk type [P1 2.0] is equal to 'VAR105', 'VAR302' and the Nature of underlying of the lending leg [P1 7.7] is equal to (01, 06, 07, 08, 09, 11)</t>
  </si>
  <si>
    <t>TPS0787</t>
  </si>
  <si>
    <t>P1 7.9</t>
  </si>
  <si>
    <t>Jambe prêteuse du repo : indice dont les titres font partie</t>
  </si>
  <si>
    <t>Lending leg from repo: index to which the securities belong</t>
  </si>
  <si>
    <t>Code de l'indice de la jambe prêteuse du repo : indice dont les titres font partie</t>
  </si>
  <si>
    <t>Index code from lending leg from repo: index to which the securities belong</t>
  </si>
  <si>
    <t>cdIndTitreJamPret</t>
  </si>
  <si>
    <t>LC.0055</t>
  </si>
  <si>
    <t>TA KVINDICE</t>
  </si>
  <si>
    <t>CALCULS PRUDENTIELS, CONGLOMERATS, GRR</t>
  </si>
  <si>
    <t>VAR302</t>
  </si>
  <si>
    <t>La donnée est obligatoire si le type de risque [P1 2.0] est égal à 'VAR302' et la nature du sous-jacent de la jambe prêteuse [P1 7.7] est égale à '01'</t>
  </si>
  <si>
    <t>The data is mandatory if Risk type [P1 2.0] is equal to 'VAR302' and the Nature of underlying of the lending leg [P1 7.7] is equal to '01'</t>
  </si>
  <si>
    <t>TPS0788</t>
  </si>
  <si>
    <t>P1 7.10</t>
  </si>
  <si>
    <t xml:space="preserve">Jambe prêteuse du repo : référence des titres </t>
  </si>
  <si>
    <t xml:space="preserve">Lending leg from repo: details of Securities </t>
  </si>
  <si>
    <t>Code ISIN des titres de la jambe prêteuse du repo</t>
  </si>
  <si>
    <t xml:space="preserve"> ISIN code from lending leg from repo</t>
  </si>
  <si>
    <t>cdRefTitreJamPret</t>
  </si>
  <si>
    <t>AER, ALMM, CALCULS PRUDENTIELS, GRR, LIQUIDITE, MREL, PALMA, RISQUES SYSTEMIQUES</t>
  </si>
  <si>
    <t>La donnée est obligatoire si le type de risque [P1 2.0] est égal à 'VAR105' et la nature du sous-jacent de la jambe prêteuse [P1 7.7] est égale à (06, 07, 08, 09, 11)
---
La donnée est obligatoire si le type de risque [P1 2.0] est égal à 'VAR302' et la nature du sous-jacent de la jambe prêteuse [P1 7.7] est égale à '01'</t>
  </si>
  <si>
    <t>The data is mandatory if Risk type [P1 2.0] is equal to 'VAR105' and the Nature of underlying of the lending leg [P1 7.7] is equal to (06, 07, 08, 09, 11)
---
The data is mandatory if Risk type [P1 2.0] is equal to 'VAR302' and the Nature of underlying of the lending leg [P1 7.7] is equal to '01'</t>
  </si>
  <si>
    <t>TPS0789
TPS0788</t>
  </si>
  <si>
    <t>Si la donnée est renseignée, alors la donnée doit commencer par 2 caractères alphabétiques et avoir une longueur de 12 caractères avec un caractère numérique pour le dernier caractère ET la donnée doit être validée comme un code ISIN à l'aide de l'algorithme de Luhn</t>
  </si>
  <si>
    <t>If filled, then the data must start with 2 alphabetic characters and have a length of 12 characters with a numeric character for the last character AND the data must be validated as an ISIN code using the Luhn algorithm</t>
  </si>
  <si>
    <t>TVG0006</t>
  </si>
  <si>
    <t>P1 7.11</t>
  </si>
  <si>
    <t>Jambe prêteuse du repo : échelon de qualité de crédit des titres</t>
  </si>
  <si>
    <t>Lending leg from repo: Credit quality level of securities</t>
  </si>
  <si>
    <t>Correspond à l'échelon de qualité de crédit des titres de la jambe prêteuse du repo</t>
  </si>
  <si>
    <t>Securities' credit quality level from lending leg from repo</t>
  </si>
  <si>
    <t>cdEchelQualTitreJamPret</t>
  </si>
  <si>
    <t>LC.0178</t>
  </si>
  <si>
    <t>TA KVECHLON</t>
  </si>
  <si>
    <t>P1 7.12</t>
  </si>
  <si>
    <t>Jambe prêteuse du repo : échéance du titre sous-jacent</t>
  </si>
  <si>
    <t>Lending leg from repo: maturity of underlying security</t>
  </si>
  <si>
    <t>Date d'échéance du titre sous-jacent de la jambe prêteuse du repo</t>
  </si>
  <si>
    <t>Underlying security's maturity date from lending leg from repo</t>
  </si>
  <si>
    <t>cdEcheaTitreJamPret</t>
  </si>
  <si>
    <t>AER, CALCULS PRUDENTIELS, GRR</t>
  </si>
  <si>
    <t>VAR105</t>
  </si>
  <si>
    <t>La donnée est obligatoire si le type de risque [P1 2.0] est égal à 'VAR105' et la nature du sous-jacent de la jambe prêteuse [P1 7.7] est égale à (06, 07, 08, 09, 11)</t>
  </si>
  <si>
    <t>The data is mandatory if Risk type [P1 2.0] is equal to 'VAR105' and the Nature of underlying of the lending leg [P1 7.7] is equal to (06, 07, 08, 09, 11)</t>
  </si>
  <si>
    <t>TPS0789</t>
  </si>
  <si>
    <t>P1 7.13</t>
  </si>
  <si>
    <t>Jambe prêteuse du repo : identifiant local de l'émetteur des titres</t>
  </si>
  <si>
    <t>Lending leg from repo: local ID of issuer of securities</t>
  </si>
  <si>
    <t xml:space="preserve">Identifiant local de l'émetteur des titres dans le système utilisé pour générer le flux de la jambe prêteuse du repo </t>
  </si>
  <si>
    <t>Local identifier of the securities' issuer in the local system used to generate the flow from lending leg from repo</t>
  </si>
  <si>
    <t>idLocalEmetTitreJamPret</t>
  </si>
  <si>
    <t>AER, CONGLOMERATS, GRR</t>
  </si>
  <si>
    <t>P1 7.14</t>
  </si>
  <si>
    <t>Jambe prêteuse du repo : identifiant central de l'émetteur des titres</t>
  </si>
  <si>
    <t>Lending leg from repo: central ID of issuer of securities</t>
  </si>
  <si>
    <t>Identifiant de l'émetteur des titres dans le système central DRG de la jambe prêteuse du repo</t>
  </si>
  <si>
    <t>Identifier of the securities' issuer in the central DRG system from lending leg from repo</t>
  </si>
  <si>
    <t>idCentralEmetTitreJamPret</t>
  </si>
  <si>
    <t>Obligatoire uniquement si Nature du sous-jacent (P1 7.7) de la jambe prêteuse est un titre</t>
  </si>
  <si>
    <t>Mandatory only if Nature of the underlying (P1 7.7) of the lender leg is a security</t>
  </si>
  <si>
    <t>AER, ASTRE, CALCULS PRUDENTIELS, CONGLOMERATS, GRR</t>
  </si>
  <si>
    <t>S'il est renseigné, l'identifiant doit correspondre à un enregistrement dans l'objet associé, indépendamment de l'entité
---
La donnée doit être présente dans TIGRE
---
Le couple identifiant local / central (P1 7.13 et P1 7.14) doit exister dans TIGRE</t>
  </si>
  <si>
    <t>If it is filled in, the identifier must correspond to a record in the associated object, regardless of the entity
---
Data must be present in TIGRE
---
The local/central identifier pair (P1 7.13 and P1 7.14) must exist in TIGRE</t>
  </si>
  <si>
    <t>P1 7.3</t>
  </si>
  <si>
    <t>Montant Mark-to-Market (MtM) de la jambe emprunteuse du repo</t>
  </si>
  <si>
    <t>Amount of Mark-to-Market (MtM) of the borrowing leg from repo</t>
  </si>
  <si>
    <t>Mark-to-Market amount of the borrowing leg from repo</t>
  </si>
  <si>
    <t>mtMtMJamEmpr</t>
  </si>
  <si>
    <t xml:space="preserve">En cas de prêt sec de titres, le montant doit être égal à zéro </t>
  </si>
  <si>
    <t>In the case of dry securities lending, the amount must be zero</t>
  </si>
  <si>
    <t>AER, ALMM, ANACREDIT, CALCULS PRUDENTIELS, DEI, GRR, LIQUIDITE, MREL, PALMA, RISQUES SYSTEMIQUES</t>
  </si>
  <si>
    <t>P1 12.5</t>
  </si>
  <si>
    <t>Devise du montant Mark-to-Market (MtM) de la jambe emprunteuse du repo</t>
  </si>
  <si>
    <t>Currency of the amount of Mark-to-Market (MtM) of the borrowing leg from repo</t>
  </si>
  <si>
    <t>cdDevMtMtMJamEmpr</t>
  </si>
  <si>
    <t xml:space="preserve">ALPHA </t>
  </si>
  <si>
    <t>La donnée est obligatoire, si Montant Mark-to-Market de la jambe emprunteuse [P1 7.3] est renseigné</t>
  </si>
  <si>
    <t>The data is mandatory, if Mark-to-Market amount of the borrowing leg [P1 7.3] is filled</t>
  </si>
  <si>
    <t>P1 7.15</t>
  </si>
  <si>
    <t>Zone libre (Ex PCCO du MtM de la jambe emprunteuse)</t>
  </si>
  <si>
    <t>Free zone (Ex PCCO of MtM of the borrowing leg)</t>
  </si>
  <si>
    <t>ZoneLibre715</t>
  </si>
  <si>
    <t>P1 7.16</t>
  </si>
  <si>
    <t xml:space="preserve">Jambe emprunteuse du repo : nature du sous-jacent </t>
  </si>
  <si>
    <t xml:space="preserve">Borrowing leg from repo: Nature of underlying </t>
  </si>
  <si>
    <t>Ce champ permet d'identifier la nature du sous-jacent de la jambe emprunteuse du repo et de déterminer la décote relative à l'exposition</t>
  </si>
  <si>
    <t>This field identifies the type of underlying security of the Borrowing leg from repo and determines the discount relating to the exposure</t>
  </si>
  <si>
    <t>cdNatSsJacJamEmpr</t>
  </si>
  <si>
    <t>En cas de prêt sec de titres, renseigner la valeur ‘98' comme valeur par défaut</t>
  </si>
  <si>
    <t>In the case of dry securities lending, enter ‘98' as the default</t>
  </si>
  <si>
    <t>P1 7.17</t>
  </si>
  <si>
    <t>Jambe emprunteuse du repo : localisation bourse de Cotation</t>
  </si>
  <si>
    <t>Borrowing leg from repo : location listing exchange</t>
  </si>
  <si>
    <t>Code du pays de la place boursière sur laquelle sont côtés les titres de la jambe emprunteuse du repo</t>
  </si>
  <si>
    <t>Country code of the stock exchange on which the securities are listed from borrowing leg from repo</t>
  </si>
  <si>
    <t>cdBourseCotaJamEmpr</t>
  </si>
  <si>
    <t>La donnée est obligatoire si le type de risque [P1 2.0] est égal à 'VAR105', 'VAR302' et la nature du sous-jacent de la jambe emprunteuse [P1 7.16] est égale à (01, 06, 07, 08, 09, 11)</t>
  </si>
  <si>
    <t>The data is mandatory if Risk type [P1 2.0] is equal to 'VAR105', 'VAR302' and the Nature of underlying of the borrowing leg [P1 7.16] is equal to (01, 06, 07, 08, 09, 11)</t>
  </si>
  <si>
    <t>TPS0790</t>
  </si>
  <si>
    <t>P1 7.18</t>
  </si>
  <si>
    <t>Jambe emprunteuse du repo : indice dont les titres font partie</t>
  </si>
  <si>
    <t>Borrowing leg from repo: index to which the securities belong</t>
  </si>
  <si>
    <t>Code de l'indice de la jambe emprunteuse du repo</t>
  </si>
  <si>
    <t>Index code from borrowing leg from repo</t>
  </si>
  <si>
    <t>cdIndTitreJamEmpr</t>
  </si>
  <si>
    <t>La donnée est obligatoire si le type de risque [P1 2.0] est égal à 'VAR302' et la nature du sous-jacent de la jambe emprunteuse [P1 7.16] est égale à '01'</t>
  </si>
  <si>
    <t>The data is mandatory if Risk type [P1 2.0] is equal to 'VAR302' and the Nature of underlying of the borrowing leg [P1 7.16] is equal to '01'</t>
  </si>
  <si>
    <t>TPS0791</t>
  </si>
  <si>
    <t>P1 7.19</t>
  </si>
  <si>
    <t xml:space="preserve">Jambe emprunteuse du repo : référence des titres </t>
  </si>
  <si>
    <t xml:space="preserve">Borrowing leg from repo: details of Securities </t>
  </si>
  <si>
    <t>Code ISIN des titres de la jambe emprunteuse du repo</t>
  </si>
  <si>
    <t>Borrowing leg from repo ISIN code</t>
  </si>
  <si>
    <t>cdRefTitreJamEmpr</t>
  </si>
  <si>
    <t>La donnée est obligatoire si le type de risque [P1 2.0] est égal à 'VAR105' et la nature du sous-jacent de la jambe emprunteuse [P1 7.16] est égale à (06, 07, 08, 09, 11)
---
La donnée est obligatoire si le type de risque [P1 2.0] est égal à 'VAR302' et la nature du sous-jacent de la jambe emprunteuse [P1 7.16] est égale à '01'</t>
  </si>
  <si>
    <t>The data is mandatory if Risk type [P1 2.0] is equal to 'VAR105' and the Nature of underlying of the borrowing leg [P1 7.16] is equal to (06, 07, 08, 09, 11)
---
The data is mandatory if Risk type [P1 2.0] is equal to 'VAR302' and the Nature of underlying of the borrowing leg [P1 7.16] is equal to '01'</t>
  </si>
  <si>
    <t>TPS0792
TPS0791</t>
  </si>
  <si>
    <t>P1 7.20</t>
  </si>
  <si>
    <t>Jambe emprunteuse du repo : Echelon de qualité de crédit des titres</t>
  </si>
  <si>
    <t>Borrowing leg from repo: Credit quality level of securities</t>
  </si>
  <si>
    <t>Correspond à l'échelon de qualité de crédit des titres de la jambe emprunteuse du repo</t>
  </si>
  <si>
    <t>Securities' credit quality level from borrowing leg from repo</t>
  </si>
  <si>
    <t>cdEchelQualTitreJamEmpr</t>
  </si>
  <si>
    <t>P1 7.21</t>
  </si>
  <si>
    <t>Jambe emprunteuse du repo : échéance du titre sous-jacent</t>
  </si>
  <si>
    <t>Borrowing leg from repo: maturity of underlying security</t>
  </si>
  <si>
    <t>Date d'échéance du titre sous-jacent de la jambe emprunteuse du repo</t>
  </si>
  <si>
    <t>Underlying security's maturity date from borroing leg from repo</t>
  </si>
  <si>
    <t>cdEcheaTitreJamEmpr</t>
  </si>
  <si>
    <t>La donnée est obligatoire si le type de risque [P1 2.0] est égal à 'VAR105' et la nature du sous-jacent de la jambe emprunteuse [P1 7.16] est égale à (06, 07, 08, 09, 11)</t>
  </si>
  <si>
    <t>The data is mandatory if Risk type [P1 2.0] is equal to 'VAR105' and the Nature of underlying of the borrowing leg [P1 7.16] is equal to (06, 07, 08, 09, 11)</t>
  </si>
  <si>
    <t>TPS0792</t>
  </si>
  <si>
    <t>P1 7.22</t>
  </si>
  <si>
    <t>Jambe emprunteuse du repo : identifiant local de l'émetteur des titres</t>
  </si>
  <si>
    <t>Borrowing leg from repo: local ID of issuer of securities</t>
  </si>
  <si>
    <t>Identifiant de l'émetteur des titres dans le système local utilisé pour générer le flux de la jambe emprunteuse du repo</t>
  </si>
  <si>
    <t>Identifier of the securities' issuer in the local system used to generate the flow from borrowing leg from repo</t>
  </si>
  <si>
    <t>idLocalEmetTitreJamEmpr</t>
  </si>
  <si>
    <t>P1 7.23</t>
  </si>
  <si>
    <t>Jambe emprunteuse du repo : identifiant central de l'émetteur des titres</t>
  </si>
  <si>
    <t>Borrowing leg from repo: central ID of issuer of securities</t>
  </si>
  <si>
    <t xml:space="preserve">Identifiant de l'émetteur des titres dans le système central DRG de la jambe emprunteuse du repo </t>
  </si>
  <si>
    <t>Identifier of the securities' issuer in the central DRG system from borrowing leg from repo</t>
  </si>
  <si>
    <t>idCentralEmetTitreJamEmpr</t>
  </si>
  <si>
    <t>Obligatoire uniquement si Nature du sous-jacent (P1 7.16) de la jambe emprunteuse est un titre</t>
  </si>
  <si>
    <t>Mandatory only if Nature of the underlying (P1 7.16) of the borrower leg is a security</t>
  </si>
  <si>
    <t>S'il est renseigné, l'identifiant doit correspondre à un enregistrement dans l'objet associé, indépendamment de l'entité
---
La donnée doit être présente dans TIGRE
---
Le couple identifiant local / central (P1 7.22 et P1 7.23) doit exister dans TIGRE</t>
  </si>
  <si>
    <t>If it is filled in, the identifier must correspond to a record in the associated object, regardless of the entity
---
Data must be present in TIGRE
---
The local/central identifier pair (P1 7.22 and P1 7.23) must exist in TIGRE</t>
  </si>
  <si>
    <t>P1 7.24</t>
  </si>
  <si>
    <t>Indicateur de période de liquidation 20 jours</t>
  </si>
  <si>
    <t>Indicator of settlement period 20 days </t>
  </si>
  <si>
    <t>La période de liquidation d'un actif est fixée forfaitairement à 20 jours lorsque l'actif est réputé illiquide. Cette période de liquidation est prise en compte dans le calcul de la décote forfaitaire sur cet actif</t>
  </si>
  <si>
    <t>The liquidation period of an asset shall be fixed at a flat rate of 20 days where the asset is deemed to be illiquid. This liquidation period shall be taken into account in the calculation of the lump - sum haircut on that asset</t>
  </si>
  <si>
    <t>prdLiq20J</t>
  </si>
  <si>
    <t>LC.0476</t>
  </si>
  <si>
    <t>TA Z8IPL20J</t>
  </si>
  <si>
    <t>P1 7.25</t>
  </si>
  <si>
    <t>Indicateur de période de liquidation à doubler</t>
  </si>
  <si>
    <t>Indicator of settlement period to be doubled</t>
  </si>
  <si>
    <t>Au sein d'un ensemble de compensation sur des produits de Marché (dérivés ou Repos) où des appels de marge sont échangés, la période de liquidation de l'actif représentatif de la marge échangée doit être doublée par rapport à sa valeur de référence lorsqu'au moins deux litiges ont été observés durant les deux trimestres précédents. Cette période de liquidation est prise en compte dans le calcul de la décote forfaitaire sur cet actif</t>
  </si>
  <si>
    <t>Within a compensation set for marketable products (derivatives or repo) where margin calls are exchanged, the liquidation period of the asset representing the exchanged margin must be doubled compared to its reference value where at least two disputes have been observed in the two preceding quarters. This liquidation period shall be taken into account in the calculation of the lump - sum haircut on that asset</t>
  </si>
  <si>
    <t>prdLiqX2</t>
  </si>
  <si>
    <t>LC.0477</t>
  </si>
  <si>
    <t>TA Z8IPLDOU</t>
  </si>
  <si>
    <t>P1 16.3</t>
  </si>
  <si>
    <t>Seniority of tranche in vehicle</t>
  </si>
  <si>
    <t>Séniorité de la tranche sous-jacente à l'opération</t>
  </si>
  <si>
    <t>Seniority of the tranche underlying the transaction</t>
  </si>
  <si>
    <t>AER, ANACREDIT, CALCULS PRUDENTIELS, DEI, LOAN TAPE, SHS</t>
  </si>
  <si>
    <t xml:space="preserve">ISS200 et 300
TRE2 à 4XX hors 203,205,206,207
SIG
</t>
  </si>
  <si>
    <t>P1 11.33</t>
  </si>
  <si>
    <t>Rating de la tranche</t>
  </si>
  <si>
    <t>Tranche rating</t>
  </si>
  <si>
    <t>Rating de la tranche dans l'échelle de la source du rating</t>
  </si>
  <si>
    <t>Rating of the tranche in the rating source</t>
  </si>
  <si>
    <t>cdRatTra</t>
  </si>
  <si>
    <t>LC.0355</t>
  </si>
  <si>
    <t>RB HHRATING</t>
  </si>
  <si>
    <t>ANACREDIT, COREP - RS STD, COREP TITRISATION</t>
  </si>
  <si>
    <t>P1 11.12</t>
  </si>
  <si>
    <t>Source du rating de la tranche</t>
  </si>
  <si>
    <t>Source of tranche rating</t>
  </si>
  <si>
    <t>cdSrcRatTra</t>
  </si>
  <si>
    <t>Concerne les encours déclarés en portefeuille Bâle Opération (P1 2.18) = '070' (Titrisation)
Les valeurs possibles sont : 
sources externes : 
01 : FITCH, 
02 : MOODYS
03 : S&amp;P, 
source interne dite : 
04 : IAA</t>
  </si>
  <si>
    <t>Concerns outstandings reported in the basel transaction portfolio (P2 2.18) = '070' (securitization)
The possible values are: 
External sources: 
01: FITCH, 
02: MOODY'S
03: S&amp;P, 
So-called internal source: 
04: IAA</t>
  </si>
  <si>
    <t>P1 16.9</t>
  </si>
  <si>
    <t>Indicateur 'Granularité des parts'</t>
  </si>
  <si>
    <t>Granularity of units' Indicator</t>
  </si>
  <si>
    <t>Indicateur permettant d'apprécier la granularité des actifs sous- jacents titrisés</t>
  </si>
  <si>
    <t>Indicator making it possible to assess the granularity of the securitised underlying assets</t>
  </si>
  <si>
    <t>cdGranularitePart</t>
  </si>
  <si>
    <t>Concerne les encours déclarés en portefeuille Bâle Opération (P1 2.18) = '070' (Titrisation)
Il s'agit de la granularité au sens Bâlois</t>
  </si>
  <si>
    <t>Covers the reported in the Basel Portfolio Operation (P1 2.18) = '070' (Securitization)
It's about granularity in the Basel sense</t>
  </si>
  <si>
    <t>P1 16.12</t>
  </si>
  <si>
    <t>Code position de la banque dans le programme</t>
  </si>
  <si>
    <t>Position code of bank in program</t>
  </si>
  <si>
    <t xml:space="preserve">Correspond à la position ou statut de la banque dans le programme de titrisation </t>
  </si>
  <si>
    <t>Represents the position or status of the bank in the securitisation program</t>
  </si>
  <si>
    <t>cdPosBankProg</t>
  </si>
  <si>
    <t>LC.0113</t>
  </si>
  <si>
    <t>TA KVPTITRI</t>
  </si>
  <si>
    <t>ANACREDIT, CALCULS PRUDENTIELS</t>
  </si>
  <si>
    <t>P1 16.13</t>
  </si>
  <si>
    <t>Indicateur Clause de remboursement anticipé</t>
  </si>
  <si>
    <t>Early redemption clause' Indicator</t>
  </si>
  <si>
    <t>Dans le cadre d'un programme de Titrisation, cette clause indique si l'émetteur du programme a l'option de racheter les parts émises auprès des investisseurs, avant le remboursement des expositions titrisées sous-jacentes</t>
  </si>
  <si>
    <t>In the context of a Securitization program, this clause indicates whether the program issuer has the option to repurchase the issued shares from investors, prior to the repayment of the underlying securitised exposures</t>
  </si>
  <si>
    <t>indClauseRembAnti</t>
  </si>
  <si>
    <t>LC.0478</t>
  </si>
  <si>
    <t>TA Z8ICLRAN</t>
  </si>
  <si>
    <t>Concerne les encours déclarés en portefeuille Bâle Opération (P1 2.18) = '070' (Titrisation)</t>
  </si>
  <si>
    <t>Covers the reported in the Basel Portfolio Operation (P1 2.18) = '070' (Securitization)</t>
  </si>
  <si>
    <t>La donnée est obligatoire si le Portefeuille Bâle Opération [P1 2.18] = ‘070'</t>
  </si>
  <si>
    <t>The data is mandatory if Basel Transaction Portfolio [P1 2.18] = ‘070'</t>
  </si>
  <si>
    <t>TPS0793</t>
  </si>
  <si>
    <t>P1 16.15</t>
  </si>
  <si>
    <t>Méthode de pondération titrisation</t>
  </si>
  <si>
    <t>Securitisation weighting method</t>
  </si>
  <si>
    <t>Ce champ permet d'identifier la méthode de pondération utilisée</t>
  </si>
  <si>
    <t>This field makes it possible to identify the weighting method used</t>
  </si>
  <si>
    <t>cdMethPondTitri</t>
  </si>
  <si>
    <t>LC.0144</t>
  </si>
  <si>
    <t>TA KVMTITRI</t>
  </si>
  <si>
    <t>P1 16.16</t>
  </si>
  <si>
    <t>Nature de la titrisation</t>
  </si>
  <si>
    <t>Nature of securitisation</t>
  </si>
  <si>
    <t>Ce champ permet d'identifier la nature de la titrisation</t>
  </si>
  <si>
    <t>This field makes it possible to identify the nature of the securitisation</t>
  </si>
  <si>
    <t>cdNatTitri</t>
  </si>
  <si>
    <t>LC.0162</t>
  </si>
  <si>
    <t>TA KVNTITRI</t>
  </si>
  <si>
    <t>Ce champ s'applique sur les investissements de titrisation et doit également être renseigné sur les encours des créances titrisées</t>
  </si>
  <si>
    <t>This field applies to securitization investments and must also be filled in on the outstandings of securitised debts</t>
  </si>
  <si>
    <t>La donnée est obligatoire, si le type de risque [P1 2.0] est égal à 'TRE2xx' à 'TRE4xx', 'ISS200', 'ISS300', 'SIGxxx' hors ('TRE203', 'TRE205', 'TRE206', 'TRE207') ET si le Portefeuille Bâle Opération [P1 2.18] est égal à '070' OU si l'indicateur créance titrisée [P1 4.29] est égal à 'Y'</t>
  </si>
  <si>
    <t xml:space="preserve">The data is mandatory, if risk type [P1 2.0] is equal to 'TRE2xx' to 'TRE4xx', 'ISS200', 'ISS300', 'SIGxxx' except ('TRE203', 'TRE205', 'TRE206', 'TRE207') AND whether the Basel Transaction Portfolio [P1 2.18] is equal to '070' OR whether the securitised debt indicator [P1 4.29] is equal to 'Y'
</t>
  </si>
  <si>
    <t>TPS0795</t>
  </si>
  <si>
    <t>P1 16.17</t>
  </si>
  <si>
    <t>Re-titrisation</t>
  </si>
  <si>
    <t>Re-securitisation</t>
  </si>
  <si>
    <t>Ce champ permet d'indiquer si la titrisation fait l'objet d'une re-titrisation</t>
  </si>
  <si>
    <t>This field makes it possible to specify whether the securitisation has been re-securitised</t>
  </si>
  <si>
    <t>indReTitri</t>
  </si>
  <si>
    <t>LC.0173</t>
  </si>
  <si>
    <t>TA KVIRTITR</t>
  </si>
  <si>
    <t>P1 16.18</t>
  </si>
  <si>
    <t>Type de titrisation</t>
  </si>
  <si>
    <t>Type of securitisation</t>
  </si>
  <si>
    <t>cdTypTitri</t>
  </si>
  <si>
    <t>LC.0165</t>
  </si>
  <si>
    <t>TA KVTTITRI</t>
  </si>
  <si>
    <t>ANACREDIT, OMP</t>
  </si>
  <si>
    <t>P1 16.19</t>
  </si>
  <si>
    <t>Pondération à l'origine</t>
  </si>
  <si>
    <t>Initial weighting</t>
  </si>
  <si>
    <t>Pondération à l'origine
Exprimé en %</t>
  </si>
  <si>
    <t>Initial weighting
Expressed as %</t>
  </si>
  <si>
    <t>txPondeOrig</t>
  </si>
  <si>
    <t>ANACREDIT, COREP - RS STD</t>
  </si>
  <si>
    <t>ISS200 et 300
TRE2 à 4XX hors 203,205,206,207
SIG</t>
  </si>
  <si>
    <t>P1 16.20</t>
  </si>
  <si>
    <t xml:space="preserve">Indicateur titrisation STS </t>
  </si>
  <si>
    <t>STS securitization indicator</t>
  </si>
  <si>
    <t>Indique le caractère simple, transparente et standardisée (STS) d'une opération de titrisation</t>
  </si>
  <si>
    <t>Specifies the simple, transparent and standardized (STS) character of a securitization transaction</t>
  </si>
  <si>
    <t>IndTitrSTS</t>
  </si>
  <si>
    <t>LC.0360</t>
  </si>
  <si>
    <t>RB HHTITSTS</t>
  </si>
  <si>
    <t>P1 16.21</t>
  </si>
  <si>
    <t>Eligibilité au traitement différentiel</t>
  </si>
  <si>
    <t>Eligibility for differential treatment</t>
  </si>
  <si>
    <t>Indicateur d'éligibilité au traitement différentiel en terme d'exigence de Fonds Propres</t>
  </si>
  <si>
    <t>Indicator of eligibility for differential treatment in terms of capital requirements</t>
  </si>
  <si>
    <t>IndEliTrtDiff</t>
  </si>
  <si>
    <t>LC.0361</t>
  </si>
  <si>
    <t>RB HHTITTD</t>
  </si>
  <si>
    <t>P1 16.22</t>
  </si>
  <si>
    <t xml:space="preserve">Position sénior en titrisation des PME </t>
  </si>
  <si>
    <t>Senior position in SME securitization</t>
  </si>
  <si>
    <t>Position de rang supérieur dans les titrisations de prêts aux PME</t>
  </si>
  <si>
    <t>Indicates a senior position in securitizations of loans to SMEs</t>
  </si>
  <si>
    <t>IndPosTitr</t>
  </si>
  <si>
    <t>LC.0362</t>
  </si>
  <si>
    <t>RB HHTITPME</t>
  </si>
  <si>
    <t>P1 16.23</t>
  </si>
  <si>
    <t>Motif titrisation ERBA</t>
  </si>
  <si>
    <t>Reason for ERBA securitization</t>
  </si>
  <si>
    <t>Permet de justifier l'utilisation de la méthode de titrisation ERBA</t>
  </si>
  <si>
    <t>Allows to justify the use of the ERBA securitization method</t>
  </si>
  <si>
    <t>cdTitrERBA</t>
  </si>
  <si>
    <t>LC.0363</t>
  </si>
  <si>
    <t>TA Z8MTERBA</t>
  </si>
  <si>
    <t>La donnée est obligatoire si le type de risque [P1 2.0] est égal à 'TRE2xx' à 'TRE4xx', 'ISS200', 'ISS300', 'SIGxx' hors ('TRE203', 'TRE205', 'TRE206', 'TRE207') et si le Portefeuille Bâle Opération [P1 2.18] est égal à '070' et si la méthode de titrisation [P1 16.24] est égale à 'ERBA'</t>
  </si>
  <si>
    <t>The data is mandatory if Risk type [P1 2.0] is equal to 'TRE2xx' to 'TRE4xx', 'ISS200', 'ISS300', 'SIGxx' except ('TRE203', 'TRE205', 'TRE206', 'TRE207') and the Basel Transaction Portfolio [P1 2.18] is equal to '070' and if the securitization method [P1 16.24] is equal to 'ERBA'</t>
  </si>
  <si>
    <t>TPS0796</t>
  </si>
  <si>
    <t>P1 16.99</t>
  </si>
  <si>
    <t>ZoneLibre16</t>
  </si>
  <si>
    <t>P1 4.31</t>
  </si>
  <si>
    <t>Indicateur Produit à sous-jacent</t>
  </si>
  <si>
    <t>Product with underlying indicator</t>
  </si>
  <si>
    <t>Dans le cadre de la déclaration des Grands Risques uniquement, lorsqu'une exposition de type financement, titres ou garantie émise porte sur plusieurs sous-jacents alors elle doit être décomposée par transparence afin de répartir cette exposition sur les différents bénéficiaires à la déclaration Grands Risques</t>
  </si>
  <si>
    <t>For the reporting of large Risks only, where an exposure of the type finance, securities or guarantee issued relates to more than one underlying, then it must be broken down by transparency in order to spread that exposure across the different beneficiaries to the reporting of large Risks</t>
  </si>
  <si>
    <t>indPdtSsJacent</t>
  </si>
  <si>
    <t>LC.0479</t>
  </si>
  <si>
    <t>TA Z8IPROSJ</t>
  </si>
  <si>
    <t>Pour le périmètre de risque EQU101, pourrait concerner ici les expositions de type Private Equity
Pour le périmètre de risques ISS200 et 300, concerne en particulier les expositions de titrisation et les expositions sous forme d'investissement dans les parts d'OPCVM 
Pour le périmètre de risque TRE2 à 4XX hors 203,205-207, concerne essentiellement les expositions de titrisation 
Pour le périmètre de risque SIG, concerne essentiellement les expositions de titrisation ou les garanties données aux OPC</t>
  </si>
  <si>
    <t>For the EQU101 risk scope, could concern private equity exposures here
For the scope of risks ISS200 and 300, this applies in particular to securitization exposures and exposures in the form of investment in UCITS units 
For the risk scope TRE2 to 4XX excluding 203,205-207, primarily concerns securitization exposures 
For the GIS risk scope, it mainly concerns securitization exposures or guarantees given to CIUs</t>
  </si>
  <si>
    <t xml:space="preserve">EQU101
ISS200 et 300
TRE2 à 4XX hors 203,205,206,207
SIG
</t>
  </si>
  <si>
    <t>La donnée est obligatoire, si type de risque [P1 2.0] = 'EQU101, ISS200, ISS300, TRE2xx à TRE4xx (sauf TRE203, TRE205, TRE206, TRE207), SIG*'</t>
  </si>
  <si>
    <t>The data is mandatory, if Risk type [P1 2.0] = 'EQU101, ISS200, ISS300, TRE2xx to TRE4xx (except TRE203, TRE205, TRE206, TRE207), SIG*'</t>
  </si>
  <si>
    <t>TPS0797</t>
  </si>
  <si>
    <t>P1 4.32</t>
  </si>
  <si>
    <t>Indicateur de granularité</t>
  </si>
  <si>
    <t>Granularity indicator</t>
  </si>
  <si>
    <t>indGranularite</t>
  </si>
  <si>
    <t>LC.0157</t>
  </si>
  <si>
    <t>TA KVIGRANU</t>
  </si>
  <si>
    <t>P1 4.33</t>
  </si>
  <si>
    <t>Date d'acquisition de la dernière part</t>
  </si>
  <si>
    <t>Date of acquisition of final unit</t>
  </si>
  <si>
    <t>Permet d'identifier les engagements (OPC) bénéficiant de la clause de Grandfathering</t>
  </si>
  <si>
    <t>Makes it possible to identify the commitments (CIS) benefiting from a Grandfather clause</t>
  </si>
  <si>
    <t>dtAqcuiLastPart</t>
  </si>
  <si>
    <t>P1 11.13</t>
  </si>
  <si>
    <t>Point d'attachement</t>
  </si>
  <si>
    <t>Attachment point</t>
  </si>
  <si>
    <t>Point d'attachement
Exprimée en pourcentage</t>
  </si>
  <si>
    <t>Attachment point
Expressed in percentage</t>
  </si>
  <si>
    <t>valPointAttach</t>
  </si>
  <si>
    <t>Il s'agit du point d'attachement de la tranche du portefeuille sous-jacent sur laquelle porte le dérivé
Il identifie de manière quantitative le niveau de séniorité sur lequel porte le dérivé de crédit (i.e. : la tranche de titrisation). 
Il s'exprime en % du Nominal du portefeuille sous-jacent au dérivé (Nominal du véhicule de titrisation).
Pour le type de risques VAR (hors Repos), à renseigner pour les tranches de CDO. 
Exprimée en %</t>
  </si>
  <si>
    <t>This is the attachment point of the tranche of the underlying portfolio to which the derivative relates
It quantitatively identifies the level of seniority on which the credit derivative relates (i.e. : the securitization tranche)
It is expressed as % of the Nominal value of the portfolio underlying the derivative (Nominal value of the securitization vehicle)
For the VAR risk type (excluding Rest), to be filled in for CDO tranches
Expressed as %</t>
  </si>
  <si>
    <t xml:space="preserve">ISS200 et 300
TRE2 à 4XX hors 203,205,206,207
SIG
VAR (hors Repos)
</t>
  </si>
  <si>
    <t>La donnée est obligatoire, si (le type de risque [P1 2.0] = 'ISS200', 'ISS300', 'SIGxx', 'TRE2xx', 'TRE3xx', 'TRE4xx', 'VARxx' (hors VAR105,302) ET si Portefeuille Bâle Opération [P1 2.18] ='070') OU (si le type de risque [P1 2.0] ='VARxx' (hors VAR105,302) ET si Type de dérivé de crédit [P1 11.1] = ‘CTO')</t>
  </si>
  <si>
    <t>The data is mandatory, if (Risk type [P1 2.0] = 'ISS200', 'ISS300', 'SIGxx', 'TRE2xx', 'TRE3xx', 'TRE4xx', 'VARxx' (excpet VAR105,302) AND if Basel Transaction Portfolio [P1 2.18] ='070') OR (if Risk type [P1 2.0] =‘VAR*'(except VAR105,302) AND if Type of derivative credit [P1 11.1] = ‘CTO')</t>
  </si>
  <si>
    <t>TPS0798</t>
  </si>
  <si>
    <t>P1 11.14</t>
  </si>
  <si>
    <t>Point de détachement</t>
  </si>
  <si>
    <t>Detachment point</t>
  </si>
  <si>
    <t>Point de détachement
Exprimé en pourcentage</t>
  </si>
  <si>
    <t>Detachment point
Expressed in percentage</t>
  </si>
  <si>
    <t>valPointDetache</t>
  </si>
  <si>
    <t>Exprimée en %
Pour ce qui est du type de risques VAR (hors Repos), à renseigner pour les tranches de CDO</t>
  </si>
  <si>
    <t>Expressed as %
For the type of VAR risks (excl. Rest), to be filled in for CDO tranches</t>
  </si>
  <si>
    <t>P1 4.24</t>
  </si>
  <si>
    <t>Date de signature du contrat</t>
  </si>
  <si>
    <t>Date of signature of contract</t>
  </si>
  <si>
    <t>dtSigCtrt</t>
  </si>
  <si>
    <t>S'agissant des parts de titrisations, il s'agit de la date d'acquisition des parts (naissance de l'exposition) indépendamment des rechargements et restructurations.
Pour les lignes de crédit et de liquidité accordées aux conduits, il s'agit de la date d'acquisition de l'actif par le conduit (et non l'accord de crédit de la banque). 
Permet d'appliquer ou non la clause de Grand Fathering ( CdC page ...)</t>
  </si>
  <si>
    <t>As regards securitization shares, this refers to the date of acquisition of the shares (birth of the exposure) independently of recharges and restructuring.
For the credit and liquidity lines granted to ducts, this is the date on which the conduit acquires the asset (not the bank's credit agreement). 
Whether or not to apply the Grand Fathering clause ( CdC page ...)</t>
  </si>
  <si>
    <t>GRR, PALMA</t>
  </si>
  <si>
    <t>TRE100
ISS200 et 300
TRE2 à 4XX hors 203,205,206,207
TRE5XX
SIG
VAR105 et 302</t>
  </si>
  <si>
    <t>P1 4.36</t>
  </si>
  <si>
    <t>Indicateur de transparence de la structure</t>
  </si>
  <si>
    <t>Indicator of the structure transparency</t>
  </si>
  <si>
    <t>indTranspStruct</t>
  </si>
  <si>
    <t>LC.0183</t>
  </si>
  <si>
    <t>TA KVITS</t>
  </si>
  <si>
    <t>Obligatoire si structure à sous-jacent
NB : Donnée facultative pour le type de risque TRE2 à 4XX hors 203,205-207</t>
  </si>
  <si>
    <t>Mandatory if structure to underlying
N.B. Optional data for risk type TRE2 to 4XX excluding 203,205-207</t>
  </si>
  <si>
    <t>La donnée est obligatoire, si type de risque [P1 2.0] = 'EQU101, ISS200, ISS300, TRE2xx à TRE4xx (sauf TRE203,205,206,207), SIG*' ET si Indicateur Produit à sous-jacent [P1 4.31] = ‘Y'</t>
  </si>
  <si>
    <t>The data is mandatory, if Risk type [P1 2.0] = 'EQU101, ISS200, ISS300, TRE2xx to TRE4xx (except TRE203,205,206,207), SIG*' AND if Product with underlying indicator [P1 4.31] = ‘Y'</t>
  </si>
  <si>
    <t>TPS0799</t>
  </si>
  <si>
    <t>P1 4.49</t>
  </si>
  <si>
    <t>Indicateur d'engagement de valeur minimale sur OPC</t>
  </si>
  <si>
    <t>Minimum value commitment on CIU indicator</t>
  </si>
  <si>
    <t>Réglementation CRR2 et OPC garantis en capital
Cet indicateur permet de dire si la garantie donnée est un engagement de valeur minimale pour un investissement dans des parts d'OPC selon les critères de l'art. 132 quater §3</t>
  </si>
  <si>
    <t>CRR2 and CIU regulations guaranteed in capital
This indicator allows to say whether the guarantee given is a minimum value commitment for an investment in CIU units according to the criteria of art. 132 quater §3</t>
  </si>
  <si>
    <t>IndEngValMinOPC</t>
  </si>
  <si>
    <t>LC.0339</t>
  </si>
  <si>
    <t>TA Z8IEVOPC</t>
  </si>
  <si>
    <t>La donnée est obligatoire si le type de risque [P1 2.0] = 'SIG203', 'SIG206', 'SIG207'</t>
  </si>
  <si>
    <t>The data is mandatory if risk type [P1 2.0] = 'SIG203', 'SIG206', 'SIG207'</t>
  </si>
  <si>
    <t>TPS0800</t>
  </si>
  <si>
    <t>P1 4.99</t>
  </si>
  <si>
    <t>P1 4.45</t>
  </si>
  <si>
    <t>NATure d'Opération des intérêts dus / coupons non échus</t>
  </si>
  <si>
    <t>NATure of Operation of interest due / accrued coupons</t>
  </si>
  <si>
    <t>Correspond à la classification des intérêts selon la nomenclature Groupe CA "NATO" commune aux Risques et à la Comptabilité</t>
  </si>
  <si>
    <t>Corresponds to the classification of interests according to the nomenclature of Group CA "NATO" common to Risks and Accounting</t>
  </si>
  <si>
    <t>cdNatOpInteretDu</t>
  </si>
  <si>
    <t xml:space="preserve">EQU101
ISS200 et 300
TRE2 à 4XX hors 203,205,206,207
TRE5XX
SIG
</t>
  </si>
  <si>
    <t>P1 4.46</t>
  </si>
  <si>
    <t>Zone libre (Ex PCCO – Montant des coupons non échus)</t>
  </si>
  <si>
    <t>Free zone (Ex PCCO – Amount of accrued coupons)</t>
  </si>
  <si>
    <t>ZoneLibre446</t>
  </si>
  <si>
    <t>P1 3.20</t>
  </si>
  <si>
    <t>Maturité résiduelle</t>
  </si>
  <si>
    <t>Remaining maturity</t>
  </si>
  <si>
    <t>cdMatRes</t>
  </si>
  <si>
    <t>Valeur par défaut' = ‘05' &amp; '0000' si la date de fin de l'engagement est inconnue (=‘99990630') pour les types de risques (EQUE101, EQU201, TRE205,206,207, TRE206, TRE5XX, SIG, VAR (hors Repos), VAR105 et 302, INT)
Valeur par défaut' = ‘02' &amp; '5000' si la date de fin de l'engagement est inconnue (=‘99990630') pour les types de risques (ISS100, ISS200 et 300)
Valeur par défaut' = ‘00' &amp; '0055' si la date de fin de l'engagement est inconnue (=‘99990630') pour les types de risques (TRE100 et TRE2 à 4XX)
Donnée exprimée en années. Calcul à faire par l'entité en divisant le nombre de jours restants entre la date de fin de l'engagement et la date d'arrêté et en divisant par 365,25</t>
  </si>
  <si>
    <t>Default value" = ‘05' &amp; ‘0000' if the end date of the funds in use is unknown (=‘99990630') for risk types (EQUE101, EQU201, TRE205,206,207, TRE07 206, TRE5XX, SIG, VAR (excl. Rest), VAR105 and 302, INT)
Default value" = ‘02' &amp; ‘5000' if the end date of the funds in use is unknown (=‘99990630') for risk types (ISS100, ISS200 and 300)
Default value" = ‘00' &amp; ‘0055' if the end date of the funds in use is unknown (=‘99990630') for risk types (TRE100 and TRE2 to 4XX)
Data expressed in years. Calculation to be made by the entity by dividing the number of days remaining between the funds in use completion date and the cut-off date and dividing by 365.25</t>
  </si>
  <si>
    <t>6 dont 4 décimales</t>
  </si>
  <si>
    <t>6 including 4 decimals</t>
  </si>
  <si>
    <t>ASTRE, CALCULS PRUDENTIELS, DEI, GRR</t>
  </si>
  <si>
    <t>P1 4.8</t>
  </si>
  <si>
    <t>Indicateur bilan hors bilan</t>
  </si>
  <si>
    <t>On Off balance-sheet flag</t>
  </si>
  <si>
    <t>Indicateur bilan (B) hors bilan (H)</t>
  </si>
  <si>
    <t>indBHB</t>
  </si>
  <si>
    <t>LC.0117</t>
  </si>
  <si>
    <t>TA KVIBHB</t>
  </si>
  <si>
    <t>ANACREDIT, ASTRE, CALCULS PRUDENTIELS, CONGLOMERATS, DEI, GRR, LOAN TAPE</t>
  </si>
  <si>
    <t>P1 12.16</t>
  </si>
  <si>
    <t>Le code séniorité de la dette indique le niveau de recours de la Banque sur le créancier</t>
  </si>
  <si>
    <t>The debt seniority code indicates the Bank's level of recourse to the creditor</t>
  </si>
  <si>
    <t>ANACREDIT, CALCULS PRUDENTIELS, DEI, MREL, SRB VALUATION</t>
  </si>
  <si>
    <t xml:space="preserve">ISS100
ISS200 et 300
TRE2 à 4XX hors 203,205,206,207
</t>
  </si>
  <si>
    <t>P1 3.75</t>
  </si>
  <si>
    <t>Instrument financier</t>
  </si>
  <si>
    <t>Financial instrument</t>
  </si>
  <si>
    <t>Identification du type d'instrument</t>
  </si>
  <si>
    <t>Instrument type identification</t>
  </si>
  <si>
    <t>cdInsFin</t>
  </si>
  <si>
    <t>LC.0177</t>
  </si>
  <si>
    <t>TA KVINSFIN</t>
  </si>
  <si>
    <t>ASTRE, CALCULS PRUDENTIELS, CONGLOMERATS, CORFOU, LIQUIDITE, MREL, PVA, RISQUES SYSTEMIQUES, SA-CCR, SHS, SRB VALUATION, YOSHIKUNI</t>
  </si>
  <si>
    <t>EQU101
EQU201
ISS100
ISS200 et 300
VAR*
INT</t>
  </si>
  <si>
    <t>La donnée est obligatoire si le type de risque [P1 2.0] = 'VARxx', 'EQU101', 'ISS100', 'ISS200', 'ISS300', INT</t>
  </si>
  <si>
    <t>The data is mandatory if Risk type [P1 2.0] = 'VARxx', 'EQU101', 'ISS100', 'ISS200', 'ISS300', INT</t>
  </si>
  <si>
    <t>TPS0802</t>
  </si>
  <si>
    <t>Si la combinaison de donnée n'est pas trouvée dans la matrice des règles de gestion C30, le contrôle doit se lever</t>
  </si>
  <si>
    <t>If the data combinaison is not found in the C30 business rules matrix, the control must trigger</t>
  </si>
  <si>
    <t>TC0C30</t>
  </si>
  <si>
    <t>P1 4.42</t>
  </si>
  <si>
    <t>cdTypProd</t>
  </si>
  <si>
    <t>AER, ALMM, ANACREDIT, ASTRE, CONGLOMERATS, LIQUIDITE, LOAN TAPE, MREL, NPE, PALMA, RISQUES SYSTEMIQUES</t>
  </si>
  <si>
    <t>Si la combinaison de donnée n'est pas trouvée dans la matrice des règles de gestion C31, le contrôle doit se lever</t>
  </si>
  <si>
    <t>If the data combinaison is not found in the C31 business rules matrix, the control must trigger</t>
  </si>
  <si>
    <t>TC0C31</t>
  </si>
  <si>
    <t>P1 3.3</t>
  </si>
  <si>
    <t>Date de valeur de prise d'effet du contrat</t>
  </si>
  <si>
    <t>Contract Effective Value Date</t>
  </si>
  <si>
    <t>Date de valeur de prise d'effet du contrat d'engagement</t>
  </si>
  <si>
    <t>The effective date of the funds in use contract</t>
  </si>
  <si>
    <t>dtValeur</t>
  </si>
  <si>
    <t>Correspond à la date d'entrée ou sortie effective du cash associé</t>
  </si>
  <si>
    <t>Corresponds to the effective date of cash in or cash out</t>
  </si>
  <si>
    <t>AER, ALMM, CALCULS PRUDENTIELS, CORFOU, LIQUIDITE, MREL, PALMA, SA-CCR, SRB VALUATION</t>
  </si>
  <si>
    <t>Si renseignée, la Date de valeur de prise d'effet du contrat [P1 3.3] doit être &gt;= à la 'Date de début de l'engagement' [P1 3.2]</t>
  </si>
  <si>
    <t>If filled, Contract Effective Value Date [P1 3.3] must be &gt;= to Start date of commitment [P1 3.2]</t>
  </si>
  <si>
    <t>TCS0710</t>
  </si>
  <si>
    <t>P1 4.43</t>
  </si>
  <si>
    <t>Segment de notation du groupe de risque</t>
  </si>
  <si>
    <t>Rating segment of the risk group</t>
  </si>
  <si>
    <r>
      <t xml:space="preserve">Segment de notation du groupe de risque </t>
    </r>
    <r>
      <rPr>
        <i/>
        <sz val="11"/>
        <color theme="1"/>
        <rFont val="Calibri"/>
        <family val="2"/>
        <scheme val="minor"/>
      </rPr>
      <t>- donnée réservée aux Caisses régionales</t>
    </r>
  </si>
  <si>
    <t>Risk group's rating segment – data reserved for Regional Banks</t>
  </si>
  <si>
    <t>SegNotGrpRisq</t>
  </si>
  <si>
    <t>LC.0093</t>
  </si>
  <si>
    <t>RB NM694</t>
  </si>
  <si>
    <t>Donnée réservée aux Caisses régionales. A laisser à vide si pas concerné</t>
  </si>
  <si>
    <t>Data reserved for Crédit agricole regional bank. To be left empty if not concerned</t>
  </si>
  <si>
    <t>P1 4.44</t>
  </si>
  <si>
    <t>Ligne produit</t>
  </si>
  <si>
    <t>Product line</t>
  </si>
  <si>
    <t>Classification de l'opération selon la ligne Produit</t>
  </si>
  <si>
    <t>Classification of the transaction by product line</t>
  </si>
  <si>
    <t>cdPrdtLigne</t>
  </si>
  <si>
    <t>Donnée réservée à CACIB - A laisser à vide si pas concerné</t>
  </si>
  <si>
    <t>Data reserved for CACIB - To be left empty if not concerned</t>
  </si>
  <si>
    <t>P1 4.47</t>
  </si>
  <si>
    <t>Date de mise à disposition des fonds</t>
  </si>
  <si>
    <t>Date of availability of funds</t>
  </si>
  <si>
    <t>dtMisDispFd</t>
  </si>
  <si>
    <t>La donnée est obligatoire si le type de risque [P1 2.0] = 'TRE2xx' à 'TRE5xx', hors (TRE201, TRE203, TRE205, TRE206, TRE207)</t>
  </si>
  <si>
    <t>The data is mandatory if Risk type [P1 2.0] = 'TRE2xx' to 'TRE5xx', out (TRE201, TRE203, TRE205, TRE206, TRE207)</t>
  </si>
  <si>
    <t>TPS0803</t>
  </si>
  <si>
    <t>Si renseignée, Date de mise à disposition des fonds [P1 4.47] &gt;= à la date de début d'engagement [P1 3.2]
---
Si renseignée, Date de mise à disposition des fonds [P1 4.47] &lt;= à la date de fin d'engagement [P1 3.4]
---
Si renseignée et si la date de signature du contrat initial [P1 22.67] est renseignée alors Date de mise à disposition des fonds [P1 4.47] &gt;= à Date de signature du contrat initial [P1 22.67]</t>
  </si>
  <si>
    <t>If filled, Date of availability of funds [P1 4.47] &gt;= to Start date of commitment [P1 3.2]
---
If filled, Date of availability of funds [P1 4.47] &lt;= to End date of commitment [P1 3.4]
---
If filled and the date of signing of the original contract [P1 22.67] is completed then Date of availability of funds [P1 4.47] &gt;= to Date of signature of the initial contract [P1 22.67]</t>
  </si>
  <si>
    <t>TCS0711
TCS0712
TCS0713</t>
  </si>
  <si>
    <t>P1 5.99</t>
  </si>
  <si>
    <t>P1 3.62</t>
  </si>
  <si>
    <t>Identifiant local du tiers Garant des titres garantis (Cover-bonds, …)</t>
  </si>
  <si>
    <t xml:space="preserve">Local ID of the Counterparty guarantor of backed securities (cover bonds…) </t>
  </si>
  <si>
    <t xml:space="preserve">Identifiant local du tiers garant des titres garanties dans le système utilisé pour générer le flux.
Les cover-bonds sont par définition des titres garantis sans pour autant qu'il y ait une sûreté en propre contractualisée. Il est donc nécessaire de capter qui est le garant de ces titres </t>
  </si>
  <si>
    <t>Local ID of the Counterparty guarantor of backed securities in the system used to generate the flow.
Cover-bonds are backed securities, but there is not necessarily own contractualised mitigants. It is necessary to know who is the guarantor for these securities</t>
  </si>
  <si>
    <t>idLocalTiersGarTitre</t>
  </si>
  <si>
    <t>Obligatoire uniquement pour les obligations sécurisées (Cover bonds, ..)
Vérification présence d'un enregistrement de type C1 avec même identifiant dans le lot (Sauf entité émettrice d'un flux FTCA)</t>
  </si>
  <si>
    <t>Mandatory only for secure bonds (Cover bonds, etc.)
Check that there is a C1-type record with the same identifier in the batch (except entity issuing a FTCA flow)</t>
  </si>
  <si>
    <t>ISS200 et 300</t>
  </si>
  <si>
    <t>La donnée est obligatoire si le Portefeuille Bâle Opération [P1 2.18] = ‘077'</t>
  </si>
  <si>
    <t>The data is mandatory if Basel Transaction Portfolio [P1 2.18] = ‘077'</t>
  </si>
  <si>
    <t>TPS0804</t>
  </si>
  <si>
    <t>P1 3.63</t>
  </si>
  <si>
    <t>Identifiant central du tiers Garant des titres garantis (Cover-bonds, …)</t>
  </si>
  <si>
    <t>Central ID of the Counterparty guarantor of backed securities (cover bonds…)</t>
  </si>
  <si>
    <t>Identifiant du tiers garant des titres garantis dans le système central DRG</t>
  </si>
  <si>
    <t>Central ID of the Counterparty guarantor of backed securities in the system used to generate the flow</t>
  </si>
  <si>
    <t>idCentralTiersGarTitre</t>
  </si>
  <si>
    <t>Identifiant central fourni par la DRG dans le fichier mensuel Référentiel ‘Tiers&amp;Groupes' (DTG) transmis aux entités émettrices du flux.
Le tiers en risque correspond à l'émetteur du titre.
Obligatoire pour une entité émettrice d'un flux FTCA</t>
  </si>
  <si>
    <t>Central identifier provided by the DRG in the monthly "Third Party&amp;Group" repository (DTG) file sent to the flow issuing .
The third party in risk corresponds to the issuer of the security.
Mandatory for an entity issuing a FTCA flow</t>
  </si>
  <si>
    <t>ASTRE, NPE, SRB VALUATION</t>
  </si>
  <si>
    <t>S'il est renseigné, l'identifiant doit correspondre à un enregistrement dans l'objet associé, indépendamment de l'entité
---
La donnée doit être présente dans TIGRE
---
Le couple identifiant local / central (P1 3.62 et P1 3.63) doit exister dans TIGRE</t>
  </si>
  <si>
    <t>If it is filled in, the identifier must correspond to a record in the associated object, regardless of the entity
---
Data must be present in TIGRE
---
The local/central identifier pair (P1 3.62 and P1 3.63) must exist in TIGRE</t>
  </si>
  <si>
    <t>P1 3.64</t>
  </si>
  <si>
    <t>Zone libre (Ex Indicateur titre déprécié)</t>
  </si>
  <si>
    <t>Free zone (Ex Impaired security indicator)</t>
  </si>
  <si>
    <t>Zonelibre364</t>
  </si>
  <si>
    <t>P1 3.65</t>
  </si>
  <si>
    <t>Zone libre (Ex Montant d'ajustement de valeur)</t>
  </si>
  <si>
    <t>Free zone (Ex Value adjustment amount)</t>
  </si>
  <si>
    <t>Zonelibre365</t>
  </si>
  <si>
    <t>P1 3.66</t>
  </si>
  <si>
    <t>Zone libre (Ex Devise du montant d'ajustement de valeur)</t>
  </si>
  <si>
    <t>Free zone (Ex Currency of value adjustment amount)</t>
  </si>
  <si>
    <t>Zonelibre366</t>
  </si>
  <si>
    <t>P1 6.99</t>
  </si>
  <si>
    <t>ZoneLibre6</t>
  </si>
  <si>
    <t>04 - Caractéristiques Affacturage</t>
  </si>
  <si>
    <t>04 - Factoring characteristics</t>
  </si>
  <si>
    <t>P1 4.25</t>
  </si>
  <si>
    <t>Spécifique à l'affacturage
Correspond au montant du Add-on affacturage</t>
  </si>
  <si>
    <t>Specific to the factoring
Corresponds to the factoring Add-on amount</t>
  </si>
  <si>
    <t>P1 4.26</t>
  </si>
  <si>
    <t xml:space="preserve">Devise du montant du Add-on affacturage </t>
  </si>
  <si>
    <t xml:space="preserve">La donnée est obligatoire si Montant du Add-on affacturage [P1 4.25] est renseigné
</t>
  </si>
  <si>
    <t>The data is mandatory, if Amount of the Add-on factoring [P1 4.25] is filled</t>
  </si>
  <si>
    <t>P1 4.27</t>
  </si>
  <si>
    <t>Montant de la part de financement garanti par des créances acheteurs</t>
  </si>
  <si>
    <t>Amount of backed financing by buyer debts</t>
  </si>
  <si>
    <t>Amount of financing backed by buyer debts</t>
  </si>
  <si>
    <t>mtFinGar</t>
  </si>
  <si>
    <t>Spécifique à l'affacturage
Correspond au montant du montant de la part de financement garanti par des créances acheteurs</t>
  </si>
  <si>
    <t>Specific to the factoring
Corresponds to the amount of the financing share guaranteed by debts debtors</t>
  </si>
  <si>
    <t>P1 4.28</t>
  </si>
  <si>
    <t>Devise du montant de la part de financement garanti par des créances acheteurs</t>
  </si>
  <si>
    <t>Currency of amount of backed financing by buyer debts</t>
  </si>
  <si>
    <t xml:space="preserve">Devise du montant de la part de financement garanti par des créances acheteurs </t>
  </si>
  <si>
    <t xml:space="preserve">Currency of amount of financing backed by buyer debts </t>
  </si>
  <si>
    <t>cdDevMtFinGar</t>
  </si>
  <si>
    <t xml:space="preserve">La donnée est obligatoire si Montant de la part de financement garanti par des créances acheteurs [P1 4.27] est renseigné
</t>
  </si>
  <si>
    <t>The data is mandatory, if Amount of backed financing by buyer debts [P1 4.27] is filled</t>
  </si>
  <si>
    <t>P1 4.30</t>
  </si>
  <si>
    <t>Expected Loss Best Estimate (en %)</t>
  </si>
  <si>
    <t>Expected Loss Best Estimate (in %)</t>
  </si>
  <si>
    <t>Exprimé en %</t>
  </si>
  <si>
    <t>Expressed as %</t>
  </si>
  <si>
    <t>txExpectedLossBestEstim</t>
  </si>
  <si>
    <t>Exprimée en %.
A renseigner uniquement pour l'affacturage en IRB A</t>
  </si>
  <si>
    <t>Expressed as %
To be completed only for factoring in IRB A</t>
  </si>
  <si>
    <t>Si renseignée, la donnée doit être comprise entre '0' et '100'</t>
  </si>
  <si>
    <t>If filled, the data must be between '0' and '100'</t>
  </si>
  <si>
    <t>P1 7.99</t>
  </si>
  <si>
    <t>ZoneLibre7</t>
  </si>
  <si>
    <t>P1 4.29</t>
  </si>
  <si>
    <t>Indicateur créance titrisée</t>
  </si>
  <si>
    <t>Securitised debt indicator</t>
  </si>
  <si>
    <t>cdCreTit</t>
  </si>
  <si>
    <t xml:space="preserve">La donnée est obligatoire si le type de risque [P1 2.0] = 'TRE2xx' à 'TRE4xx' hors (TRE203,TRE205, TRE206, TRE207) </t>
  </si>
  <si>
    <t xml:space="preserve">The data is mandatory if Risk type [P1 2.0] = 'TRE2xx' to 'TRE4xx' except (TRE203,TRE205,TRE206,TRE207) </t>
  </si>
  <si>
    <t>TPS0805</t>
  </si>
  <si>
    <t>Si renseigné ET si l'identifiant du Fonds Commun de Titrisation (SPV) [P1 4.40] est renseigné, alors 'Indicateur créance titrisée' [P1 4.29] = 'Y'</t>
  </si>
  <si>
    <t>If filled and if Securitisation fund (SPV) Identifier [P1 4.40] is filled, then 'Securitised debt indicator' [P1 4.29] = 'Y'</t>
  </si>
  <si>
    <t>TVS0726</t>
  </si>
  <si>
    <t>P1 4.40</t>
  </si>
  <si>
    <t>Identifiant du Fonds Commun de Titrisation (SPV)</t>
  </si>
  <si>
    <t>Securitisation fund (SPV) Identifier</t>
  </si>
  <si>
    <t>Identifiant du SPV dans le Référentiel Crédit Agricole SA FIN 
Donnée TRUE SALE réservée à LCL et aux Caisses Régionales</t>
  </si>
  <si>
    <t>SPV's identifier in Crédit Agricole SA FIN database
TRUE SALE data element reserved for LCL and Regional Banks</t>
  </si>
  <si>
    <t>cdFCT</t>
  </si>
  <si>
    <t>Donnée TRUE SALE réservée à LCL et aux Caisses Régionales</t>
  </si>
  <si>
    <t>TRUE SALE data reserved for LCL and Regional Banks</t>
  </si>
  <si>
    <t>P1 4.41</t>
  </si>
  <si>
    <t>Mode de Titrisation</t>
  </si>
  <si>
    <t>Securitisation type</t>
  </si>
  <si>
    <t>Indicateur du mode de titrisation
Donnée TRUE SALE réservée à LCL et aux Caisses Régionales</t>
  </si>
  <si>
    <t>Indicator of the type of securitisation
TRUE SALE data element reserved for LCL and Regional Banks</t>
  </si>
  <si>
    <t>cdModTit</t>
  </si>
  <si>
    <t>LC.0172</t>
  </si>
  <si>
    <t>TA KVMDTITR</t>
  </si>
  <si>
    <t>La donnée est obligatoire si Identifiant du Fonds Commun de Titrisation (SPV) [P1 4.40] est renseigné</t>
  </si>
  <si>
    <t>The data is mandatory if Securitisation fund (SPV) Identifier [P1 4.40] is filled in</t>
  </si>
  <si>
    <t>TPS0806</t>
  </si>
  <si>
    <t>P1 4.48</t>
  </si>
  <si>
    <t>Indicateur créance titrisée SRT</t>
  </si>
  <si>
    <t>SRT securitized receivables indicator</t>
  </si>
  <si>
    <t>Indicateur créance titrisée avec transfert de risque Significatif (SRT)</t>
  </si>
  <si>
    <t>Identifies receivables belonging to an SRT securitization (significant risk transfer)</t>
  </si>
  <si>
    <t>cdCreTitSTR</t>
  </si>
  <si>
    <t>LC.0328</t>
  </si>
  <si>
    <t>TA Z8ICTSRT</t>
  </si>
  <si>
    <t>AER, CALCULS PRUDENTIELS</t>
  </si>
  <si>
    <t>La donnée est obligatoire si le type de risque [P1 2.0] = 'TRE2xx' à 'TRE4xx' hors (TRE201,TRE203,TRE205, TRE206, TRE207) ET si l'indicateur créance titrisée [P1 4.29] = 'Y' ET si la nature du Sous-Jacent [P1 12.1] = '32' (Titre adossé à des actifs titrisés)</t>
  </si>
  <si>
    <t>The data is mandatory if Risk type [P1 2.0] = 'TRE2xx' to 'TRE4xx' out (TRE201, TRE203, TRE205, TRE206, TRE207) AND if the securitised debt indicator [P1 4.29] = 'Y' AND the nature of underlying [P1 12.1] = '32' (Asset backed security)</t>
  </si>
  <si>
    <t>TPSxxx</t>
  </si>
  <si>
    <t>P1 4.98</t>
  </si>
  <si>
    <t>Zone réservée TRUE SALE</t>
  </si>
  <si>
    <t>Zone reserved for TRUE SALE</t>
  </si>
  <si>
    <t>ZoneResTruSal</t>
  </si>
  <si>
    <t>P1 8.99</t>
  </si>
  <si>
    <t>ZoneLibre8</t>
  </si>
  <si>
    <t>P1 4.38</t>
  </si>
  <si>
    <t xml:space="preserve">Indicateur autonomie patrimoniale de l'actif en cas de défaut d'un membre compensateur </t>
  </si>
  <si>
    <t xml:space="preserve">Indicator of financial autonomy of the asset in case of default of a central counterparty (CCP) </t>
  </si>
  <si>
    <t>Indicateur d'autonomie patrimoniale de l'actif en cas de défaut d'un membre compensateur (CCP)</t>
  </si>
  <si>
    <t>Investment independence indicator of the asset in the event that a central counterparty (CCP) defaults</t>
  </si>
  <si>
    <t>indAutonPatriActifCCP</t>
  </si>
  <si>
    <t>LC.0192</t>
  </si>
  <si>
    <t>TA KVIAUTPA</t>
  </si>
  <si>
    <t>Permet d'indiquer qu'il existe juridiquement une distinction et une séparation au niveau de la contrepartie, entre les positions et les actifs déposés par la Banque et les positions et les actifs de la contrepartie et de ses autres clients
NB : Donnée facultative pour le type de risque TRE206</t>
  </si>
  <si>
    <t>Indicates that there is a legal distinction and separation at the counterparty level between the positions and deposited by the Bank and the positions and asset of the counterparty and its other customers
N.B. Optional data for risk type TRE206</t>
  </si>
  <si>
    <t>TRE203, 205
TRE206
VAR*</t>
  </si>
  <si>
    <t>La donnée est obligatoire si Type de risque [P1 2.0] = ‘TRE203' ou ([P1 2.0] = ‘VAR*' et [P1 3.36] = ‘Y')</t>
  </si>
  <si>
    <t>The data is mandatory if Risk type [P1 2.0] = ‘TRE203' or ([P1 2.0] = ‘VAR*' and [P1 3.36] = ‘Y')</t>
  </si>
  <si>
    <t>TPS0808</t>
  </si>
  <si>
    <t>P1 4.39</t>
  </si>
  <si>
    <t>Indicateur portabilité de l'actif en cas de défaut d'un membre compensateur</t>
  </si>
  <si>
    <t xml:space="preserve">Indicator of portability of the asset in case of default of a central counterparty (CCP) </t>
  </si>
  <si>
    <t>Indicateur de portabilité de l'actif en cas de défaut d'un membre compensateur (CCP)</t>
  </si>
  <si>
    <t>Portability indicator of the asset in the event that a central counterparty (CCP) defaults</t>
  </si>
  <si>
    <t>indPortaActifCCP</t>
  </si>
  <si>
    <t>LC.0191</t>
  </si>
  <si>
    <t>TA KVIPORTA</t>
  </si>
  <si>
    <t>Permet d'indiquer que les dispositions législatives, réglementaires et administratives et les dispositions contractuelles qui sont applicables à l'établissement ou à la CCP ou qui sont contraignants pour ceux- ci, facilitent le transfert des positions de la Banque sur ces contrats et opérations, ainsi que des sûretés correspondantes, vers un autre membre compensateur, avant la fin de la période de marge en risque concernée en cas de défaut ou d'insolvabilité du membre compensateur initial
NB : Donnée facultative pour le type de risque TRE206</t>
  </si>
  <si>
    <t>Allows to indicate that the laws, regulations and administrative provisions and contractual provisions which are applicable to the institution or CCP or which are binding on them facilitate the transfer of the Bank's positions on these contracts and transactions, as well as corresponding security interests, to another clearing member, before the end of the relevant risk margin period in case of default or insolvency of the original clearing member
N.B. Optional data for risk type TRE206</t>
  </si>
  <si>
    <t>P1 4.37</t>
  </si>
  <si>
    <t>Indicateur de ségrégation</t>
  </si>
  <si>
    <t>Segregation indicator</t>
  </si>
  <si>
    <t xml:space="preserve">Indicateur de ségrégation </t>
  </si>
  <si>
    <t xml:space="preserve">Segregation indicator </t>
  </si>
  <si>
    <t>indSegre</t>
  </si>
  <si>
    <t>LC.0194</t>
  </si>
  <si>
    <t>TA KVISEGRE</t>
  </si>
  <si>
    <t>Permet de préciser si l'actif représentatif de l'encours est géré de manière séparée et ségréguée des actifs du membre compensateur et de ceux des autres clients du membre compensateur, à la fois au niveau de la contrepartie centrale et du membre compensateur.
NB : Donnée facultative pour le type de risque TRE206</t>
  </si>
  <si>
    <t>This specifies whether the representative asset of the outstanding is managed separately and segregated from the assets of the clearing member and those of the other customers of the clearing member, both at the central counterparty and the clearing member level.
N.B. Optional data for risk type TRE206</t>
  </si>
  <si>
    <t>CALCULS PRUDENTIELS, SA-CCR</t>
  </si>
  <si>
    <t>P1 4.35</t>
  </si>
  <si>
    <t>Indicateur opinion juridique</t>
  </si>
  <si>
    <t>Legal opinion indicator</t>
  </si>
  <si>
    <t>Indicateur de l'opinion juridique</t>
  </si>
  <si>
    <t>indOpinJuri</t>
  </si>
  <si>
    <t>LC.0193</t>
  </si>
  <si>
    <t>TA KVIOPIJ</t>
  </si>
  <si>
    <t>Permet d'indiquer que la Banque dispose d'un avis juridique indépendant, écrit et dûment motivé concluant que, en cas de litige, les juridictions et autorités administratives concernées estimeraient que la Banque ne subirait aucune perte en raison de l'insolvabilité de son membre compensateur ou d'un quelconque des clients de son membre compensateur .
NB : Donnée facultative pour le type de risque TRE206</t>
  </si>
  <si>
    <t>Allows to indicate that the Bank has an independent, written and duly substantiated legal opinion concluding that, in the event of a dispute, the courts and administrative authorities concerned would consider that the Bank would not suffer any loss due to the insolvency of its clearing member or any of its clearing member's customers.
N.B. Optional data for risk type TRE206</t>
  </si>
  <si>
    <t>P1 3.36</t>
  </si>
  <si>
    <t>Indicateur compensation centrale</t>
  </si>
  <si>
    <t>Central clearing indicator</t>
  </si>
  <si>
    <t xml:space="preserve">Indique si la compensation centralisée de l'opération est de manière directe (face à une CCP) ou de manière indirecte (face à un courtier compensateur, lui-même membre d'une CCP). </t>
  </si>
  <si>
    <t>Indicates whether the transaction's central clearing is directly dealing (with a CCP), or indirectly dealing (with a clearing broker, which is itself member of a CCP).</t>
  </si>
  <si>
    <t>indCompensCentral</t>
  </si>
  <si>
    <t>LC.0182</t>
  </si>
  <si>
    <t>TA KVICC</t>
  </si>
  <si>
    <t>NB : Donnée facultative pour le type de risque TRE206</t>
  </si>
  <si>
    <t>N.B. Optional data for risk type TRE206</t>
  </si>
  <si>
    <t>CALCULS PRUDENTIELS, CORFOU, RISQUES SYSTEMIQUES, SA-CCR</t>
  </si>
  <si>
    <t>La donnée est obligatoire, si Type de risque [P1 2.0] = ‘VAR*'</t>
  </si>
  <si>
    <t>The data is mandatory, if Risk type [P1 2.0] = ‘VAR*'</t>
  </si>
  <si>
    <t>TPS0809</t>
  </si>
  <si>
    <t>P1 9.99</t>
  </si>
  <si>
    <t>ZoneLibre9</t>
  </si>
  <si>
    <t>P1 12.3</t>
  </si>
  <si>
    <t>Référence du titre sous-jacent</t>
  </si>
  <si>
    <t>Underlying asset's reference</t>
  </si>
  <si>
    <t>En fonction du type, code ISIN, code CUSIP, code interne Crédit Agricole SA</t>
  </si>
  <si>
    <t>Depending on type, ISIN code, CUSIP code, and Crédit Agricole SA internal code</t>
  </si>
  <si>
    <t>cdTitreSJ</t>
  </si>
  <si>
    <t>Nécessaire pour les EQU traités en IRB forfaitaire</t>
  </si>
  <si>
    <t>Necessary for EQUs treated in flat IRB</t>
  </si>
  <si>
    <t>AER, ALMM, CALCULS PRUDENTIELS, CONGLOMERATS, CORFOU, DEI, ESG PILIER 3, LIQUIDITE, MREL, PALMA, PVA, RISQUES SYSTEMIQUES, SA-CCR, SHS, SRB VALUATION</t>
  </si>
  <si>
    <t>EQU101
ISS100,ISS200,ISS300
TRE2 à 4XX 
VAR (hors/except VAR105/302)
INT</t>
  </si>
  <si>
    <t>La donnée est obligatoire si le type de risque [P1 2.0] = 'EQU101', et si Nature du Sous-Jacent [P1 12.1] = '01'
---
La donnée est obligatoire si le type de risque [P1 2.0] = (ISS100, ISS200 ou ISS300) et si Nature du Sous-Jacent [P1 12.1] = (06, 07, 08, 09, 10, 11, 12, 15, 16, 30, 32)
---
La donnée est obligatoire si le type de risque [P1 2.0] = (VAR* hors VAR105/302, INT*) et si Nature du Sous-Jacent [P1 12.1] = (01, 04, 05, 12, 20, 22, 30, 31, 32, 34)
---
La donnée est obligatoire si le type de risque [P1 2.0] = (TRE203, TRE205, TRE206, TRE207) ET si la Nature du Sous-Jacent [P1 12.1] = (06, 07, 08, 09, 10, 11)</t>
  </si>
  <si>
    <t>The data is mandatory if Risk type [P1 2.0] = 'EQU101' and if the Nature of underlying [P1 12.1] = '01'
---
The data is mandatory if Risk type [P1 2.0] = (ISS100, ISS200 or ISS300) and if the Nature of underlying [P1 12.1] = (06, 07, 08, 09, 10, 11, 12, 15, 16, 30, 32)
---
The data is mandatory if Risk type [P1 2.0] = (VAR* except VAR105/302, INT*) and if the Nature of underlying [P1 12.1] = (01, 04, 05, 12, 20, 22, 30, 31, 32, 34)
---
The data is mandatory if Risk type [P1 2.0] = (TRE203, TRE205, TRE206, TRE207) AND if Nature of underlying [P1 12.1] = (06, 07, 08, 09, 10, 11)</t>
  </si>
  <si>
    <t>TPS0810
TPS0811
TPS0812</t>
  </si>
  <si>
    <t>Si la donnée est renseignée, et si le Type d'identification des valeurs mobilières [P1 24.8] ='1', alors la donnée doit commencer par 2 caractères alphabétiques et avoir une longueur de 12 caractères avec un caractère numérique pour le dernier caractère ET la donnée doit être validée comme un code ISIN à l'aide de l'algorithme de Luhn</t>
  </si>
  <si>
    <t>If filled in, and if Type of identification of marketable securities [P1 24.8]= '1', then the data must start with 2 alphabetic characters and have a length of 12 characters with a numeric character for the last character AND the data must be validated as an ISIN code using the Luhn algorithm</t>
  </si>
  <si>
    <t>P1 12.19</t>
  </si>
  <si>
    <t>Echelon de qualité de crédit du titre sous-jacent</t>
  </si>
  <si>
    <t>Underlying security credit quality level</t>
  </si>
  <si>
    <t xml:space="preserve">Correspond à l'échelon de qualité de crédit des titres </t>
  </si>
  <si>
    <t>Securities' credit quality level</t>
  </si>
  <si>
    <t>cdEchelQaulTitreSsJac</t>
  </si>
  <si>
    <t>Donnée facultative pour les types de risques ISS100, ISS200 et ISS300</t>
  </si>
  <si>
    <t>Optional data for risk types ISS100, ISS200 and ISS300</t>
  </si>
  <si>
    <t xml:space="preserve">EQU101
ISS100, ISS200, ISS300
TRE203, 205, 206, 207
VAR*
</t>
  </si>
  <si>
    <t>La donnée est obligatoire si le type de risque [P1 2.0] = ‘TRE203, TRE205, TRE206, TRE207, VAR*' ET si la Référence du titre sous-jacent [P1 12.3] est renseignée</t>
  </si>
  <si>
    <t>The data is mandatory if Risk type [P1 2.0] = 'TRE203, TRE205, TRE206, TRE207,VAR*' AND if Underlying asset's reference [P1 12.3] is filled in</t>
  </si>
  <si>
    <t xml:space="preserve"> TPS0813
TPS0814</t>
  </si>
  <si>
    <t>P1 12.6</t>
  </si>
  <si>
    <t>Date d'échéance du titre sous-jacent</t>
  </si>
  <si>
    <t>Security credit quality step due date</t>
  </si>
  <si>
    <t xml:space="preserve">Date d'échéance de l'émission du titre sous-jacent </t>
  </si>
  <si>
    <t xml:space="preserve">Underlying security's maturity date </t>
  </si>
  <si>
    <t>cdEcheaTitreSsJac</t>
  </si>
  <si>
    <t>AER, CALCULS PRUDENTIELS, DEI, SA-CCR</t>
  </si>
  <si>
    <t>TRE203, 205, 206, 207
VAR (hors/except VAR105/302)
INT</t>
  </si>
  <si>
    <t>La donnée est obligatoire si le type de risque [P1 2.0] = ‘TRE203, TRE205, TRE206, TRE207, VAR* (hors VAR105 et VAR302), INT*' ET si la Référence du titre sous-jacent [P1 12.3] est renseignée</t>
  </si>
  <si>
    <t>The data is mandatory if Risk type [P1 2.0] = 'TRE203, TRE205, TRE206, TRE207,VAR* (except VAR105 and VAR302), INT' AND if Underlying asset's reference [P1 12.3] is filled in</t>
  </si>
  <si>
    <t xml:space="preserve"> TPS0814
TPS0949</t>
  </si>
  <si>
    <t>P1 15.1</t>
  </si>
  <si>
    <t>Indice boursier auquel appartient le titre sous-jacent</t>
  </si>
  <si>
    <t xml:space="preserve">Stock index belonging to the underlying security </t>
  </si>
  <si>
    <t xml:space="preserve">Code de l'indice </t>
  </si>
  <si>
    <t>Index's code</t>
  </si>
  <si>
    <t>indBoursTitreSsJac</t>
  </si>
  <si>
    <t>CALCULS PRUDENTIELS, DEI, SA-CCR</t>
  </si>
  <si>
    <t>EQU101
VAR (hors/except VAR105/302)
INT</t>
  </si>
  <si>
    <t>La donnée est obligatoire, si le Type de Risque [P1 2.0] = 'VAR* (hors VAR105 et VAR302), INT*' ET si la Référence du titre sous-jacent [P1 12.3] est renseignée</t>
  </si>
  <si>
    <t>The data is mandatory, if Risk type [P1 2.0] = 'VAR* (except VAR105 and VAR302), INT*' AND if Underlying asset's reference [P1 12.3] is filled in</t>
  </si>
  <si>
    <t xml:space="preserve"> TPS0815</t>
  </si>
  <si>
    <t>P1 15.2</t>
  </si>
  <si>
    <t>Localisation bourse de cotation du titre sous-jacent</t>
  </si>
  <si>
    <t>Location stock exchange listing of the underlying security</t>
  </si>
  <si>
    <t>Code du pays de la place boursière sur laquelle sont côtés les titres</t>
  </si>
  <si>
    <t>Country code of the stock exchange on which the securities are listed</t>
  </si>
  <si>
    <t>cdBourseCotaTitreSsJac</t>
  </si>
  <si>
    <t>EQU101
ISS100,ISS200,ISS300
TRE203, 205, 206, 207
VAR (hors/except VAR105/302)
INT</t>
  </si>
  <si>
    <t xml:space="preserve"> TPS0816
TPS0817</t>
  </si>
  <si>
    <t>P1 12.17</t>
  </si>
  <si>
    <t>Identifiant local du tiers émetteur du titre sous-jacent</t>
  </si>
  <si>
    <t xml:space="preserve">Local ID of the issuing counterparty of the underlying security </t>
  </si>
  <si>
    <t>Identifiant local du tiers émetteur du titre sous-jacent dans le système utilisé pour générer le flux</t>
  </si>
  <si>
    <t>Local identifier of the third party that issues the underlying security in the local system used to generate the flow</t>
  </si>
  <si>
    <t>idLocalEmetTitreSsJac</t>
  </si>
  <si>
    <t>Vérification présence d'un enregistrement de type C1 avec même identifiant dans le lot (Sauf entité émettrice d'un flux FTCA)
Le tiers en risque correspond à l'émetteur du titre. 
Identifiant pour les tiers 'ESJ' = Emetteur de titre - Sous-jacent</t>
  </si>
  <si>
    <t xml:space="preserve">Check that there is a C1-type record with the same identifier in the batch (except entity issuing a FTCA flow)
The third party in risk corresponds to the issuer of the security
ID for 'ESJ' counterparty = issuing counterparty
</t>
  </si>
  <si>
    <t>AER, CONGLOMERATS, DEI, YOSHIKUNI</t>
  </si>
  <si>
    <t>TRE203, 205, 207
TRE206
VAR (hors Repos)
INT</t>
  </si>
  <si>
    <t>La donnée est obligatoire si le type de risque [P1 2.0] = (TRE203, TRE205, TRE206, TRE207) ET si la Nature du Sous-Jacent [P1 12.1] = (06, 07, 08, 09, 10, 11)
---
La donnée est obligatoire si le type de risque [P1 2.0] = (VAR* hors VAR105/302, INT*) et si la nature du sous-jacent [P1 12.1] = (01, 04, 05, 06, 07, 08, 09, 10, 11, 32)</t>
  </si>
  <si>
    <t>The data is mandatory if Risk type [P1 2.0] = (TRE203, TRE205, TRE206, TRE207) AND if Nature of underlying [P1 12.1] = (06, 07, 08, 09, 10, 11)
---
The data is mandatory if Risk type [P1 2.0] = (VAR* except VAR105/302, INT*) and if Nature of underlying [P1 12.1] = (01, 04, 05, 06, 07, 08, 09, 10, 11, 32)</t>
  </si>
  <si>
    <t>TPS0814
TPS0838</t>
  </si>
  <si>
    <t>P1 12.18</t>
  </si>
  <si>
    <t>Identifiant central du tiers émetteur du titre sous-jacent</t>
  </si>
  <si>
    <t>Central ID of the issuing counterparty of the underlying security</t>
  </si>
  <si>
    <t>Identifiant du tiers émetteur du titre sous-jacent dans le système central DRG</t>
  </si>
  <si>
    <t>Identifier of the third party that issues the underlying security in the central DRG system</t>
  </si>
  <si>
    <t>idCentralEmetTitreSsJac</t>
  </si>
  <si>
    <t>AER, ASTRE, CALCULS PRUDENTIELS, CONGLOMERATS, DEI, YOSHIKUNI</t>
  </si>
  <si>
    <t>S'il est renseigné, l'identifiant doit correspondre à un enregistrement dans l'objet associé, indépendamment de l'entité
---
La donnée doit être présente dans TIGRE
---
Le couple identifiant local / central (P1 12.17 et P1 12.18) doit exister dans TIGRE</t>
  </si>
  <si>
    <t>If it is filled in, the identifier must correspond to a record in the associated object, regardless of the entity
---
Data must be present in TIGRE
---
The local/central identifier pair (P1 12.17 and P1 12.18) must exist in TIGRE</t>
  </si>
  <si>
    <t>P1 10.99</t>
  </si>
  <si>
    <t>ZoneLibre10</t>
  </si>
  <si>
    <t>P1 3.89</t>
  </si>
  <si>
    <t>Méthode réglementaire de calcul de l'exposition</t>
  </si>
  <si>
    <t>Regulatory method for calculating the exposure</t>
  </si>
  <si>
    <t>Méthode réglementaire du calcul de l'exposition</t>
  </si>
  <si>
    <t xml:space="preserve">Regulatory method for calculating the exposure </t>
  </si>
  <si>
    <t>cdCalcExpo</t>
  </si>
  <si>
    <t>LC.0236</t>
  </si>
  <si>
    <t>TA KVMRCE</t>
  </si>
  <si>
    <t>VAR*</t>
  </si>
  <si>
    <t>P1 3.90</t>
  </si>
  <si>
    <t>Méthode de calcul CVA</t>
  </si>
  <si>
    <t>CVA (credit valuation adjustment) calculation method</t>
  </si>
  <si>
    <t>CVA calculation method</t>
  </si>
  <si>
    <t>cdCalCVA</t>
  </si>
  <si>
    <t>LC.0238</t>
  </si>
  <si>
    <t>TA KVMETCVA</t>
  </si>
  <si>
    <t>P1 3.86</t>
  </si>
  <si>
    <t>Montant Credit Valuation Adjustment (CVA) comptable</t>
  </si>
  <si>
    <t>Accounting Credit Valuation Adjustment (CVA) amount</t>
  </si>
  <si>
    <t>Permet de renseigner la CVA comptable</t>
  </si>
  <si>
    <t>Enables the accounting CVA to be completed</t>
  </si>
  <si>
    <t>mtCVA</t>
  </si>
  <si>
    <t>CALCULS PRUDENTIELS, DEI, GRR</t>
  </si>
  <si>
    <t>P1 3.87</t>
  </si>
  <si>
    <t>Devise de Credit Valuation Adjustment (CVA) comptable</t>
  </si>
  <si>
    <t>Currency of the accounting Credit Valuation Adjustment (CVA) amount</t>
  </si>
  <si>
    <t>Devise de la Credit Valuation Adjustment (CVA) comptable</t>
  </si>
  <si>
    <t xml:space="preserve">Currency of the accounting Credit Valuation Adjustment (CVA) amount </t>
  </si>
  <si>
    <t>cdDevMtCVA</t>
  </si>
  <si>
    <t>La donnée est obligatoire, si Montant Credit Valuation Adjustment (CVA) comptable [P1 3.86] est renseigné</t>
  </si>
  <si>
    <t>The data is mandatory, if Accounting Credit Valuation Adjustment (CVA) amount [P1 3.86] is filled</t>
  </si>
  <si>
    <t>P1 3.88</t>
  </si>
  <si>
    <t>Indicateur de risque spécifique de corrélation défavorable</t>
  </si>
  <si>
    <t xml:space="preserve">Indicator of specific negative correlation risk </t>
  </si>
  <si>
    <t>Ce risque apparaît lorsque la valeur de l'exposition envers un tiers évolue dans le même sens (corrélée) que la dégradation de la qualité de crédit de ce tiers (donc si le MTM augmente lorsque la PD du tiers augmente)</t>
  </si>
  <si>
    <t>This risk occurs when the value of the exposure to a third party changes in the same (correlated) direction as the degradation of the quality of credit of that third party (i.e. if the MTM increases as the PD of the third party increases)</t>
  </si>
  <si>
    <t>indRisqSpeCorrDef</t>
  </si>
  <si>
    <t>LC.0480</t>
  </si>
  <si>
    <t>TA Z8IRSPCD</t>
  </si>
  <si>
    <t>P1 11.15</t>
  </si>
  <si>
    <t>Identifiant local de la chambre de compensation</t>
  </si>
  <si>
    <t>Clearing house's local identifier</t>
  </si>
  <si>
    <t>Identifiant local de la CCP dans le système utilisé pour générer le flux</t>
  </si>
  <si>
    <t>Local identifier of the CCP in the system used to generate the flow</t>
  </si>
  <si>
    <t>idLocalChambreCompens</t>
  </si>
  <si>
    <t>Vérification présence d'un enregistrement de type C1 avec même identifiant dans le lot (Sauf entité émettrice d'un flux FTCA)
Pour le type de risques VAR (hors Repos), permet, pour une entité n'utilisant pas de modèle interne, agissant en tant qu'établissement membre compensateur, l'application d'un facteur multiplicatif de réduction de l'EAD (facteur scalaire) pour les opérations compensées envers les clients. Seul CACEIS est concerné par la compensation centralisée de transaction pour le compte de client</t>
  </si>
  <si>
    <t>Check that there is a C1-type record with the same identifier in the batch (except entity issuing a FTCA flow)
For the VAR risk type (excl. Rest), allows, for an entity not using an internal model, acting as a clearing member institution, the application of a multiplier EAD reduction factor (scalar factor) for offset transactions to customers. Only CACEIS is affected by the centralized transaction compensation for the customer account</t>
  </si>
  <si>
    <t>TRE203, 205
TRE206
VAR (hors Repos)</t>
  </si>
  <si>
    <t>P1 11.16</t>
  </si>
  <si>
    <t>Identifiant central de la chambre de compensation</t>
  </si>
  <si>
    <t>Clearing house's central identifier</t>
  </si>
  <si>
    <t>Identifiant de la CCP dans le système central DRG</t>
  </si>
  <si>
    <t>Identifier of the CCP in the central DRG system</t>
  </si>
  <si>
    <t>idCentralChambreCompens</t>
  </si>
  <si>
    <t>TRE203
TRE206
VAR (hors Repos)</t>
  </si>
  <si>
    <t>S'il est renseigné, l'identifiant doit correspondre à un enregistrement dans l'objet associé, indépendamment de l'entité
---
La donnée doit être présente dans TIGRE
---
Le couple identifiant local / central (P1 11.15 et P1 11.16) doit exister dans TIGRE</t>
  </si>
  <si>
    <t>If it is filled in, the identifier must correspond to a record in the associated object, regardless of the entity
---
Data must be present in TIGRE
---
The local/central identifier pair (P1 11.15 and P1 11.16) must exist in TIGRE</t>
  </si>
  <si>
    <t>P1 11.1</t>
  </si>
  <si>
    <t>Type de dérivé de crédit</t>
  </si>
  <si>
    <t>Type of derivative credit</t>
  </si>
  <si>
    <t>Type of credit derivative</t>
  </si>
  <si>
    <t>cdTypDerivCredit</t>
  </si>
  <si>
    <t>LC.0045</t>
  </si>
  <si>
    <t>TA KVTDERIV</t>
  </si>
  <si>
    <t>NB : Donnée facultative pour le type de risque ISS100</t>
  </si>
  <si>
    <t>N.B. Optional data for risk type ISS100</t>
  </si>
  <si>
    <t>CALCULS PRUDENTIELS, SA-CCR, YOSHIKUNI</t>
  </si>
  <si>
    <t>ISS100
VAR (hors Repos)</t>
  </si>
  <si>
    <t>P1 3.76</t>
  </si>
  <si>
    <t xml:space="preserve">Indicateur de dénouement du CDS </t>
  </si>
  <si>
    <t>Indicator of CDS settlement</t>
  </si>
  <si>
    <t xml:space="preserve">Indicateur de dénouement du CDS lorsque l'acheteur de protection devient insolvable </t>
  </si>
  <si>
    <t xml:space="preserve">Indicator of the unwinding of the CDS when the protection buyer becomes insolvent </t>
  </si>
  <si>
    <t>indDenouCDS</t>
  </si>
  <si>
    <t>LC.0196</t>
  </si>
  <si>
    <t>TA KVIDCDS</t>
  </si>
  <si>
    <t>P1 3.77</t>
  </si>
  <si>
    <t>Eligibilité du dérivé de crédit à la couverture du risque CVA</t>
  </si>
  <si>
    <t>Eligibility of credit derivative to the coverage CVA risk</t>
  </si>
  <si>
    <t>Indicateur de l'éligibilité du Dérivé de crédit à la couverture du risque CVA</t>
  </si>
  <si>
    <t>Indicator of the eligibility of the credit derivative for hedging CVA risk</t>
  </si>
  <si>
    <t>cdEligDerivCreditCouvCVA</t>
  </si>
  <si>
    <t>LC.0195</t>
  </si>
  <si>
    <t>TA KVELICVA</t>
  </si>
  <si>
    <t xml:space="preserve">VAR (hors Repos VAR105, VAR302)
</t>
  </si>
  <si>
    <t>P1 11.4</t>
  </si>
  <si>
    <t>Identifiant local du tiers couvert par le Dérivé de crédit</t>
  </si>
  <si>
    <t>Local ID of the counterparty covered by the credit derivative</t>
  </si>
  <si>
    <t>Identifiant local du tiers couvert par le dérivé de crédit dans le système utilisé pour générer le flux</t>
  </si>
  <si>
    <t>Local identifier of the third party covered by the credit derivative in the local system used to generate the flow</t>
  </si>
  <si>
    <t>idLocalTiersCouvDericCredit</t>
  </si>
  <si>
    <t>Vérification présence d'un enregistrement de type C1 avec même identifiant dans le lot (Sauf entité émettrice d'un flux FTCA)
Le tiers en risque correspond à l'émetteur du titre
Identifiant pour les tiers 'CVT' = Tiers couvert</t>
  </si>
  <si>
    <t xml:space="preserve">Check that there is a C1-type record with the same identifier in the batch (except entity issuing a FTCA flow)
The third party in risk corresponds to the issuer of the security
ID for 'CVT' counterparty = covered counterparty
</t>
  </si>
  <si>
    <t>SA-CCR, YOSHIKUNI</t>
  </si>
  <si>
    <t>P1 11.5</t>
  </si>
  <si>
    <t>Identifiant central du tiers couvert par le Dérivé de crédit</t>
  </si>
  <si>
    <t>Central ID of the counterparty covered by the credit derivative</t>
  </si>
  <si>
    <t>Identifiant du tiers couvert par le dérivé de crédit dans le système central DRG</t>
  </si>
  <si>
    <t>Local identifier of the third party covered by the credit derivative in the central DRG system</t>
  </si>
  <si>
    <t>idCentralTiersCouvDericCredit</t>
  </si>
  <si>
    <t>ASTRE, CALCULS PRUDENTIELS, CONGLOMERATS, SA-CCR, YOSHIKUNI</t>
  </si>
  <si>
    <t>S'il est renseigné, l'identifiant doit correspondre à un enregistrement dans l'objet associé, indépendamment de l'entité
---
La donnée doit être présente dans TIGRE
---
Le couple identifiant local / central (P1 11.4 et P1 11.5) doit exister dans TIGRE</t>
  </si>
  <si>
    <t>If it is filled in, the identifier must correspond to a record in the associated object, regardless of the entity
---
Data must be present in TIGRE
---
The local/central identifier pair (P1 11.4 and P1 11.5) must exist in TIGRE</t>
  </si>
  <si>
    <t>P1 11.2</t>
  </si>
  <si>
    <t xml:space="preserve">Spread de marché du dérivé </t>
  </si>
  <si>
    <t xml:space="preserve">Derivative market spread </t>
  </si>
  <si>
    <t>Correspond au spread de marché du dérivé</t>
  </si>
  <si>
    <t>Corresponds to the derivative's market spread</t>
  </si>
  <si>
    <t>mtSpreadDeriv</t>
  </si>
  <si>
    <t>P1 3.10</t>
  </si>
  <si>
    <t>Montant notionnel de la jambe achetée des dérivés</t>
  </si>
  <si>
    <t>Notional amount of leg purchased from derivatives</t>
  </si>
  <si>
    <t>mtNotionJbAch</t>
  </si>
  <si>
    <t>CALCULS PRUDENTIELS, CORFOU, LIQUIDITE, PALMA, SA-CCR</t>
  </si>
  <si>
    <t>La donnée est obligatoire si Type de risque [P1 2.0] = ‘VAR101, VAR102, VAR103, VAR104, VAR4xx, VAR5xx'</t>
  </si>
  <si>
    <t>The data is mandatory if Risk type [P1 2.0] = ‘VAR101, VAR102, VAR103, VAR104, VAR4xx, VAR5xx'</t>
  </si>
  <si>
    <t>TPS0818</t>
  </si>
  <si>
    <t>P1 3.11</t>
  </si>
  <si>
    <t>Devise du montant du notionnel de la jambe payée des dérivés</t>
  </si>
  <si>
    <t>Currency of the notional amount of the purchased leg from derivatives</t>
  </si>
  <si>
    <t>cdDevMtNotionJbAch</t>
  </si>
  <si>
    <t>CONGLOMERATS, CORFOU, LIQUIDITE, PALMA, SA-CCR</t>
  </si>
  <si>
    <t xml:space="preserve">La donnée est obligatoire, si Montant notionnel de la jambe achetée [P1 3.10] est renseigné </t>
  </si>
  <si>
    <t>The data is mandatory, if Notional amount of the purchased leg [P1 3.10] is filled</t>
  </si>
  <si>
    <t>Si renseignée ET si l'instrument financier [P1 3.75] ='03,'04', alors la donnée [P1 3.11] doit être différente de la donnée Devise du montant du notionnel de la jambe vendue [P1 3.13]</t>
  </si>
  <si>
    <t>IF filled in AND if Financial instrument [P1 3.75] ='03', '04', then the data [P1 3.11] must be different of the Currency of the notional amount of the sold leg [P1 3.13]</t>
  </si>
  <si>
    <t>TCS0714</t>
  </si>
  <si>
    <t>P1 3.12</t>
  </si>
  <si>
    <t>Montant du notionnel de la jambe vendue des dérivés</t>
  </si>
  <si>
    <t>Notional amount of leg sold of derivatives</t>
  </si>
  <si>
    <t>mtNotionJbVen</t>
  </si>
  <si>
    <t>P1 3.13</t>
  </si>
  <si>
    <t>Devise du montant du notionnel de la jambe vendue des dérivés</t>
  </si>
  <si>
    <t>Currency of the notional amount of leg sold of derivatives</t>
  </si>
  <si>
    <t>cdDevMtNotionJbVen</t>
  </si>
  <si>
    <t xml:space="preserve">La donnée est obligatoire, si Montant du notionnel de la jambe vendue [P1 3.12] est renseigné
</t>
  </si>
  <si>
    <t>The data is mandatory, if Notional amount of the sold leg [P1 3.12] is filled</t>
  </si>
  <si>
    <t>P1 10.20</t>
  </si>
  <si>
    <t xml:space="preserve">Type de swap </t>
  </si>
  <si>
    <t xml:space="preserve">Type of swap </t>
  </si>
  <si>
    <t>Type de swap</t>
  </si>
  <si>
    <t>Type of swap</t>
  </si>
  <si>
    <t>cdTypSwap</t>
  </si>
  <si>
    <t>LC.0070</t>
  </si>
  <si>
    <t>TA KVTSWAP</t>
  </si>
  <si>
    <t>CALCULS PRUDENTIELS, CONGLOMERATS, PALMA, SA-CCR</t>
  </si>
  <si>
    <t>La donnée est obligatoire si le type de risque [P1 2.0] = 'VARxxx' hors (VAR105 et VAR302) et si la donnée si instrument financier [P1 3.75] est égale à '54 – Swaps sur actions' ou '22 – Swaps de taux'</t>
  </si>
  <si>
    <t>The data is mandatory if risk type [P1 2.0] = 'VARxxx' out (VAR105 and VAR302) and if data if financial instrument [P1 3.75] is equal to '54 - Equity swaps' or '22 - Interest rate swaps'</t>
  </si>
  <si>
    <t>TPS0819</t>
  </si>
  <si>
    <t>Si elle est renseignée, la donnée doit prendre la valeur 'BS' si l'instrument financier [P1 3.75] est un swap de taux (valeur '22') ET si le type de taux payé [P1 8.1] est variable ou révisable (valeurs 'V' ou 'R') ET si le type de taux reçu [P1 8.11] est variable ou révisable (valeurs 'V' ou 'R') ET si la devise du notionnel de la jambe achetée [P1 3.11] a la même valeur que la devise du notionnel de la jambe vendue [P1 3.13]</t>
  </si>
  <si>
    <t>If populated, the data shall be set to 'BS' if the financial instrument [P1 3.75] is a rate swap (value '22') AND if the type of rate paid [P1 8.1] is variable or revisable (values 'V' or 'R') AND if the type of rate received [P1 8.11] is variable or revisable (values 'V' or 'R') AND if the notional currency of the purchased leg [P1 3.11] has the same value as the notional currency of the sold leg [P1 3.13]</t>
  </si>
  <si>
    <t>TVS0767</t>
  </si>
  <si>
    <t>Si le type IF (colonne KVTYPIF de la table KVINSFIN) pour la donnée Instrument financier [P1 3.75] est égal à '04' alors vérifier la cohérence entre la donnée Type de swap [P1 10.20] et Instrument financer [P1 3.75] dans la table KVCOTSIF</t>
  </si>
  <si>
    <t>If the IF type (column KVTYPIF of the KVINSFIN table) for the data item Financial instrument [P1 3.75] is equal to '04' then check the consistency between the data item Swap type [P1 10.20] and Financial instrument [P1 3.75] in the KVCOTSIF table</t>
  </si>
  <si>
    <t>TCS0715</t>
  </si>
  <si>
    <t>P1 10.1</t>
  </si>
  <si>
    <t xml:space="preserve">Nature de l'Option </t>
  </si>
  <si>
    <t xml:space="preserve">Nature of the option </t>
  </si>
  <si>
    <t>Nature de l'option</t>
  </si>
  <si>
    <t>Type of option</t>
  </si>
  <si>
    <t>cdNatOpt</t>
  </si>
  <si>
    <t>LC.0038</t>
  </si>
  <si>
    <t>TA KVNOPTIO</t>
  </si>
  <si>
    <t>CALCULS PRUDENTIELS, CORFOU, PALMA</t>
  </si>
  <si>
    <t>VAR (hors Repos VAR105, VAR302)</t>
  </si>
  <si>
    <t xml:space="preserve">La donnée est obligatoire, si le type de risque [P1 2.0] = 'VARxxx' hors ('VAR105, VAR302') ET pour les types d'instruments financiers [P1 3.75] regroupés sous le code ‘03’ (option) [code du type d’instrument financier indiqué en colonne Type IF de la table KVINSFIN]
</t>
  </si>
  <si>
    <t>The data is mandatory, if Risk type [P1 2.0] = 'VARxxx' except ('VAR105, VAR302') AND for Financial instrument types [P1 3.75] under code ‘03’ (option) [code of Financial instrument type in column 'FI Type' of the start KVINSFIN table]</t>
  </si>
  <si>
    <t>TPS0820</t>
  </si>
  <si>
    <t>P1 10.2</t>
  </si>
  <si>
    <t>Indicateur Call Put</t>
  </si>
  <si>
    <t>Indicator Call Put</t>
  </si>
  <si>
    <t>Indicateur permettant de préciser si l'option est de nature Call ou Put</t>
  </si>
  <si>
    <t>Indicator identifying whether the option is Call or Put</t>
  </si>
  <si>
    <t>cdCallPut</t>
  </si>
  <si>
    <t>LC.0039</t>
  </si>
  <si>
    <t>TA KVCLLPUT</t>
  </si>
  <si>
    <t>CALCULS PRUDENTIELS, CORFOU, PALMA, SA-CCR</t>
  </si>
  <si>
    <t>P1 8.1</t>
  </si>
  <si>
    <t>Type du taux payé du dérivé</t>
  </si>
  <si>
    <t>Type of paid rate from derivative</t>
  </si>
  <si>
    <t>cdTypTxPaye</t>
  </si>
  <si>
    <t>LC.0035</t>
  </si>
  <si>
    <t>TA KVTTAUX</t>
  </si>
  <si>
    <t>CALCULS PRUDENTIELS, CORFOU, LIQUIDITE, PALMA, PVA, SA-CCR, SRB VALUATION</t>
  </si>
  <si>
    <t>La donnée est obligatoire si le type de risque [P1 2.0] = 'VARxxx' hors ('VAR105', 'VAR302') et si catégorie IF trouvée pour [P1 3.75] = ‘02' (Code catégorie =KVCATIF, 4ème colonne de la table start KVINSFIN) ET si Type du taux reçu [P1 8.11] n'est pas renseigné</t>
  </si>
  <si>
    <t>The data is mandatory if Risk type [P1 2.0] = 'VARxxx' except ('VAR105', 'VAR302') and if category IF found for [P1 3.75] = ‘02' (Category code =KVCATIF, 4th column of start KVINSFIN table) AND if the data is mandatory if Type of received rate [P1 8.11] is not filled in</t>
  </si>
  <si>
    <t>TPS0821</t>
  </si>
  <si>
    <t>P1 8.2</t>
  </si>
  <si>
    <t>Indice de référence du taux payé</t>
  </si>
  <si>
    <t>Reference index paid rate</t>
  </si>
  <si>
    <t>Indice de référence payé pour les taux variables et révisables</t>
  </si>
  <si>
    <t>Reference index paid for variable and reviewable rates</t>
  </si>
  <si>
    <t>cdRefTxPaye</t>
  </si>
  <si>
    <t>LC.0229</t>
  </si>
  <si>
    <t>TA XPINDEX</t>
  </si>
  <si>
    <t>CALCULS PRUDENTIELS, CONGLOMERATS, CORFOU, LIQUIDITE, PALMA, PVA, SA-CCR</t>
  </si>
  <si>
    <t>La donnée est obligatoire si le type de risque [P1 2.0] = 'VARxxx' hors ('VAR105', 'VAR302') ET [si le code catégorie (colonne KVCATIF de la table KVINSFIN) pour la donnée Instrument financier [P1 3.75] est égal à '02' ET si Instrument financier [P1 3.75] différent de '23'] OU [(si l'instrument financier [P1 3.75] ='23' ET Sens de la transaction [P1 3.7] = '0' ET Indicateur Call Put [P1 10.2] = 'P' (PUT)) OU (si l'instrument financier [P1 3.75] ='23' ET Sens de la transaction [P1 3.7] = '1' ET Indicateur Call Put [P1 10.2] = 'C' (CALL)]</t>
  </si>
  <si>
    <t>The data is mandatory if Risk type [P1 2.0] = 'VARxxx' out ('VAR105', 'VAR302') AND [if the category code (column KVCATIF of the KVINSFIN table) for the data Financial instrument [P1 3.75] is equal to '02' AND if Financial instrument [P1 3.75] is different of '23'] OR [(if Financial instrument [P1 3.75] ='23' AND if Direction of transaction [P1 3.7] = '0' AND Indicator Call Put [P1 10.2] = 'P' (PUT)) OR (if Financial instrument [P1 3.75] ='23' AND if Direction of transaction [P1 3.7] = '1' AND Indicator Call Put [P1 10.2] = 'C' (CALL)]</t>
  </si>
  <si>
    <t>TPS0822</t>
  </si>
  <si>
    <t>La valeur 'FIXE' n'est pas autorisée</t>
  </si>
  <si>
    <t>The value 'FIXE' is not allowed</t>
  </si>
  <si>
    <t>TVS0770</t>
  </si>
  <si>
    <t>P1 8.11</t>
  </si>
  <si>
    <t>Type du taux reçu du dérivé</t>
  </si>
  <si>
    <t>Type of received rate from derivative</t>
  </si>
  <si>
    <t>cdTypTxRecu</t>
  </si>
  <si>
    <t>La donnée est obligatoire si le type de risque [P1 2.0] = 'VARxxx' hors ('VAR105', 'VAR302') et si catégorie IF trouvée pour [P1 3.75] = ‘02' (Code catégorie =KVCATIF, 4ème colonne de la table start KVINSFIN)</t>
  </si>
  <si>
    <t>The data is mandatory if Risk type [P1 2.0] = 'VARxxx' except ('VAR105', 'VAR302') and if category IF found for [P1 3.75] = ‘02' (Category code =KVCATIF, 4th column of start KVINSFIN table)</t>
  </si>
  <si>
    <t>TPS0823</t>
  </si>
  <si>
    <t>P1 8.12</t>
  </si>
  <si>
    <t>Indice de référence du taux reçu</t>
  </si>
  <si>
    <t>Reference index received rate</t>
  </si>
  <si>
    <t>Indice de référence reçu pour les taux variables et révisables</t>
  </si>
  <si>
    <t>Reference index received for variable and reviewable rates</t>
  </si>
  <si>
    <t>cdRefTxRecu</t>
  </si>
  <si>
    <t>La donnée est obligatoire si le type de risque [P1 2.0] = 'VARxxx' hors ('VAR105', 'VAR302') ET [si le code catégorie (colonne KVCATIF de la table KVINSFIN) pour la donnée Instrument financier [P1 3.75] est égal à '02' ET si Instrument financier [P1 3.75] différent de '23'] OU [(si l'instrument financier [P1 3.75] ='23' ET Sens de la transaction [P1 3.7] = '0' ET Indicateur Call Put [P1 10.2] = 'C' (CALL)) OU (si l'instrument financier [P1 3.75] ='23' ET Sens de la transaction [P1 3.7] = '1' ET Indicateur Call Put [P1 10.2] = 'P' (PUT)]</t>
  </si>
  <si>
    <t>The data is mandatory if Risk type [P1 2.0] = 'VARxxx' out ('VAR105', 'VAR302') AND [if the category code (column KVCATIF of the KVINSFIN table) for the data Financial instrument [P1 3.75] is equal to '02' AND if Financial instrument [P1 3.75] is different of '23'] OR [(if Financial instrument [P1 3.75] ='23' AND if Direction of transaction [P1 3.7] = '0' AND Indicator Call Put [P1 10.2] = 'C' (CALL)) OR (if Financial instrument [P1 3.75] ='23' AND if Direction of transaction [P1 3.7] = '1' AND Indicator Call Put [P1 10.2] = 'P' (PUT)]</t>
  </si>
  <si>
    <t>TPS0824</t>
  </si>
  <si>
    <t>P1 20.1</t>
  </si>
  <si>
    <t>Quantité à recevoir</t>
  </si>
  <si>
    <t>Quantity to receive</t>
  </si>
  <si>
    <t>Quantité de matières premières à recevoir</t>
  </si>
  <si>
    <t>Quantity of raw materials to be received</t>
  </si>
  <si>
    <t>qtyRecevoir</t>
  </si>
  <si>
    <t>VAR4xx</t>
  </si>
  <si>
    <t>La donnée est obligatoire si le type de risque [P1 2.0] = 'VAR4xxx' ET si Quantité à livrer [P1 20.3] n'est pas renseignée</t>
  </si>
  <si>
    <t>The data is mandatory if Risk type [P1 2.0] = 'VAR4xxx' AND if Quantity to deliver [P1 20.3] is not filled</t>
  </si>
  <si>
    <t>TPS0825</t>
  </si>
  <si>
    <t>P1 20.2</t>
  </si>
  <si>
    <t>Unité de mesure de la quantité à recevoir</t>
  </si>
  <si>
    <t>Unit of measure of the quantity to receive</t>
  </si>
  <si>
    <t>Unité de mesure de la quantité de matières premières à recevoir</t>
  </si>
  <si>
    <t xml:space="preserve">Unit of measure of the quantity of commodities to be received </t>
  </si>
  <si>
    <t>cdMesureQtyRecevoir</t>
  </si>
  <si>
    <t>LC.0067</t>
  </si>
  <si>
    <t>TA KVUNITE</t>
  </si>
  <si>
    <t>La donnée est obligatoire, si le type de risque [P1 2.0] = 'VAR4xxx' ET si Quantité à recevoir [P1 20.1] est renseignée</t>
  </si>
  <si>
    <t>The data is mandatory, if Risk type [P1 2.0] = 'VAR4xxx' AND if Quantity to receive [P1 20.1] is filled</t>
  </si>
  <si>
    <t>TPS0826</t>
  </si>
  <si>
    <t>P1 20.3</t>
  </si>
  <si>
    <t>Quantité à livrer</t>
  </si>
  <si>
    <t>Quantity to deliver</t>
  </si>
  <si>
    <t>Quantité de matières première à livrer</t>
  </si>
  <si>
    <t>Quantity of raw materials to deliver</t>
  </si>
  <si>
    <t>qtyLivrer</t>
  </si>
  <si>
    <t>La donnée est obligatoire si Type de risque [P1 2.0] = 'VAR4xxx'</t>
  </si>
  <si>
    <t>The data is mandatory if Risk type [P1 2.0] = 'VAR4xxx'</t>
  </si>
  <si>
    <t>TPS0827</t>
  </si>
  <si>
    <t>P1 20.4</t>
  </si>
  <si>
    <t>Unité de mesure de la quantité à livrer</t>
  </si>
  <si>
    <t>Unit of measure of the quantity to deliver</t>
  </si>
  <si>
    <t>Unité de mesure de la quantité de matières premières à livrer</t>
  </si>
  <si>
    <t>Unit of measure of the quantity of commodities to be delivered</t>
  </si>
  <si>
    <t>cdMesureQtyLivrer</t>
  </si>
  <si>
    <t>La donnée est obligatoire, si le type de risque [P1 2.0] = 'VAR4xxx' ET si Quantité à livrer [P1 20.3] est renseignée</t>
  </si>
  <si>
    <t>The data is mandatory, if Risk type [P1 2.0] = 'VAR4xxx' AND if Quantity to deliver [P1 20.3] is filled</t>
  </si>
  <si>
    <t>TPS0828</t>
  </si>
  <si>
    <t>P1 10.22</t>
  </si>
  <si>
    <t>Type d'exercice de l'option</t>
  </si>
  <si>
    <t>Option's type of exercise</t>
  </si>
  <si>
    <t xml:space="preserve">Option's type of exercise </t>
  </si>
  <si>
    <t>cdTypExOpt</t>
  </si>
  <si>
    <t>LC.0040</t>
  </si>
  <si>
    <t>TA KVTEXOPT</t>
  </si>
  <si>
    <t>La donnée est obligatoire si le type de risque [P1 2.0] = ('VARxx','INTxx') hors ('VAR105', 'VAR302') et si l'instrument financier [P1 3.75] est de type IF = '03'</t>
  </si>
  <si>
    <t>The data is mandatory if Risk type [P1 2.0] = ('VARxx','INTxx') except ('VAR105', 'VAR302') and if the financial instrument [P1 3.75] is of type IF = '03'</t>
  </si>
  <si>
    <t>TPS0829</t>
  </si>
  <si>
    <t>P1 10.4</t>
  </si>
  <si>
    <t>Prix d'exercice de l'option</t>
  </si>
  <si>
    <t>Option's exercise price</t>
  </si>
  <si>
    <t>mtPrixEx</t>
  </si>
  <si>
    <t>ANACREDIT, CALCULS PRUDENTIELS, CORFOU, PALMA, SA-CCR</t>
  </si>
  <si>
    <t>La donnée est obligatoire, si le type de risque [P1 2.0] = 'VARxxx' hors ('VAR105', 'VAR302') et si l'instrument financier [P1 3.75] est de type IF = '03' ET si le prix d'exercice en taux [P1 10.5] n'est pas renseigné</t>
  </si>
  <si>
    <t>The data is mandatory, if Risk type [P1 2.0] = 'VARxxx' except ('VAR105', 'VAR302') and if the financial instrument [P1 3.75] is of type IF = '03' AND if the Interest-rate exercise price  [P1 10.5] is not filled</t>
  </si>
  <si>
    <t>TPS0830</t>
  </si>
  <si>
    <t>P1 10.21</t>
  </si>
  <si>
    <t>Devise du prix d'exercice de l'option</t>
  </si>
  <si>
    <t>Currency of option's strike price</t>
  </si>
  <si>
    <t>Currency of option's exercise price</t>
  </si>
  <si>
    <t>cdDevMtPrixEx</t>
  </si>
  <si>
    <t>ANACREDIT, CALCULS PRUDENTIELS, CORFOU, SA-CCR</t>
  </si>
  <si>
    <t>VAR (hors Repos VAR105, VAR302)
INT</t>
  </si>
  <si>
    <t xml:space="preserve">La donnée est obligatoire si Prix d'exercice de l'option [P1 10.4] est renseigné </t>
  </si>
  <si>
    <t>Mandatory data if Option's exercise price [P1 10.4] is filled</t>
  </si>
  <si>
    <t>P1 10.5</t>
  </si>
  <si>
    <t>Prix d'exercice en taux</t>
  </si>
  <si>
    <t>Interest-rate exercise price</t>
  </si>
  <si>
    <t>Correspond au prix d'exercice de l'option (strike) en taux
Exprimé en %</t>
  </si>
  <si>
    <t>Corresponds to the strike price of the option in rate
Expressed as %</t>
  </si>
  <si>
    <t>txPrixEx</t>
  </si>
  <si>
    <t>La donnée est obligatoire, si le type de risque [P1 2.0] = 'VARxxx' hors ('VAR105', 'VAR302') et si l'instrument financier [P1 3.75] est de type IF = '03' ET si le prix d'exercice de l'option [P1 10.4] n'est pas renseigné</t>
  </si>
  <si>
    <t>The data is mandatory, if Risk type [P1 2.0] = 'VARxxx' except ('VAR105', 'VAR302') and if the financial instrument [P1 3.75] is of type IF = '03' AND if the Option's strike price [P1 10.4] is not filled</t>
  </si>
  <si>
    <t>TPS0831</t>
  </si>
  <si>
    <t>P1 9.5</t>
  </si>
  <si>
    <t>Prix spot en taux</t>
  </si>
  <si>
    <t>Spot price rate</t>
  </si>
  <si>
    <t>Prix spot
Exprimé en %</t>
  </si>
  <si>
    <t>Spot price
Expressed as %</t>
  </si>
  <si>
    <t>valCoursSpot</t>
  </si>
  <si>
    <t>Donnée attendue pour un taux : P1 9.5 'Prix spot en taux'
Données attendues pour un montant : P1 10.23 'Montant cours spot' et P1 10.24 'Devise montant cours spot'</t>
  </si>
  <si>
    <t>Expected data for a rate : P1 9.5 'Spot price rate'
Expected data for an amount : P1 10.23 'Spot price amount' et P1 10.24 'Currency of spot price amount'</t>
  </si>
  <si>
    <t>ANACREDIT, CALCULS PRUDENTIELS, SA-CCR</t>
  </si>
  <si>
    <t>La donnée est obligatoire, si le type de risque [P1 2.0] = 'VARxxx' hors ('VAR105', 'VAR302') ET si l'instrument financier [P1 3.75] est de type IF = '03' ET si le montant cours spot [P1 10.23] n'est pas renseigné</t>
  </si>
  <si>
    <t>The data is mandatory, if Risk type [P1 2.0] = 'VARxxx' without ('VAR105', 'VAR302') AND if the Financial instrument [P1 3.75] is of FI type = '03' AND if the spot price amount [P1 10.23] is not filled</t>
  </si>
  <si>
    <t>TPS0832</t>
  </si>
  <si>
    <t>P1 10.23</t>
  </si>
  <si>
    <t>Montant cours spot</t>
  </si>
  <si>
    <t>Spot price amount</t>
  </si>
  <si>
    <t>mtCoursSpot</t>
  </si>
  <si>
    <t>La donnée est obligatoire, si le type de risque [P1 2.0] = 'VARxxx' hors ('VAR105', 'VAR302') ET si l'instrument financier [P1 3.75] est de type IF = '03' ET si le prix spot en taux [P1 9.5] n'est pas renseigné</t>
  </si>
  <si>
    <t>The data is mandatory, if Risk type [P1 2.0] = 'VARxxx' without ('VAR105', 'VAR302')AND if the financial instrument [P1 3.75] is of type IF = '03' AND if the spot price rate [P1 9.5] is not filled</t>
  </si>
  <si>
    <t>TPS0833</t>
  </si>
  <si>
    <t>P1 10.24</t>
  </si>
  <si>
    <t xml:space="preserve">Devise du montant cours spot </t>
  </si>
  <si>
    <t xml:space="preserve">Currency of the spot price amount </t>
  </si>
  <si>
    <t>cdDevMtCoursSpot</t>
  </si>
  <si>
    <t xml:space="preserve">La donnée est obligatoire si le montant du cours spot [P1 10.23] est renseigné </t>
  </si>
  <si>
    <t>Mandatory data if Spot price amount [P1 10.23] is filled</t>
  </si>
  <si>
    <t>P1 13.1</t>
  </si>
  <si>
    <t>Montant du seuil de déclenchement de l'appel de marge</t>
  </si>
  <si>
    <t>Margin call trigger threshold amount</t>
  </si>
  <si>
    <t>mtDeclenAppelMarge</t>
  </si>
  <si>
    <t>TRE206</t>
  </si>
  <si>
    <t>La donnée est obligatoire, si le type de risque [P1 2.0] = 'TRE206'</t>
  </si>
  <si>
    <t>The data is mandatory, if Risk type [P1 2.0] = 'TRE206'</t>
  </si>
  <si>
    <t>TPS0834</t>
  </si>
  <si>
    <t>P1 13.2</t>
  </si>
  <si>
    <t>Devise du montant du seuil de déclenchement de l'appel de marge</t>
  </si>
  <si>
    <t>Currency of the margin call trigger threshold amount</t>
  </si>
  <si>
    <t>cdDevMtDeclenAppelMarge</t>
  </si>
  <si>
    <t xml:space="preserve">TRE206
</t>
  </si>
  <si>
    <t>La donnée est obligatoire si le Montant du seuil de déclenchement de l'appel de marge [P1 13.1] est renseigné</t>
  </si>
  <si>
    <t>The data is mandatory if the Margin call trigger threshold amount [P1 13.1] is filled</t>
  </si>
  <si>
    <t>P1 13.4</t>
  </si>
  <si>
    <t>Montant minimum de transfert de l'appel de marge</t>
  </si>
  <si>
    <t>Minimum amount of margin call transfer</t>
  </si>
  <si>
    <t>mtMinTransAppMarg</t>
  </si>
  <si>
    <t>P1 13.5</t>
  </si>
  <si>
    <t>Devise du montant minimum de transfert de l'appel de marge</t>
  </si>
  <si>
    <t>Currency of the minimum amount of margin call transfer</t>
  </si>
  <si>
    <t>cdDevMtMinTransAppMarg</t>
  </si>
  <si>
    <t>La donnée est obligatoire si le montant minimum de transfert d'appel de marge [P1 13.4] est renseigné</t>
  </si>
  <si>
    <t>The data is mandatory if the minimum margin call transfer amount [P1 13.4] is filled</t>
  </si>
  <si>
    <t>P1 21.98</t>
  </si>
  <si>
    <t>Identifiant du deal Back-to-Back avec CACIB</t>
  </si>
  <si>
    <t>Back-to-Back deal identifier with CACIB</t>
  </si>
  <si>
    <t>Identifiant du deal CACIB dans le cadre d’un Back-to-Back effectué entre une entité et CACIB</t>
  </si>
  <si>
    <t>Identifier of the CACIB deal in connection with a Back-to-Back transaction between an entity and CACIB</t>
  </si>
  <si>
    <t>DealCd</t>
  </si>
  <si>
    <t>PVA</t>
  </si>
  <si>
    <t>P1 21.3</t>
  </si>
  <si>
    <t>Evénement de crédit</t>
  </si>
  <si>
    <t>Credit event</t>
  </si>
  <si>
    <t>Evénement de crédit lié à la forbearance</t>
  </si>
  <si>
    <t>Credit event linked to forbearance</t>
  </si>
  <si>
    <t>cdEvCred</t>
  </si>
  <si>
    <t>LC.0233</t>
  </si>
  <si>
    <t>TA KVEVECRE</t>
  </si>
  <si>
    <t>Cette donnée est obligatoire qu'il y ait ou non FORBEARANCE
Evénements possibles (modification du contrat existant (Restructuration), Octroi d'un nouveau crédit)</t>
  </si>
  <si>
    <t>This data is mandatory whether or not there is FORBEARANCE
Possible events (modification of the existing contract (Restructuring), Granting of a new credit)</t>
  </si>
  <si>
    <t>ANACREDIT, ASTRE, LOAN TAPE, NPE, OMP</t>
  </si>
  <si>
    <t xml:space="preserve">TRE2 à 4XX hors 203,205,206,207, 405, 406
TRE5XX
</t>
  </si>
  <si>
    <t>La donnée est obligatoire si type de risque [P1 2.0] = 'TRE2*, TRE3*, TRE4*, TRE5* (hors TRE203, TRE205, TRE206, TRE207, TRE405, TRE406)'</t>
  </si>
  <si>
    <t>The data is mandatory if risk type [P1 2.0] = 'TRE2*, TRE3*, TRE4*, TRE5* (except TRE203, TRE205, TRE206, TRE207, TRE405, TRE406)'</t>
  </si>
  <si>
    <t>TPS0835</t>
  </si>
  <si>
    <t>P1 21.4</t>
  </si>
  <si>
    <t>Nature Contextuelle au moment de l'évènement de crédit</t>
  </si>
  <si>
    <t>Contextual nature of the credit event</t>
  </si>
  <si>
    <t>Nature contextuelle au moment de l'événement de crédit au sens de la Forbearance</t>
  </si>
  <si>
    <t>Contextual nature at the time of the credit event with regard to Forbearance</t>
  </si>
  <si>
    <t>cdNatCont</t>
  </si>
  <si>
    <t>LC.0234</t>
  </si>
  <si>
    <t>TA KVNFORCR</t>
  </si>
  <si>
    <t>Cette donnée est obligatoire qu'il y ait ou non FORBEARANCE</t>
  </si>
  <si>
    <t>This data is mandatory whether or not there is FORBEARANCE</t>
  </si>
  <si>
    <t>P1 21.5</t>
  </si>
  <si>
    <t>Statut du crédit au sens de la Forbearance</t>
  </si>
  <si>
    <t>Credit status for Forbearance</t>
  </si>
  <si>
    <t>Les contrats faisant l’objet d’une mesure de Forbearance sont des financements auxquels ont été appliqués des mesures de restructuration pour risque (client sain) ou en urgence (client en défaut)</t>
  </si>
  <si>
    <t>The contracts subject to a Forbearance measure are financing to which restructuring measures have been applied for risk (healthy customer) or emergency (defaulting customer)</t>
  </si>
  <si>
    <t>cdStatCre</t>
  </si>
  <si>
    <t>LC.0235</t>
  </si>
  <si>
    <t>TA KVSTFORB</t>
  </si>
  <si>
    <t>ISS200, ISS300
TRE2 à 4XX hors 203,205,206,207, 405, 406
TRE5XX</t>
  </si>
  <si>
    <t>La donnée est obligatoire si type de risque [P1 2.0] = 'ISS200, ISS300, TRE2*, TRE3*, TRE4*, TRE5* (hors TRE203, TRE205, TRE206, TRE207, TRE405, TRE406)'</t>
  </si>
  <si>
    <t>The data is mandatory if risk type [P1 2.0] = 'ISS200, ISS300, TRE2*, TRE3*, TRE4*, TRE5* (except TRE203, TRE205, TRE206, TRE207, TRE405, TRE406)'</t>
  </si>
  <si>
    <t>Pour la Grande Clientèle (P1/P2), si la combinaison de donnée n'est pas trouvée dans la matrice des règles de gestion C27, le contrôle doit se lever</t>
  </si>
  <si>
    <t>For P1/P2, if the data combinaison is not found in the C27 business rules matrix, the control must trigger</t>
  </si>
  <si>
    <t>TC0C27</t>
  </si>
  <si>
    <t>P1 21.6</t>
  </si>
  <si>
    <t>Indicateur créance performante</t>
  </si>
  <si>
    <t>Performing debt indicator</t>
  </si>
  <si>
    <t>Indique si la créance est classée en Non Performante ou en Performante</t>
  </si>
  <si>
    <t>Indicates whether the debt is classified as Non Performing or Performing</t>
  </si>
  <si>
    <t>cdICreNPE</t>
  </si>
  <si>
    <t>LC.0215</t>
  </si>
  <si>
    <t>TA KVCRENPE</t>
  </si>
  <si>
    <t>ANACREDIT, ASTRE, CALCULS PRUDENTIELS, ESG PILIER 3, LOAN TAPE, NPE, OMP, SHS, SRB VALUATION</t>
  </si>
  <si>
    <t>La donnée est obligatoire si le type de risque [P1 2.0] est égal à 'EQU101', 'EQU201', 'ISS100', 'ISS200', 'ISS300', 'TRE*', 'SIG*', 'VAR*', 'INT*'</t>
  </si>
  <si>
    <t>The data is mandatory if Risk type [P1 2.0] is equal to 'EQU101', 'EQU201', 'ISS100', 'ISS200', 'ISS300', 'TRE*', 'SIG*', 'VAR*', 'INT*'</t>
  </si>
  <si>
    <t>TPS0836</t>
  </si>
  <si>
    <t>Si renseigné, ET si le type de risque [P1 2.0] = 'TRE2xx', 'TRE3xx', 'TRE4xx', 'TRE5xx', 'SIG*' hors ('TRE203', 'TRE205', 'TRE206', 'TRE207') ET Indicateur Engagement en défaut [P1 5.2] = 'Y', alors Indicateur créance performante [P1 21.6] = 'NP'
---
Si renseigné, ET si le type de risque [P1 2.0] = ‘TRE100', alors Indicateur créance performante [P1 21.6] = ‘PE'</t>
  </si>
  <si>
    <t>If filled AND if risk type [P1 2.0] = 'TRE2xx', 'TRE3xx', 'TRE4xx', 'TRE5xx', 'SIG*' except ('TRE203', 'TRE205', 'TRE206', 'TRE207') AND Doubtful Commitment Indicator [P1 5.2] = 'Y', then Performing debt indicator [P1 21.6] = 'NP'
---
If filled AND if risk type [P1 2.0] = ‘TRE100', then Performing debt indicator [P1 21.6] = 'PE'</t>
  </si>
  <si>
    <t>TVS0728
TVS0729</t>
  </si>
  <si>
    <t>P1 21.7</t>
  </si>
  <si>
    <t>Date de première action de forbearance</t>
  </si>
  <si>
    <t>Date at which first act of forbearance occurs</t>
  </si>
  <si>
    <t>Date de premier évènement de gestion de type forbearance</t>
  </si>
  <si>
    <t>Date of first forbearance management event</t>
  </si>
  <si>
    <t>dtPreForb</t>
  </si>
  <si>
    <t>Doit être conservée sur toute la durée de vie de la créance lorsqu'elle a été au moins une fois forborne. Besoin IFRS9</t>
  </si>
  <si>
    <t>Shall be retained throughout the life of the claim when it has been forborne at least once. IFRS9 requirement</t>
  </si>
  <si>
    <t>ANACREDIT, ASTRE, NPE, SRB VALUATION</t>
  </si>
  <si>
    <t>La donnée est obligatoire, si type de risque [P1 2.0] = 'TRE2*, TRE3*, TRE4*, TRE5* (hors TRE203, TRE205, TRE206, TRE207, TRE405, TRE406)' ET si le Statut du crédit au sens de la Forbearance [P1 21.5] = '1', '2', '3'</t>
  </si>
  <si>
    <t>The data is mandatory, if Risk type [P1 2.0] = 'TRE2*, TRE3*, TRE4*, TRE5* (except TRE203, TRE205, TRE206, TRE207, TRE405, TRE406)' AND if the Credit status for Forbearance [P1 21.5] = '1', '2', '3'</t>
  </si>
  <si>
    <t>TPS0839</t>
  </si>
  <si>
    <t>P1 21.8</t>
  </si>
  <si>
    <t>Date de dernière restructuration commerciale</t>
  </si>
  <si>
    <t>Date on which last commercial restructuring was undertaken</t>
  </si>
  <si>
    <t>dtDerRestCom</t>
  </si>
  <si>
    <t>Si plusieurs restructurations commerciales, la dernière date doit être fournie. Besoin IFRS9</t>
  </si>
  <si>
    <t>If more than one business restructuring is required, the latest date must be provided. IFRS9 needs</t>
  </si>
  <si>
    <t>La donnée est obligatoire, si type de risque [P1 2.0] = TRE2*,TRE3*,TRE4*,TRE5* (hors TRE203, TRE205, TRE206, TRE207, TRE405, TRE406) ET si le type de restructuration [P1 21.1] = ‘AR' ET si Nature Contextuelle au moment de l'évènement de crédit [P1 21.4] = ‘4'</t>
  </si>
  <si>
    <t>The data is mandatory, if Risk type [P1 2.0] = TRE2*,TRE3*,TRE4*,TRE5* (except TRE203, TRE205, TRE206, TRE207, TRE405, TRE406) AND if the restructuring type [P1 21.1] = ‘AR' AND if the contextual nature of the credit event [P1 21.4] = ‘4'</t>
  </si>
  <si>
    <t>TPS0840</t>
  </si>
  <si>
    <t>P1 21.9</t>
  </si>
  <si>
    <t>Date de la dernière restructuration pour risque</t>
  </si>
  <si>
    <t>Date of last restructuring for risk</t>
  </si>
  <si>
    <t>Date de dernière restructuration de la créance pour cause de risque (créance forborne)</t>
  </si>
  <si>
    <t>Date of last restructuring of the claim due to risk (forborne claim)</t>
  </si>
  <si>
    <t>dtDerRestRisq</t>
  </si>
  <si>
    <t>Date de dernière restructuration de la créance pour cause de risque (créance forborne). Besoin IFRS9</t>
  </si>
  <si>
    <t>Date of last restructuring of the claim due to risk (forborne claim). IFRS9 needs</t>
  </si>
  <si>
    <t>La donnée est obligatoire, si type de risque [P1 2.0] = TRE2*,TRE3*,TRE4*,TRE5* (hors TRE203, TRE205, TRE206, TRE207, TRE405, TRE406) ET si le type de restructuration [P1 21.1] = RF' ou 'RC' ET si la nature contectuelle de l'événement de crédit [P1 21.4] = ‘1', ‘2', ‘3'</t>
  </si>
  <si>
    <t>The data is mandatory, if Risk type [P1 2.0] = TRE2*,TRE3*,TRE4*,TRE5* (except TRE203, TRE205, TRE206, TRE207, TRE405, TRE406) AND if the restructuring type [P1 21.1] = RF', 'RC' and if the contextual nature of the credit event [P1 21.4] = ‘1', ‘2', ‘3'</t>
  </si>
  <si>
    <t>TPS0841</t>
  </si>
  <si>
    <t>P1 21.10</t>
  </si>
  <si>
    <t>Date d'entrée de la créance en période d'observation</t>
  </si>
  <si>
    <t>Debt's observation period start date</t>
  </si>
  <si>
    <t>Date d'entrée de la créance forborne en observation
Correspond au dernier changement de statut</t>
  </si>
  <si>
    <t>Date on which the forborne debt's observation period starts
Corresponds to the last change of status</t>
  </si>
  <si>
    <t>dtEntPurg</t>
  </si>
  <si>
    <t>ANACREDIT, ASTRE, LOAN TAPE, NPE</t>
  </si>
  <si>
    <t>La donnée est obligatoire, si type de risque [P1 2.0] = TRE2*,TRE3*,TRE4*,TRE5* (hors TRE203, TRE205, TRE206, TRE207, TRE405, TRE406) ET si le Statut du crédit au sens de la Forbearance [P1 21.5] = '1'</t>
  </si>
  <si>
    <t>The data is mandatory, if Risk type [P1 2.0] = TRE2*,TRE3*,TRE4*,TRE5* (except TRE203, TRE205, TRE206, TRE207, TRE405, TRE406) AND if the Credit status for Forbearance [P1 21.5] = '1'</t>
  </si>
  <si>
    <t>TPS0842</t>
  </si>
  <si>
    <t>P1 21.11</t>
  </si>
  <si>
    <t>Date de sortie de la créance de la période d'observation</t>
  </si>
  <si>
    <t>Debt's observation period end date</t>
  </si>
  <si>
    <t>Date de sortie (réelle ou théorique) de la créance forborne en observation
Correspond au dernier changement de statut</t>
  </si>
  <si>
    <t>End date (actual or scheduled) of the forborne debt's observation period
Corresponds to the last change of status</t>
  </si>
  <si>
    <t>dtSorPurg</t>
  </si>
  <si>
    <t>ANACREDIT, ASTRE, NPE</t>
  </si>
  <si>
    <t>TRE2 à 4XX hors 203,205,206,207, 405, 406
TRE5XX</t>
  </si>
  <si>
    <t>Si type de risque [P1 2.0] = TRE2xx à TRE5xx (hors ‘TRE203, TRE205, TRE206, TRE207’) ET si la date d'entrée de la créance en période d'observation [P1 21.10] est renseignée ET si la date de sortie de la créance de la période d'observation [P1 21.11] est renseignée, alors la date de sortie [P1 21.11] doit être supérieure ou égale à la date d'entrée [P1 21.10]</t>
  </si>
  <si>
    <t>If the risk type [P1 2.0] = TRE2xx to TRE5xx (except ‘TRE203, TRE205, TRE206, TRE207’), AND if the Debt's observation period start date [P1 21.10] is filled AND if the Debt's observation period end date [P1 21.11] is filled, then the end date [P1 21.11] must be greater than or equal to the start date [P1 21.10]</t>
  </si>
  <si>
    <t>TCS0716</t>
  </si>
  <si>
    <t>P1 21.12</t>
  </si>
  <si>
    <t>Date d'entrée de la créance en période probatoire</t>
  </si>
  <si>
    <t>Debt's probation period start date</t>
  </si>
  <si>
    <t xml:space="preserve">Date d'entrée de la créance forborne en « probatoire » </t>
  </si>
  <si>
    <t>Date on which the forborne debt enters a probation period</t>
  </si>
  <si>
    <t>dtEntProb</t>
  </si>
  <si>
    <t>TRE2 à 4XX hors 203,205,206,207,405,406
TRE5XX</t>
  </si>
  <si>
    <t>La donnée est obligatoire, si type de risque [P1 2.0] = TRE2*,TRE3*,TRE4*,TRE5* (hors TRE203, TRE205, TRE206, TRE207, TRE405, TRE406) ET si le Statut du crédit au sens de la Forbearance [P1 21.5] = '2'</t>
  </si>
  <si>
    <t>The data is mandatory, if Risk type [P1 2.0] = TRE2*,TRE3*,TRE4*,TRE5* (except TRE203, TRE205, TRE206, TRE207, TRE405, TRE406) AND if the Credit status for Forbearance [P1 21.5] = '2'</t>
  </si>
  <si>
    <t>TPS0843</t>
  </si>
  <si>
    <t>P1 21.13</t>
  </si>
  <si>
    <t>Date de sortie de la créance de la période probatoire</t>
  </si>
  <si>
    <t>Debt's probation period end date</t>
  </si>
  <si>
    <t>Date de sortie (réelle ou théorique) de la créance forborne du « probatoire »
Correspond au dernier changement de statut</t>
  </si>
  <si>
    <t>End date (actual or scheduled) of the forborne debt's probation period
Corresponds to the last change of status</t>
  </si>
  <si>
    <t>dtSorProb</t>
  </si>
  <si>
    <t>ASTRE, NPE</t>
  </si>
  <si>
    <t>Si la Date d'entrée de la créance en période probatoire [P1 21.12] est renseignée et que la Date de sortie de la créance de la période probatoire [P1 21.13] est renseignée, alors la date de sortie [P1 21.13] doit être supérieure ou égale à la date d'entrée [P1 21.12]</t>
  </si>
  <si>
    <t>If the Debt's probation period start date [P1 21.12] is filled and the Debt's probation period end date [P1 21.13] is filled, then the end date [P1 21.13]must be greater than or equal to the start date [P1 21.12]</t>
  </si>
  <si>
    <t>TCS0717</t>
  </si>
  <si>
    <t>P1 21.14</t>
  </si>
  <si>
    <t xml:space="preserve">Date théorique de fin de situation forborne </t>
  </si>
  <si>
    <t xml:space="preserve">Forbearance's scheduled end date </t>
  </si>
  <si>
    <t>Date théorique de fin de la situation de forborne de la créance</t>
  </si>
  <si>
    <t>Scheduled date on which the debt's forbearance ends</t>
  </si>
  <si>
    <t>dtThFinFor</t>
  </si>
  <si>
    <t>La donnée est obligatoire, si type de risque [P1 2.0] = TRE2*,TRE3*,TRE4*,TRE5* (hors TRE203, TRE205, TRE206, TRE207, TRE405, TRE406) ET si le Statut du crédit au sens de la Forbearance [P1 21.5] = '1' ou '2'</t>
  </si>
  <si>
    <t>The data is mandatory, if Risk type [P1 2.0] = TRE2*,TRE3*,TRE4*,TRE5* (except TRE203, TRE205, TRE206, TRE207, TRE405, TRE406) AND if the Credit status for Forbearance [P1 21.5] = '1' or '2'</t>
  </si>
  <si>
    <t>TPS0844</t>
  </si>
  <si>
    <t>P1 21.15</t>
  </si>
  <si>
    <t xml:space="preserve">Date de sortie effective de situation forborne </t>
  </si>
  <si>
    <t xml:space="preserve">Forbearance's effective end date </t>
  </si>
  <si>
    <t>Date de sortie effective de forborne de la créance</t>
  </si>
  <si>
    <t>Date on which forbearance on the debt actually ends</t>
  </si>
  <si>
    <t>dtSortieFor</t>
  </si>
  <si>
    <t>Obligatoire si statut du crédit au sens de la forbearance (P1 21.5) = ‘1' ou ‘2. Si information non disponible, laisser à vide la date de sortie effective de situation forborne</t>
  </si>
  <si>
    <t>Mandatory if the credit status as defined in forbearance (P1 21.5) = ‘1' or ‘2. If information is not available, leave the actual exit date empty</t>
  </si>
  <si>
    <t>ANACREDIT, ASTRE, LOAN TAPE, NPE, SRB VALUATION</t>
  </si>
  <si>
    <t>P1 21.16</t>
  </si>
  <si>
    <t xml:space="preserve">Date de début de l'état de performance de la créance </t>
  </si>
  <si>
    <t xml:space="preserve">Date of performing debt status </t>
  </si>
  <si>
    <t>Start date of the performance status of receivables. The performance status of the debt being given by the performing debt indicator [P1 21.6]</t>
  </si>
  <si>
    <t>dtDebPerfCre</t>
  </si>
  <si>
    <t>Si l'indicateur Performant Non-Performant n'a pas changé depuis l'origine, la date de début de l'état de performance correspond à la début de contrat sinon, la date de début de l'état de performance correspond à la date du changement de statut PE NPE</t>
  </si>
  <si>
    <t>If the Performing indicator Non-Performant has not changed since the origin, the performance status start date corresponds to the contract start date or the performance status start date corresponds to the status change date ILOE NPE</t>
  </si>
  <si>
    <t>ANACREDIT, ASTRE, CALCULS PRUDENTIELS, LOAN TAPE, NPE, SHS</t>
  </si>
  <si>
    <t>La donnée est obligatoire si le type de risque [P1 2.0] = 'EQU101', 'EQU201', 'ISS200', 'ISS200', 'ISS300', 'TRExxx', 'SIGxxx', VARxxx', 'INTxx' ET Si l'Indicateur créance performante [P1 21.6] est renseigné</t>
  </si>
  <si>
    <t>The data is mandatory if Risk type [P1 2.0] = 'EQU101', 'EQU201', 'ISS200', 'ISS200', 'ISS300', 'TRExxx', 'SIGxxx', VARxxx', 'INTxxx' AND If the performing debt indicator [P1 21.6] is filled</t>
  </si>
  <si>
    <t>TPS0845</t>
  </si>
  <si>
    <t>Si le type de risque [P1 2.0] = ('EQU101', 'EQU201', 'ISS100', 'ISS200', 'ISS300', 'TRE*', 'SIG*', 'VAR*', 'INT*'), et si la donnée est renseignée, alors elle doit être (supérieure ou égale à Date de signature du contrat initial [P1 22.67]) ET (inférieure ou égale à la date d'arrêté [0.1 (P1)])</t>
  </si>
  <si>
    <t>If Risk type [P1 2.0] = ('EQU101', 'EQU201', 'ISS100', 'ISS200', 'ISS300', 'TRE*', 'SIG*', 'VAR*', 'INT*'), and if the data is filled, then it must be (greater than or equal to the Date of signature of the initial contract [P1 22.67]) AND (less than or equal to the Closing date [0.1 (P1)])</t>
  </si>
  <si>
    <t>TCS0718</t>
  </si>
  <si>
    <t>P1 21.17</t>
  </si>
  <si>
    <t xml:space="preserve">Zone libre (ex Motif de l'état de performance de la créance) </t>
  </si>
  <si>
    <t>Free zone (Ex Reason of performing debt indicator)</t>
  </si>
  <si>
    <t>Zonelibre2117</t>
  </si>
  <si>
    <t>P1 21.18</t>
  </si>
  <si>
    <t>Nombre de restructuration pour risque</t>
  </si>
  <si>
    <t>Number of restructurings for risk</t>
  </si>
  <si>
    <t>Nombre de restructurations successives pour risque du contrat</t>
  </si>
  <si>
    <t>Number of successive restructurings of the contract for risk reasons</t>
  </si>
  <si>
    <t>NbRest</t>
  </si>
  <si>
    <t>La donnée est obligatoire si le type de risque [P1 2.0] = 'TRE2xx' à 'TRE5xx', hors (TRE201,TRE203,TRE205, TRE206, TRE207) et si le statut du crédit au sens de la forbearance [P1 21.5] = '1' ou '2'</t>
  </si>
  <si>
    <t>The data is mandatory if Risk type [P1 2.0] = 'TRE2xx' to 'TRE5xx', out (TRE201, TRE203, TRE205, TRE206, TRE207) and the Credit status for Forbearance [P1 21.5] = '1' or '2'</t>
  </si>
  <si>
    <t>TPS0846</t>
  </si>
  <si>
    <t>P1 21.19</t>
  </si>
  <si>
    <t xml:space="preserve">Méthode de restructuration </t>
  </si>
  <si>
    <t>Restructuring method</t>
  </si>
  <si>
    <t>Méthode de restructuration (taux d'intérêt, allongement de durée, paiements échelonnés….)</t>
  </si>
  <si>
    <t>Method of restructuring (interest rate, extended maturity, installment payments, etc.)</t>
  </si>
  <si>
    <t>cdMethRest</t>
  </si>
  <si>
    <t>LC.0354</t>
  </si>
  <si>
    <t xml:space="preserve">TA Z8MRESTR </t>
  </si>
  <si>
    <t>P1 21.99</t>
  </si>
  <si>
    <t>ZoneLibre21</t>
  </si>
  <si>
    <t>06 - Caractéristiques échéancier</t>
  </si>
  <si>
    <t>06 - Schedule characteristics</t>
  </si>
  <si>
    <t>P1 22.56</t>
  </si>
  <si>
    <t xml:space="preserve">Indicateur produit échéancé </t>
  </si>
  <si>
    <t>Indicator product schedule</t>
  </si>
  <si>
    <t>Indique si le produit fait ou ne fait pas l'objet d'un échéancement</t>
  </si>
  <si>
    <t>Indicates if the product has or not one or many schedules</t>
  </si>
  <si>
    <t>cdProdEchea</t>
  </si>
  <si>
    <t>LC.0256</t>
  </si>
  <si>
    <t>TA KVIPE</t>
  </si>
  <si>
    <t>Pour les types de risques (TRE2XX à 4XX et TRE5XX), si encours de type arriéré de paiement, renseigner l'indicateur à 'NEC'.
Un produit est dit "échéancé" s'il a au moins une échéance (i.e. cas des remboursements linéaire , montant constant, in fine, etc.).
Cette donnée permet d'identifier les produits pour lesquels un échéancier doit être associé (calculé en central ou fourni). Les produits non échéancés sont ceux pour lesquels aucun tableau d'amortissement n'est requis (exemple : les découverts). Dans ce cas, ces produits seront traitées par défaut comme In fine sur la base de la date de fin d'engagement</t>
  </si>
  <si>
    <t>For risk types (TRE2XX to 4XX and TRE5XX), if type overdue payment outstanding, fill in the indicator to 'NEC'.
A product is said to be "scheduled" if it has at least one term (with amortizing method that could be linear, constant installment, in fine, etc. ).
This data allows to identify the products for which a schedule must be associated (calculated at central level or provided by entity). There some products for which no amortization schedule is required (eg overdrafts). In this case, these products will be treated by default as "In fine" based on the end date of commitment</t>
  </si>
  <si>
    <t>AER, ANACREDIT, CORFOU, LIQUIDITE, OMP</t>
  </si>
  <si>
    <t>23 - Caractéristiques palier</t>
  </si>
  <si>
    <t>23 - Stage characteristics</t>
  </si>
  <si>
    <t>P1 22.57</t>
  </si>
  <si>
    <t>Indicateur objet métier palier fourni</t>
  </si>
  <si>
    <t>Indicator of business object stage provided</t>
  </si>
  <si>
    <t>Indicateur permettant d'indiquer que les données nécessaires au calcul de l'échéancier à date sont reportées dans l'objet PALIER du flux échéancier C2RE.
Les caractéristiques permettant de reconstituer l'échéancier sont dans ce cas facultatif</t>
  </si>
  <si>
    <t>Indicator specifying that the data required to calculate repayment schedule to date is reported in the STAGE (PALIER) object of C2RE flow
In this case, the characteristics allowing to reconstitute the schedule are optional</t>
  </si>
  <si>
    <t>IndicOMPalier</t>
  </si>
  <si>
    <t>LC.0250</t>
  </si>
  <si>
    <t>TA KVIOMPAL</t>
  </si>
  <si>
    <t>OMP, PALMA</t>
  </si>
  <si>
    <t xml:space="preserve">ISS200 et 300
TRE2 à 4XX hors 203,205,206,207
TRE5XX
SIG
VAR105 et 302
</t>
  </si>
  <si>
    <t>La donnée est obligatoire si la donnée indicateur produit échéancé [P1 22.56] = 'ECH'</t>
  </si>
  <si>
    <t>The data is mandatory if the indicator product schedule [P1 22.56] = 'ECH'</t>
  </si>
  <si>
    <t>TPS0847</t>
  </si>
  <si>
    <t>Si la valeur renseignée est 'Y', il existe au moins un enregistrement de même identifiant (1.11 (P1) Identifiant de l'engagement) dans l'objet métier palier E0</t>
  </si>
  <si>
    <t xml:space="preserve">If the value filled is 'Y', there is at least one record linked with the same identifier (1.11 (P1) Commitment identifier) in the stage business object E0 </t>
  </si>
  <si>
    <t>TC1789</t>
  </si>
  <si>
    <t>P1 22.1</t>
  </si>
  <si>
    <t>Référence Unique du contrat dans le système de gestion source de l'entité</t>
  </si>
  <si>
    <t>Unique contract reference in the local management IT system of the issuing entity</t>
  </si>
  <si>
    <t>ANACREDIT, CONGLOMERATS, LIQUIDITE, LOAN TAPE, MREL, NPE, NZBA, OMP, PALMA, SRB VALUATION</t>
  </si>
  <si>
    <t>P1 22.51</t>
  </si>
  <si>
    <t xml:space="preserve">Référence Unique de l'élément du contrat </t>
  </si>
  <si>
    <t>Unique contract element reference</t>
  </si>
  <si>
    <t>Référence Unique de l'élément du contrat dans le système de gestion source de l'entité
Correspond au niveau le plus fin du contrat</t>
  </si>
  <si>
    <t>Unique contract element reference in the local management IT system of the issuing entity
Contract's most detailed level</t>
  </si>
  <si>
    <t>cdEDC</t>
  </si>
  <si>
    <t>ANACREDIT, CONGLOMERATS, LIQUIDITE, LOAN TAPE, MREL, NPE, NZBA, OMP, SRB VALUATION</t>
  </si>
  <si>
    <t>P1 22.2</t>
  </si>
  <si>
    <t>Indicateur niveau de risque</t>
  </si>
  <si>
    <t>Risk level indicator</t>
  </si>
  <si>
    <t>indNivRisq</t>
  </si>
  <si>
    <t>LC.0208</t>
  </si>
  <si>
    <t>TA KVINRISK</t>
  </si>
  <si>
    <t>44.09</t>
  </si>
  <si>
    <t>P1 22.3</t>
  </si>
  <si>
    <t>Famille de risque de l'opération couverte par l'engagement</t>
  </si>
  <si>
    <t>Risk family of the transaction covered by the commitment</t>
  </si>
  <si>
    <t>Famille de risque de l'opération couverte par l'engagement de financement de garantie</t>
  </si>
  <si>
    <t>Risk family of the transaction covered by the financing guarantee commitment</t>
  </si>
  <si>
    <t>cdFamilleRisqOpeEng</t>
  </si>
  <si>
    <t>RB KVCDRISC</t>
  </si>
  <si>
    <t>P1 22.4</t>
  </si>
  <si>
    <t>Zone libre (Ex Référence unique du contrat couvert)</t>
  </si>
  <si>
    <t>Free zone (Ex Unique reference of contract covered)</t>
  </si>
  <si>
    <t xml:space="preserve">Référence unique du contrat couvert par la garantie donnée </t>
  </si>
  <si>
    <t xml:space="preserve">Unique reference of the contract covered by the guarantee given </t>
  </si>
  <si>
    <t>ZoneLibre22_4</t>
  </si>
  <si>
    <t>P1 22.5</t>
  </si>
  <si>
    <t>Note finale retenue à l'origine</t>
  </si>
  <si>
    <t>Assigned initial final rating</t>
  </si>
  <si>
    <t>NoteFinOrig</t>
  </si>
  <si>
    <t>Obligatoire si 
- Eligibilité OMP &lt;&gt; '1' (instrument éligible à l'outil de provissionnement) 
- et Classification comptable des actifs en norme IFRS9 (P1 23.4) &lt;&gt; de "Juste valeur par résultat" et de "Juste valeur par capitaux propres non recyclables" 
- et Organisme de notation à l'origine = ‘I‘ (Notation interne)</t>
  </si>
  <si>
    <t>Mandatory if 
- OMP eligibility &lt;&gt; '1' (instrument eligible for the provisioning tool) 
- and Accounting classification of asset under IFRS9 (P1 23.4) &lt;&gt; "Fair value through P&amp;L" and "Fair value through non-recyclable shareholders equity" 
- and the original rating agency = ‘I'</t>
  </si>
  <si>
    <t>ASTRE, OMP</t>
  </si>
  <si>
    <t>La donnée est obligatoire si l'éligibilité OMP [P1 23.1] est renseignée et est différente de '1' et que la classification comptable des actifs en norme IFRS9 [P1 23.4] est différente de "JVR" et de "JCN" et que l'organisme de notation à l'origine externe au Groupe [P1 22.6] est égale à 'I'</t>
  </si>
  <si>
    <t>The data is mandatory if the OMP eligibility [P1 23.1] is filled in and is different from '1' and the accounting classification of assets in IFRS9 [P1 23.4] is different from "JVR" and "JCN" and the original non-Group rating organization [P1 22.6] is equal to 'I'</t>
  </si>
  <si>
    <t>TPS0849</t>
  </si>
  <si>
    <t>Si Méthodologie de notation à l'origine [P1 22.55] est renseignée et ne commence pas par R (1er caractère), alors la valeur renseignée doit être connue du Langage Commun</t>
  </si>
  <si>
    <t>If Methodology of initial rating [P1 22.55] if filled and does not start with R (1st letter), then the value filled must be known to the Common Language</t>
  </si>
  <si>
    <t>TIS0705</t>
  </si>
  <si>
    <t>Si renseignée ET si l'indicateur Actif déprécié dès l'origination [P1 23.6] = 'Y' ET si la note externe à l'origine [P1 22.52] n'est pas renseignée, alors la note finale retenue à l'origine [P1 22.5] = 'F' ou 'Z'</t>
  </si>
  <si>
    <t>If filled and the Asset indicator depreciated at origination [P1 23.6] = 'Y' and the Initial external rating [P1 22.52] is not filled, then the Assigned initial final rating [P1 22.5] = 'F' or 'Z'</t>
  </si>
  <si>
    <t>TVS0730</t>
  </si>
  <si>
    <t>P1 22.52</t>
  </si>
  <si>
    <t>Note externe à l'origine</t>
  </si>
  <si>
    <t>Initial external rating</t>
  </si>
  <si>
    <t>NtExtCOrig</t>
  </si>
  <si>
    <t>TA KVNOTEQC</t>
  </si>
  <si>
    <t>Se référer à la 'cotation Bdf' onglet 'notation - échelon de crédit' du langage commun</t>
  </si>
  <si>
    <t>Refer to the 'BdF rating' in the tab 'notation - échelon de crédit' of the common language</t>
  </si>
  <si>
    <t>La donnée est obligatoire si (l'éligibilité OMP [P1 23.1] est renseignée et est différente de '1') et si (la classification comptable des actifs en norme IFRS9 [P1 23.4] est différente de "JVR" et de "JCN") et si (l'organisme de notation à l'origine externe au Groupe [P1 22.6] est renseigné et est différent de 'I')</t>
  </si>
  <si>
    <t>The date is mandatory if (OMP eligibility [P1 23.1] is filled and is different from '1') and if (the accounting classification of assets in IFRS9 [P1 23.4] is different from "JVR" and "JCN") and if (the credit rating organization originally outside the Group [P1 22.6] is filled and different from 'I')</t>
  </si>
  <si>
    <t>TPS0850</t>
  </si>
  <si>
    <t>La valeur renseignée doit être connue du Langage Commun (TA KVNOTEQC -&gt; RB KVNOTE10)</t>
  </si>
  <si>
    <t>The value filled must be known to the Common Language (TA KVNOTEQC -&gt; RB KVNOTE10)</t>
  </si>
  <si>
    <t>TI0015</t>
  </si>
  <si>
    <t>P1 22.6</t>
  </si>
  <si>
    <t>Organisme de notation à l'origine</t>
  </si>
  <si>
    <t>Rating agency of initial rating</t>
  </si>
  <si>
    <t>Organisme de notation associé à la notation à l'origine</t>
  </si>
  <si>
    <t>Rating agency associated with the initial rating</t>
  </si>
  <si>
    <t>orgNot</t>
  </si>
  <si>
    <t>La donnée est obligatoire si la note finale retenue à l'origine [P1 22.5] ou si la note externe à l'origine [P1 22.52] est renseignée</t>
  </si>
  <si>
    <t>The data is mandatory if the original final score [P1 22.5] or the original external score [P1 22.52] is filled in</t>
  </si>
  <si>
    <t>TPS0851</t>
  </si>
  <si>
    <t>P1 22.53</t>
  </si>
  <si>
    <t>Segment de notation à l'origine</t>
  </si>
  <si>
    <t>Initial rating segment</t>
  </si>
  <si>
    <t>Segment de notation à l'origine si notation interne</t>
  </si>
  <si>
    <t>Initial rating segment if internal rating</t>
  </si>
  <si>
    <t>segNotOrig</t>
  </si>
  <si>
    <t>Segment de notation pour les Caisses, qui correspond à celui du groupe de risque</t>
  </si>
  <si>
    <t>Rating segment for the Regional Banks, which corresponds to that of the risk group</t>
  </si>
  <si>
    <t>La donnée est obligatoire si la note finale retenue à l'origine [P1 22.5] est renseignée et &lt;&gt; ‘ND'</t>
  </si>
  <si>
    <t>The data is mandatory if the original final score [P1 22.5] is filled in and &lt;&gt; ‘ND'</t>
  </si>
  <si>
    <t>TPS0852</t>
  </si>
  <si>
    <t>P1 22.54</t>
  </si>
  <si>
    <t>Grille Modèle de notation à l'origine</t>
  </si>
  <si>
    <t>Initial rating grid model</t>
  </si>
  <si>
    <t>Référence de la grille de notation utilisée pour la détermination de la note interne à l'origine</t>
  </si>
  <si>
    <t>Rating grid reference used to determine the initial internal rating</t>
  </si>
  <si>
    <t>grilNotOrig</t>
  </si>
  <si>
    <t>Obligatoire si la note finale retenue à l'origine (P1 22.5) renseignée et &lt;&gt; ‘ND'
La Grille de notation à l'origine doit être cohérente avec la Méthodologie de notation à l'origine (P1 22.55)</t>
  </si>
  <si>
    <t>Mandatory if the original final score (P1 22.5) is filled in and &lt;&gt; ‘ND'
The original scoring grid must be consistent with the original scoring methodology (P1 22.55)</t>
  </si>
  <si>
    <t>Si renseignée et ne commence pas par ‘99000' et si la méthodologie de notation à l'origine [P1 22.55] est renseignée, alors la Grille Modèle de notation à l'origine doit être cohérente avec la méthodologie de notation à l'origine (Table KVGNOTIE Code grille P01 Cod MET R03)</t>
  </si>
  <si>
    <t>If filled and does not start with ‘99000' and if the Methodology of initial rating [P1 22.55] is filled, then the Initial rating grid model should be consistent with the Methodology of initial rating (Table KVGNOTIE Grid Code P01 MET code R03)</t>
  </si>
  <si>
    <t>TCS0720</t>
  </si>
  <si>
    <t>P1 22.55</t>
  </si>
  <si>
    <t>Méthodologie de notation à l'origine</t>
  </si>
  <si>
    <t>Methodology of initial rating</t>
  </si>
  <si>
    <t>Type de méthodologie de la notation utilisée pour l'obtention de la note interne à l'origine</t>
  </si>
  <si>
    <t>Type of rating methodology used to obtain the initial internal rating</t>
  </si>
  <si>
    <t>methNotOrig</t>
  </si>
  <si>
    <t>Obligatoire si la note finale retenue à l'origine (P1 22.5) renseignée et &lt;&gt; ‘ND'</t>
  </si>
  <si>
    <t>Mandatory if the original final score (P1 22.5) is filled in and &lt;&gt; ‘ND'</t>
  </si>
  <si>
    <t>P1 22.7</t>
  </si>
  <si>
    <t>Objet du financement</t>
  </si>
  <si>
    <t>Asset of the financing</t>
  </si>
  <si>
    <t>cdObjFin</t>
  </si>
  <si>
    <t>LC.0142</t>
  </si>
  <si>
    <t>TA KVOBJFIN</t>
  </si>
  <si>
    <t>Si objet financé non présent dans le langage commun, renseigner la valeur '97' - Autre objet financé 
Si financement non affecté, renseigner la valeur '98' - Financement non affecté trésorerie</t>
  </si>
  <si>
    <t>If the funded item is not present in the common language, enter the value '97' - Other funded item 
If unallocated funding, enter the value '98' - Unallocated funding cash flow</t>
  </si>
  <si>
    <t>ANACREDIT, ESG PILIER 3, LOAN TAPE, NZBA, RISQUE PHYSIQUE</t>
  </si>
  <si>
    <t>TRE2 à 4XX (hors 201,203,205,206,207)
TRE5XX
SIG</t>
  </si>
  <si>
    <t>Si l'usage du bien immobilier financé [P1 8.13] est différent de ‘0', alors l'Objet du financement [P1 22.7] doit être égal à ‘01', '02, '03 ou ‘04' (biens immobiliers)</t>
  </si>
  <si>
    <t>If the use of the financed property [P1 8.13] is different from ‘0', then Asset of the financing [P1 22.7] must be equal to ‘01', '02, '03 or ‘04' (real estate)</t>
  </si>
  <si>
    <t>TCS0721</t>
  </si>
  <si>
    <t>P1 22.8</t>
  </si>
  <si>
    <t>Montant du contrat à l'origine</t>
  </si>
  <si>
    <t>Contract's initial amount</t>
  </si>
  <si>
    <t>Correspond au montant initial du contrat (montant du prêt à l'octroi)</t>
  </si>
  <si>
    <t>It is the Initial amount of contract (loan amount at the origin)</t>
  </si>
  <si>
    <t>ANACREDIT, CONGLOMERATS, LOAN TAPE, NSFR, NZBA, PALMA</t>
  </si>
  <si>
    <t>P1 22.9</t>
  </si>
  <si>
    <t>Devise du montant du contrat à l'origine</t>
  </si>
  <si>
    <t>Currency of the contract's initial amount</t>
  </si>
  <si>
    <t xml:space="preserve">Devise du montant du contrat à l'origine </t>
  </si>
  <si>
    <t xml:space="preserve">Currency of the contract's initial amount </t>
  </si>
  <si>
    <t>cdDevMtCtOr</t>
  </si>
  <si>
    <t>La donnée est obligatoire si le montant du contrat à l'origine [P1 22.8] est renseigné</t>
  </si>
  <si>
    <t>The data is mandatory if original contract amount [P1 22.8] is filled</t>
  </si>
  <si>
    <t>P1 22.12</t>
  </si>
  <si>
    <r>
      <t>Indicateur échéancier fourni</t>
    </r>
    <r>
      <rPr>
        <b/>
        <sz val="11"/>
        <rFont val="Calibri"/>
        <family val="2"/>
        <scheme val="minor"/>
      </rPr>
      <t> </t>
    </r>
  </si>
  <si>
    <t>Repayment schedule provided indicator </t>
  </si>
  <si>
    <t>Permet d'indiquer si l'échéancier explicite est fourni. Si fourni, les caractéristiques permettant de reconstituer l'échéancier sont facultatives</t>
  </si>
  <si>
    <t>Indicates whether explicit schedule is provided. If provided, the characteristics allowing reconstitution of the repayment schedule are optional</t>
  </si>
  <si>
    <t>cdIndEch</t>
  </si>
  <si>
    <t>LC.0222</t>
  </si>
  <si>
    <t>TA XPTOPECH</t>
  </si>
  <si>
    <t>CORFOU, OMP, LIQUIDITE, PALMA</t>
  </si>
  <si>
    <t xml:space="preserve">Si la valeur renseignée est 'O', il existe au moins un enregistrement de même identifiant (1.11 (P1) Identifiant de l'engagement) dans l'objet métier échéancier E1
</t>
  </si>
  <si>
    <t>If the value filled is 'O', there is at least one record linked with the same identifier (1.11 (P1) Commitment identifier) in the schedule business object E1</t>
  </si>
  <si>
    <t>TC0224</t>
  </si>
  <si>
    <t>P1 22.13</t>
  </si>
  <si>
    <t>Taux d'intérêt effectif (TIE) à l'origine</t>
  </si>
  <si>
    <t>Initial effective interest rate (EIR)</t>
  </si>
  <si>
    <t>TIE ou taux nominal ou taux de rendement ou valeur de l'indice à date + spread d'origine 
Exprimé en %</t>
  </si>
  <si>
    <t>EIR or nominal interest rate or rate of return or value of the index at a given date + initial spread 
Expressed as %</t>
  </si>
  <si>
    <t>cdTIEOr</t>
  </si>
  <si>
    <t>TIE ou taux nominal ou taux de rendement ou valeur de l'indice à date + spread d'origine</t>
  </si>
  <si>
    <t>TIE or nominal rate or yield rate or index value on date + original spread</t>
  </si>
  <si>
    <t>CONGLOMERATS, LOAN TAPE, OMP, PALMA</t>
  </si>
  <si>
    <t xml:space="preserve">ISS200 et 300
TRE2 à 4XX hors 203,205,206,207
TRE5XX
VAR105 et 302
</t>
  </si>
  <si>
    <t>La donnée est obligatoire si le type de risque [P1 2.0] = [TRE2xx, TRE3xx, TRE4xx, TRE5xx hors (TRE203, TRE205, TRE206, TRE207), VAR105, VAR302] ET si l'indicateur produit échéancé [P1 22.56] = 'ECH' ET si l'indicateur échéancier fourni [P1 22.12] = 'N' ET si l'indicateur objet métier palier fourni [P1 22.57] = 'N' ou vide</t>
  </si>
  <si>
    <t>The data is mandatory if Risk type [P1 2.0] = [TRE2xx, TRE3xx, TRE4xx, TRE5xx except (TRE203, TRE205, TRE206, TRE207), VAR105, VAR302] AND if the indicator product schedule [P1 22.56] = 'ECH' AND if the repayment schedule provided indicator [P1 22.12] = 'N' AND if the indicator of business object stage provided [P1 22.57] = 'N' or empty</t>
  </si>
  <si>
    <t>TPS0853</t>
  </si>
  <si>
    <t>P1 22.14</t>
  </si>
  <si>
    <t xml:space="preserve">Type de taux </t>
  </si>
  <si>
    <t xml:space="preserve">Type of interest rate </t>
  </si>
  <si>
    <t>Indique le type de taux d'intérêt contractuel</t>
  </si>
  <si>
    <t>Indicates the type of interest rate applied contractually</t>
  </si>
  <si>
    <t>cdTypTxPer</t>
  </si>
  <si>
    <t>ALMM, ANACREDIT, CONGLOMERATS, CORFOU, LIQUIDITE, LOAN TAPE, OMP, PALMA, SRB VALUATION</t>
  </si>
  <si>
    <t>La donnée est obligatoire si le type de risque [P1 2.0] = 'TRE2xx, TRE3xx, TRE4xx, TRE5xx hors (TRE203, TRE205, TRE206, TRE207)</t>
  </si>
  <si>
    <t>The data is mandatory if Risk type [P1 2.0] = 'TRE2xx, TRE3xx, TRE4xx, TRE5xx except (TRE203, TRE205, TRE206, TRE207)</t>
  </si>
  <si>
    <t>TPSXXX</t>
  </si>
  <si>
    <t>P1 22.15</t>
  </si>
  <si>
    <t>Indice de référence</t>
  </si>
  <si>
    <t xml:space="preserve">Reference index </t>
  </si>
  <si>
    <t>Indice de référence pour les taux variables ou révisables</t>
  </si>
  <si>
    <t xml:space="preserve">Reference index for variable or revisable rates </t>
  </si>
  <si>
    <t>cdIndRefTx</t>
  </si>
  <si>
    <t>ALMM, ANACREDIT, CORFOU, LIQUIDITE, LOAN TAPE, OMP, PALMA</t>
  </si>
  <si>
    <t xml:space="preserve">ISS200, ISS300
TRE2 à 4XX hors 203,205,206,207
TRE5XX
SIG
VAR105 et 302
</t>
  </si>
  <si>
    <t>La donnée est obligatoire si le type de risque [P1 2.0] = 'TRE2xx, TRE3xx, TRE4xx, TRE5xx hors (TRE203, TRE205, TRE206, TRE207), VAR105, VAR302, ISS200, ISS300' ET si le type de taux [P1 22.14] = 'V' ou 'R'</t>
  </si>
  <si>
    <t>The data is mandatory if Risk type [P1 2.0] = 'TRE2xx, TRE3xx, TRE4xx, TRE5xx except (TRE203, TRE205, TRE206, TRE207), VAR105, VAR302, ISS200, ISS300' AND if Type of interest rate [P1 22.14] = 'V' or 'R'</t>
  </si>
  <si>
    <t>TPS0854
TPS0856
TPS0855</t>
  </si>
  <si>
    <t>P1 22.16</t>
  </si>
  <si>
    <t>Type d'amortissement du capital</t>
  </si>
  <si>
    <t>Type of repayment of the principal</t>
  </si>
  <si>
    <t>cdTypAmort</t>
  </si>
  <si>
    <t>LC.0218</t>
  </si>
  <si>
    <t>TA XPTYPAMO</t>
  </si>
  <si>
    <t xml:space="preserve">ISS200, ISS300, TRE2 à 4XX hors 203,205,206,207
TRE5XX
SIG
VARXXX
</t>
  </si>
  <si>
    <t>La donnée est obligatoire si le type de risque [P1 2.0] = [TRE2xx, TRE3xx, TRE4xx, TRE5xx hors (TRE203, TRE205, TRE206, TRE207), VAR105, VAR302, ISS200, ISS300] 
---
La donnée est obligatoire si le type de risque [P1 2.0] = 'VARxxx' (hors VAR105 et VAR302) et si l'Indicateur produit échéancé [P1 22.56] = ‘ECH'</t>
  </si>
  <si>
    <t>The data is mandatory if Risk type [P1 2.0] = [TRE2xx, TRE3xx, TRE4xx, TRE5xx except (TRE203, TRE205, TRE206, TRE207), VAR105, VAR302, ISS200, ISS300]
---
The data is mandatory if Risk type [P1 2.0] = 'VARxxx' (except VAR105 and VAR302) and if the data Indicator product schedule [P1 22.56] = ‘ECH'</t>
  </si>
  <si>
    <t xml:space="preserve">TPSxxx
TPS0837
</t>
  </si>
  <si>
    <t>P1 22.17</t>
  </si>
  <si>
    <t>Fréquence d'amortissement du capital</t>
  </si>
  <si>
    <t>Frequency of repayment of the principal</t>
  </si>
  <si>
    <t>Fréquence à laquelle le capital est remboursé</t>
  </si>
  <si>
    <t>Frequency at which the principal is repaid</t>
  </si>
  <si>
    <t>PeAmort</t>
  </si>
  <si>
    <t>ANACREDIT, CORFOU, LIQUIDITE, OMP, PALMA</t>
  </si>
  <si>
    <t>TRE2 à 4XX hors 203,205,206,207
TRE5XX
SIG
VARXXX</t>
  </si>
  <si>
    <t>La donnée est obligatoire si le type de risque [P1 2.0] = TRE2xx, TRE3xx, TRE4xx, TRE5xx hors (TRE203, TRE205, TRE206, TRE207)
---
La donnée est obligatoire si le type de risque [P1 2.0] = 'VARxxx' (hors VAR105 et VAR302) et si l'Indicateur produit échéancé [P1 22.56] = ‘ECH'</t>
  </si>
  <si>
    <t>The data is mandatory if Risk type [P1 2.0] = TRE2xx, TRE3xx, TRE4xx, TRE5xx except (TRE203, TRE205, TRE206, TRE207)
---
The data is mandatory if Risk type [P1 2.0] = 'VARxxx' (except VAR105 and VAR302) and if the data Indicator product schedule [P1 22.56] = ‘ECH'</t>
  </si>
  <si>
    <t>TPS0853
TPS0837</t>
  </si>
  <si>
    <t>P1 22.18</t>
  </si>
  <si>
    <t>Fréquence de paiement des intérêts</t>
  </si>
  <si>
    <t>Frequency of interest payments</t>
  </si>
  <si>
    <t>Fréquence à laquelle les intérêts sont payés</t>
  </si>
  <si>
    <t>Frequency at which the interest is paid</t>
  </si>
  <si>
    <t>PePai</t>
  </si>
  <si>
    <t>Si règlement in fine mettre 'X' (autre fréquence)</t>
  </si>
  <si>
    <t>If final settlement put 'X' (other frequency)</t>
  </si>
  <si>
    <t>ANACREDIT, CORFOU, LIQUIDITE, LOAN TAPE, OMP, PALMA, SRB VALUATION</t>
  </si>
  <si>
    <t>La donnée est obligatoire si le type de risque [P1 2.0] ='TRE2xx, TRE3xx, TRE4xx, TRE5xx hors (TRE203, TRE205, TRE206, TRE207), VAR105, VAR302, ISS200, ISS300'</t>
  </si>
  <si>
    <t>The data is mandatory if Risk type [P1 2.0] = 'TRE2xx, TRE3xx, TRE4xx, TRE5xx except (TRE203, TRE205, TRE206, TRE207), VAR105, VAR302, ISS200, ISS300'</t>
  </si>
  <si>
    <t>TPS0950</t>
  </si>
  <si>
    <t>P1 22.19</t>
  </si>
  <si>
    <t>Taux client à l'octroi</t>
  </si>
  <si>
    <t>Customer lending rate</t>
  </si>
  <si>
    <t>Correspond au taux client fixe ou variable à l'octroi 
Exprimé en %</t>
  </si>
  <si>
    <t>The customer fixed or variable lending rate at the origin 
Expressed as %</t>
  </si>
  <si>
    <t>txCliOct</t>
  </si>
  <si>
    <t>NB : Donnée facultative pour le type de risque SIG</t>
  </si>
  <si>
    <t>N.B. Optional data for the GIS risk type</t>
  </si>
  <si>
    <t>ANACREDIT, ASTRE, CONGLOMERATS, CORFOU, LIQUIDITE, OMP, PALMA</t>
  </si>
  <si>
    <t>La donnée est obligatoire si le type de risque [P1 2.0] = [ISS200, ISS300, TRE2xx, TRE3xx, TRE4xx, TRE5xx hors (TRE203, TRE205, TRE206, TRE207), VAR105, VAR302]</t>
  </si>
  <si>
    <t>The data is mandatory if Risk type [P1 2.0] = [ISS200, ISS300, TRE2xx, TRE3xx, TRE4xx, TRE5xx except (TRE203, TRE205, TRE206, TRE207), VAR105, VAR302]</t>
  </si>
  <si>
    <t>TPS0853
TPS0950
TPS0951</t>
  </si>
  <si>
    <t>P1 22.20</t>
  </si>
  <si>
    <t>Modalité de remboursement de la créance </t>
  </si>
  <si>
    <t>Loan repayment terms </t>
  </si>
  <si>
    <t>Modalité de remboursement de la créance</t>
  </si>
  <si>
    <t>Loan repayment terms</t>
  </si>
  <si>
    <t>cdModRBT</t>
  </si>
  <si>
    <t>LC.0219</t>
  </si>
  <si>
    <t>TA KVMODECH</t>
  </si>
  <si>
    <t>La donnée est obligatoire si le type de risque [P1 2.0] = TRE2xx, TRE3xx, TRE4xx, TRE5xx hors (TRE203, TRE205, TRE206, TRE207) ET que l'indicateur produit échéancé [P1 22.56] = 'ECH' ET que l'indicateur échéancier fourni [P1 22.12] = 'N' ET que l'indicateur objet métier palier fourni [P1 22.57] = 'N' ou vide</t>
  </si>
  <si>
    <t>The data is mandatory if Risk type [P1 2.0] = TRE2xx, TRE3xx, TRE4xx, TRE5xx except (TRE203, TRE205, TRE206, TRE207) AND the indicator product schedule [P1 22.56] = 'ECH' AND the repayment schedule provided indicator [P1 22.12] = 'N' AND the indicator of business object stage provided [P1 22.57] = 'N' or empty</t>
  </si>
  <si>
    <t>P1 22.21</t>
  </si>
  <si>
    <t>Date de première échéance</t>
  </si>
  <si>
    <t>First repayment date</t>
  </si>
  <si>
    <t xml:space="preserve">Date de première échéance </t>
  </si>
  <si>
    <t xml:space="preserve">First repayment date </t>
  </si>
  <si>
    <t>dtPrEch</t>
  </si>
  <si>
    <t>ANACREDIT, LIQUIDITE, LOAN TAPE, OMP, PALMA</t>
  </si>
  <si>
    <t xml:space="preserve">ISS200 et 300
TRE2 à 4XX hors 201, 203,205,206,207
TRE5XX
SIG
</t>
  </si>
  <si>
    <t>La donnée est obligatoire si le type de risque [P1 2.0] = [ISS200, ISS300, TRE2xx, TRE3xx, TRE4xx, TRE5xx hors (TRE201, TRE203, TRE205, TRE206, TRE207)]</t>
  </si>
  <si>
    <t>The data is mandatory if Risk type [P1 2.0] = [ISS200, ISS300, TRE2xx, TRE3xx, TRE4xx, TRE5xx except (TRE201, TRE203, TRE205, TRE206, TRE207)]</t>
  </si>
  <si>
    <t>TPS0853
TPS0768</t>
  </si>
  <si>
    <t>Si renseignée, la Date de première échéance [P1 22.21] doit être postérieure ou égale à la date de début de l'engagement [P1 3.2]</t>
  </si>
  <si>
    <t>If filled, the First repayment date [P1 22.21] must be higher or equal to the start date of commitment [P1 3.2]</t>
  </si>
  <si>
    <t>TCS0722</t>
  </si>
  <si>
    <t>P1 22.22</t>
  </si>
  <si>
    <t>Date de fin du différé d'amortissement</t>
  </si>
  <si>
    <t>Grace period's end date</t>
  </si>
  <si>
    <t xml:space="preserve">Date de fin du différé d'amortissement </t>
  </si>
  <si>
    <t xml:space="preserve">Grace period's end date </t>
  </si>
  <si>
    <t>dtFinCredDif</t>
  </si>
  <si>
    <t xml:space="preserve">TRE2 à 4XX hors 203,205,206,207
TRE5XX
SIG
</t>
  </si>
  <si>
    <t>La donnée est obligatoire si l'Indicateur différé d'amortissement [P1 22.222] = 'Y'</t>
  </si>
  <si>
    <t>The data is mandatory if Deferred depreciation indicator [P1 22.222] = 'Y'</t>
  </si>
  <si>
    <t>Si renseignée, la Date de fin du différé d'amortissement [P1 22.22] doit être comprise entre la date de début de l'engagement [P1 3.2] et la date de fin de l'engagement [P1 3.4]</t>
  </si>
  <si>
    <t>If filled, the Grace period's end date [P1 22.22] must be between the start date of commitment [P1 3.2] and the end date of commitment [P1 3.4]</t>
  </si>
  <si>
    <t>TCS0723</t>
  </si>
  <si>
    <t>P1 22.23</t>
  </si>
  <si>
    <t xml:space="preserve">Taux plafond </t>
  </si>
  <si>
    <t xml:space="preserve">Interest rate cap </t>
  </si>
  <si>
    <t>Valeur maximale du taux d'intérêt facturé
Exprimé en %</t>
  </si>
  <si>
    <t>Maximum value of the billed interest rate 
Expressed as %</t>
  </si>
  <si>
    <t>txPlafond</t>
  </si>
  <si>
    <t>ANACREDIT, LIQUIDITE, OMP, PALMA</t>
  </si>
  <si>
    <t xml:space="preserve">La donnée est obligatoire si le type de risque [P1 2.0] = TRE2xx à TRE5xx (hors TRE203, TRE205, TRE206, TRE207) et si l'indicateur produit échéancé [P1 22.56] = 'ECH' et l'indicateur échéancier fourni [P1 22.12] = 'N' et l'indicateur objet métier palier fourni [P1 22.57] = 'N' ou vide et le type de taux [P1 22.14] = 'V' ou 'R' </t>
  </si>
  <si>
    <t>The data is mandatory if Risk type [P1 2.0] = TRE2xx to TRE5xx (except TRE203, TRE205, TRE206, TRE207) and if the indicator product schedule [P1 22.56] = 'ECH' and the repayment schedule provided indicator [P1 22.12] = ‘N' and the indicator of business object stage provided [P1 22.57] = ‘N' or empty and the type of interest rate [P1 22.14] ='V' or 'R'</t>
  </si>
  <si>
    <t>TPS0856</t>
  </si>
  <si>
    <t>Le taux renseigné doit être supérieur ou égal au 'Taux plancher' [P1 22.24]</t>
  </si>
  <si>
    <t>The rate filled must be higher or equal than the 'Interest rate floor' [P1 22.24]</t>
  </si>
  <si>
    <t>TCS0724</t>
  </si>
  <si>
    <t>P1 22.24</t>
  </si>
  <si>
    <t>Taux plancher</t>
  </si>
  <si>
    <t>Interest rate floor</t>
  </si>
  <si>
    <t>Valeur minimale du taux d'intérêt facturé 
Exprimé en %</t>
  </si>
  <si>
    <t>Minimum value of the billed interest rate 
Expressed as %</t>
  </si>
  <si>
    <t>txPlan</t>
  </si>
  <si>
    <t>La donnée est obligatoire si le type de risque [P1 2.0] = TRE2xx à TRE5xx (hors TRE203, TRE205, TRE206, TRE207) et si l'indicateur produit échéancé [P1 22.56] = 'ECH' et l'indicateur échéancier fourni [P1 22.12] = 'N' et l'indicateur objet métier palier fourni [P1 22.57] = 'N' ou vide et le type de taux [P1 22.14] = 'V' ou 'R'</t>
  </si>
  <si>
    <t>P1 22.25</t>
  </si>
  <si>
    <t>Fréquence de révision du taux</t>
  </si>
  <si>
    <t>Frequency of revision of interest rate</t>
  </si>
  <si>
    <t>Fréquence de révision du taux du prêt. Elle est à renseigner pour les prêts autres que prêts à taux fixe, y compris lorsque le prêt est sur la dernière période</t>
  </si>
  <si>
    <t>Loan's interest-rate review frequency. An entry is made for loans other than fixed-rate loans, including when the loan is in the last period</t>
  </si>
  <si>
    <t>peRevTxUnit</t>
  </si>
  <si>
    <t>ANACREDIT, CORFOU, LIQUIDITE, LOAN TAPE, OMP, PALMA</t>
  </si>
  <si>
    <t>ISS200, ISS300
TRE2 à 4XX hors 203,205,206,207
TRE5XX
VAR105, VAR302
SIG</t>
  </si>
  <si>
    <t>La donnée est obligatoire si le type de risque [P1 2.0] = [ISS200, ISS300, TRE2xx à TRE5xx (hors TRE203, TRE205, TRE206, TRE207), VAR105, VAR302] et si le type de taux [P1 22.14] = 'V' ou 'R'</t>
  </si>
  <si>
    <t>The data is mandatory if Risk type [P1 2.0] = [ISS200, ISS300, TRE2xx to TRE5xx (except TRE203, TRE205, TRE206, TRE207), VAR105, VAR302] and if the type of interest rate [P1 22.14] = 'V' or 'R'</t>
  </si>
  <si>
    <t xml:space="preserve"> TPS0855
TPS0856</t>
  </si>
  <si>
    <t>P1 22.26</t>
  </si>
  <si>
    <t>Périodicité de révision du taux en nombre</t>
  </si>
  <si>
    <t>Periodicity of revision of interest rate in number</t>
  </si>
  <si>
    <t>Périodicité de révision d'un crédit à taux variable. Elle est à renseigner pour les prêts autres que prêts à taux fixe, y compris lorsque le prêt est sur la dernière période</t>
  </si>
  <si>
    <t>Review periodicity of a variable-rate loan. An entry is made for loans other than fixed-rate loans, including when the loan is in the last period</t>
  </si>
  <si>
    <t>peRevTxNb</t>
  </si>
  <si>
    <t xml:space="preserve">Nombre affecté à l'unité de temps (P1 22.25)
Par exemple, si fréquence de révision du taux (P1 22.25) = S (semestriel) :
- périodicité = 1, cela veut dire que le taux est révisé tous les semestres = tous les 6 mois
- périodicité = 6, cela veut dire que le taux est révisé tous les 6 semestres = tous les 3 ans </t>
  </si>
  <si>
    <t xml:space="preserve">Number allocated to the time unit (P1 22.25)
For example, if Frequency of revision of interest rate (P1 22.25) = S (half-year):
- periodicity = 1, it means revision of interest rate is every semester = every 6 months
- periodicity = 6, it means revision of interest rate is every 6 semesters = every 3 years </t>
  </si>
  <si>
    <t xml:space="preserve">ISS200, ISS300
TRE2 à 4XX hors 203,205,206,207
TRE5XX
SIG
</t>
  </si>
  <si>
    <t>La donnée est obligatoire si la Fréquence de révision du taux [P1 22.25] est renseignée</t>
  </si>
  <si>
    <t>The data is mandatory if the Frequency of revision of interest rate [P1 22.25] is filled</t>
  </si>
  <si>
    <t>TPS0857</t>
  </si>
  <si>
    <t>P1 22.27</t>
  </si>
  <si>
    <t>Taux client de la période en cours</t>
  </si>
  <si>
    <t>Customer interest rate for current period</t>
  </si>
  <si>
    <t>Taux du flux d'intérêt de l'échéance
Taux facturé au client, c'est-à-dire comprenant le spread et le coût de l'option éventuelle
Exprimé en %</t>
  </si>
  <si>
    <t>Repayment interest flow rate
Rate charged to the customer, i.e. including the spread and the cost of any option
Expressed as %</t>
  </si>
  <si>
    <t>txCliPeriode</t>
  </si>
  <si>
    <t>Donnée facultative pour le type de risque SIG2*</t>
  </si>
  <si>
    <t>Optional data for the SIG2* risk type</t>
  </si>
  <si>
    <t>ANACREDIT, LIQUIDITE, LOAN TAPE, OMP, PALMA, SRB VALUATION</t>
  </si>
  <si>
    <t xml:space="preserve">ISS200 et 300
TRE2 à 4XX hors 203,205,206,207
TRE5XX
SIG1*
VAR105 et 302
</t>
  </si>
  <si>
    <t>La donnée est obligatoire si le type de risque [P1 2.0] = 'TRE2xx' à 'TRE5xx', 'ISS200', 'ISS300', 'VAR105, 'VAR302' (hors 'TRE203', 'TRE205', 'TRE206', 'TRE207')</t>
  </si>
  <si>
    <t>The data is mandatory if Risk type [P1 2.0] = 'TRE2xx' to 'TRE5xx', 'ISS200', 'ISS300', 'VAR105, 'VAR302' (except 'TRE203', 'TRE205', 'TRE206', 'TRE207')</t>
  </si>
  <si>
    <t xml:space="preserve"> TPS0858</t>
  </si>
  <si>
    <t>P1 22.28</t>
  </si>
  <si>
    <t>Taux de marge additive</t>
  </si>
  <si>
    <t>Additive margin rate</t>
  </si>
  <si>
    <t>Correspond au spread
Marge à ajouter à l'index pour obtenir le taux d'intérêt
Exprimé en %</t>
  </si>
  <si>
    <t>Corresponds to the spread
Margin to be added to the index to obtain the interest rate
Expressed as %</t>
  </si>
  <si>
    <t>txMargeAdd</t>
  </si>
  <si>
    <t>Par exemple : taux d'intérêt = marge multiplicative * index de référence + marge additive
Elle peut être négative ou positive</t>
  </si>
  <si>
    <t>For example: interest rate = multiplicative margin * reference index + additive margin
It can be negative or positive</t>
  </si>
  <si>
    <t>ANACREDIT, CORFOU, LIQUIDITE, LOAN TAPE, MREL, OMP, PALMA, SRB VALUATION</t>
  </si>
  <si>
    <t>La donnée est obligatoire si le type de risque [P1 2.0] = [ISS200, ISS300, VAR105, VAR302,TRE2xx à TRE5xx (hors TRE203, TRE205, TRE206, TRE207)] et si le type de taux [P1 22.14] = 'V' ou 'R'</t>
  </si>
  <si>
    <t>The data is mandatory if Risk type [P1 2.0] = [ISS200, ISS300, VAR105, VAR302, TRE2xx to TRE5xx (except TRE203, TRE205, TRE206, TRE207)] and if the type of interest rate [P1 22.14] = 'V' or 'R'</t>
  </si>
  <si>
    <t xml:space="preserve"> TPSxxx</t>
  </si>
  <si>
    <t>P1 22.29</t>
  </si>
  <si>
    <t>Taux de marge multiplicative</t>
  </si>
  <si>
    <t>Multiplicative margin rate</t>
  </si>
  <si>
    <t>Taux multiplicateur à appliquer à l'index de référence pour obtenir le taux d'intérêt. Cette donnée permet d'avoir la marge à multiplier à l'index
Exprimé en %</t>
  </si>
  <si>
    <t>Multiplicative rate to be applied to the reference index to obtain the interest rate. This data allows to get a margin to be multiplied to index
Expressed as %</t>
  </si>
  <si>
    <t>txMargeMul</t>
  </si>
  <si>
    <t>Par exemple : taux d'intérêt = marge multiplicative * index de référence + marge additive
S'il n'y a pas de marge multiplicative, la valeur par défaut est +010000000 (pour 100%)</t>
  </si>
  <si>
    <t>For example: interest rate = multiplicative margin * reference index + additive margin
If there is no multiplicative margin, the default is +010000000 (for 100%)</t>
  </si>
  <si>
    <t>ANACREDIT, CORFOU, LIQUIDITE, LOAN TAPE, MREL, OMP, PALMA</t>
  </si>
  <si>
    <t>P1 22.30</t>
  </si>
  <si>
    <t>Base de calcul des intérêts</t>
  </si>
  <si>
    <t>Interest calculation basis</t>
  </si>
  <si>
    <t>Coefficient appliqué pour passer du taux annuel au taux mensuel</t>
  </si>
  <si>
    <t>Coefficient applied to convert annual interest rate to monthly interest rate</t>
  </si>
  <si>
    <t>cdBaseCalc</t>
  </si>
  <si>
    <t>LC.0239</t>
  </si>
  <si>
    <t>RB T2INTBAS</t>
  </si>
  <si>
    <t xml:space="preserve">ISS200, ISS300
TRE2 à 4XX hors 203,205,206,207
TRE5XX
VAR105 et VAR302
SIG
</t>
  </si>
  <si>
    <t>TPS0961</t>
  </si>
  <si>
    <t>P1 22.31</t>
  </si>
  <si>
    <t>Date du premier déblocage de fonds</t>
  </si>
  <si>
    <t>Date of first release of funds</t>
  </si>
  <si>
    <t xml:space="preserve">Date du premier versement des fonds </t>
  </si>
  <si>
    <t xml:space="preserve">Date of first payment of funds </t>
  </si>
  <si>
    <t>dtPremDeblocage</t>
  </si>
  <si>
    <t>Utilisé lors de la génération des échéanciers simples sur le calcul des intérêts de la première échéance</t>
  </si>
  <si>
    <t>Used when generating simple schedules on the calculation of the interests of the first due date</t>
  </si>
  <si>
    <t>ANACREDIT, NZBA, OMP, PALMA</t>
  </si>
  <si>
    <t>Si [Date du premier déblocage de fonds [P1 22.31] est renseignée ET Date de mise à disposition des fonds [P1 4.47] est renseignée ET Type de risque [P1 2.0] est égal à (TRE2**, TRE3**, TRE4**, TRE5**) hors ('TRE201,TRE203,205, 206, 207')], alors Date du premier déblocage de fonds [P1 22.31] doit être supérieure ou égale à Date de mise à disposition des fonds [P1 4.47]</t>
  </si>
  <si>
    <t>If [Date of first release of funds [P1 22.31] is filled AND Date of availability of funds [P1 4.47] is filled AND Risk type [P1 2.0] is equal to (TRE2**, TRE3**, TRE4**, TRE5**) except ('TRE201,TRE203,205, 206, 207')], then Date of first release of funds [P1 22.31] must be greater than or equal to Date of availability of funds [P1 4.47]</t>
  </si>
  <si>
    <t>TCS0725</t>
  </si>
  <si>
    <t>P1 22.32</t>
  </si>
  <si>
    <t>Montant du premier déblocage de fonds</t>
  </si>
  <si>
    <t>Amount of first release of funds</t>
  </si>
  <si>
    <t>mtPremDeblocage</t>
  </si>
  <si>
    <t>La donnée est obligatoire, si la date du premier déblocage de fonds [P1 22.31] est renseignée</t>
  </si>
  <si>
    <t>The data is mandatory, if the date of the first release of funds [P1 22.31] is filled in</t>
  </si>
  <si>
    <t>TPS0859</t>
  </si>
  <si>
    <t>P1 22.33</t>
  </si>
  <si>
    <t>Devise du montant du premier déblocage de fonds</t>
  </si>
  <si>
    <t>Currency of the amount of first release of funds</t>
  </si>
  <si>
    <t>cdDevMtPremDeblocage</t>
  </si>
  <si>
    <t xml:space="preserve">La donnée est obligatoire, si le montant du premier déblocage de fonds [P1 22.32] est renseigné </t>
  </si>
  <si>
    <t>The data is mandatory, if the amount of the first release of funds [P1 22.32] is filled</t>
  </si>
  <si>
    <t>P1 22.34</t>
  </si>
  <si>
    <t>Montant du capital théorique restant dû</t>
  </si>
  <si>
    <t>Amount of theoretical principal remaining due</t>
  </si>
  <si>
    <t>Correspond au CRD théorique sur les prêts (ne prend pas en compte les arriérés de paiement)</t>
  </si>
  <si>
    <t>Corresponds to the theoretical principal remaining due on loans (does not take into account payment arrears)</t>
  </si>
  <si>
    <t>mtCapTheoDu</t>
  </si>
  <si>
    <t>P1 22.35</t>
  </si>
  <si>
    <t>Devise du montant du capital théorique restant dû</t>
  </si>
  <si>
    <t>Currency of amount of theoretical principal outstanding</t>
  </si>
  <si>
    <t xml:space="preserve">Devise du capital théorique restant dû </t>
  </si>
  <si>
    <t xml:space="preserve">Currency of theoretical principal outstanding </t>
  </si>
  <si>
    <t>cdDevMtCapTheoDu</t>
  </si>
  <si>
    <t>La donnée est obligatoire, si le montant du capital théorique restant dû [P1 22.34] est renseigné</t>
  </si>
  <si>
    <t>The data is mandatory, if the amount of theoretical capital remaining due [P1 22.34] is filled</t>
  </si>
  <si>
    <t>P1 22.36</t>
  </si>
  <si>
    <t>Option de remboursement anticipé</t>
  </si>
  <si>
    <t>Early repayment option</t>
  </si>
  <si>
    <t>Classification des expositions de crédit selon les droits du créancier de demander le remboursement de l'exposition</t>
  </si>
  <si>
    <t>Classification of credit exposures according to the creditor's rights to claim the repayment of the exposure</t>
  </si>
  <si>
    <t>cdIndOpRBT</t>
  </si>
  <si>
    <t>LC.0232</t>
  </si>
  <si>
    <t>TA KVORBANT</t>
  </si>
  <si>
    <t>La donnée est obligatoire, si le type de risque [P1 2.0] = 'ISS200', 'ISS300', 'TRE2*', 'TRE3*','TRE4*','TRE5*' (hors 'TRE203','TRE205','TRE206','TRE207')</t>
  </si>
  <si>
    <t>The data is mandatory, if Risk type [P1 2.0] = 'ISS200', 'ISS300', 'TRE2*', 'TRE3*','TRE4*','TRE5*' (except 'TRE203','TRE205','TRE206','TRE207')</t>
  </si>
  <si>
    <t>TPS0860</t>
  </si>
  <si>
    <t>P1 22.37</t>
  </si>
  <si>
    <t>Date du premier arriéré de paiement</t>
  </si>
  <si>
    <t>Date of first payment in arrears</t>
  </si>
  <si>
    <t>Date du premier incident de paiement</t>
  </si>
  <si>
    <t>Date of first payment incident</t>
  </si>
  <si>
    <t>dtPrArrPai</t>
  </si>
  <si>
    <t>ANACREDIT, LOAN TAPE, OMP, SRB VALUATION</t>
  </si>
  <si>
    <t>La donnée est obligatoire si le type de risque [P1 2.0] = 'TRE2xx' à 'TRE5xx' (hors 'TRE203, TRE205, TRE206, TRE207'), 'SIGxx' ET si l'indicateur "Arriéré de paiement" [P1 5.5] = 'Y'</t>
  </si>
  <si>
    <t>The data is mandatory if the Risk type [P1 2.0] = 'TRE2xx' to 'TRE5xx' (except 'TRE203, TRE205, TRE206, TRE207'), 'SIGxx' AND if the indicator "Overdue to pay" [P1 5.5] = 'Y'</t>
  </si>
  <si>
    <t>TPS0861</t>
  </si>
  <si>
    <t>P1 22.38</t>
  </si>
  <si>
    <t>Date de passage de l'encours en douteux compromis</t>
  </si>
  <si>
    <t>Date on which doubtful outstanding is recognised as compromised</t>
  </si>
  <si>
    <t>dtPasEncDout</t>
  </si>
  <si>
    <t>Si renseignée, la date de passage en douteux compromis [P1 22.38] doit être supérieure ou égale à la date de début de l'engagement [P1 3.2]</t>
  </si>
  <si>
    <t>If filled in, the Date loan recognised as compromised [P1 22.38] must be greater than or equal to the funds in use start date [P1 3.2]</t>
  </si>
  <si>
    <t>TCS0726</t>
  </si>
  <si>
    <t>P1 22.39</t>
  </si>
  <si>
    <t>Montant de l'encours en douteux compromis</t>
  </si>
  <si>
    <t>Amount of compromised debt</t>
  </si>
  <si>
    <t>mtEncourDout</t>
  </si>
  <si>
    <t>La donnée est obligatoire si la date de passage en douteux compromis [P1 22.38] est renseignée</t>
  </si>
  <si>
    <t>The data is mandatory if the compromised date [P1 22.38] is filled in</t>
  </si>
  <si>
    <t>TPS0862</t>
  </si>
  <si>
    <t>P1 22.40</t>
  </si>
  <si>
    <t>Devise du montant de l'encours en douteux compromis</t>
  </si>
  <si>
    <t>Currency of the amount of compromised debt</t>
  </si>
  <si>
    <t xml:space="preserve">Devise du montant de l'encours en douteux compromis </t>
  </si>
  <si>
    <t xml:space="preserve">Currency of the amount of compromised debt </t>
  </si>
  <si>
    <t>cdDevMtEncourDout</t>
  </si>
  <si>
    <t>La donnée est obligatoire, si le montant de l'encours en douteux compromis [P1 22.39] est renseigné</t>
  </si>
  <si>
    <t>The data is mandatory, if the Amount of compromised debt [P1 22.39] is filled</t>
  </si>
  <si>
    <t>P1 22.41</t>
  </si>
  <si>
    <t xml:space="preserve">Date de déchéance du terme </t>
  </si>
  <si>
    <t xml:space="preserve">Close-out netting date </t>
  </si>
  <si>
    <t>Date à laquelle la banque met fin au contrat et exige le remboursement total du crédit (impayés + échéances à venir + frais + Intérêt)</t>
  </si>
  <si>
    <t>Date on which the bank ends the contract and demands the total repayment of the loan (past due repayments + future repayments + fees + interest)</t>
  </si>
  <si>
    <t>dtEchTerme</t>
  </si>
  <si>
    <t>P1 22.42</t>
  </si>
  <si>
    <t>Loan-to-value ratio (LTV) local à l'octroi</t>
  </si>
  <si>
    <t>Local Loan-to-value (LTV) ratio when loan granted</t>
  </si>
  <si>
    <t>Loan-to-value ratio (LTV) local à l'octroi
Exprimé en %</t>
  </si>
  <si>
    <t>Local Loan-to-value (LTV) ratio when loan granted
Expressed as %</t>
  </si>
  <si>
    <t>cdLTVLoc</t>
  </si>
  <si>
    <t>Obligatoire si prêt immobilier</t>
  </si>
  <si>
    <t>Mandatory if mortgage</t>
  </si>
  <si>
    <t>ASTRE, CALCULS PRUDENTIELS, LOAN TAPE, OCTROI DE CREDIT</t>
  </si>
  <si>
    <t>La donnée est obligatoire, si le type de risque [P1 2.0] = 'TRExx' (hors 'TRE203, TRE205, TRE206, TRE207'), 'SIGxx' ET si l'Usage du bien immobilier financé [P1 8.13] ='1' ou '2'</t>
  </si>
  <si>
    <t>The data is mandatory, if the Risk type [P1 2.0] = 'TRExx' (except 'TRE203, TRE205, TRE206, TRE207'), 'SIGxx' AND if Use of financed property [P1 8.13] ='1' or '2'</t>
  </si>
  <si>
    <t>TPS0863</t>
  </si>
  <si>
    <t>P1 22.43</t>
  </si>
  <si>
    <t>Loan-to-value ratio (LTV) local revalorisé</t>
  </si>
  <si>
    <t>Re-evaluated local Loan-to-value (LTV) ratio</t>
  </si>
  <si>
    <t>Correspond à la valeur du prêt sur la valeur du bien financé
Exprimé en %</t>
  </si>
  <si>
    <t>It is the value of the loan divided by the value of the financed property
Expressed as %</t>
  </si>
  <si>
    <t>cdLTVRev</t>
  </si>
  <si>
    <t>La donnée est obligatoire, si le type de risque [P1 2.0] = 'TRExx' (hors 'TRE203, TRE205, TRE206, TRE207'), 'SIGxx' ET si l'Usage du bien immobilier financé [P1 8.13] ='1' ou '2' ET si la Date de revalorisation [P1 22.46] est renseignée</t>
  </si>
  <si>
    <t>The data is mandatory, if the Risk type [P1 2.0] = 'TRExx' (except 'TRE203, TRE205, TRE206, TRE207'), 'SIGxx' AND if Use of financed property [P1 8.13] ='1' or '2' AND if revaluation date [P1 22.46] is filled</t>
  </si>
  <si>
    <t>TPS0864</t>
  </si>
  <si>
    <t>P1 22.44</t>
  </si>
  <si>
    <t>Montant à l'acquisition du bien financé</t>
  </si>
  <si>
    <t>Amount on acquisition of the funded property</t>
  </si>
  <si>
    <t>MtBienOctroi</t>
  </si>
  <si>
    <t>CALCULS PRUDENTIELS, NZBA</t>
  </si>
  <si>
    <t>P1 22.45</t>
  </si>
  <si>
    <t>Devise du montant à l'acquisition du bien financé</t>
  </si>
  <si>
    <t>Currency of Amount on acquisition of the funded property</t>
  </si>
  <si>
    <t>cdDevMtBienOctroi</t>
  </si>
  <si>
    <t>La donnée est obligatoire, si le montant initial du bien à l'achat [P1 22.44] est renseigné</t>
  </si>
  <si>
    <t>The data is mandatory, if the original purchase amount [P1 22.44] is filled</t>
  </si>
  <si>
    <t>P1 22.46</t>
  </si>
  <si>
    <t>Date de revalorisation du bien</t>
  </si>
  <si>
    <t>Property's revaluation date</t>
  </si>
  <si>
    <t>Date de revalorisation du bien financé ou loué</t>
  </si>
  <si>
    <t>Financed or leased property's revaluation date</t>
  </si>
  <si>
    <t>dtRevBien</t>
  </si>
  <si>
    <t>P1 22.47</t>
  </si>
  <si>
    <t>Montant revalorisé du bien financé</t>
  </si>
  <si>
    <t>Revalued amount of the funded asset</t>
  </si>
  <si>
    <t>mtMar</t>
  </si>
  <si>
    <t>P1 22.48</t>
  </si>
  <si>
    <t>Devise du montant revalorisé du bien financé</t>
  </si>
  <si>
    <t>Currency of Revalued amount of the funded asset</t>
  </si>
  <si>
    <t>cdDevMtMar</t>
  </si>
  <si>
    <t>TRE2 à 4XX hors 203,205,206,207 
TRE5XX</t>
  </si>
  <si>
    <t>La donnée est obligatoire, si Montant revalorisé du bien financé [P1 22.47] est renseigné</t>
  </si>
  <si>
    <t>The data is mandatory, if Revalued amount of the funded asset [P1 22.47] is filled</t>
  </si>
  <si>
    <t>P1 22.49</t>
  </si>
  <si>
    <t>Loan-to-income ratio (LTI) local à l'octroi</t>
  </si>
  <si>
    <t>Local Loan-to-income ratio (LTI) ratio when loan granted</t>
  </si>
  <si>
    <t>Montant du prêt accordé sur les revenus du client
Exprimé en %</t>
  </si>
  <si>
    <t>Amount of loan divided by customer's income
Expressed as %</t>
  </si>
  <si>
    <t>cdLTIOct</t>
  </si>
  <si>
    <t>Si prêt immobilier résidentiel (bien occupé ou donné en location par le propriétaire)</t>
  </si>
  <si>
    <t>If residential real property loan (residential property occupied or rented by the owner)</t>
  </si>
  <si>
    <t>OCTROI DE CREDIT</t>
  </si>
  <si>
    <t>La donnée est obligatoire, si le type de risque [P1 2.0] = 'TRExx' (hors 'TRE203, TRE205, TRE206, TRE207'), 'SIGxx' ET si l'Usage du bien immobilier financé [P1 8.13] ='2'</t>
  </si>
  <si>
    <t>The data is mandatory, if the Risk type [P1 2.0] = 'TRExx' (except 'TRE203, TRE205, TRE206, TRE207'), 'SIGxx' AND if Use of financed property [P1 8.13] ='2'</t>
  </si>
  <si>
    <t>TPS0865</t>
  </si>
  <si>
    <t>P1 22.50</t>
  </si>
  <si>
    <t>Loan-to-income ratio (LTI) local revalorisé</t>
  </si>
  <si>
    <t>Re-evaluated local Loan-to-income ratio (LTI) ratio</t>
  </si>
  <si>
    <t>Loan-to-income ratio (LTI) local revalorisé
Exprimé en %</t>
  </si>
  <si>
    <t>Re-evaluated local Loan-to-income ratio (LTI) ratio
Expressed as %</t>
  </si>
  <si>
    <t>cdLTILocalRev</t>
  </si>
  <si>
    <t>P1 22.58</t>
  </si>
  <si>
    <t>Date de début de palier</t>
  </si>
  <si>
    <t>Start date of the stage</t>
  </si>
  <si>
    <t>Date à partir de laquelle les caractéristiques du palier sont appliquées</t>
  </si>
  <si>
    <t>Date from which the characteristics of the stage are applied</t>
  </si>
  <si>
    <t>dtDebPalier</t>
  </si>
  <si>
    <t>ANACREDIT, OMP, PALMA</t>
  </si>
  <si>
    <t>ISS200 et 300
TRE2 à 4XX hors 203,205,206,207
TRE5XX
SIG</t>
  </si>
  <si>
    <t>La donnée est obligatoire si le type de risque [P1 2.0] = [ISS200, ISS300, TRE2xx, TRE3xx, TRE4xx, TRE5xx hors (TRE203, TRE205, TRE206, TRE207)] ET si l'indicateur produit échéancé [P1 22.56] = 'ECH' ET si l'indicateur échéancier fourni [P1 22.12] = 'N' ET si l'indicateur objet métier palier fourni [P1 22.57] = 'N' ou vide</t>
  </si>
  <si>
    <t>The data is mandatory if Risk type [P1 2.0] = [ISS200, ISS300, TRE2xx, TRE3xx, TRE4xx, TRE5xx except (TRE203, TRE205, TRE206, TRE207)] AND if the indicator product schedule [P1 22.56] = 'ECH' AND if the repayment schedule provided indicator [P1 22.12] = 'N' AND if the indicator of business object stage provided [P1 22.57] = 'N' or empty</t>
  </si>
  <si>
    <t>Si renseignée, la Date de début de palier [P1 22.58] doit être comprise entre la date de début de l'engagement [P1 3.2] et la date de fin de l'engagement [P1 3.4]</t>
  </si>
  <si>
    <t>If filled, the Start date of the stage [P1 22.58] must be between the start date of commitment [P1 3.2] and the end date of commitment [P1 3.4]</t>
  </si>
  <si>
    <t>TCS0727</t>
  </si>
  <si>
    <t>P1 22.59</t>
  </si>
  <si>
    <t>Date de fin de palier</t>
  </si>
  <si>
    <t>End date of stage</t>
  </si>
  <si>
    <t>Correspond à la date d'échéance pour les prêts ayant un seul tableau d'amortissement à date</t>
  </si>
  <si>
    <t>Maturity date for loans with a single date of amortization schedule</t>
  </si>
  <si>
    <t>dtFinPalier</t>
  </si>
  <si>
    <t>Si la date de début de palier [P1 22.58] est renseignée et si la date de fin de palier [P1 22.59] est renseignée, alors la date de fin de palier [P1 22.59] doit être supérieure ou égale à la date de début de palier [P1 22.58] et inférieure ou égale à la date de fin de l'engagement [P1 3.4]</t>
  </si>
  <si>
    <t>If the start date of the stage [P1 22.58] is filled and the end date of the stage [P1 22.59] is filled, then the end date of the stage [P1 22.59] must be greater than or equal to the start date of the stage [P1 22.58] and lower or equal to the end date of commitment [P1 3.4]</t>
  </si>
  <si>
    <t>TCS0728</t>
  </si>
  <si>
    <t>P1 22.60</t>
  </si>
  <si>
    <t>Montant de l'échéance en cours</t>
  </si>
  <si>
    <t>Current due date amount</t>
  </si>
  <si>
    <t>mtEchEnc</t>
  </si>
  <si>
    <t>Montant de l'échéance (capital + intérêts) dans le cas d'un amortissement à montant constant</t>
  </si>
  <si>
    <t>Current due date amount (principal + interest) in the case of a constant amount amortisation</t>
  </si>
  <si>
    <t>P1 22.61</t>
  </si>
  <si>
    <t>Devise du montant de l'échéance en cours</t>
  </si>
  <si>
    <t>Currency of current due date amount</t>
  </si>
  <si>
    <t>cdDevMtEchEnc</t>
  </si>
  <si>
    <t>La donnée est obligatoire si le montant de l'échéance en cours [P1 22.60] est renseigné</t>
  </si>
  <si>
    <t>The data is mandatory if Current due date amount [P1 22.60] is filled</t>
  </si>
  <si>
    <t>P1 22.62</t>
  </si>
  <si>
    <t>Indicateur pré / post fixé</t>
  </si>
  <si>
    <t>Fixed pre / post indicator</t>
  </si>
  <si>
    <t>Indique l'utilisation pré ou post fixé de l'index du palier</t>
  </si>
  <si>
    <t>Indicates the use pre or post fixed of the index of the stage</t>
  </si>
  <si>
    <t>cdFix</t>
  </si>
  <si>
    <t>LC.0243</t>
  </si>
  <si>
    <t>TA XPINDPPF</t>
  </si>
  <si>
    <t>Pré fixé : la valeur de l'index est connu en début de la période, post fixé : la valeur est connue en fin de période</t>
  </si>
  <si>
    <t>Fixed pre, the index value is known at the beginning of the period; fixed post the value is known at the end of the period</t>
  </si>
  <si>
    <t>La donnée est obligatoire si le type de risque [P1 2.0] = [ISS200, ISS300, TRE2xx à TRE5xx (hors TRE203, TRE205, TRE206, TRE207)] et si le type de taux [P1 22.14] = 'V' ou 'R'</t>
  </si>
  <si>
    <t>The data is mandatory if Risk type [P1 2.0] = [ISS200, ISS300, TRE2xx to TRE5xx (except TRE203, TRE205, TRE206, TRE207)] and if the type of interest rate [P1 22.14] = 'V' or 'R'</t>
  </si>
  <si>
    <t>TPS0866</t>
  </si>
  <si>
    <t>P1 22.63</t>
  </si>
  <si>
    <t xml:space="preserve">Date de début de l'engagement renouvelé </t>
  </si>
  <si>
    <t>Start date of renewed commitment</t>
  </si>
  <si>
    <t xml:space="preserve">Date de début de validité de la ligne d'autorisation quand elle est renouvelée (pour tout type d'opérations renouvelables : découverts, revolving,…) </t>
  </si>
  <si>
    <t>Start date of validity of the authorisation line when it is renewed (for any type of renewable operations: overdrafts, revolving, etc.)</t>
  </si>
  <si>
    <t>DdtDebEngRen</t>
  </si>
  <si>
    <t>La date de renouvellement correspond à la définition de la date d'origination, en cas de novation pour les opérations renouvelables et les restructurations commerciales, décrite dans les prinicipes IFRS9 Groupe. Les caractéristiques de risques à l'origination des opérations concernées sont mises à jour en date de renouvellement. Cette date doit être renseignée en cas de renouvellement et laisser à vide pour les autres opérations</t>
  </si>
  <si>
    <t>The renewal date corresponds to the definition of the date of origination, in case of novation for renewable transactions and commercial restructuring, described in IFRS9 Group principles. The risk characteristics at the origin of the transactions concerned are updated on the renewal date. This date must be entered in case of renewal and leave empty for other operations</t>
  </si>
  <si>
    <t>Si renseignée, la date de début de l'engagement renouvelé doit être supérieure ou égale à la date de début de l'engagement
---
La donnée doit être inférieure ou égale à la date d'arrêté</t>
  </si>
  <si>
    <t>If filled, the start date of renewed commitment must be higher or equal to the start date of commitment
---
Data must be lower or equal than closing date</t>
  </si>
  <si>
    <t>TCS0900
TCG0004</t>
  </si>
  <si>
    <t>P1 22.64</t>
  </si>
  <si>
    <t>Type de prêt habitat</t>
  </si>
  <si>
    <t>Home loan type</t>
  </si>
  <si>
    <t>Le type de prêt permet d'identifier si le prêt est un prêt principal, un prêt relai, un prêt travaux</t>
  </si>
  <si>
    <t>The loan type identifies if the loan is a principal loan, bridging loan or loan for works</t>
  </si>
  <si>
    <t>Typret</t>
  </si>
  <si>
    <t>LC.0246</t>
  </si>
  <si>
    <t>RB TG316</t>
  </si>
  <si>
    <t>Si prêt immobilier commercial</t>
  </si>
  <si>
    <t>If commercial real estate loan</t>
  </si>
  <si>
    <t>NZBA</t>
  </si>
  <si>
    <t>P1 22.65</t>
  </si>
  <si>
    <t>Taux d'endettement à l'octroi</t>
  </si>
  <si>
    <t>Rate of indebtedness granted</t>
  </si>
  <si>
    <t>Le taux d'endettement est le taux utilisé par les métiers pour analyser la capacité de remboursement de l'emprunteur. Ce taux rapporte l'ensemble des charges de l'emprunteur (telles que définies par chaque entité dans sa politique d'octroi) à ses revenus : charges de remboursement des crédits et toutes les charges récurrentes du client (loyers, assurances, etc).
Exprimé en %</t>
  </si>
  <si>
    <t>The debt ratio is the rate used by the business lines to analyze the borrower's repayment capacity. This rate relates all of the borrower's expenses (as defined by each entity in its grant policy) to his income: repayment expenses and all recurring expenses (rent, insurance, etc).
Expressed as %</t>
  </si>
  <si>
    <t>TxEndettOctroi</t>
  </si>
  <si>
    <t>P1 22.66</t>
  </si>
  <si>
    <t>Pays de juridiction du contrat</t>
  </si>
  <si>
    <t>Country of jurisdiction of the contract</t>
  </si>
  <si>
    <t>Code du pays de juridiction du contrat en norme ISO2</t>
  </si>
  <si>
    <t>Country Code of jurisdiction of contract</t>
  </si>
  <si>
    <t>cdPaysJuriContr</t>
  </si>
  <si>
    <t>LC.0004
LC.0273</t>
  </si>
  <si>
    <t>TA NM252 (pour la partie ISO 3166)
TA NM258 (organisation supra nationales)</t>
  </si>
  <si>
    <t>MREL, SRB VALUATION</t>
  </si>
  <si>
    <t>TRE2 à 4XX hors 203,205,206,207
TRE5XX
SIG
VAR*
INT</t>
  </si>
  <si>
    <t>La donnée est obligatoire, si le type de risque [P1 2.0] est égal à 'TRE2xx' à 'TRE5xx', 'SIGxx', 'VARxx', 'INTxx' hors ('TRE203', 'TRE205', 'TRE206', 'TRE207')</t>
  </si>
  <si>
    <t>The data is mandatory, if Risk type [P1 2.0] is equal to 'TRE2xx' to 'TRE5xx', 'SIGxx', 'VARxx', 'INTxx' except ('TRE203', 'TRE205', 'TRE206', 'TRE207')</t>
  </si>
  <si>
    <t>TPS0868</t>
  </si>
  <si>
    <t>P1 22.67</t>
  </si>
  <si>
    <t>Date de signature du contrat initial</t>
  </si>
  <si>
    <t>Date of signature of the initial contract</t>
  </si>
  <si>
    <t>dtSigCtrtInit</t>
  </si>
  <si>
    <t>ANACREDIT, ASTRE, LOAN TAPE, NPE, NZBA</t>
  </si>
  <si>
    <t xml:space="preserve">TRE100
TRE2 à 4XX hors 203,205,206,207
TRE5XX
SIG
VAR105 et 302
</t>
  </si>
  <si>
    <t>La donnée est obligatoire si le type de risque [P1 2.0] = 'TRE100, TRE2xx à TRE5xx, SIGxx, VAR105, VAR302 (sauf TRE203, TRE205, TRE206, TRE207)'</t>
  </si>
  <si>
    <t>The data is mandatory if risk type [P1 2.0] = 'TRE100, TRE2xx to TRE5xx, SIGxx, VAR105, VAR302 (except TRE203, TRE205, TRE206, TRE207)'</t>
  </si>
  <si>
    <t>TPS0948</t>
  </si>
  <si>
    <t>P1 22.68</t>
  </si>
  <si>
    <t>Evénement déclencheur de la garantie</t>
  </si>
  <si>
    <t>Guarantee Trigger</t>
  </si>
  <si>
    <t>Evénement susceptible de déclencher la mise en jeu de la garantie (ex défaut, solvabilité...)</t>
  </si>
  <si>
    <t>Event susceptible to trigger the involvement of the guarantee (ex. default, solvency, liquidity, others)</t>
  </si>
  <si>
    <t>cdEventDeclenGar</t>
  </si>
  <si>
    <t>LC.0295</t>
  </si>
  <si>
    <t>TA KVEVDEGA</t>
  </si>
  <si>
    <t>CONGLOMERATS, MREL</t>
  </si>
  <si>
    <t>SIG2xx</t>
  </si>
  <si>
    <t xml:space="preserve">La donnée est obligatoire si le type de risque [P1 2.0] = 'SIG2xx' </t>
  </si>
  <si>
    <t xml:space="preserve">The data is mandatory if risk type [P1 2.0] = 'SIG2xx' </t>
  </si>
  <si>
    <t>TPS0869</t>
  </si>
  <si>
    <t>P1 22.69</t>
  </si>
  <si>
    <t xml:space="preserve">Indicateur Différé carte de paiement </t>
  </si>
  <si>
    <t>Credit granted via delayed debit cards indicator</t>
  </si>
  <si>
    <t>Permet de distinguer les différés de paiement sur cartes de crédit dans les engagements déclarés en TRE201 (Découvert)</t>
  </si>
  <si>
    <t>Allows to distinguish the recordings of payment on cards credit in the commitments declared in TRE201 (overdraft)</t>
  </si>
  <si>
    <t>indDiffCartePaie</t>
  </si>
  <si>
    <t>LC.0301</t>
  </si>
  <si>
    <t>TA KVIDIFCP</t>
  </si>
  <si>
    <t>Obligatoire pour les engagements déclarés en TRE201 (Découvert), sinon non applicable (renseigner à vide)</t>
  </si>
  <si>
    <t>Mandatory for funds in use reported in TRE201 (Discovery), otherwise not applicable (empty)</t>
  </si>
  <si>
    <t>TRE201</t>
  </si>
  <si>
    <t>P1 22.70</t>
  </si>
  <si>
    <t>Nombre de jours de retard de paiement</t>
  </si>
  <si>
    <t xml:space="preserve">Number of days in payment delay </t>
  </si>
  <si>
    <t>Number of days in payment delay</t>
  </si>
  <si>
    <t>nbJRetPaimt</t>
  </si>
  <si>
    <t>P1 22.71</t>
  </si>
  <si>
    <t xml:space="preserve">Motif du passage en engagement en défaut </t>
  </si>
  <si>
    <t>Reason of classification as commitment into default</t>
  </si>
  <si>
    <t>Motif du passage de l'opération en engagement en défaut (ex douteux)</t>
  </si>
  <si>
    <t>Reason of classification as commitment into default (ex doubtful)</t>
  </si>
  <si>
    <t>cdPasEngDout</t>
  </si>
  <si>
    <t>LC.0267</t>
  </si>
  <si>
    <t>TA NM690</t>
  </si>
  <si>
    <t>ANACREDIT, SHS</t>
  </si>
  <si>
    <t>EQU101
EQU201
ISS100
ISS200 et 300
TRE100
TRE2 à 4XX hors 203,205,206,207
TRE5XX
SIG
VAR*
INT</t>
  </si>
  <si>
    <t>P1 22.72</t>
  </si>
  <si>
    <t>Bucket IFRS9</t>
  </si>
  <si>
    <t>Permet d'indiquer le classement de l'encours en norme IFRS9</t>
  </si>
  <si>
    <t>Used to indicate the classification of outstanding in IFRS9</t>
  </si>
  <si>
    <t>cdBcktIFRS9</t>
  </si>
  <si>
    <t>LC.0257</t>
  </si>
  <si>
    <t>TA KVBUCKET</t>
  </si>
  <si>
    <t>Pour le premier mois : 
- Application du B3 pour les encours associés aux tiers en défaut ;
- Application du B1 dans les autres cas</t>
  </si>
  <si>
    <t>For the first month:
- Application of the B3 for outstandings associated with defaulting third parties;
- Application of B1 in other cases"</t>
  </si>
  <si>
    <t>ASTRE, CALCULS PRUDENTIELS, ESG PILIER 3, GRR, LIQUIDITE, NPE, PALMA</t>
  </si>
  <si>
    <t>La donnée est obligatoire si ([P1 19.5] = ‘CAM') et ([P1 3.2] &lt;= dernier jour du mois ([EN 0.1] moins 1 mois)*)
* si [EN 0.1] = 20180228 alors on prend la valeur 20180131</t>
  </si>
  <si>
    <t xml:space="preserve">The data is mandatory if ([P1 19.5] = ‘CAM') and ([P1 3.2] &lt;= last day of the month ([EN 0.1] minus 1 month)*)
* if [EN 0.1] = 20180228 then the value 20180131 is taken
</t>
  </si>
  <si>
    <t>TPS0870</t>
  </si>
  <si>
    <t>P1 22.73</t>
  </si>
  <si>
    <t xml:space="preserve">Probabilité de défaut à l'origine calculée en local </t>
  </si>
  <si>
    <t xml:space="preserve">Initial probability of default calculated locally </t>
  </si>
  <si>
    <t>cdPDOr</t>
  </si>
  <si>
    <t>Exprimée en %.
Obligatoire si Probabilité de Défaut à l'origine calculée en local (concerne les encours retail sans note) sinon laisser à vide – spécifique Cariparma pour le type du retail avec encours &gt; 1M€ traité en corporate STD</t>
  </si>
  <si>
    <t>Expressed as %
Mandatory if the probability of default originally calculated locally (concerns retail without rating) or leave empty - specific Cariparma for the retail type with outstanding &gt; €1M processed in corporate STD</t>
  </si>
  <si>
    <t>ASTRE, LOAN TAPE, OMP</t>
  </si>
  <si>
    <t>Si renseignée, la donnée doit être positive (supérieure ou égale à 0)
---
Si renseignée, la donnée doit être comprise entre '0' et '100'</t>
  </si>
  <si>
    <t>If filled, data must be positive (greater or equal to 0) 
—
If filled, the data must be between '0' and '100'</t>
  </si>
  <si>
    <t>TVG0001
TVG0004</t>
  </si>
  <si>
    <t>P1 22.74</t>
  </si>
  <si>
    <t xml:space="preserve">Probabilité de défaut à date calculée en local </t>
  </si>
  <si>
    <t xml:space="preserve">Probability of default calculated locally </t>
  </si>
  <si>
    <t>ProbDef</t>
  </si>
  <si>
    <t>Exprimée en %.
Obligatoire si Probabilité de Défaut à date calculée en local (concerne les encours retail sans note) sinon laisser à vide – spécifique Cariparma pour le type du retail avec encours &gt; 1M€ traité en corporate STD</t>
  </si>
  <si>
    <t>Expressed as %
Mandatory if Default probability calculated locally (applies to retail without rating) or leave empty - specific Cariparma for the retail type with outstanding &gt; €1M processed in corporate STD</t>
  </si>
  <si>
    <t>13 - Caractéristiques Provision</t>
  </si>
  <si>
    <t>13 - Provision characteristics</t>
  </si>
  <si>
    <t>P1 23.1</t>
  </si>
  <si>
    <t>Eligibilité Outil Mutualisé de provisionnement</t>
  </si>
  <si>
    <t>Mutualised provisioning tool eligibility</t>
  </si>
  <si>
    <t xml:space="preserve">Indicateur d'éligibilité à l'Outil Mutualisé de provisionnement </t>
  </si>
  <si>
    <t>Indicator of eligibility of the mutualised provisioning tool</t>
  </si>
  <si>
    <t>cdOMP</t>
  </si>
  <si>
    <t>LC.0216</t>
  </si>
  <si>
    <t>TA KVELIOMP</t>
  </si>
  <si>
    <t>P1 23.2</t>
  </si>
  <si>
    <t>Centre de résultat</t>
  </si>
  <si>
    <t>Result center</t>
  </si>
  <si>
    <t>Identification de sous-périmètre dans une entité
Correspond à un centre de responsabilité comptable, ou un centre de résultat ou un Business Unit en fonction des entités
Codification libre</t>
  </si>
  <si>
    <t>Identification of sub-scope in an entity. 
Corresponds to an accounting responsibility center, or a result center or business unit depending on the entities.
Free codification</t>
  </si>
  <si>
    <t>cdCtreRes</t>
  </si>
  <si>
    <t>LIQUIDITE, MREL, OMP, PALMA</t>
  </si>
  <si>
    <t>P1 23.3</t>
  </si>
  <si>
    <t>Système de gestion source</t>
  </si>
  <si>
    <t>Source management system</t>
  </si>
  <si>
    <t>Code du système opérationnel de gestion de l'opération de l'entité</t>
  </si>
  <si>
    <t>Code of the operational management system of the entity file's content</t>
  </si>
  <si>
    <t>ALMM, ASTRE, NPE, NSFR, OMP</t>
  </si>
  <si>
    <t>P1 23.4</t>
  </si>
  <si>
    <t>Classification comptable des actifs en norme IFRS9</t>
  </si>
  <si>
    <t>Accounting classification of assets under IFRS 9</t>
  </si>
  <si>
    <t>Permet d'identifier le périmètre devant faire l'objet d'un provisionnement au titre des normes internationales IFRS9</t>
  </si>
  <si>
    <t>Identifies the scope that must be provisioned under IFRS 9</t>
  </si>
  <si>
    <t>cdClasIFRS9</t>
  </si>
  <si>
    <t>ANACREDIT, CALCULS PRUDENTIELS, CONGLOMERATS, OMP, SHS</t>
  </si>
  <si>
    <t>P1 23.5</t>
  </si>
  <si>
    <t>Classification comptable des actifs en norme nationale</t>
  </si>
  <si>
    <t>Accounting classification of assets under national standards</t>
  </si>
  <si>
    <t>Permet d'identifier le périmètre devant faire l'objet d'un provisionnement au titre des normes nationales (French GAP, ….) et qui ne ferait pas l'objet d'un provisionnement au titre des normes internationales IFRS9</t>
  </si>
  <si>
    <t>Identifies scope for which provisions must be made under national accounting standards (French GAP, etc.), but not under IFRS 9 standard</t>
  </si>
  <si>
    <t>cdClasLoc</t>
  </si>
  <si>
    <t>LC.0223</t>
  </si>
  <si>
    <t>TA KVCCPTNN</t>
  </si>
  <si>
    <t>Dans un premier temps, seule la classification en norme française sera prise en compte. Cette donnée concerne les contrats de droit français</t>
  </si>
  <si>
    <t>As a first step, only the French standard classification will be taken into account. This data concerns contracts governed by French law</t>
  </si>
  <si>
    <t>CORFOU, OMP</t>
  </si>
  <si>
    <t>La donnée est obligatoire, si le 'Type de risque' [P1 2.0] = 'EQU101, ISS200, ISS300' ET si le 'Portefeuille de booking Intention de Gestion' [P1 2.4] = 'B'
---
La donnée est obligatoire, si le 'Type de risque' [P1 2.0] = 'TRE2xx' à 'TRE5xx', 'SIGxx', 'VARxx', 'INTxx' hors ('TRE203', 'TRE205', 'TRE206', 'TRE207')' ET si 'Pays de juridiction du contrat' [P1 22.66] = ‘FR'</t>
  </si>
  <si>
    <t>The data is mandatory, if 'Risk type' [P1 2.0] = 'EQU101, ISS200, ISS300' AND if the 'Booking portfolio Management intent' [P1 2.4] = 'B'
---
The data is mandatory, if Risk type [P1 2.0] is equal to 'TRE2xx' to 'TRE5xx', 'SIGxx', 'VARxx', 'INTxx' except ('TRE203', 'TRE205', 'TRE206', 'TRE207') AND if Country of jurisdiction of the contract [P1 22.66] = 'FR'</t>
  </si>
  <si>
    <t>TPS0763
TPS0871</t>
  </si>
  <si>
    <t>Si 'Pays de juridiction du contrat' [P1 22.66] = ‘FR', alors la valeur doit être connue du Langage Commun associé</t>
  </si>
  <si>
    <t>If Country of jurisdiction of the contract [P1 22.66] = 'FR', then the value must be known to the associated Common Language</t>
  </si>
  <si>
    <t>TIS0702</t>
  </si>
  <si>
    <t>P1 23.6</t>
  </si>
  <si>
    <t>Indicateur Actif déprécié dès l'origination</t>
  </si>
  <si>
    <t>Asset impaired as of origination indicator</t>
  </si>
  <si>
    <t>Permet d'indiquer si l'opération est en défaut dès l'origination</t>
  </si>
  <si>
    <t>Indicates whether the transaction is in default as of origination</t>
  </si>
  <si>
    <t>cdIndAct</t>
  </si>
  <si>
    <t>LC.0217</t>
  </si>
  <si>
    <t>TA KVINPOCI</t>
  </si>
  <si>
    <t>Obligatoire si 
- Eligibilité OMP &lt;&gt; '1' (instrument éligible à l'outil de provissionnement) 
- et Classification comptable des actifs en norme IFRS9 (P1 23.4) &lt;&gt; de "Juste valeur par résultat" et de "Juste valeur par capitaux propres non recyclables"</t>
  </si>
  <si>
    <t>Mandatory if 
- OMP eligibility &lt;&gt; '1' (instrument eligible for the provisioning tool) 
- and Accounting classification of asset under IFRS9 (P1 23.4) &lt;&gt; "Fair value through P&amp;L" and "Fair value through non-recyclable shareholders equity"</t>
  </si>
  <si>
    <t>ANACREDIT, LOAN TAPE, OMP</t>
  </si>
  <si>
    <t>La donnée est obligatoire si [l'éligibilité OMP [P1 23.1] est renseignée et différente de '1' ET la classification comptable des actifs en norme IFRS9 [P1 23.4] est différente de ('JVR', 'JCN')] OU si Eligibilité Outil Central ANACREDIT [P1 27.3] = '2'</t>
  </si>
  <si>
    <t>The data is mandatory if [OMP eligibility [P1 23.1] is filled and different from '1' AND the accounting classification of assets in IFRS9 [P1 23.4] is different from ('JVR', 'JCN')] OR if Eligibility for the ANACREDIT Central tool [P1 27.3] = '2'</t>
  </si>
  <si>
    <t>TPS0872</t>
  </si>
  <si>
    <t>P1 23.7</t>
  </si>
  <si>
    <t>Zone libre d'appariement comptable</t>
  </si>
  <si>
    <t>Accounting matching free field</t>
  </si>
  <si>
    <t xml:space="preserve">Zone libre, permet à l'entité d'indiquer ces critères d'appariement comptable IFRS9 </t>
  </si>
  <si>
    <t>Free zone – enables the entity to indicate these IFRS 9 accounting matching criteria</t>
  </si>
  <si>
    <t>cdAppCmpt</t>
  </si>
  <si>
    <t>Obligatoire si 
- Eligibilité OMP &lt;&gt; '1' (instrument éligible à l'outil de provissionnement) 
- et Classification comptable des actifs en norme IFRS9 (P1 23.4) &lt;&gt; de "Juste valeur par résultat" et de "Juste valeur par capitaux propres non recyclables"
Champ libre à la main de l'entité permettant de collecter des informations facilitant les appariements comptables</t>
  </si>
  <si>
    <t>Mandatory if 
- OMP eligibility &lt;&gt; '1' (instrument eligible for the provisioning tool) 
- and Accounting classification of asset under IFRS9 (P1 23.4) &lt;&gt; "Fair value through P&amp;L" and "Fair value through non-recyclable shareholders equity"
Free field in the hand of the entity to collect information facilitating accounting matches</t>
  </si>
  <si>
    <t>P1 23.12</t>
  </si>
  <si>
    <t>Zone OMP locale 1</t>
  </si>
  <si>
    <t>Zone MPT local 1</t>
  </si>
  <si>
    <t>Premier critère local de sélection des portefeuilles à stresser</t>
  </si>
  <si>
    <t>First local selection criteria portfolios to stress</t>
  </si>
  <si>
    <t>cdZoneLibOMP1</t>
  </si>
  <si>
    <t>Zone libre à la main de l'entité permettant de véhiculer un premier critère local de sélection des portefeuilles à stresser</t>
  </si>
  <si>
    <t>Free zone to be used by the entity allowing to convey the first local criteria of the portfolios selection to be stressed</t>
  </si>
  <si>
    <t>P1 23.13</t>
  </si>
  <si>
    <t>Zone OMP locale 2</t>
  </si>
  <si>
    <t>Zone MPT local 2</t>
  </si>
  <si>
    <t>Deuxième critère local de sélection des portefeuilles à stresser</t>
  </si>
  <si>
    <t>Second local selection criteria portfolios to stress</t>
  </si>
  <si>
    <t>cdZoneLibOMP2</t>
  </si>
  <si>
    <t>Zone libre à la main de l'entité permettant de véhiculer un deuxième critère local de sélection des portefeuilles à stresser</t>
  </si>
  <si>
    <t>Free zone to be used by the entity allowing to convey the second local criteria of the portfolios selection to be stressed</t>
  </si>
  <si>
    <t>P1 23.8</t>
  </si>
  <si>
    <t>Code méthode IFRS9 - PD</t>
  </si>
  <si>
    <t>Method code IFRS9 - PD</t>
  </si>
  <si>
    <t>Clé d'appariement avec les courbes de PD du référentiel IFRS 9</t>
  </si>
  <si>
    <t>Matching code with IFRS 9 referential PD curves</t>
  </si>
  <si>
    <t>cdMetPD</t>
  </si>
  <si>
    <t>ASTRE, OMP, SRB VALUATION</t>
  </si>
  <si>
    <t>P1 23.9</t>
  </si>
  <si>
    <t>Code méthode IFRS9 - Loss Given Default (LGD)</t>
  </si>
  <si>
    <t>Method code IFRS9 - Loss Given Default (LGD)</t>
  </si>
  <si>
    <t>Clé d'appariement avec les courbes de LGD du référentiel IFRS 9</t>
  </si>
  <si>
    <t>Pairing key with the LGD curves of IFRS 9 reference</t>
  </si>
  <si>
    <t>cdMetLGD</t>
  </si>
  <si>
    <t>P1 23.10</t>
  </si>
  <si>
    <t>Code méthode IFRS9 - CCF</t>
  </si>
  <si>
    <t>IFRS9 method code - CCF</t>
  </si>
  <si>
    <t>Clé d'appariement avec les courbes de CCF du référentiel IFRS9</t>
  </si>
  <si>
    <t>Matching code with IFRS9 referential CCF curves</t>
  </si>
  <si>
    <t>cdMetCCF</t>
  </si>
  <si>
    <t>P1 23.11</t>
  </si>
  <si>
    <t>Code méthode IFRS9 - Taux de remboursement anticipé</t>
  </si>
  <si>
    <t>Method code IFRS9 - Prepayment rate</t>
  </si>
  <si>
    <t>Clé d'appariement avec les courbes de taux de remboursement anticipé du référentiel IFRS 9</t>
  </si>
  <si>
    <t>Pairing key with the prepayment rate curves of IFRS 9 reference</t>
  </si>
  <si>
    <t>cdMetRembAnt</t>
  </si>
  <si>
    <t>P1 23.99</t>
  </si>
  <si>
    <t xml:space="preserve">Filler </t>
  </si>
  <si>
    <t>ZoneLibre23</t>
  </si>
  <si>
    <t>P1 24.1</t>
  </si>
  <si>
    <t>Eligibilité Prudent Valuation</t>
  </si>
  <si>
    <t>Prudent Valuation eligibility</t>
  </si>
  <si>
    <t>Indicateur d' éligibilité à la Prudent Valuation</t>
  </si>
  <si>
    <t>Indicator of eligibility of the Prudent Valuation</t>
  </si>
  <si>
    <t>indEligPrudValua</t>
  </si>
  <si>
    <t>LC.0210</t>
  </si>
  <si>
    <t>TA KVELIPVA</t>
  </si>
  <si>
    <t>La donnée est obligatoire, si le type de risque [P1 2.0] = 'EQU101, ISS*, VAR*, INT*'</t>
  </si>
  <si>
    <t>The data is mandatory, if Risk type [P1 2.0] = 'EQU101, ISS*, VAR*, INT*'</t>
  </si>
  <si>
    <t>TPS0873</t>
  </si>
  <si>
    <t>Si renseignée et si la 'Classification comptable de référence des actifs' [P1 19.5] = 'JVR','JCN','JCR' alors l'indicateur doit prendre la valeur 'Y'
---
Si renseignée et si la 'Classification comptable de référence des actifs' [P1 19.5] = 'CAM' (Coût Amorti) alors l'indicateur doit prendre la valeur 'N'</t>
  </si>
  <si>
    <t>If filled and if the 'Reference accounting classification of assets' [P1 19.5] = 'JVR','JCN','JCR' then the indicator must be filled to 'Y'
---
If filled and if the 'Reference accounting classification of assets' [P1 19.5] = 'CAM' (Amortized cost) then the indicator must be filled to 'N'</t>
  </si>
  <si>
    <t>TCS0731
TCS0732</t>
  </si>
  <si>
    <t>P1 24.2</t>
  </si>
  <si>
    <t>Motif d'exemption déclaré à l'ajustement à la juste valeur</t>
  </si>
  <si>
    <t xml:space="preserve">Reason for reported fair value adjustment exemption </t>
  </si>
  <si>
    <t>Reason for reported fair value adjustment exemption</t>
  </si>
  <si>
    <t>cdExemptAjustJustVal</t>
  </si>
  <si>
    <t>LC.0220</t>
  </si>
  <si>
    <t>TA KVMEXAVA</t>
  </si>
  <si>
    <t>Si l'opération est éligible à la PVA i.e comptabilisée à la juste valeur, cette donnée permet à l'entité de justifier le caractère prudent de la valorisation et donc l'exemption au calcul de l'AVA</t>
  </si>
  <si>
    <t>If asset is eligible to PVA i.e at fair value, this data allows the entity to justify the prudence of the valuation and thus the exemption from the calculation of the AVA</t>
  </si>
  <si>
    <t>P1 24.3</t>
  </si>
  <si>
    <t>Hiérarchie de la juste valeur</t>
  </si>
  <si>
    <t>Fair value hierarchy</t>
  </si>
  <si>
    <t>Indicateur du mode de valorisation de la juste valeur de l'instrument financier</t>
  </si>
  <si>
    <t>Indicator of type of measurement of financial instrument's fair value</t>
  </si>
  <si>
    <t>indJustVal</t>
  </si>
  <si>
    <t>LC.0211</t>
  </si>
  <si>
    <t>TA KVHIERFV</t>
  </si>
  <si>
    <t>Ne concerne que les opérations enregistrées en norme comptable IFRS Juste Valeur</t>
  </si>
  <si>
    <t>Only concerns transactions recorded under IFRS Fair Value accounting standard</t>
  </si>
  <si>
    <t>CORFOU, LIQUIDITE, MREL, PVA, SRB VALUATION</t>
  </si>
  <si>
    <t>EQU101
ISS100
ISS200 et 300
TRE2 à 4XX hors 203,205,206,207
VAR*
INT</t>
  </si>
  <si>
    <t>La donnée est obligatoire si la classification comptable de référence des actifs [P1 19.5] = 'JCN','JCR','JVR'</t>
  </si>
  <si>
    <t>The data is mandatory if Reference accounting classification of assets [P1 19.5] = 'JCN','JCR','JVR'</t>
  </si>
  <si>
    <t>TPS0874</t>
  </si>
  <si>
    <t>P1 24.4</t>
  </si>
  <si>
    <t>Complexité du produit</t>
  </si>
  <si>
    <t>Product's complexity</t>
  </si>
  <si>
    <t>Indique si le produit d'une opération est "vanille" (produit simple) ou "non vanille" (produit complexe)</t>
  </si>
  <si>
    <t>Indicates if the product of an operation is ‘vanilla' (simple product) or ‘not vanilla' (complex product)</t>
  </si>
  <si>
    <t>cdComplexProd</t>
  </si>
  <si>
    <t>LC.0221</t>
  </si>
  <si>
    <t>TA KVCXPROD</t>
  </si>
  <si>
    <t>Concerne les opérations enregistrées en norme comptable IFRS Juste Valeur</t>
  </si>
  <si>
    <t>Concerns transactions recorded under IFRS Fair Value accounting standard</t>
  </si>
  <si>
    <t>La donnée est obligatoire si le type de risque [P1 2.0] = 'EQU, ISS, VAR, INT, TRE203, TRE205, TRE206, TRE207, TRE405, TRE406' ET si la classification comptable de référence des actifs [P1 19.5] = 'JCN','JCR','JVR'</t>
  </si>
  <si>
    <t>The data is mandatory if Risk type [P1 2.0] = 'EQU, ISS, VAR, INT, TRE203, TRE205, TRE206, TRE207, TRE405, TRE406' AND if Reference accounting classification of assets [P1 19.5] = 'JCN','JCR','JVR'</t>
  </si>
  <si>
    <t>TPS0875</t>
  </si>
  <si>
    <t>P1 24.5</t>
  </si>
  <si>
    <t xml:space="preserve">Indicateur actif coté </t>
  </si>
  <si>
    <t xml:space="preserve">Quoted asset indicator </t>
  </si>
  <si>
    <t>Permet de savoir si le titre est côté</t>
  </si>
  <si>
    <t>Identifies whether the financial security is listed</t>
  </si>
  <si>
    <t>indACtifCote</t>
  </si>
  <si>
    <t>LC.0230</t>
  </si>
  <si>
    <t>TA KVIACTCO</t>
  </si>
  <si>
    <t>CORFOU, PVA</t>
  </si>
  <si>
    <t>EQU101
ISS100
ISS200 et 300
VAR (hors Repos)
INT</t>
  </si>
  <si>
    <t>La donnée est obligatoire si le type de risque [P1 2.0] = 'EQU101', 'ISSxxx' 
---
La donnée est obligatoire si Type de risque [P1 2.0] =(VAR*, INT*) et si Référence du titre sous-jacent [P1 12.3] est renseignée</t>
  </si>
  <si>
    <t>The data is mandatory if Risk type [P1 2.0] = 'EQU101', 'ISSxxx'
---
The data is mandatory if Risk type [P1 2.0] =(VAR*, INT*) and if Underlying security reference [P1 12.3] is filled in</t>
  </si>
  <si>
    <t>TPS0876
TPS0877</t>
  </si>
  <si>
    <t>P1 24.6</t>
  </si>
  <si>
    <t>Quantité de titres ou de dérivés</t>
  </si>
  <si>
    <t>Quantity of securities or derivatives</t>
  </si>
  <si>
    <t>Nombre de titres ou dérivés émis à date d'arrêté</t>
  </si>
  <si>
    <t>Number of securities or derivatives issued at reporting date</t>
  </si>
  <si>
    <t>qtyTitre</t>
  </si>
  <si>
    <t>13 dont signe et 2 décimales</t>
  </si>
  <si>
    <t>13 including sign and 2 decimals</t>
  </si>
  <si>
    <t>CORFOU, LIQUIDITE, PALMA, SRB VALUATION</t>
  </si>
  <si>
    <t>EQU101
ISS100
ISS200 et 300
VAR (hors VAR105, VAR302, VAR5*)
INT</t>
  </si>
  <si>
    <t>La donnée est obligatoire si le type de risque [P1 2.0] = 'EQU101', 'ISS100', 'ISS200', 'ISS300'
---
La donné est obligatoire pour les dérivés de marché, Si Type de risque [P1 2.0] ='VAR* (hors VAR105, VAR302, VAR5*)' ET si la Nature du sous-jacent [P1 12.1] = '01', '02', '04', '05', '06', '07', '08', '09', '11', '12', '13', '14', '15', '16', '17', '32', '34'</t>
  </si>
  <si>
    <t>The data is mandatory if risk type [P1 2.0] = 'EQU101', 'ISS100', 'ISS200', 'ISS300'
---
The data is mandatory if Risk type [P1 2.0] = 'VAR* (except VAR105, VAR302, VAR5*)' AND if Nature of underlying [P1 12.1] = '01', '02', '04', '05', '06', '07', '08', '09', '11', '12', '13', '14', '15', '16', '17', '32', '34'</t>
  </si>
  <si>
    <t>TPS0878
TPS0879</t>
  </si>
  <si>
    <t>Si renseignée, ET si le type de risque [P1 2.0] = 'EQU101', 'ISS100', 'ISS200', 'ISS300', 'VAR*(hors VAR105 et VAR302)', ALORS la donnée doit être strictement supérieure à 0</t>
  </si>
  <si>
    <t>If filled in, AND if risk type [P1 2.0] = 'EQU101', 'ISS100', 'ISS200', 'ISS300', 'VAR* (except VAR105 and VAR302)', THEN data must strictly be greater than 0</t>
  </si>
  <si>
    <t>P1 24.7</t>
  </si>
  <si>
    <t xml:space="preserve">Libellé du titre </t>
  </si>
  <si>
    <t xml:space="preserve">Name of financial security </t>
  </si>
  <si>
    <t>Libellé associé à la référence du titre</t>
  </si>
  <si>
    <t>Name associated with the security's reference</t>
  </si>
  <si>
    <t>descTitre</t>
  </si>
  <si>
    <t>La donnée est obligatoire si le type de risque [P1 2.0] = 'VARxxx' (hors VAR105 et VAR302), 'ISSxxx', 'EQU101' et 'INTxxx' ET si la référence du titre sous-jacent [P1 12.3] est renseignée</t>
  </si>
  <si>
    <t>The data is mandatory if Risk type [P1 2.0] = 'VARxxx' (excluding VAR105 and VAR302), 'ISSxxx', 'EQU101' and 'INTxxx' AND if Underlying security reference [P1 12.3] is filled</t>
  </si>
  <si>
    <t>TPS0880</t>
  </si>
  <si>
    <t>P1 24.8</t>
  </si>
  <si>
    <t xml:space="preserve">Type d'identification des valeurs mobilières </t>
  </si>
  <si>
    <t xml:space="preserve">Type of identification of marketable securities </t>
  </si>
  <si>
    <t>Permet de connaître le type d'identifiant du titre renseigné dans la référence du titre sous-jacent – besoin asset encumbrance</t>
  </si>
  <si>
    <t>Identifies the type of identifier of the financial security specified in the reference of the underlying security – asset encumbrance need</t>
  </si>
  <si>
    <t>cdTypIdValBien</t>
  </si>
  <si>
    <t>LC.0241</t>
  </si>
  <si>
    <t>TA KVTIDTIT</t>
  </si>
  <si>
    <t>ALMM, CONGLOMERATS, CORFOU, PVA, SHS</t>
  </si>
  <si>
    <t>EQU101
ISS100
ISS200 et 300
TRE203, 205, 207
TRE206
TRE405, TRE406
VAR (hors Repos)
INT</t>
  </si>
  <si>
    <t>La donnée est obligatoire si le type de risque [P1 2.0] = 'EQU, ISS, VAR, INT, TRE203, TRE205, TRE206, TRE207, TRE405, TRE406' ET si la référence du titre sous-jacent [P1 12.3] est renseignée</t>
  </si>
  <si>
    <t>The data is mandatory if Risk type [P1 2.0] = 'EQU, ISS, VAR, INT, TRE203, TRE205, TRE206, TRE207, TRE405, TRE406' AND if the reference of the underlying security [P1 12.3] is filled</t>
  </si>
  <si>
    <t>TPS0881</t>
  </si>
  <si>
    <t>P1 24.9</t>
  </si>
  <si>
    <t xml:space="preserve">Fréquence de valorisation </t>
  </si>
  <si>
    <t xml:space="preserve">Valuation frequency </t>
  </si>
  <si>
    <t>Fréquence de valorisation du fonds</t>
  </si>
  <si>
    <t>Fund's valuation frequency</t>
  </si>
  <si>
    <t>cdFreqValo</t>
  </si>
  <si>
    <t>La donnée est obligatoire si le type de risque [P1 2.0] = 'EQU, ISS, VAR, INT, TRE203, TRE205, TRE206, TRE207, TRE405, TRE406' ET si la classification comptable de référence des actifs [P1 19.5] = 'JCN','JCR','JVR' ET si le type d'Instrument financier [P1 3.75] = '13'</t>
  </si>
  <si>
    <t>The data is mandatory if Risk type [P1 2.0] = 'EQU, ISS, VAR, INT, TRE203, TRE205, TRE206, TRE207, TRE405, TRE406' AND if Reference accounting classification of assets [P1 19.5] = 'JCN','JCR','JVR' AND if the type of Financial instrument [P1 3.75] ='13'</t>
  </si>
  <si>
    <t>TPS0882</t>
  </si>
  <si>
    <t>P1 24.10</t>
  </si>
  <si>
    <t>Montant actif net comptable du fonds</t>
  </si>
  <si>
    <t xml:space="preserve">Fund's accounting net asset value amount </t>
  </si>
  <si>
    <t>mtActifNetFond</t>
  </si>
  <si>
    <t>ANACREDIT, PVA</t>
  </si>
  <si>
    <t>La donnée est obligatoire si la classification comptable de référence des actifs [P1 19.5] = 'JCN','JCR','JVR' et si le type d'Instrument financier [P1 3.75] = '13'</t>
  </si>
  <si>
    <t>The data is mandatory if Reference accounting classification of assets [P1 19.5] = 'JCN','JCR','JVR' and if the type of Financial instrument [P1 3.75] ='13'</t>
  </si>
  <si>
    <t>TPS0883</t>
  </si>
  <si>
    <t>P1 24.11</t>
  </si>
  <si>
    <t>Devise du montant actif net comptable du fonds</t>
  </si>
  <si>
    <t>Currency of the fund's accounting net asset value amount</t>
  </si>
  <si>
    <t xml:space="preserve">Devise du montant initial du bien immobilier à l'achat </t>
  </si>
  <si>
    <t xml:space="preserve">Currency of Initial amount of the real property when purchased </t>
  </si>
  <si>
    <t>cdDevMtActifNetFond</t>
  </si>
  <si>
    <t>La donnée est obligatoire si le montant actif net comptable du fonds [P1 24.10] est renseigné</t>
  </si>
  <si>
    <t>The data is mandatory if the net accounting asset amount of the fund [P1 24.10] is filled</t>
  </si>
  <si>
    <t>P1 24.12</t>
  </si>
  <si>
    <t>Ratio d'emprise</t>
  </si>
  <si>
    <t>Investment ratio</t>
  </si>
  <si>
    <t>Pourcentage calculé par rapport au nombre de titres (ou capital) émis. Il peut etre déduit de l'actif net des fonds ou de sa valeur liquidative (MtM)</t>
  </si>
  <si>
    <t>The percentage calculated based on the number of securities (or capital) issued. It may be deducted from the fund's net asset or its net asset value (MtM)</t>
  </si>
  <si>
    <t>ratioEmprise</t>
  </si>
  <si>
    <t>P1 24.13</t>
  </si>
  <si>
    <t>Cotation spread émetteur (%)</t>
  </si>
  <si>
    <t>Issuer spread price (%)</t>
  </si>
  <si>
    <t>Cotation spread émetteur (%)
Exprimé en %</t>
  </si>
  <si>
    <t>Issuer spread price (%)
Expressed as %</t>
  </si>
  <si>
    <t>ratioCotaSpredEmet</t>
  </si>
  <si>
    <t>Dans le cadre de bons à moyen terme négociables avec contrat/clause de liquidité, l'émetteur s'engage à racheter le titre sur la base d'une fourchette (bid/offer) maximum (Spread bid émetteur).
Le cas échéant, à renseigner pour les titres obligataires et les TCN non obligataires (instruments financiers de types 11 et 12) éligibles à la PVA i.e comptabilisés à la juste valeur</t>
  </si>
  <si>
    <t>In the context of marketable medium - term bonds with a liquidity contract/clause, the issuer undertakes to repurchase the security on the basis of a maximum bid/offer (Spread bid issuer).
Where applicable, for bond securities and non-bond TCNs (financial instruments types 11 and 12) eligible to PVA i.e at fair value</t>
  </si>
  <si>
    <t>P1 24.14</t>
  </si>
  <si>
    <t xml:space="preserve">Montant d'acquisition initial unitaire </t>
  </si>
  <si>
    <t xml:space="preserve">Initial unit purchase price amount </t>
  </si>
  <si>
    <t>Prix d'achat unitaire moyen pondéré des titres</t>
  </si>
  <si>
    <t>Weighted average unit purchase price of securities</t>
  </si>
  <si>
    <t>mtAcquiInitUnitaire</t>
  </si>
  <si>
    <t>ANACREDIT, CORFOU, PVA</t>
  </si>
  <si>
    <t xml:space="preserve">EQU101
ISS100
ISS200 et 300
</t>
  </si>
  <si>
    <t>La donnée est obligatoire si le type de risque [P1 2.0] = 'EQU101, 'ISS100', 'ISS200', 'ISS300' et si la classification comptable de référence des actifs [P1 19.5] = 'JCN','JCR','JVR'</t>
  </si>
  <si>
    <t>The data is mandatory if risk type [P1 2.0] = 'EQU101, 'ISS100', 'ISS200', 'ISS300' and if Reference accounting classification of assets [P1 19.5] = 'JCN','JCR','JVR'</t>
  </si>
  <si>
    <t>TPS0884</t>
  </si>
  <si>
    <t>P1 24.15</t>
  </si>
  <si>
    <t xml:space="preserve">Devise du montant d'acquisition initial unitaire </t>
  </si>
  <si>
    <t xml:space="preserve">Currency of the initial unit purchase price amount </t>
  </si>
  <si>
    <t>Devise du montant d'acquisition initial unitaire</t>
  </si>
  <si>
    <t>Currency of the initial unit purchase price amount</t>
  </si>
  <si>
    <t>cdDevMtAcquiInitUnitaire</t>
  </si>
  <si>
    <t>La donnée est obligatoire si le montant d'acquisition initial unitaire [P1 24.14] est renseigné</t>
  </si>
  <si>
    <t>The data is mandatory if the unit initial acquisition amount [P1 24.14] is filled</t>
  </si>
  <si>
    <t>P1 24.16</t>
  </si>
  <si>
    <t>Montant du Mark-to-Market (MtM) Pied de coupon</t>
  </si>
  <si>
    <t>Amount of Mark-to-Market (MtM) excluding accrued interest</t>
  </si>
  <si>
    <t>mtMTMPdCoup</t>
  </si>
  <si>
    <t>Valeur MtM du coupon couru exclu</t>
  </si>
  <si>
    <t>MtM value of accrued coupon excluded</t>
  </si>
  <si>
    <t>La donnée est obligatoire si la classification comptable de référence des actifs [P1 19.5] = 'JCN','JCR','JVR' et si le type d'instrument financier [P1 3.75] prend la valeur '11'</t>
  </si>
  <si>
    <t>The data is mandatory if Reference accounting classification of assets [P1 19.5] = 'JCN','JCR','JVR' and if the financial instrument type [P1 3.75] takes the value '11'</t>
  </si>
  <si>
    <t>TPS0885</t>
  </si>
  <si>
    <t>P1 24.17</t>
  </si>
  <si>
    <t>Devise du montant du Mark-to-Market (MtM) Pied de coupon</t>
  </si>
  <si>
    <t>Currency of the amount of the mark-to-market (MtM) excluding accrued interest</t>
  </si>
  <si>
    <t xml:space="preserve">Currency of the Amount of Mark-to-Market (MtM) excluding accrued interest </t>
  </si>
  <si>
    <t>cdDevMtMTMPdCoup</t>
  </si>
  <si>
    <t>La donnée est obligatoire si le MtM Pied de coupon [P1 24.16] est renseigné</t>
  </si>
  <si>
    <t>The data is mandatory if the MtM Coupon Footer [P1 24.16] is filled</t>
  </si>
  <si>
    <t>P1 24.18</t>
  </si>
  <si>
    <t>Montant du Mark-to-Market (MtM) de la part non libérée </t>
  </si>
  <si>
    <t>Amount of Mark-to-Market (MtM) of the portion not paid-up </t>
  </si>
  <si>
    <t>mtMTMPartNonLib</t>
  </si>
  <si>
    <t>Investissement FCPR : Montant du capital encore non engagé par l'investisseur du fait du délai que prend un investissement dans des entreprises non côtées. 
Le gestionnaire peut, au moment de la souscription, ne pas appeler la totalité du montant que l'investisseur souhaite engager . Il le fera dans ce cas petit à petit au fur et à mesure des investissements dans les sociétés ciblées</t>
  </si>
  <si>
    <t>FCPR investment: Amount of capital not yet committed by the investor due to the waiting period /timeframe of an investment in unlisted companies
The AIFM may, at the time of subscription, not call the full amount the investor wishes to enter into. It will do so gradually as investments in targeted companies take place</t>
  </si>
  <si>
    <t>P1 24.19</t>
  </si>
  <si>
    <t>Devise du montant du Mark-to-Market (MtM) de la part non libérée</t>
  </si>
  <si>
    <t>Currency of the amount of the mark-to-market (MtM) of the portion not paid-up</t>
  </si>
  <si>
    <t>cdDevMtMTMPartNonLib</t>
  </si>
  <si>
    <t>La donnée est obligatoire si le montant MtM de la part non liberée [P1 24.18] est renseigné</t>
  </si>
  <si>
    <t>The data is mandatory if the amount MtM of the unpaid share [P1 24.18] is filled</t>
  </si>
  <si>
    <t>P1 24.20</t>
  </si>
  <si>
    <t>Indicateur back to back</t>
  </si>
  <si>
    <t>Back-to-back indicator</t>
  </si>
  <si>
    <t>indBack2Back</t>
  </si>
  <si>
    <t>LC.0212</t>
  </si>
  <si>
    <t>TA KVINB2B</t>
  </si>
  <si>
    <t>La donnée est obligatoire si le type de risque [P1 2.0] = 'VARXXX' hors (VAR105, VAR302)
---
La donnée est obligatoire si le type de risque [P1 2.0] = INT et si la classification comptable de référence des actifs [P1 19.5] = 'JCN','JCR','JVR'</t>
  </si>
  <si>
    <t>The data is mandatory if risk type [P1 2.0] = 'VARXXX' out (VAR105, VAR302)
---
The data is mandatory if risk type [P1 2.0] = INT and if Reference accounting classification of assets [P1 19.5] = 'JCN','JCR','JVR'</t>
  </si>
  <si>
    <t>TPS0886
TPS0887</t>
  </si>
  <si>
    <t>P1 24.21</t>
  </si>
  <si>
    <t>Référence unique de l'opération associée en back to back</t>
  </si>
  <si>
    <t>Single reference of the associated back-to-back transaction</t>
  </si>
  <si>
    <t>refOpeBack2Back</t>
  </si>
  <si>
    <t>PVA, SRB VALUATION</t>
  </si>
  <si>
    <t>La donnée est obligatoire si le type de risque [P1 2.0] = 'INT, VAR hors ('VAR105, VAR302')' ET si l'indicateur back to back [P1 24.20] = 'Y'</t>
  </si>
  <si>
    <t>The data is mandatory if Risk type [P1 2.0] = 'INT, VAR except ('VAR105, VAR302')' AND if the back to back flag [P1 24.20] = 'Y'</t>
  </si>
  <si>
    <t>TPS0888</t>
  </si>
  <si>
    <t>P1 24.22</t>
  </si>
  <si>
    <t>Référence unique de l'opération de dérivé en couverture</t>
  </si>
  <si>
    <t>Single reference of the derivative hedging transaction</t>
  </si>
  <si>
    <t>Identifiant technique d'engagement du dérivé venant en couverture du titre</t>
  </si>
  <si>
    <t>Technical identifier of the derivative hedging the securitie</t>
  </si>
  <si>
    <t>refOpeDerCouv</t>
  </si>
  <si>
    <t xml:space="preserve">Donnée obligatoire si exposition micro-couverte par un dérivé 
Si l'exposition est couverte par plusieurs dérivés, indiquer la référence du dérivé principal </t>
  </si>
  <si>
    <t>Mandatory data if exposure micro-hedged by derivative
If the exposure is hedged by more than one derivative, the reference of the principal derivative</t>
  </si>
  <si>
    <t>PALMA, SRB VALUATION</t>
  </si>
  <si>
    <t>EQU101
ISS200 et 300
TRE4xx</t>
  </si>
  <si>
    <t>La donnée est obligatoire, si type de risque [P1 2.0] = 'EQU101, ISS200 et 300, TRE4xx' ET si Indicateur dérivé en couverture [P1 24.22.1] = 'Y'</t>
  </si>
  <si>
    <t>The date is mandatory, if Risk type [P1 2.0] = 'EQU101, ISS200 et 300, TRE4xx' AND if Indicator of Derived in hedge [P1 24.22.1] = 'Y'</t>
  </si>
  <si>
    <t>TPS0889</t>
  </si>
  <si>
    <t>P1 24.23</t>
  </si>
  <si>
    <t>Intention de couverture</t>
  </si>
  <si>
    <t>Purpose of hedging</t>
  </si>
  <si>
    <t>cdIntentionCouv</t>
  </si>
  <si>
    <t>LC.0214</t>
  </si>
  <si>
    <t>TA KVINTCOV</t>
  </si>
  <si>
    <t>CONGLOMERATS, CORFOU, PVA</t>
  </si>
  <si>
    <t>Si le Type de relation de couverture [P1 24.24] = '3', alors Intention de couverture [P1 24.23] = '1'</t>
  </si>
  <si>
    <t>If the Type of hedging relationship [P1 24.24] = '3', then Purpose of hedging [P1 24.23] = '1'</t>
  </si>
  <si>
    <t>TCS0733</t>
  </si>
  <si>
    <t>P1 24.24</t>
  </si>
  <si>
    <t>Type de relation de couverture</t>
  </si>
  <si>
    <t>Type of hedging relationship</t>
  </si>
  <si>
    <t>cdTypRelatCouv</t>
  </si>
  <si>
    <t>LC.0213</t>
  </si>
  <si>
    <t>TA KVTCVRSQ</t>
  </si>
  <si>
    <t>Si l'Intention de couverture [P1 24.23] = '1', alors Type de relation de couverture [P1 24.24] = '3'</t>
  </si>
  <si>
    <t>If the Purpose of hedging [P1 24.23] = '1', then Type of hedging relationship [P1 24.24] = '3'</t>
  </si>
  <si>
    <t>TCS0734</t>
  </si>
  <si>
    <t>P1 24.25</t>
  </si>
  <si>
    <t xml:space="preserve">Jambe prêteuse : Indicateur actif coté </t>
  </si>
  <si>
    <t xml:space="preserve">Lending leg: Quoted asset indicator </t>
  </si>
  <si>
    <t>indACtifCoteJamPret</t>
  </si>
  <si>
    <t>P1 24.26</t>
  </si>
  <si>
    <t xml:space="preserve">Jambe prêteuse : quantité de titres </t>
  </si>
  <si>
    <t xml:space="preserve">Lending leg: quantity of financial securities </t>
  </si>
  <si>
    <t>Quantité de titres</t>
  </si>
  <si>
    <t>Quantity of financial securities</t>
  </si>
  <si>
    <t>qtyTitreJamPret</t>
  </si>
  <si>
    <t>P1 24.27</t>
  </si>
  <si>
    <t xml:space="preserve">Jambe prêteuse : libellé du titre </t>
  </si>
  <si>
    <t xml:space="preserve">Lending leg: name of the financial security </t>
  </si>
  <si>
    <t>descTitreJamPret</t>
  </si>
  <si>
    <t>P1 24.28</t>
  </si>
  <si>
    <t xml:space="preserve">Jambe prêteuse : type d'identification des valeurs mobilières </t>
  </si>
  <si>
    <t xml:space="preserve">Lending leg: type of identification of marketable securities </t>
  </si>
  <si>
    <t xml:space="preserve">Identifies the type of identifier of the financial security specified in the reference of the underlying security – asset encumbrance need </t>
  </si>
  <si>
    <t>cdTypIdValBienJamPret</t>
  </si>
  <si>
    <t>P1 24.29</t>
  </si>
  <si>
    <t>Jambe prêteuse : indicateur mobilisation de l'actif</t>
  </si>
  <si>
    <t>Lending leg: asset's mobilisation indicator</t>
  </si>
  <si>
    <t>Indicateur mobilisation de l'actif – besoin Asset Encumbrance</t>
  </si>
  <si>
    <t>Asset's mobilisation indicator - Asset Encumbrance need</t>
  </si>
  <si>
    <t>indMobilActifJamPret</t>
  </si>
  <si>
    <t>LC.0237</t>
  </si>
  <si>
    <t>TA KVIMA</t>
  </si>
  <si>
    <t>P1 24.30</t>
  </si>
  <si>
    <t>Jambe prêteuse : indicateur collatéral reçu</t>
  </si>
  <si>
    <t>Lending leg: received collateral indicator</t>
  </si>
  <si>
    <t>Indique si l'actif constitue un collatéral obtenu d'une autre contrepartie – besoin Asset Encumbrance</t>
  </si>
  <si>
    <t>Indicates whether the asset constitutes collateral obtained from another counterparty – Asset Encumbrance need</t>
  </si>
  <si>
    <t>indCollaRecuJamPret</t>
  </si>
  <si>
    <t>P1 24.97</t>
  </si>
  <si>
    <t xml:space="preserve">Jambe prêteuse : zone réservée </t>
  </si>
  <si>
    <t xml:space="preserve">Lending leg: reserved field </t>
  </si>
  <si>
    <t xml:space="preserve">Zone réservée </t>
  </si>
  <si>
    <t xml:space="preserve">Reserved field </t>
  </si>
  <si>
    <t>ZoneResJamPret</t>
  </si>
  <si>
    <t>P1 24.31</t>
  </si>
  <si>
    <t xml:space="preserve">Jambe emprunteuse : Indicateur actif coté </t>
  </si>
  <si>
    <t xml:space="preserve">Borrowing leg: Quoted asset indicator </t>
  </si>
  <si>
    <t>Permet de savoir si le titre est côté
Pour les cessions temporaires de titres, il s'agit du titre de la jambe emprunteuse</t>
  </si>
  <si>
    <t>Identifies whether the financial security is listed
For repos, it is the security of the Borrowing leg</t>
  </si>
  <si>
    <t>indACtifCoteJamEmpr</t>
  </si>
  <si>
    <t>P1 24.32</t>
  </si>
  <si>
    <t xml:space="preserve">Jambe emprunteuse : quantité de titres </t>
  </si>
  <si>
    <t xml:space="preserve">Borrowing leg: quantity of financial securities </t>
  </si>
  <si>
    <t>Pour les cessions temporaires de titres, indiquer la quantité de titres de la jambe emprunteuse</t>
  </si>
  <si>
    <t>For repos, indicates the quantity of securities of the Borrowing leg</t>
  </si>
  <si>
    <t>qtyTitreJamEmpr</t>
  </si>
  <si>
    <t>P1 24.33</t>
  </si>
  <si>
    <t xml:space="preserve">Jambe emprunteuse : libellé du titre </t>
  </si>
  <si>
    <t xml:space="preserve">Borrowing leg: name of the financial security </t>
  </si>
  <si>
    <t>Pour les cessions temporaires de titres, indiquer le libellé du titre de la jambe emprunteuse</t>
  </si>
  <si>
    <t>For repos, indicates the name of the security of the Borrowing leg</t>
  </si>
  <si>
    <t>descTitreJamEmpr</t>
  </si>
  <si>
    <t>P1 24.34</t>
  </si>
  <si>
    <t xml:space="preserve">Jambe emprunteuse : type d'identification des valeurs mobilières </t>
  </si>
  <si>
    <t xml:space="preserve">Borrowing leg: type of identification of marketable securities </t>
  </si>
  <si>
    <t>Pour les cessions temporaires de titres, indiquer le type d'identification des valeurs mobilières de la jambe emprunteuse – besoin asset encumbrance</t>
  </si>
  <si>
    <t>For repos, indicates the type of identification of marketable securities of the Borrowing leg – asset encumbrance need</t>
  </si>
  <si>
    <t>cdTypIdValBienJamEmpr</t>
  </si>
  <si>
    <t>P1 24.35</t>
  </si>
  <si>
    <t>Jambe emprunteuse : indicateur mobilisation de l'actif</t>
  </si>
  <si>
    <t>Borrowing leg: asset's mobilisation indicator</t>
  </si>
  <si>
    <t>indMobilActifJamEmpr</t>
  </si>
  <si>
    <t>P1 24.36</t>
  </si>
  <si>
    <t>Jambe emprunteuse : indicateur collatéral reçu</t>
  </si>
  <si>
    <t>Borrowing leg: received collateral indicator</t>
  </si>
  <si>
    <t>indCollaRecuJamEmpr</t>
  </si>
  <si>
    <t>P1 24.98</t>
  </si>
  <si>
    <t xml:space="preserve">Jambe emprunteuse : zone réservée </t>
  </si>
  <si>
    <t xml:space="preserve">Borrowing leg: reserved field </t>
  </si>
  <si>
    <t>ZoneResJamEmpr</t>
  </si>
  <si>
    <t>P1 24.37</t>
  </si>
  <si>
    <t xml:space="preserve">Référence unique du titre couvert par l'opération de dérivé </t>
  </si>
  <si>
    <t>Unique reference of the security covered by the derivative transaction</t>
  </si>
  <si>
    <t>Référence unique du titre couvert par l'opération de dérivé</t>
  </si>
  <si>
    <t>refTitrecouvOpeDeriv</t>
  </si>
  <si>
    <t>Indiquer le code ISIN du titre couvert par le dérivé</t>
  </si>
  <si>
    <t>Specify the ISIN code of the security hedged by the derivative</t>
  </si>
  <si>
    <t>CORFOU, PVA, SRB VALUATION</t>
  </si>
  <si>
    <t>Si la donnée est renseignée, alors la donnée doit exister dans Référence du titre sous-jacent [P1 12.3] déclarée par l'entité dans le même lot PACT.</t>
  </si>
  <si>
    <t>If the data is filled, then the data must exist in the Underlying asset's reference [P1 12.3] reported by the entity in the same PACT batch.</t>
  </si>
  <si>
    <t>TC0218</t>
  </si>
  <si>
    <t>P1 24.99</t>
  </si>
  <si>
    <t xml:space="preserve">Free zone </t>
  </si>
  <si>
    <t>ZoneLibre24</t>
  </si>
  <si>
    <t>P1 25.1</t>
  </si>
  <si>
    <t>Montant Add-on CAD</t>
  </si>
  <si>
    <t>Amount of CAD add-on.</t>
  </si>
  <si>
    <t>Amount of CAD add-on</t>
  </si>
  <si>
    <t>mtAddonCAD</t>
  </si>
  <si>
    <t>P1 25.2</t>
  </si>
  <si>
    <t>Devise du montant de add-on CAD</t>
  </si>
  <si>
    <t>Currency of the CAD add-on amount.</t>
  </si>
  <si>
    <t xml:space="preserve">Devise du montant Add-on CAD </t>
  </si>
  <si>
    <t xml:space="preserve">Currency of the CAD add-on amount </t>
  </si>
  <si>
    <t>cdDevMtAddonCAD</t>
  </si>
  <si>
    <t>La donnée est obligatoire, si le montant Add-on CAD [P1 25.1] est renseigné</t>
  </si>
  <si>
    <t>The data is mandatory, if the amount Add-on CAD [P1 25.1] is filled</t>
  </si>
  <si>
    <t>P1 25.3</t>
  </si>
  <si>
    <t>Montant de l'Exposition en cas de Défaut (EAD) IMM (internal model method)</t>
  </si>
  <si>
    <t>IMM (internal model method) Exposure At Default (EAD) amount</t>
  </si>
  <si>
    <t>mtEADIMM</t>
  </si>
  <si>
    <t>La donnée est obligatoire, si la méthode réglementaire de calcul de l'exposition [P1 3.89] = 'IMM'</t>
  </si>
  <si>
    <t>The data is mandatory, if the Regulatory method for calculating the exposure [P1 3.89] = 'IMM'</t>
  </si>
  <si>
    <t>TPS0890</t>
  </si>
  <si>
    <t>P1 25.4</t>
  </si>
  <si>
    <t>Devise du montant de l'Exposition en cas de Défaut (EAD) IMM (internal model method)</t>
  </si>
  <si>
    <t>Currency of IMM (internal model method) Exposure At Default (EAD) amount</t>
  </si>
  <si>
    <t>cdDEVMtEADIMM</t>
  </si>
  <si>
    <t>La donnée est obligatoire, si le Montant de l'Exposition en cas de Défaut (EAD) IMM (internal model method) [P1 25.3] est renseigné</t>
  </si>
  <si>
    <t>The data is mandatory, if the IMM (internal model method) Exposure At Default (EAD) amount [P1 25.3] is filled</t>
  </si>
  <si>
    <t>P1 25.5</t>
  </si>
  <si>
    <t>Montant de l'Exposition en cas de Défaut (EAD) IMM (internal model method) Stressé</t>
  </si>
  <si>
    <t>Stressed IMM (internal model method) Exposure At Default (EAD) amount</t>
  </si>
  <si>
    <t>mtEADIMMStres</t>
  </si>
  <si>
    <t>P1 25.6</t>
  </si>
  <si>
    <t>Devise du montant de l'Exposition en cas de Défaut (EAD) IMM (internal model method) Stressé</t>
  </si>
  <si>
    <t>Currency of stressed IMM (internal model method) Exposure At Default (EAD) amount</t>
  </si>
  <si>
    <t>cdDEVMtEADIMMStres</t>
  </si>
  <si>
    <t>La donnée est obligatoire, si le Montant de l'Exposition en cas de Défaut (EAD) IMM (internal model method) Stressé [P1 25.5] est renseigné</t>
  </si>
  <si>
    <t>The data is mandatory, if the Stressed IMM (internal model method) Exposure At Default (EAD) amount [P1 25.5] is filled</t>
  </si>
  <si>
    <t>P1 25.7</t>
  </si>
  <si>
    <t xml:space="preserve">Maturité effective en méthode IMM (internal model method) </t>
  </si>
  <si>
    <t>Effective maturity under IMM (internal model method)</t>
  </si>
  <si>
    <t>valMatEffIMM</t>
  </si>
  <si>
    <t>P1 25.8</t>
  </si>
  <si>
    <t>Maturité effective stressée en méthode IMM (internal model method)</t>
  </si>
  <si>
    <t>Stressed effective maturity under IMM (internal model method)</t>
  </si>
  <si>
    <t>valMatEffIMMStres</t>
  </si>
  <si>
    <t>P1 25.99</t>
  </si>
  <si>
    <t>ZoneLibre25</t>
  </si>
  <si>
    <t xml:space="preserve">26 - Caractéristiques d'encombrement </t>
  </si>
  <si>
    <t>26 - Encumbrance caracteristics</t>
  </si>
  <si>
    <t>P1 26.1</t>
  </si>
  <si>
    <t>Indicateur mobilisation de l'actif</t>
  </si>
  <si>
    <t>Asset mobilisation indicator</t>
  </si>
  <si>
    <t>Asset's mobilisation indicator</t>
  </si>
  <si>
    <t>indMobilActif</t>
  </si>
  <si>
    <t>A renseigner pour le périmètre des créances titrisées des Caisses régionales</t>
  </si>
  <si>
    <t>To be provided for the scope of the Regional Banks' securitised receivables</t>
  </si>
  <si>
    <t>AER</t>
  </si>
  <si>
    <t>P1 22.11</t>
  </si>
  <si>
    <t>Indicateur éligibilité de l'actif à une mobilisation banque centrale</t>
  </si>
  <si>
    <t xml:space="preserve"> Indicator of the asset's eligibility for mobilization with a central bank</t>
  </si>
  <si>
    <t>Indicateur d'éligibilité de l'actif à une mobilisation auprès d'une banque centrale</t>
  </si>
  <si>
    <t>Indicator of the asset's eligibility for mobilization with a central bank</t>
  </si>
  <si>
    <t>IndMobAct</t>
  </si>
  <si>
    <t>LC.0345</t>
  </si>
  <si>
    <t>TA Z8IEAMBC</t>
  </si>
  <si>
    <t>AER, PALMA</t>
  </si>
  <si>
    <t xml:space="preserve">TRE2 à 4XX hors 203,205,206,207
TRE203, 205, 207
TRE206
TRE5XX
</t>
  </si>
  <si>
    <t>La donnée est obligatoire si le type de risque [P1 2.0] = 'TRE2xx' à 'TRE4xx','TRE5xx'</t>
  </si>
  <si>
    <t>The data is mandatory if risk type [P1 2.0] = 'TRE2xx' to 'TRE4xx','TRE5xx'</t>
  </si>
  <si>
    <t>TPS0891</t>
  </si>
  <si>
    <t>P1 26.3</t>
  </si>
  <si>
    <t xml:space="preserve">Référence de mobilisation de l'actif </t>
  </si>
  <si>
    <t>Asset mobilization reference</t>
  </si>
  <si>
    <t>Référence locale de mobilisation de l'actif qui sert de clé dans la fabrication du lien de mobilisation</t>
  </si>
  <si>
    <t>Local asset mobilization reference which serves as a key in the fabrication of the mobilization link</t>
  </si>
  <si>
    <t>RefMobAct</t>
  </si>
  <si>
    <t>TRE100
TRE2 à 4XX hors 203,205,206,207
TRE5XX</t>
  </si>
  <si>
    <t>La donnée est obligatoire, si Type de risque [P1 2.0] = 'TRE100, TRE2XX à 5XX (hors TRE203, TRE205, TRE206, TRE207)', ET si l''Indicateur mobilisation de l'actif' [P1 26.1] = ‘3' (Actif mobilisé) ET si le ‘Code organisme de mobilisation' [P1 26.4] n'est pas renseigné</t>
  </si>
  <si>
    <t>The data is mandatory if Risk type [P1 2.0] = 'TRE100, TRE2XX à 5XX (except TRE203, TRE205, TRE206, TRE207)' AND if the 'Asset mobilisation indicator' [P1 26.1] = ‘3' (Encumbrance asset) AND if ‘Mobilization organization code' [P1 26.4] is not filled</t>
  </si>
  <si>
    <t>TPS0892</t>
  </si>
  <si>
    <t>Si l'Indicateur mobilisation de l'actif [P1 26.1] = '3' (Actif mobilisé) ET le Code organisme de mobilisation [P1 26.4] est renseigné, alors la Référence de mobilisation de l'actif [P1 26.3] doit être non renseignée</t>
  </si>
  <si>
    <t>If Asset mobilisation indicator [P1 26.1] = '3' (Encumbrance asset) AND Mobilization organization code [P1 26.4] is filled, then the Asset mobilization reference [P1 26.3] must not be filled</t>
  </si>
  <si>
    <t>TCS0736</t>
  </si>
  <si>
    <t>P1 26.4</t>
  </si>
  <si>
    <t xml:space="preserve">Code organisme de mobilisation </t>
  </si>
  <si>
    <t xml:space="preserve">Mobilization organization code </t>
  </si>
  <si>
    <t>Référence normalisée de l'organisme de mobilisation gérée par le système Crédit Agricole SA ACREA</t>
  </si>
  <si>
    <t>Standard reference of the mobilization organization managed by the Crédit Agricole SA ACREA system</t>
  </si>
  <si>
    <t>CdOrgMob</t>
  </si>
  <si>
    <t>LC.0346</t>
  </si>
  <si>
    <t>RB 0793</t>
  </si>
  <si>
    <t xml:space="preserve">Ce champ est obligatoire pour les mobilisations de créances notamment dans le cadre d'opération de refinancement et de titrisation.
Les opérations suivantes ne sont pas concernées par ce champ : 
- REPO : utilisation du code isin pour faire le lien entre titre et repo
- Dérivés : utilisation du contrat de collatéralisation / netting 
</t>
  </si>
  <si>
    <t>This field is mandatory for the mobilization of receivables, particularly in the context of refinancing and securitization transactions.
The following operations are not covered by this field:
- REPO: use of isin code to link security and repo
- Derivatives: use of the collateralization / netting agreement</t>
  </si>
  <si>
    <t>La donnée est obligatoire, si Type de risque [P1 2.0] = 'TRE100, TRE2XX à 5XX (hors TRE203, TRE205, TRE206, TRE207)', ET si l''Indicateur mobilisation de l'actif' [P1 26.1] = ‘3' (Actif mobilisé) ET si la ‘Référence de mobilisation de l'actif' [P1 26.3] n'est pas renseignée</t>
  </si>
  <si>
    <t>The data is mandatory if Risk type [P1 2.0] = 'TRE100, TRE2XX à 5XX (except TRE203, TRE205, TRE206, TRE207)' AND if 'Asset mobilisation indicator' [P1 26.1] = ‘3' (Encumbrance asset) AND if the ‘Asset mobilization reference' [P1 26.3] is not filled</t>
  </si>
  <si>
    <t>TPS0893</t>
  </si>
  <si>
    <t>Si l'Indicateur mobilisation de l'actif [P1 26.1] = '3' (Actif mobilisé) ET la Référence de mobilisation de l'actif [P1 26.3] est renseignée, alors le Code organisme de mobilisation [P1 26.4] doit être non renseigné</t>
  </si>
  <si>
    <t>If Asset mobilisation indicator [P1 26.1] = ‘3' (Encumbrance asset) AND Asset mobilization reference [P1 26.3] is filled in, then the Mobilization organization code [P1 26.4] must not be filled</t>
  </si>
  <si>
    <t>TCS0737</t>
  </si>
  <si>
    <t>P1 26.99</t>
  </si>
  <si>
    <t>Zone réservée Asset Encumbrance</t>
  </si>
  <si>
    <t>Zone reserved Asset Encumbrance</t>
  </si>
  <si>
    <t>ZoneResASSEncumb</t>
  </si>
  <si>
    <t>P1 27.1</t>
  </si>
  <si>
    <t xml:space="preserve">Montant cumulé des recouvrements depuis le défaut </t>
  </si>
  <si>
    <t>Amount of cumulative recoveries since default</t>
  </si>
  <si>
    <t>Montant cumulé des recouvrements depuis le défaut associé à l'encours</t>
  </si>
  <si>
    <t>Cumulative recoveries since the default associated with outstanding</t>
  </si>
  <si>
    <t>mtCumRecouvr</t>
  </si>
  <si>
    <t>ANACREDIT, LOAN TAPE, SHS</t>
  </si>
  <si>
    <t>P1 27.2</t>
  </si>
  <si>
    <t xml:space="preserve">Devise du montant cumulé des recouvrements depuis le défaut </t>
  </si>
  <si>
    <t>Currency of the amount of cumulative recoveries since default</t>
  </si>
  <si>
    <t>Devise des montants recouvrés depuis le défaut</t>
  </si>
  <si>
    <t>cdDevMtCumRecouvr</t>
  </si>
  <si>
    <t>La donnée est obligatoire si le montant cumulé des recouvrements depuis le défaut [P1 27.1] est renseigné</t>
  </si>
  <si>
    <t>The data is mandatory if the cumulative amount of collections since default [P1 27.1] is filled</t>
  </si>
  <si>
    <t>P1 27.3</t>
  </si>
  <si>
    <t>Eligibilité Outil Central ANACREDIT</t>
  </si>
  <si>
    <t>Eligibility for the ANACREDIT Central tool</t>
  </si>
  <si>
    <t>Permet à l'entité d'indiquer si l'opération est éligible à l'outil Central AnaCredit</t>
  </si>
  <si>
    <t>Allows the entity to indicate whether the transaction is eligible for AnaCredit Central tool</t>
  </si>
  <si>
    <t>cdAnaCred</t>
  </si>
  <si>
    <t>LC.0329</t>
  </si>
  <si>
    <t>TA Z8ELIANA</t>
  </si>
  <si>
    <t>P1 27.4</t>
  </si>
  <si>
    <t>Motif exclusion à la déclaration ANACREDIT</t>
  </si>
  <si>
    <t>Exclusion reason to ANACREDIT reporting</t>
  </si>
  <si>
    <t>Indique le motif d'exclusion de l'opération à la déclaration AnaCredit</t>
  </si>
  <si>
    <t>Indicates the reason for excluding the transaction from the AnaCredit declaration</t>
  </si>
  <si>
    <t>cdMotifExcluAnaCred</t>
  </si>
  <si>
    <t>LC.0330</t>
  </si>
  <si>
    <t>TA Z8MEXANA</t>
  </si>
  <si>
    <t>P1 27.99</t>
  </si>
  <si>
    <t>ZoneLibre27</t>
  </si>
  <si>
    <t>11 - Caractéristiques Opérations à effet de levier</t>
  </si>
  <si>
    <t>11 - Leveraged Operations characteristics</t>
  </si>
  <si>
    <t>P1 28.1</t>
  </si>
  <si>
    <t>Indicateur opération effet de levier</t>
  </si>
  <si>
    <t>Leveraged transaction Indicator</t>
  </si>
  <si>
    <t>Indicateur permettant d'identifier les encours sur opérations de financement à effet de levier</t>
  </si>
  <si>
    <t>Indicator to identify leveraged transaction outstandings</t>
  </si>
  <si>
    <t>indOpeEffetLevier</t>
  </si>
  <si>
    <t>LC.0299</t>
  </si>
  <si>
    <t>TA KVIOPEFL</t>
  </si>
  <si>
    <t>FEL, LOAN TAPE</t>
  </si>
  <si>
    <t xml:space="preserve">EQU101
EQU201
TRE2 à 4XX hors 203,205,206,207
TRE5XX
SIG
</t>
  </si>
  <si>
    <t>La donnée est obligatoire si le type de risque [P1 2.0] = 'EQUxxx', 'SIGxxx', hors (SIG1xx, SIG203, SIG205), 'TRE2xx' à 'TRE4xx', hors (TRE203, TRE205, TRE206, TRE207, TRE3xx)</t>
  </si>
  <si>
    <t>The data is mandatory if Risk type [P1 2.0] = 'EQUxxx', 'SIGxxx', out (SIG1xx, SIG203, SIG205), 'TRE2xx' to 'TRE4xx', out (TRE203, TRE205, TRE206, TRE207, TRE3xx)</t>
  </si>
  <si>
    <t>TPS0894</t>
  </si>
  <si>
    <t>P1 28.2</t>
  </si>
  <si>
    <t>Indicateur sponsor financier majoritaire au capital</t>
  </si>
  <si>
    <t>Financial sponsor major shareholder indicator</t>
  </si>
  <si>
    <t>Indicateur de présence d'un sponsor financier majoritaire sur opération de financement à effet de levier</t>
  </si>
  <si>
    <t>Indicator of the presence of Financial sponsor major shareholder on a leveraged financing transaction</t>
  </si>
  <si>
    <t>indSponsFinanMajCap</t>
  </si>
  <si>
    <t>LC.0300</t>
  </si>
  <si>
    <t>TA KVISPFMC</t>
  </si>
  <si>
    <t>La donnée est obligatoire si le type de risque [P1 2.0] = 'EQUxxx', 'SIGxxx', hors (SIG1xx, SIG203, SIG205), 'TRE2xx' à 'TRE4xx', hors (TRE203, TRE205, TRE206, TRE207, TRE3xx) et si la donnée indicateur opération effet de levier [P1 28.1] est renseignée et est &lt;&gt; '0'</t>
  </si>
  <si>
    <t>The data is mandatory if Risk type [P1 2.0] = 'EQUxxx', 'SIGxxx', out (SIG1xx, SIG203, SIG205), 'TRE2xx' to 'TRE4xx', out (TRE203, TRE205, TRE206, TRE207, TRE3xx) and the leverage operation indicator data [P1 28.1] is filled in and is &lt;&gt; '0'</t>
  </si>
  <si>
    <t>TPS0895</t>
  </si>
  <si>
    <t>P1 29.1</t>
  </si>
  <si>
    <t>Montant de l'indemnité de résiliation</t>
  </si>
  <si>
    <t xml:space="preserve">Amount of the termination indemnity </t>
  </si>
  <si>
    <t>Montant de l'indemnité à payer par le client si ce dernier résilie son contrat avant la date d'échéance</t>
  </si>
  <si>
    <t>Amount of compensation to be paid by the customer if the latter terminates his contract before the due date</t>
  </si>
  <si>
    <t>mtIndmRes</t>
  </si>
  <si>
    <t>P1 29.2</t>
  </si>
  <si>
    <t>Devise du montant de l'indemnité de résiliation</t>
  </si>
  <si>
    <t xml:space="preserve">Currency of the amount of termination indemnity </t>
  </si>
  <si>
    <t>cdDevMtIndmRes</t>
  </si>
  <si>
    <t>La donnée est obligatoire, si Montant de l'indemnité de résiliation [P1 29.1] est renseigné</t>
  </si>
  <si>
    <t>The data is mandatory, if Amount of the termination indemnity [P1 29.1] is filled</t>
  </si>
  <si>
    <t>P1 30.1</t>
  </si>
  <si>
    <t>Type de contrat cadre</t>
  </si>
  <si>
    <t>Master agreement type</t>
  </si>
  <si>
    <t>Type de contrat cadre pour les cessions temporaires de titres et les dérivés</t>
  </si>
  <si>
    <t>Type of master agreement for temporary sales of securities and derivatives</t>
  </si>
  <si>
    <t>cdTypContrCadre</t>
  </si>
  <si>
    <t>LC.0296</t>
  </si>
  <si>
    <t>TA KVTYCOCA</t>
  </si>
  <si>
    <t>MREL</t>
  </si>
  <si>
    <t>TRE203, TRE206, TRE207
VAR*
INT</t>
  </si>
  <si>
    <t>La donnée est obligatoire si le type de risque [P1 2.0] = ['INTxxx', 'TRE203', 'TRE206', 'TRE207', 'VARxxx']</t>
  </si>
  <si>
    <t>The data is mandatory if risk type [P1 2.0] = ['INTxxx', 'TRE203', 'TRE206', 'TRE207', 'VARxxx']</t>
  </si>
  <si>
    <t>P1 30.2</t>
  </si>
  <si>
    <t>Indicateur protocole ISDA de niveau entité</t>
  </si>
  <si>
    <t>ISDA protocol indicator on entity level</t>
  </si>
  <si>
    <t>Pour les dérivés (hors repos), indicateur de présence d'un protocole de niveau entité permettant de faciliter la signature numérique du CSA (Credit Support Annex)</t>
  </si>
  <si>
    <t>For derivatives (excluding Repos), presence of protocol indicator on the entity level allows to facilitate the CSA digital signature (Credit Support Annex)</t>
  </si>
  <si>
    <t>indEntitISDA</t>
  </si>
  <si>
    <t>LC.0297</t>
  </si>
  <si>
    <t>TA Z8IISDAE</t>
  </si>
  <si>
    <t>La donnée est obligatoire si le type de risque [P1 2.0] = 'VAR*, INT*' (hors 'VAR105' et 'VAR302')</t>
  </si>
  <si>
    <t>Mandatory data if Risk type [P1 2.0] = 'VAR*, INT* (except 'VAR105' and 'VAR302')'</t>
  </si>
  <si>
    <t>TPS0897</t>
  </si>
  <si>
    <t>P1 30.3</t>
  </si>
  <si>
    <t>Indicateur protocole ISDA de niveau contrepartie</t>
  </si>
  <si>
    <t>ISDA protocol indicator on counterparty level</t>
  </si>
  <si>
    <t>Pour les dérivés (hors repos), indicateur de présence d'un protocole de niveau contrepartie permettant de faciliter la signature numérique du CSA (Credit Support Annex)</t>
  </si>
  <si>
    <t>For derivatives (non repos), presence of protocol indicator on the counterparty level allows to facilitate the CSA digital signature (Credit Support Annex)</t>
  </si>
  <si>
    <t>indContrePartieISDA</t>
  </si>
  <si>
    <t>LC.0298</t>
  </si>
  <si>
    <t>TA Z8IPISDA</t>
  </si>
  <si>
    <t>P1 30.4</t>
  </si>
  <si>
    <t>Montant du nominal des titres de la jambe prêteuse du repo (cessions temporaires de titres)</t>
  </si>
  <si>
    <t>Amount of the nominal securities of the lending leg from repo</t>
  </si>
  <si>
    <t>mtNomTitreJamPret</t>
  </si>
  <si>
    <t>AER, LIQUIDITE</t>
  </si>
  <si>
    <t>La donnée est obligatoire si type de risque [P1 2.0] = VAR105 et VAR302 et si Nature du Sous-Jacent [P1 12.1] = (01, 04, 05, 06, 07, 08, 09, 11)</t>
  </si>
  <si>
    <t>The data is mandatory, if Risk type [P1 2.0] = VAR105 and VAR302 and if Nature of underlying [P1 12.1] = (01, 04, 05, 06, 07, 08, 09, 11)</t>
  </si>
  <si>
    <t>TPS0898</t>
  </si>
  <si>
    <t>P1 30.5</t>
  </si>
  <si>
    <t>Devise du montant du nominal des titres de la jambe prêteuse du repo</t>
  </si>
  <si>
    <t>Currency of amount of the nominal securities of the lending leg from repo</t>
  </si>
  <si>
    <t>cdDEvMtNomTitreJamPret</t>
  </si>
  <si>
    <t>La donnée est obligatoire, si Montant du nominal des titres de la jambe prêteuse (cessions temporaires de titres) [P1 30.4] est renseigné</t>
  </si>
  <si>
    <t>The data is mandatory, if Amount of the nominal securities of the lending leg [P1 30.4] is filled</t>
  </si>
  <si>
    <t>P1 30.6</t>
  </si>
  <si>
    <t>Montant des coupons courus non échus de la jambe prêteuse du repo (cessions temporaires de titres)</t>
  </si>
  <si>
    <t>Amount of accrued coupons of the lending leg from repo</t>
  </si>
  <si>
    <t>Montant des coupons courus non échus de la jambe prêteusedu repo (cessions temporaires de titres)</t>
  </si>
  <si>
    <t>mtCoupCouruJamPret</t>
  </si>
  <si>
    <t>AER, ANACREDIT, LIQUIDITE, PALMA</t>
  </si>
  <si>
    <t>P1 30.7</t>
  </si>
  <si>
    <t>Devise du montant des coupons courus non échus de la jambe prêteuse du repo</t>
  </si>
  <si>
    <t>Currency of amount of accrued coupons of the lending leg from repo</t>
  </si>
  <si>
    <t>cdDevMtCoupCouruJamPret</t>
  </si>
  <si>
    <t>La donnée est obligatoire, si Montant des coupons courus non échus de la jambe prêteuse (cessions temporaires de titres) [P1 30.6] est renseigné</t>
  </si>
  <si>
    <t>The data is mandatory, if Amount of accrued coupons of the lending leg [P1 30.6] is filled</t>
  </si>
  <si>
    <t>P1 30.8</t>
  </si>
  <si>
    <t>Montant du nominal des titres de la jambe emprunteuse du repo (cessions temporaires de titres)</t>
  </si>
  <si>
    <t>Amount of the nominal securities of the borrowing leg from repo</t>
  </si>
  <si>
    <t>mtNomTitreJamEmpr</t>
  </si>
  <si>
    <t>P1 30.9</t>
  </si>
  <si>
    <t>Devise du montant du nominal des titres de la jambe emprunteuse du repo</t>
  </si>
  <si>
    <t>Currency of amount of the nominal securities of the borrowing leg from repo</t>
  </si>
  <si>
    <t>cdDevMtNomTitreJamEmpr</t>
  </si>
  <si>
    <t>La donnée est obligatoire, si Montant du nominal des titres de la jambe emprunteuse (cessions temporaires de titres) [P1 30.8] est renseigné</t>
  </si>
  <si>
    <t>The data is mandatory, if Amount of the nominal securities of the borrowing leg [P1 30.8] is filled</t>
  </si>
  <si>
    <t>P1 30.10</t>
  </si>
  <si>
    <t>Montant des coupons courus non échus de la jambe emprunteuse du repo (cessions temporaires de titres)</t>
  </si>
  <si>
    <t>Amount of accrued coupons of the borrowing leg from repo</t>
  </si>
  <si>
    <t>mtCoupCouruJamEmpr</t>
  </si>
  <si>
    <t>P1 30.11</t>
  </si>
  <si>
    <t>Devise du montant des coupons courus non échus de la jambe emprunteuse du repo</t>
  </si>
  <si>
    <t>Currency of amount of accrued coupons of the borrowing leg from repo</t>
  </si>
  <si>
    <t>cdDevMtCoupCouruJamEmpr</t>
  </si>
  <si>
    <t>La donnée est obligatoire, si Montant des coupons courus non échus de la jambe emprunteuse (cessions temporaires de titres) [P1 30.10] est renseigné</t>
  </si>
  <si>
    <t>The data is mandatory, if Amount of accrued coupons of the borrowing leg [P1 30.10] is filled</t>
  </si>
  <si>
    <t>P1 30.12</t>
  </si>
  <si>
    <t>Montant des coupons courus non échus de la jambe vendue des dérivés</t>
  </si>
  <si>
    <t>Amount of accrued coupons of the leg sold from derivatives</t>
  </si>
  <si>
    <t>mtCoupCouruJamVendu</t>
  </si>
  <si>
    <t>AER, LIQUIDITE, PALMA</t>
  </si>
  <si>
    <t>VAR (hors VAR105, VAR302, VAR5*)
INT</t>
  </si>
  <si>
    <t>La donnée est obligatoire, si le type de risque [P1 2.0] = 'VAR* (hors VAR105, VAR302, VAR5*)'</t>
  </si>
  <si>
    <t>The data is mandatory if risk type [P1 2.0] = 'VAR* (except VAR105, VAR302, VAR5*)</t>
  </si>
  <si>
    <t>TPS0969</t>
  </si>
  <si>
    <t>P1 30.13</t>
  </si>
  <si>
    <t>Devise du montant des coupons courus non échus de la jambe vendue des dérivés</t>
  </si>
  <si>
    <t>Currency of amount of accrued coupons of the leg sold from derivatives</t>
  </si>
  <si>
    <t>cdDevmtCoupCouruJamVendu</t>
  </si>
  <si>
    <t>La donnée est obligatoire si Montant des coupons courus non échus de la jambe vendue (dérivés) [P1 30.12] est renseigné</t>
  </si>
  <si>
    <t>The data is mandatory if Amount of accrued coupons of the leg sold (for derivatives) [P1 30.12] is filled</t>
  </si>
  <si>
    <t>P1 30.14</t>
  </si>
  <si>
    <t>Montant des coupons courus non échus de la jambe achetée des dérivés</t>
  </si>
  <si>
    <t>Amount of accrued coupons of the purchased leg from derivatives</t>
  </si>
  <si>
    <t>mtCoupCouruJamAche</t>
  </si>
  <si>
    <t>P1 30.15</t>
  </si>
  <si>
    <t>Devise du montant des coupons courus non échus de la jambe achetée des dérivés</t>
  </si>
  <si>
    <t>Currency of amount of accrued coupons of the purchased leg from derivatives</t>
  </si>
  <si>
    <t>cdDevMtCoupCouruJamAche</t>
  </si>
  <si>
    <t>La donnée est obligatoire si Montant des coupons courus non échus de la jambe achetée (dérivés) [P1 30.14] est renseigné</t>
  </si>
  <si>
    <t>The data is mandatory if Amount of accrued coupons of the purchased leg [P1 30.14] is filled</t>
  </si>
  <si>
    <t>P1 30.16</t>
  </si>
  <si>
    <t>Fréquence de paiement du taux reçu</t>
  </si>
  <si>
    <t xml:space="preserve">Frequency of payment of the interest received </t>
  </si>
  <si>
    <t>Fréquence à laquelle les intérêts sont reçus (calculés)</t>
  </si>
  <si>
    <t>Frequency at which interest is received ( calculated )</t>
  </si>
  <si>
    <t>cdFreqPaieTxRecu</t>
  </si>
  <si>
    <t>CORFOU, SRB VALUATION</t>
  </si>
  <si>
    <t>La donnée est obligatoire si le type de risque [P1 2.0] = ('VAR' hors (VAR105, VAR302), 'INT') et si Instrument financier [P1 3.75] = ("22" (Swap de taux d'intérêt) ou "84" ou "85" (CDS))</t>
  </si>
  <si>
    <t>The data is mandatory if Risk type [P1 2.0] = ('VAR' out (VAR105, VAR302), 'INT') and if Financial instrument [P1 3.75] = ("22" (Interest rate swap) or "84" or "85"(CDS))</t>
  </si>
  <si>
    <t>TPS0899</t>
  </si>
  <si>
    <t>P1 30.17</t>
  </si>
  <si>
    <t>Taux de marge additive reçue</t>
  </si>
  <si>
    <t>Additive margin rate received</t>
  </si>
  <si>
    <t>Correspond à la marge du taux reçu
Exprimé en %</t>
  </si>
  <si>
    <t>Margin of the interest received
Expressed as %</t>
  </si>
  <si>
    <t>ratioMargeTxRecu</t>
  </si>
  <si>
    <t>CORFOU, LIQUIDITE, PALMA</t>
  </si>
  <si>
    <t>TRE203, 205, 207
VAR (hors Repos)</t>
  </si>
  <si>
    <t>La donnée est obligatoire si le type de risque [P1 2.0] = 'VAR' hors (VAR105, VAR302) ET si Instrument financier [P1 3.75] = '22', '84', ou '85' ET type du taux reçu [P1 8.11] = 'V' ou 'R'</t>
  </si>
  <si>
    <t>The data is mandatory if Risk type [P1 2.0] = 'VAR' out (VAR105, VAR302) AND if Financial instrument [P1 3.75] = '22', '84', or '85' AND received rate type [P1 8.11] = 'V' or 'R'</t>
  </si>
  <si>
    <t>TPS0900</t>
  </si>
  <si>
    <t>P1 30.18</t>
  </si>
  <si>
    <t>Base de calcul des intérêts reçus</t>
  </si>
  <si>
    <t>Interest received calculation basis</t>
  </si>
  <si>
    <t>cdCalcIntRecu</t>
  </si>
  <si>
    <t>P1 30.19</t>
  </si>
  <si>
    <t>Fréquence de paiement du taux payé</t>
  </si>
  <si>
    <t>Frequency of payment of the interest paid</t>
  </si>
  <si>
    <t xml:space="preserve">Fréquence à laquelle les intérêts sont payés (calculés) </t>
  </si>
  <si>
    <t>Frequency at which interest is paid ( calculated)</t>
  </si>
  <si>
    <t>cdFreqPaieTxPaie</t>
  </si>
  <si>
    <t>P1 30.20</t>
  </si>
  <si>
    <t>Taux de marge additive payée</t>
  </si>
  <si>
    <t>Additive margin paid rate</t>
  </si>
  <si>
    <t>Correspond à la marge du taux payé
Exprimé en %</t>
  </si>
  <si>
    <t>Margin of the interest paid
Expressed as %</t>
  </si>
  <si>
    <t>ratioMargeTxPaie</t>
  </si>
  <si>
    <t>TRE203, 205, 207
VAR (hors Repos)
INT</t>
  </si>
  <si>
    <t>La donnée est obligatoire si le type de risque [P1 2.0] = 'VAR' hors (VAR105, VAR302) ET si Instrument financier [P1 3.75] = '22', '84', ou '85' ET type du taux payé [P1 8.1] = 'V' ou 'R'</t>
  </si>
  <si>
    <t>The data is mandatory if Risk type [P1 2.0] = 'VAR' out (VAR105, VAR302) AND if Financial instrument [P1 3.75] = '22', '84', or '85' AND type of the rate paid [P1 8.1] = 'V' or 'R'</t>
  </si>
  <si>
    <t>TPS0901</t>
  </si>
  <si>
    <t>P1 30.21</t>
  </si>
  <si>
    <t>Base de calcul des intérêts payés</t>
  </si>
  <si>
    <t>Interest paid calculation basis</t>
  </si>
  <si>
    <t>cdCalcIntPaie</t>
  </si>
  <si>
    <t>P1 30.22</t>
  </si>
  <si>
    <t>Référence du contrat cadre</t>
  </si>
  <si>
    <t>Master agreement reference</t>
  </si>
  <si>
    <t xml:space="preserve">Il s'agit de l'ISDA Master Agreement ID </t>
  </si>
  <si>
    <t>Corresponds to the ISDA Master Agreement ID</t>
  </si>
  <si>
    <t>cdContrCadre</t>
  </si>
  <si>
    <t>La donnée est obligatoire si le type de risque [P1 2.0] = (TRE203, TRE205, TRE206,TRE207, VARxx, INT) ET si Indicateur accord de netting contractuel [P1 30.23] = 'Y'</t>
  </si>
  <si>
    <t>The data is mandatory if risk type [P1 2.0] = (TRE203, TRE205, TRE206,TRE207, VARxx, INT) AND if Contractual netting indicator [P1 30.23] = 'Y'</t>
  </si>
  <si>
    <t>TPS0902</t>
  </si>
  <si>
    <t>P1 30.23</t>
  </si>
  <si>
    <t>Indicateur accord de netting contractuel</t>
  </si>
  <si>
    <t>Contractual netting indicator</t>
  </si>
  <si>
    <t>Indique que la transaction peut être nettée selon les règles du contrat de netting contractuel</t>
  </si>
  <si>
    <t>Indicator to specify whether the market transaction is part of a contractual netting</t>
  </si>
  <si>
    <t>indAccNettContra</t>
  </si>
  <si>
    <t>LC.0364</t>
  </si>
  <si>
    <t>TA Z8IADNCT</t>
  </si>
  <si>
    <t>TRE203,207
TRE206
VAR*
INT</t>
  </si>
  <si>
    <t>P1 30.24</t>
  </si>
  <si>
    <t>Référence du contrat de netting contractuel</t>
  </si>
  <si>
    <t>Reference of the contractual netting agreement</t>
  </si>
  <si>
    <t>cdContrNettContra</t>
  </si>
  <si>
    <t>La donnée est obligatoire si le type de risque [P1 2.0] = (TRE203, TRE206, TRE207, VARxx, INT) ET si l'indicateur accord de netting contractuel [P1 30.23] = 'Y'</t>
  </si>
  <si>
    <t>The data is mandatory if risk type [P1 2.0] = (TRE203, TRE206, TRE207, VARxx, INT) AND the contractual netting agreement indicator [P1 30.23] = 'Y'</t>
  </si>
  <si>
    <t>TPS0903</t>
  </si>
  <si>
    <t>P1 30.25</t>
  </si>
  <si>
    <t>Indicateur accord de netting comptable</t>
  </si>
  <si>
    <t>Accounting netting indicator</t>
  </si>
  <si>
    <t>Indique que la transaction peut être nettée selon les règles du contrat de netting comptable</t>
  </si>
  <si>
    <t>Indicator used to specify whether the market transaction can be netted according to the accounting netting rules</t>
  </si>
  <si>
    <t>indAccNettCpt</t>
  </si>
  <si>
    <t>LC.0365</t>
  </si>
  <si>
    <t>TA Z8IADNCP</t>
  </si>
  <si>
    <t>La donnée est obligatoire si le type de risque [P1 2.0] = (TRE203, TRE206, TRE207, VARxx, INT) ET si le type de contrat cadre [P1 30.1] est différent de '01' et '12'</t>
  </si>
  <si>
    <t>The data is mandatory if Risk type [P1 2.0] = (TRE203, TRE206, TRE207, VARxx, INT) AND if the framework contract type [P1 30.1] is different from '01' and '12'</t>
  </si>
  <si>
    <t>TPS0904</t>
  </si>
  <si>
    <t>P1 30.26</t>
  </si>
  <si>
    <t>Référence du contrat de netting comptable</t>
  </si>
  <si>
    <t>Reference of the accounting netting contract</t>
  </si>
  <si>
    <t>cdContrNettCpt</t>
  </si>
  <si>
    <t>La donnée est obligatoire si le type de risque [P1 2.0] = (TRE203, TRE206, TRE207, VARxx, INT) ET si l'indicateur de contrat de netting comptable [P1 30.25] = 'Y'</t>
  </si>
  <si>
    <t>The data is mandatory if risk type [P1 2.0] = (TRE203, TRE206, TRE207, VARxx, INT) AND accounting netting contract indicator [P1 30.25] = 'Y'</t>
  </si>
  <si>
    <t>TPS0905</t>
  </si>
  <si>
    <t>P1 30.27</t>
  </si>
  <si>
    <t>Finalité de l'opération</t>
  </si>
  <si>
    <t>Purpose of the transaction</t>
  </si>
  <si>
    <t>Permet de connaitre la finalité de l'opération</t>
  </si>
  <si>
    <t>Allows to know the purpose of the transaction</t>
  </si>
  <si>
    <t>FinalOp</t>
  </si>
  <si>
    <t>LC.0340</t>
  </si>
  <si>
    <t>TA Z8FINOPE</t>
  </si>
  <si>
    <t>CORFOU, GRR, PVA</t>
  </si>
  <si>
    <t>VAR hors (VAR105, VAR302)
INT</t>
  </si>
  <si>
    <t>La donnée est obligatoire si le type de risque [P1 2.0] = 'VARXXX' hors (VAR105, VAR302)</t>
  </si>
  <si>
    <t>The data is mandatory if risk type [P1 2.0] = 'VARXXX' out (VAR105, VAR302)</t>
  </si>
  <si>
    <t>TPS0886</t>
  </si>
  <si>
    <t>P1 31.1</t>
  </si>
  <si>
    <t>Permet d'indiquer le code consolidation de la succursale qui a fait l'opération/contrat dans le cas où les encours sont portés par la maison mère</t>
  </si>
  <si>
    <t>Allows to indicate the consolidation code of the branch that made the transaction/contract in the case where the outstandings are brought by the main company</t>
  </si>
  <si>
    <t>CdEntSucc</t>
  </si>
  <si>
    <t>SRB VALUATION</t>
  </si>
  <si>
    <t>P1 31.2</t>
  </si>
  <si>
    <t>Référence unique du contrat à l'origine</t>
  </si>
  <si>
    <t>Unique contract reference at origination</t>
  </si>
  <si>
    <t>Permet de conserver la référence unique du contrat à l'origine lorsque l'entité change de système de gestion local</t>
  </si>
  <si>
    <t>Keeps the unique contract reference at origination when the entity changes the local management system</t>
  </si>
  <si>
    <t>cdCtOri</t>
  </si>
  <si>
    <t>P1 31.3</t>
  </si>
  <si>
    <t>Référence unique de l'élément de contrat à l'origine</t>
  </si>
  <si>
    <t>Unique contract element reference at origination</t>
  </si>
  <si>
    <t>Permet de conserver la référence unique de l'élément de contrat à l'origine lorsque l'entité change de système de gestion local</t>
  </si>
  <si>
    <t>Keeps the unique contract element reference at origination when the entity changes the local management system</t>
  </si>
  <si>
    <t>CdEDCOri</t>
  </si>
  <si>
    <t>P1 31.4</t>
  </si>
  <si>
    <t>Montant en euros de l'engagement à la date de signature du contrat</t>
  </si>
  <si>
    <t>Amount in euros of the commitment at the date of signature of the contract</t>
  </si>
  <si>
    <t>Montant de l'engagement contrevalorisé en euros à la date de signature du contrat (reste invariable sur la durée du contrat)</t>
  </si>
  <si>
    <t>Amount of the commitment revalued in euros on the date of signature of the contract (remains unchanged over the duration of the contract)</t>
  </si>
  <si>
    <t>mtCtEuroOri</t>
  </si>
  <si>
    <t xml:space="preserve">TRE100
ISS200 et 300
TRE2 à 4XX hors 203,205,206,207
TRE5XX
SIG
VAR105 et 302
</t>
  </si>
  <si>
    <t>La donnée est obligatoire si le type de risque [P1 2.0] = 'TRE100', 'TRE2xx' à 'TRE5xx', 'VAR105', 'VAR302', 'SIGxxx' hors (TRE203,TRE205, TRE206, TRE207) et si le montant du contrat à l'origine [P1 22.8] est renseigné et si l'indicateur"Eligibilité Outil Central ANACREDIT" [P1 27.3] = '2' et le motif exclusion à la déclaration ANACREDIT [P1 27.4] est non renseigné</t>
  </si>
  <si>
    <t>The data is mandatory if Risk type [P1 2.0] = 'TRE100', 'TRE2xx' to 'TRE5xx', 'VAR105', 'VAR302', 'SIGxxx' out (TRE203, TRE205, TRE206, TRE207) and if the original contract amount [P1 22.8] is filled in and the indicator "Eligibility ANACREDIT Central Tool" [P1 22.8] is filled in 1 27.3] = '2' and the reason exclusion to the ANACREDIT [P1 27.4] is not specified</t>
  </si>
  <si>
    <t>TPS0906</t>
  </si>
  <si>
    <t>P1 31.5</t>
  </si>
  <si>
    <t>Indicateur responsabilité solidaire</t>
  </si>
  <si>
    <t>Joint liability indicator</t>
  </si>
  <si>
    <t>Indique si le contrat est en responsabilité commune et solidaire
Indique si le contrat est multi-débiteur</t>
  </si>
  <si>
    <t>Indicates whether the contract is in joint and several liability
Indicates if the contract is multi-debtor</t>
  </si>
  <si>
    <t>indRespSoli</t>
  </si>
  <si>
    <t>LC.0350</t>
  </si>
  <si>
    <t>TA Z8IRESOL</t>
  </si>
  <si>
    <t>La donnée est obligatoire si le type de risque [P1 2.0] = 'TRE2xx' à 'TRE5xx', hors (TRE203,TRE205, TRE206, TRE207)</t>
  </si>
  <si>
    <t>The data is mandatory if Risk type [P1 2.0] = 'TRE2xx' to 'TRE5xx', out (TRE203,TRE205,TRE206,TRE207)</t>
  </si>
  <si>
    <t>TPS0907</t>
  </si>
  <si>
    <t>P1 31.6</t>
  </si>
  <si>
    <t>Indicateur dossier infrastructure éligible au facteur de réduction 75%</t>
  </si>
  <si>
    <t>Indicator Infrastructure eligible for the reduction factor 75%</t>
  </si>
  <si>
    <t>IndInfraFactReduc</t>
  </si>
  <si>
    <t>LC.0353</t>
  </si>
  <si>
    <t>TA Z8IDIEFR</t>
  </si>
  <si>
    <t>TRE2 à 4XX hors 203,205,206,207
VARxxx</t>
  </si>
  <si>
    <t>La donnée est obligatoire si le type de risque [P1 2.0] = 'TRE2xx' à 'TRE4xx' hors (TRE201, TRE203, TRE205, TRE206, TRE207)</t>
  </si>
  <si>
    <t>The data is mandatory if Risk type [P1 2.0] = 'TRE2xx' to 'TRE4xx' out (TRE201, TRE203, TRE205, TRE206, TRE207)</t>
  </si>
  <si>
    <t>TPS0908</t>
  </si>
  <si>
    <t>P1 31.7</t>
  </si>
  <si>
    <t>Rang dans la hiérarchie des créanciers</t>
  </si>
  <si>
    <t>Insolvency Ranking</t>
  </si>
  <si>
    <t>Indique la hiérarchie des créanciers par pays (application législation locale)</t>
  </si>
  <si>
    <t>Indicates the hierarchy of creditors by country (application of local legislation)</t>
  </si>
  <si>
    <t>cdRgCreanciers</t>
  </si>
  <si>
    <t>LC.0306</t>
  </si>
  <si>
    <t xml:space="preserve">TA Z8INSORG </t>
  </si>
  <si>
    <t xml:space="preserve">SIG
VAR*
</t>
  </si>
  <si>
    <t>La donnée est obligatoire si le type de risque [P1 2.0] = 'SIG2xx', 'VARxxx'</t>
  </si>
  <si>
    <t>The data is mandatory if risk type [P1 2.0] = 'SIG2xx', 'VARxxx'</t>
  </si>
  <si>
    <t>TPS0909</t>
  </si>
  <si>
    <t>P1 31.8</t>
  </si>
  <si>
    <t>Droit d'un pays tiers : reconnaissance de la clause de bail-in</t>
  </si>
  <si>
    <t>Third Party, bail-in contractual recognition</t>
  </si>
  <si>
    <t>Reconnaissance de la clause contractuelle de bail-in (renflouement interne) dans la configuration où le contrat de l'instrument est régi dans le droit d'un pays tiers</t>
  </si>
  <si>
    <t>Recognition of the Bail-in contractual clause in the case where the contract of the instrument is governed by the law of a third country</t>
  </si>
  <si>
    <t>tpDroitPaysTiers</t>
  </si>
  <si>
    <t>LC.0309</t>
  </si>
  <si>
    <t>TA Z8BAILIN</t>
  </si>
  <si>
    <t>Si renseignée et si la donnée Pays de juridiction du contrat [P1 22.66] est un pays HORS de l'UE (LC.0004 - TA 0990 H8COUNTR - liste des pays dont la zone géographique n'est pas 'XGE001' ou 'XGE002'), alors la donnée 'Droit d'un pays tiers : reconnaissance de la clause de bail-in' [P1 31.8] = '1' ou '2'
Sinon (Pays de juridiction du contrat [P1 22.66] est un pays de l'UE), alors la donnée 'Droit d'un pays tiers : reconnaissance de la clause de bail-in' [P1 31.8] = '3'</t>
  </si>
  <si>
    <t>If filled and if the data Country of contract jurisdiction [P1 22.66] is a country OUTSIDE the EU (LC.0004 - TA 0990 H8COUNTR - list of countries whose geographical area is not 'XGE001' or 'XGE002'), then the data 'Third Party, bail-in contractual recognition' [P1 31.8] = '1' or '2'
Otherwise (Country of contract jurisdiction [P1 22.66] is an EU country), then the data 'Third Party, bail-in contractual recognition' [P1 31.8] = '3'</t>
  </si>
  <si>
    <t>TCS0738</t>
  </si>
  <si>
    <t>27 - Caractéristiques extra-financière</t>
  </si>
  <si>
    <t>27 - Extra-financial caracteristics</t>
  </si>
  <si>
    <t>P1 31.9</t>
  </si>
  <si>
    <t>Lieu d'investissement du bien principal financé : code postal</t>
  </si>
  <si>
    <t>Investment location of the principal asset financed: postcode</t>
  </si>
  <si>
    <t>Lieu d'investissement du bien financé : code postal</t>
  </si>
  <si>
    <t>Investment location of the financed asset: postcode</t>
  </si>
  <si>
    <t>cdCPBienF</t>
  </si>
  <si>
    <t>LC.0369</t>
  </si>
  <si>
    <t>TA COMU0001 à COMU0098</t>
  </si>
  <si>
    <t>ACTIF VERT, ESG PILIER 3, NZBA, OMP, RISQUE PHYSIQUE</t>
  </si>
  <si>
    <t>La donnée est obligatoire si le type de risque [P1 2.0] = 'TRE2xx' à 'TRE5xx' hors (TRE201, TRE203, TRE205, TRE206, TRE207) et si la donnée usage du bien immobilier financé [P1 8.13] est renseignée et différente de '0' et si le Lieu d'investissement du bien financé : Code pays [P1 31.10] = 'FR'</t>
  </si>
  <si>
    <t>The data is mandatory if Risk type [P1 2.0] = 'TRE2xx' to 'TRE5xx', out (TRE201, TRE203, TRE205, TRE206, TRE207) and the use of real estate data [P1 8.13] is filled in and different from '0' and if the Investment location of the financed asset: Country code [P1 31.10]= 'FR'</t>
  </si>
  <si>
    <t>TPS0910</t>
  </si>
  <si>
    <t>Si Lieu d'investissement du bien financé : Code pays [P1 31.10] = 'FR', alors la valeur renseignée doit être connue du Langage Commun (colonne RQCDPOST)</t>
  </si>
  <si>
    <t>If Investment location of the financed asset: Country code [P1 31.10]= 'FR', then the value filled must be known to the Common Language (column RQCDPOST)</t>
  </si>
  <si>
    <t>TI0121</t>
  </si>
  <si>
    <t>P1 31.10</t>
  </si>
  <si>
    <t>Lieu d'investissement du bien principal financé : Code pays</t>
  </si>
  <si>
    <t>Investment location of the principal asset financed: Country code</t>
  </si>
  <si>
    <t>Lieu d'investissement du bien financé : Code pays</t>
  </si>
  <si>
    <t>Investment location of the financed asset: Country code</t>
  </si>
  <si>
    <t>cdPayBienF</t>
  </si>
  <si>
    <t>ASTRE, ESG PILIER 3, NZBA, OMP, RISQUE PHYSIQUE</t>
  </si>
  <si>
    <t>La donnée est obligatoire si le type de risque [P1 2.0] = 'TRE2xx' à 'TRE5xx', hors (TRE201,TRE203,TRE205, TRE206, TRE207) ET si la donnée usage du bien immobilier financé [P1 8.13] est renseignée et différente de '0'</t>
  </si>
  <si>
    <t>The data is mandatory if Risk type [P1 2.0] = 'TRE2xx' to 'TRE5xx', out (TRE201, TRE203, TRE205, TRE206, TRE207) AND the use of real estate data [P1 8.13] is filled and different from '0'</t>
  </si>
  <si>
    <t>TPS0911</t>
  </si>
  <si>
    <t>P1 31.11</t>
  </si>
  <si>
    <t>Indicateur permis de construire à l'octroi</t>
  </si>
  <si>
    <t>Building permit indicator on grant</t>
  </si>
  <si>
    <t>cdIndPermisCons</t>
  </si>
  <si>
    <t>LC.0336</t>
  </si>
  <si>
    <t>TA Z8IPCONS</t>
  </si>
  <si>
    <t>La donnée est obligatoire si le type de risque [P1 2.0] = 'TRE2xx' à 'TRE5xx', hors (TRE201,TRE203,TRE205, TRE206, TRE207) et si la donnée méthodologie de notation [C1 4.3] du tiers en risque ='M1 ', 'M2', 'M41', 'M43' ou 'M44', et si l'Objet financé [P1 22.7] = '01', '02', '03' ou '04'</t>
  </si>
  <si>
    <t>The data is mandatory if Risk type [P1 2.0] = 'TRE2xx' to 'TRE5xx', out (TRE201, TRE203, TRE205, TRE206, TRE207) and if the rating methodology data [C1 4.3] of the third party in risk ='M1 ', 'M2', 'M41', 'M43' or 'M44', and if Object financed [P1 22.7] = '01', '02', '03' or '04'</t>
  </si>
  <si>
    <t>TP0909</t>
  </si>
  <si>
    <t>P1 31.12</t>
  </si>
  <si>
    <t>Etat du bien financé à l'octroi</t>
  </si>
  <si>
    <t>Statement of the property financed at grant</t>
  </si>
  <si>
    <t>cdEtatBienF</t>
  </si>
  <si>
    <t>LC.0334</t>
  </si>
  <si>
    <t>TA Z8EBIMMO</t>
  </si>
  <si>
    <t>P1 31.13</t>
  </si>
  <si>
    <t>Catégorie énergétique du bien immobilier à l'octroi</t>
  </si>
  <si>
    <t>Energy category of real estate on grant</t>
  </si>
  <si>
    <t>cdClassNrjBienF</t>
  </si>
  <si>
    <t>LC.0335</t>
  </si>
  <si>
    <t>RB 0503</t>
  </si>
  <si>
    <t>ACTIF VERT, ESG PILIER 3, NZBA</t>
  </si>
  <si>
    <t>Si renseignée, la donnée doit être différente de 'Y' ou 'Z'</t>
  </si>
  <si>
    <t>If filled in, the data must be different of 'Y' or 'Z'</t>
  </si>
  <si>
    <t>TVS0732</t>
  </si>
  <si>
    <t>P1 31.14</t>
  </si>
  <si>
    <t>Taux de réservation du programme immobilier</t>
  </si>
  <si>
    <t>Real estate program reservation rate</t>
  </si>
  <si>
    <t>Taux de réservation du programme immobilier
Exprimé en %</t>
  </si>
  <si>
    <t>Real estate program reservation rate
Expressed as %</t>
  </si>
  <si>
    <t>TauxResProgImmo</t>
  </si>
  <si>
    <t>15 dont signe et 9 décimales</t>
  </si>
  <si>
    <t>15 including sign and 9 decimals</t>
  </si>
  <si>
    <t>P1 31.15</t>
  </si>
  <si>
    <t>Montant de l'apport à l'octroi</t>
  </si>
  <si>
    <t>Cash contribution when loan granted</t>
  </si>
  <si>
    <t>Montant de l'apport en cash à l'octroi de crédit</t>
  </si>
  <si>
    <t>Amount of cash contribution when loan granted</t>
  </si>
  <si>
    <t>MtApportOctroi</t>
  </si>
  <si>
    <t>NZBA, OCTROI DE CREDIT</t>
  </si>
  <si>
    <t>P1 31.16</t>
  </si>
  <si>
    <t>Devise du montant de l'apport à l'octroi</t>
  </si>
  <si>
    <t>Currency of amount of cash contribution when loan granted</t>
  </si>
  <si>
    <t>Devise d'expression du montant de l'apport à l'octroi</t>
  </si>
  <si>
    <t>cdDevApportOctroi</t>
  </si>
  <si>
    <t>La donnée est obligatoire si la donnée montant de l'apport à l'octroi [P1 31.15] est renseignée</t>
  </si>
  <si>
    <t>The data is mandatory if the amount data of the grant contribution [P1 31.15] is filled</t>
  </si>
  <si>
    <t>P1 31.17</t>
  </si>
  <si>
    <t xml:space="preserve">Durée initiale du prêt </t>
  </si>
  <si>
    <t>Initial duration of the loan</t>
  </si>
  <si>
    <t>Durée (en mois) initiale d'amortissement du prêt à la signature du contrat, celle à l'origine du prêt</t>
  </si>
  <si>
    <t>The initial amortisation duration (in months) of the loan at the time of signature of the contract, the one at which the loan originated</t>
  </si>
  <si>
    <t>nbDIOctroi</t>
  </si>
  <si>
    <t>6 dont signe</t>
  </si>
  <si>
    <t>6 including sign</t>
  </si>
  <si>
    <t>LOAN TAPE, NZBA, OCTROI DE CREDIT, OMP, PALMA</t>
  </si>
  <si>
    <t>P1 31.18</t>
  </si>
  <si>
    <t>Durée totale du prêt à date</t>
  </si>
  <si>
    <t>Total duration of loan on date</t>
  </si>
  <si>
    <t>Durée totale (en mois) d'amortissement du prêt à la date d'arrêté</t>
  </si>
  <si>
    <t>Total amortisation duration (months) of loan at closing date</t>
  </si>
  <si>
    <t>nbDureeTot</t>
  </si>
  <si>
    <t>La durée totale du prêt à date correspond bien à la maturité totale du prêt (du début à la fin du prêt)
En l'absence de modification des conditions du prêt, ce champ sera égal à la durée initiale</t>
  </si>
  <si>
    <t>The total duration of loan on date corresponds to the total maturity of the loan (from the start to the end of the loan)
In the absence of modification of the loan conditions, this field will be equal to the initial duration</t>
  </si>
  <si>
    <t>ASTRE, OCTROI DE CREDIT, PALMA</t>
  </si>
  <si>
    <t>P1 31.19</t>
  </si>
  <si>
    <t>Durée de la période d'anticipation à date d'arrêté</t>
  </si>
  <si>
    <t>Duration of the anticipation period at closing date</t>
  </si>
  <si>
    <t>La durée de la période d'anticipation (en mois) théorique ou réelle en fonction de l'état d'amortissement du prêt. Correspond à la durée entre la date du premier versement par la banque et la date de première échéance</t>
  </si>
  <si>
    <t>The duration of the anticipation period (in months), theoretical or real depending on the amortization status of the loan. Corresponds to the duration between the date of the first payment by the bank and the date of first repayment</t>
  </si>
  <si>
    <t>DurReelPeriAnti</t>
  </si>
  <si>
    <t>OCTROI DE CREDIT, PALMA</t>
  </si>
  <si>
    <t>P1 31.20</t>
  </si>
  <si>
    <t xml:space="preserve">Méthode de valorisation du bien </t>
  </si>
  <si>
    <t>Valuation method of the property</t>
  </si>
  <si>
    <t>Indique la méthode utilisée pour la valorisation ou la revalorisation du bien</t>
  </si>
  <si>
    <t>Indicates the method used for the valuation or revaluation of the property</t>
  </si>
  <si>
    <t>cdMetRev</t>
  </si>
  <si>
    <t>LC.0057</t>
  </si>
  <si>
    <t>TA KVVALOR</t>
  </si>
  <si>
    <t>P1 31.21</t>
  </si>
  <si>
    <t>Type de sécurisation à l'octroi</t>
  </si>
  <si>
    <t>Type of security on grant</t>
  </si>
  <si>
    <t>Indique si le contrat est sécurisé ou pas et précise la nature de la garantie principale du contrat sécurisé à l'octroi</t>
  </si>
  <si>
    <t>Indicates whether the contract is secured or not and specifies the nature of the primary guarantee of the secured contract at grant</t>
  </si>
  <si>
    <t>cdTypeGarPrincOctroi</t>
  </si>
  <si>
    <t>LC.0370</t>
  </si>
  <si>
    <t>TA Z8ICTSEC</t>
  </si>
  <si>
    <t>P1 31.22</t>
  </si>
  <si>
    <t>Type de sécurisation à date</t>
  </si>
  <si>
    <t>Type of security at closing date</t>
  </si>
  <si>
    <t>Indique si le contrat est sécurisé ou pas et précise la nature de la garantie principale du contrat sécurisé à la date d'arrêté</t>
  </si>
  <si>
    <t>Indicates whether the contract is secured or not and specifies the nature of the primary guarantee of the secured contract at the cut-off date</t>
  </si>
  <si>
    <t>cdTypeGarPrincDt</t>
  </si>
  <si>
    <t>ASTRE, OCTROI DE CREDIT</t>
  </si>
  <si>
    <t>P1 31.23</t>
  </si>
  <si>
    <t>Montant des fonds remis à date</t>
  </si>
  <si>
    <t>Amount of funds provided to date</t>
  </si>
  <si>
    <t>Montant des fonds débloqués à date d'arrêté par la banque au client depuis l'octroi du crédit, hors remboursements</t>
  </si>
  <si>
    <t>Amount of funds provided on the closing date by the bank to the customer since the loan was granted, excluding reimbursements</t>
  </si>
  <si>
    <t>mtRemis</t>
  </si>
  <si>
    <t>La donnée est obligatoire si le type de risque [P1 2.0] = 'TRE2xx' à 'TRE4xx', 'TRE502' hors (TRE201,TRE203,TRE205, TRE206, TRE207)</t>
  </si>
  <si>
    <t>The data is mandatory if Risk type [P1 2.0] = 'TRE2xx' to 'TRE4xx', 'TRE502' out (TRE201,TRE203,TRE205,TRE206,TRE207)</t>
  </si>
  <si>
    <t>TPS0767</t>
  </si>
  <si>
    <t>P1 31.24</t>
  </si>
  <si>
    <t>Devise du montant des fonds remis à date</t>
  </si>
  <si>
    <t>Currency of amount of funds provided to date</t>
  </si>
  <si>
    <t>Devise d'expression du montant des fonds remis à date</t>
  </si>
  <si>
    <t>cdDevRemis</t>
  </si>
  <si>
    <t>La donnée est obligatoire si le Montant des fonds remis à date [P1 31.23] est renseigné</t>
  </si>
  <si>
    <t>The data is mandatory if the Amount of funds provided to date [P1 31.23] is filled</t>
  </si>
  <si>
    <t>P1 31.25</t>
  </si>
  <si>
    <t>Interest Coverage Ratio (ICR) à l'octroi</t>
  </si>
  <si>
    <t>Interest Coverage Ratio (ICR) on grant</t>
  </si>
  <si>
    <t>Le ratio ICR (Interest Coverage Ratio) à l'octroi correspond au rapport entre l'excédent brut d'exploitation (EBE) de l'emprunteur et le coût annuel des intérêts du service total de la dette au moment du montage du prêt.
Exprimé en %</t>
  </si>
  <si>
    <t>The Interest Coverage Ratio (ICR) on grant corresponds to the ratio between the borrower's gross operating surplus (GOS) and the annual interest cost of the total debt service at the time of the loan
Expressed as %</t>
  </si>
  <si>
    <t>txICROctroi</t>
  </si>
  <si>
    <t>Pour le type de risque TRE2 à 4XX hors 203,205-207 : Pour les prêts immobilier à usage locatif
Pour le type de risque TRE5XX : Pour le crédit-bail immobilier</t>
  </si>
  <si>
    <t>For risk type TRE2 to 4XX excluding 203,205-207: For rental property loans
For risk type TRE5XX: For real estate leasing</t>
  </si>
  <si>
    <t>La donnée est obligatoire si le type de risque [P1 2.0] = 'TRE2xx' à 'TRE4xx' hors (TRE201,TRE203,TRE205, TRE206, TRE207) et si la donnée objet financé [P1 22.7] = '03' et si la donnée méthodologie de notation [C1 4.3] du tiers en risque ='M1 ', 'M2', 'M41', 'M43' ou 'M44'
---
La donnée est obligatoire si le type de risque [P1 2.0] = 'TRE502' et si la donnée objet financé [P1 22.7] = '03' et si la donnée méthodologie de notation [C1 4.3] du tiers en risque ='M1 ', 'M2', 'M41', 'M43' ou 'M44'</t>
  </si>
  <si>
    <t>The data is mandatory if Risk type [P1 2.0] = 'TRE2xx' to 'TRE4xx' (except TRE201, TRE203, TRE205, TRE206, TRE207) and the funded object data [P1 22.7] = '03' and the rating methodology data [C1 4.3] of the third party in risk = 'M1 ', 'M2', 'M41', 'M43' or 'M43' 44'
---
The data is mandatory if Risk type [P1 2.0] = 'TRE502' and the funded object data [P1 22.7] = '03' and the rating methodology data [C1 4.3] of the third party in risk = 'M1 ', 'M2', 'M41', 'M43' or 'M43' 44'</t>
  </si>
  <si>
    <t>TP0582
TP0706</t>
  </si>
  <si>
    <t>P1 31.26</t>
  </si>
  <si>
    <t>Loan-to-rent ratio (LTR) à l'octroi</t>
  </si>
  <si>
    <t>Loan-to-rent ratio (LTR) on grant</t>
  </si>
  <si>
    <t>Correspond au ratio initial : valeur du montant du prêt sur le revenu locatif annuel
Exprimé en %</t>
  </si>
  <si>
    <t>Corresponds to the initial ratio: value of the loan amount to annual rental income
Expressed as %</t>
  </si>
  <si>
    <t>txLTROctroi</t>
  </si>
  <si>
    <t>Pour les prêts immobilier à usage locatif</t>
  </si>
  <si>
    <t>For rental mortgage</t>
  </si>
  <si>
    <t>OCTROI DE CREDIT, LOAN TAPE</t>
  </si>
  <si>
    <t>La donnée est obligatoire si le type de risque [P1 2.0] = 'TRE2xx' à 'TRE4xx' hors (TRE201,TRE203,TRE205, TRE206, TRE207) et si la donnée objet financé [P1 22.7] = '03' et si la donnée méthodologie de notation [C1 4.3] du tiers en risque ='M1 ', 'M2', 'M41', 'M43' ou 'M44'</t>
  </si>
  <si>
    <t>The data is mandatory if Risk type [P1 2.0] = 'TRE2xx' to 'TRE4xx', out (TRE201,TRE203,TRE205,TRE206,TRE207) and if the financed object data [P1 22.7] = '03' and if the rating methodology data [C1 4.3] of the third party in risk ='M1 ', 'M2', 'M41', 'M43' or 'M44'</t>
  </si>
  <si>
    <t>TP0582</t>
  </si>
  <si>
    <t>P1 31.27</t>
  </si>
  <si>
    <t>LSTI à l'octroi</t>
  </si>
  <si>
    <t>LSTI on grant</t>
  </si>
  <si>
    <t>Le taux LSTI (Loan-Service-To Income ratio) à l'octroi correspond au taux d'endettement lié au prêt non global
Pour les crédits aux particuliers</t>
  </si>
  <si>
    <t xml:space="preserve">The LSTI (Loan-Service-To-Income ratio at origination) rate corresponds to the debt ratio linked to the loan at issue.
For loans to individuals.
</t>
  </si>
  <si>
    <t>txLSTIOctroi</t>
  </si>
  <si>
    <t>P1 31.28</t>
  </si>
  <si>
    <t>DSTI à l'octroi</t>
  </si>
  <si>
    <t>DSTI on grant</t>
  </si>
  <si>
    <t>Le taux DSTI à l'octroi (Debt-Service To Income ratio) à l'octroi correspond au taux d'endettement global
Pour les crédits aux particuliers</t>
  </si>
  <si>
    <t xml:space="preserve">The DSTI (Debt-Service To Income ratio at origination) rate corresponds to the overall debt ratio.
For loans to individuals
</t>
  </si>
  <si>
    <t>txDSTIOctroi</t>
  </si>
  <si>
    <t>P1 31.29</t>
  </si>
  <si>
    <t>Taux de marge du crédit brut à l'octroi</t>
  </si>
  <si>
    <t xml:space="preserve"> Margin rate of gross credit to grant</t>
  </si>
  <si>
    <t>Taux de marge du crédit brut à l'octroi : différence Taux client / Taux de refinancement (incluant le coût de la liquidité)
Exprimé en %</t>
  </si>
  <si>
    <t>Margin rate of gross credit to be granted: customer rate/refinancing rate difference (including the cost of liquidity)
Expressed as %</t>
  </si>
  <si>
    <t>txMardeCreditOctroi</t>
  </si>
  <si>
    <t>P1 31.37</t>
  </si>
  <si>
    <t>Indicateur garantie sans limite</t>
  </si>
  <si>
    <t>Unlimited commitment indicator</t>
  </si>
  <si>
    <t>Identifie les garanties données sans limite de montant</t>
  </si>
  <si>
    <t>Allows to identify guarantees given without limit of amount</t>
  </si>
  <si>
    <t>indGar</t>
  </si>
  <si>
    <t>LC.0338</t>
  </si>
  <si>
    <t>TA Z8IESLIM</t>
  </si>
  <si>
    <t>P1 31.38</t>
  </si>
  <si>
    <t>Etendue de la garantie donnée</t>
  </si>
  <si>
    <t xml:space="preserve">Scope of the mitigant given </t>
  </si>
  <si>
    <t>Indique la couverture de la garantie donnée</t>
  </si>
  <si>
    <t>Allows to identify the coverage of guarantee given</t>
  </si>
  <si>
    <t>cdTypeGar</t>
  </si>
  <si>
    <t>LC.0047</t>
  </si>
  <si>
    <t>TA KVETEND</t>
  </si>
  <si>
    <t>ASTRE, MREL</t>
  </si>
  <si>
    <t>P1 29.3</t>
  </si>
  <si>
    <t>Montant des subventions</t>
  </si>
  <si>
    <t xml:space="preserve"> Amount of subventions </t>
  </si>
  <si>
    <t>Montant des subventions (organisme d'état, …) reçues par l'entité dans le cadre de l'opération de crédit-bail</t>
  </si>
  <si>
    <t>Amount of subventions (government agencies, etc.) received by the entity as part of the leasing operation</t>
  </si>
  <si>
    <t>mtSubv</t>
  </si>
  <si>
    <t>La donnée est obligatoire si le type de risque [P1 2.0] = 'TRE5xx'</t>
  </si>
  <si>
    <t>The data is mandatory if risk type [P1 2.0] = 'TRE5xx'</t>
  </si>
  <si>
    <t>TPS0912</t>
  </si>
  <si>
    <t>P1 29.4</t>
  </si>
  <si>
    <t>Devise du montant des subventions</t>
  </si>
  <si>
    <t xml:space="preserve">Currency of amount of subventions </t>
  </si>
  <si>
    <t>Devise d'expression du montant des subventions</t>
  </si>
  <si>
    <t>Currency of amount of subventions</t>
  </si>
  <si>
    <t>cdDevSubv</t>
  </si>
  <si>
    <t>La donnée est obligatoire si la donnée montant des subventions [P1 29.3] est renseignée</t>
  </si>
  <si>
    <t>The data is mandatory if the amount of subventions [P1 29.3] is filled</t>
  </si>
  <si>
    <t>P1 29.5</t>
  </si>
  <si>
    <t>Montant de l'avance preneur en crédit-bail</t>
  </si>
  <si>
    <t>Amount of leasing down-payment</t>
  </si>
  <si>
    <t>Montant de l'avance preneur versé par le client final à l'entité dans le cadre de l'opération de crédit-bail</t>
  </si>
  <si>
    <t>Amount of the down-payment paid by the end customer to the entity as part of the leasing transaction</t>
  </si>
  <si>
    <t>mtAvCredBail</t>
  </si>
  <si>
    <t>P1 29.6</t>
  </si>
  <si>
    <t>Devise du montant de l'avance preneur en crédit-bail</t>
  </si>
  <si>
    <t>Currency of amount of leasing down-payment</t>
  </si>
  <si>
    <t>Devise d'expression du montant de de l'avance preneur en crédit-bail</t>
  </si>
  <si>
    <t>cdDevAvCredBail</t>
  </si>
  <si>
    <t>La donnée est obligatoire si la donnée montant de l'avance preneur en crédit-bail [P1 29.5] est renseignée</t>
  </si>
  <si>
    <t>The data is mandatory if the amount of leasing down-payment [P1 29.5] is filled</t>
  </si>
  <si>
    <t>P1 21.20</t>
  </si>
  <si>
    <t>Montant des passages en pertes cumulées</t>
  </si>
  <si>
    <t>Amount of cumulative write-offs</t>
  </si>
  <si>
    <t xml:space="preserve">Il s'agit du montant cumulé des pertes comptables associées à l'instrument à la date de référence.
Montant cumulé du principal et des intérêts de retard de tout instrument de créance que l'établissement ne comptabilise plus parce qu'il le juge irrécouvrable, quel que soit le portefeuille comptable dans lequel figure ce titre.
Les sorties du bilan peuvent être provoquées tant par des réductions de la valeur comptable des actifs financiers inscrits directement au compte de résultat que par des réductions des montants des comptes de correction pour pertes de crédit déduits de la valeur comptable de ces actifs financiers. </t>
  </si>
  <si>
    <t>This is the cumulative amount of accounting losses associated with the instrument at the reference date.
The cumulative amount of principal and default interest on any debt instrument that the institution no longer recognizes because it is considered to be uncollectible, regardless of the accounting portfolio in which the instrument is held.
Balance sheet outflows may be caused both by reductions in the carrying amount of financial assets recorded directly in the income statement and by reductions in the amounts of credit loss adjustment accounts deducted from the carrying amount of those financial assets</t>
  </si>
  <si>
    <t>mtPassPertCum</t>
  </si>
  <si>
    <t>Si pas de montants à déclarer, laisser à vide</t>
  </si>
  <si>
    <t>If no amounts to report, leave empty</t>
  </si>
  <si>
    <t>ANACREDIT, SRB VALUATION</t>
  </si>
  <si>
    <t>P1 21.21</t>
  </si>
  <si>
    <t>Devise du montant des passages en pertes cumulées</t>
  </si>
  <si>
    <t>Currency of amount of cumulative write-offs</t>
  </si>
  <si>
    <t>cdDevPassPertCum</t>
  </si>
  <si>
    <t>La donnée est obligatoire si la donnée montant de la valeur sacrifiée dans la restructuration [P1 21.20] est renseignée</t>
  </si>
  <si>
    <t>The data is mandatory if the data amount of the value sacrificed in the restructuring [P1 21.20] is filled</t>
  </si>
  <si>
    <t>P1 31.30</t>
  </si>
  <si>
    <t>Motif déclaration JV</t>
  </si>
  <si>
    <t>Reason for FV declaration</t>
  </si>
  <si>
    <t>Reflète la raison pour laquelle l'instrument est déclaré en Juste Valeur, au regard des résultats des tests SPPI</t>
  </si>
  <si>
    <t>Reflects the reason why the instrument is reported at Fair Value, based on the results of the SPPI tests</t>
  </si>
  <si>
    <t>IndMotDeclarJV</t>
  </si>
  <si>
    <t>LC.0341</t>
  </si>
  <si>
    <t xml:space="preserve">TA Z8IDSPPI </t>
  </si>
  <si>
    <t>EQU101
ISS200 et 300
TRE2xx à TRE4xx hors (TRE203, TRE205, TRE206, TRE207)
TRE5xx</t>
  </si>
  <si>
    <t>La donnée est obligatoire si le type de risque [P1 2.0] = 'EQU101', 'ISS200', 'ISS300', 'TRE2xx' à 'TRE4xx' hors (TRE203, TRE205, TRE206, TRE207), TRE5xx et si la classification comptable de référence des actifs [P1 19.5] = 'JCN','JCR','JVR'</t>
  </si>
  <si>
    <t>The data is mandatory if risk type [P1 2.0] = 'EQU101', 'ISS200', 'ISS300', 'TRE2xx' to 'TRE4xx' out (TRE203, TRE205, TRE206, TRE207), TRE5xx and if Reference accounting classification of assets [P1 19.5] = 'JCN','JCR','JVR'</t>
  </si>
  <si>
    <t>TPS0913</t>
  </si>
  <si>
    <t>P1 31.31</t>
  </si>
  <si>
    <t>Mode de cotation du titre</t>
  </si>
  <si>
    <t>Quotation method of securities</t>
  </si>
  <si>
    <t>Indique le mode de cotation du titre</t>
  </si>
  <si>
    <t xml:space="preserve">Indicates the quotation method of securities </t>
  </si>
  <si>
    <t>CdModCotaTitr</t>
  </si>
  <si>
    <t>LC.0342</t>
  </si>
  <si>
    <t>TA XPMODCOT</t>
  </si>
  <si>
    <t>PALMA, SHS</t>
  </si>
  <si>
    <t>La donnée est obligatoire si le type de risque [P1 2.0] = 'EQU101' et si Nature du sous-jacent [P1 12.1] = 01 ou 04 ou 05
---
La donnée est obligatoire si le type de risque [P1 2.0] = ISS200/300 et si Nature du sous-jacent [P1 12.1] (06, 07, 08, 09, 10, 11, 12, 13, 14, 15, 16, 30, 32)</t>
  </si>
  <si>
    <t>The data is mandatory if Risk type [P1 2.0] = 'EQU101' and if Nature of underlying [P1 12.1] = 01 or 04 or 05
---
The data is mandatory if Risk type [P1 2.0] = ISS200/300 and if Nature of underlying [P1 12.1] [P1 12.1] (06, 07, 08, 09, 10, 11, 12, 13, 14, 15, 16, 30, 32)</t>
  </si>
  <si>
    <t>TPS0914
TPS0915</t>
  </si>
  <si>
    <t>P1 31.32</t>
  </si>
  <si>
    <t>Date d'émission du titre</t>
  </si>
  <si>
    <t>Issuance date of the security </t>
  </si>
  <si>
    <t>Date d'émission du titre détenu</t>
  </si>
  <si>
    <t>Issuance date of the security held</t>
  </si>
  <si>
    <t>DtEmisTitr</t>
  </si>
  <si>
    <t>CONGLOMERATS, MREL, PALMA, SHS, SRB VALUATION, TLAC</t>
  </si>
  <si>
    <t>La donnée est obligatoire si le type de risque [P1 2.0] = 'EQU101', 'ISS100', 'ISS200', 'ISS300'</t>
  </si>
  <si>
    <t>The data is mandatory if risk type [P1 2.0] = 'EQU101', 'ISS100', 'ISS200', 'ISS300'</t>
  </si>
  <si>
    <t>TPS0878</t>
  </si>
  <si>
    <t>P1 31.33</t>
  </si>
  <si>
    <t>Date de maturité du titre</t>
  </si>
  <si>
    <t>Maturity date of security </t>
  </si>
  <si>
    <t>Date de maturité du titre détenu</t>
  </si>
  <si>
    <t>Maturity date of the security held</t>
  </si>
  <si>
    <t>DtMaturTitr</t>
  </si>
  <si>
    <t>CALCULS PRUDENTIELS, CONGLOMERATS, SHS, SRB VALUATION</t>
  </si>
  <si>
    <t>ISS200
ISS300</t>
  </si>
  <si>
    <r>
      <t>La donnée est obligatoire si le type de risque [P1 2.0] ='ISS200', 'ISS300'</t>
    </r>
    <r>
      <rPr>
        <sz val="11"/>
        <color theme="1"/>
        <rFont val="Calibri"/>
        <family val="2"/>
        <scheme val="minor"/>
      </rPr>
      <t xml:space="preserve"> ET si Nature du Sous-Jacent [P1 12.1]= '06', '07', '08', '09', '10', '11'</t>
    </r>
  </si>
  <si>
    <t>The data is mandatory if Risk Type [P1 2.0] = 'ISS200', 'ISS300' AND if Nature of underlying [P1 12.1] = '06', '07', '08', '09', '10', '11'</t>
  </si>
  <si>
    <t>TPS0916</t>
  </si>
  <si>
    <t>P1 31.34</t>
  </si>
  <si>
    <t>Etat du titre</t>
  </si>
  <si>
    <t>Securities status</t>
  </si>
  <si>
    <t>Etat du titre à date</t>
  </si>
  <si>
    <t>Securities status at closing date</t>
  </si>
  <si>
    <t>EtatTitr</t>
  </si>
  <si>
    <t>LC.0343</t>
  </si>
  <si>
    <t>TA Z8ETITRE</t>
  </si>
  <si>
    <t>SHS</t>
  </si>
  <si>
    <t>La donnée est obligatoire si le type de risque [P1 2.0] = 'EQU101', 'ISS200', 'ISS300'</t>
  </si>
  <si>
    <t>Mandatory data if Risk type [P1 2.0] = 'EQU101', 'ISS200', 'ISS300'</t>
  </si>
  <si>
    <t>TPS0917</t>
  </si>
  <si>
    <t>P1 31.35</t>
  </si>
  <si>
    <t>Date de l'état du titre</t>
  </si>
  <si>
    <t xml:space="preserve">Date of securities status </t>
  </si>
  <si>
    <t>L'attribut indique l'état du titre, c'est-à-dire si le titre est vivant (par exemple s'il est en défaut, est parvenu à échéance ou a fait l'objet d'un remboursement anticipé). 
Les titres sont classés en « vivant » ou « non vivant ». Les titres doivent être considérés comme vivants aussi longtemps que la créance qu'elle représente existe (critère objectif). Des critères subjectifs, comme une faible probabilité de remboursement, ne doivent pas être pris en considération pour établir la valeur de la présente variable. La définition ci-dessus s'applique également aux titres échus (c'est-à-dire ayant dépassé la date d'amortissement de l'intégralité du capital restant dû) avec un émetteur en cours de liquidation ou d'autres cas de non-règlement de créances des détenteurs après la date d'amortissement du titre. Dans ce processus, le titre est toujours considéré comme en circulation jusqu'au règlement final de la liquidation et doit être classé « vivant »</t>
  </si>
  <si>
    <t xml:space="preserve">The attribute indicates the status of the security, i.e. whether the security is alive (e.g. if it is in default, has reached due date or has been redeemed early).
Titles are classified as "live" or "non-living". The securities must be considered as living as long as the claim it represents exists (objective criterion). Subjective criteria, such as a low probability of repayment, should not be taken into account in determining the value of this variable. The above definition is also applicable to securities maturing (i.e. past the depreciation|amortisation date of the full outstanding capital) with an issuer in liquidation or other non-settlement of debts of holders after the depreciation|amortisation date of the security. In this process, the security is always considered to be outstanding until the final settlement of the liquidation and must be classified as “alive”.”
</t>
  </si>
  <si>
    <t>DtEtatTitr</t>
  </si>
  <si>
    <t>La donnée est obligatoire si le type de risque [P1 2.0] = 'EQU101', 'ISS200', 'ISS300' et si la donnée état du titre [P1 31.34] est renseignée</t>
  </si>
  <si>
    <t>Mandatory data if Risk type [P1 2.0] = 'EQU101', 'ISS200', 'ISS300' and if the data securities status [P1 31.34] is filled</t>
  </si>
  <si>
    <t>TPS0918</t>
  </si>
  <si>
    <t>Si les données date de l'état du titre [P1 31.35] et date d'émission du titre [P1 31.32] sont renseignées, alors la date de l'état du titre [P1 31.35] doit être &gt;= à la date d'émission du titre [P1 31.32]</t>
  </si>
  <si>
    <t>If the data date of securities status [P1 31.35] and Issuance date of the security [P1 31.32] are filled, then the date of securities status [P1 31.35] must be &gt;= to the Issuance date of the security  [P1 31.32]</t>
  </si>
  <si>
    <t>TCS0739</t>
  </si>
  <si>
    <t>P1 31.36</t>
  </si>
  <si>
    <t>Indicateur prise ferme sur les titres</t>
  </si>
  <si>
    <t>Underwriting indicator on securities</t>
  </si>
  <si>
    <t>Indicateur permettant d'identifier les détentions correspondant à des prises fermes sur des titres émis par une société, achetés par la banque en vue de leur revente au public, ce afin d'assurer à la société émettrice la réussite de son émission</t>
  </si>
  <si>
    <t>Indicator to identify holdings corresponding to underwriting on securities issued by a company, purchased by the bank for resale to the public, in order to assure the issuing company of the success of its issue</t>
  </si>
  <si>
    <t>IndPriseFermeTitr</t>
  </si>
  <si>
    <t>LC.0344</t>
  </si>
  <si>
    <t>TA Z8IPFSLT</t>
  </si>
  <si>
    <t>MREL, TLAC, SHS</t>
  </si>
  <si>
    <t>P1 16.24</t>
  </si>
  <si>
    <t>Méthode de titrisation</t>
  </si>
  <si>
    <t>Securitisation method</t>
  </si>
  <si>
    <t>Ce champ permet de préciser la méthode de titrisation appliquée à l'engagement titrisation</t>
  </si>
  <si>
    <t>CdMethTitr</t>
  </si>
  <si>
    <t>LC.0368</t>
  </si>
  <si>
    <t>RB KVMTITRI</t>
  </si>
  <si>
    <t xml:space="preserve">ISS200 et 300
TRExx hors 201, 203, 205, 206 et 207
SIGxxx
VAR hors repos
</t>
  </si>
  <si>
    <t>P1 16.25</t>
  </si>
  <si>
    <t>Echelon qualité de crédit de la tranche à date d'origine</t>
  </si>
  <si>
    <t>Credit quality step of the securitization tranche at origination date</t>
  </si>
  <si>
    <t>Echelon de qualité de crédit de la tranche à l'origine</t>
  </si>
  <si>
    <t>CdEchQualCreditTranOri</t>
  </si>
  <si>
    <t>LC.0366</t>
  </si>
  <si>
    <t>TA Z8EQCTIT</t>
  </si>
  <si>
    <t>La donnée est obligatoire si le type de risque [P1 2.0] = 'TRE2xx' à 'TRE4xx', 'ISS200', 'ISS300', 'SIGxxx' hors (TRE203,TRE205, TRE206, TRE207) ET si le Portefeuille Bâlois - Opération [P1 2.18] = '070'
---
La donnée est obligatoire si le type de risque [P1 2.0] = 'TRE2xx' à 'TRE4xx', 'ISS200', 'ISS300', 'SIGxxx' hors (TRE203,TRE205, TRE206, TRE207) ET si la donnée type de cotation échelon de qualité de crédit de la tranche à date d'origine [P1 16.26] est renseignée</t>
  </si>
  <si>
    <t>The data is mandatory if Risk type [P1 2.0] = 'TRE2xx' to 'TRE4xx', 'ISS200', 'ISS300', 'SIGxxx' except (TRE203, TRE205, TRE206, TRE207) and if the Basel Portfolio - Operation [P1 2.18] = '070'
—
The data is mandatory if Risk type [P1 2.0] = 'TRE2xx' to 'TRE4xx', 'ISS200', 'ISS300', 'SIGxxx' except (TRE203, TRE205, TRE206, TRE207) and if the original date tranche quality of credit step quotation standard data [P1 16.26] is filled in</t>
  </si>
  <si>
    <t>TPS0919
TPS0920</t>
  </si>
  <si>
    <t>P1 16.26</t>
  </si>
  <si>
    <t>Type de cotation échelon de qualité de crédit de la tranche à date d'origine</t>
  </si>
  <si>
    <t>Type of rating of credit quality step of the securitization tranche at origination date</t>
  </si>
  <si>
    <t>Type de cotation échelon de qualité de crédit de la tranche à date d'origine (Long terme, Court terme)</t>
  </si>
  <si>
    <t>Type of rating of credit quality step of the securitization tranche at origination date (Long-term, short-term)</t>
  </si>
  <si>
    <t>TypCotEchCreditTranOri</t>
  </si>
  <si>
    <t>La donnée est obligatoire si le Portefeuille Bâle Opération [P1 2.18] = ‘070'
--
La donnée est obligatoire si le type de risque [P1 2.0] = 'TRE2xx' à 'TRE4xx', 'ISS200', 'ISS300', 'SIGxxx' hors (TRE201,TRE203,TRE205, TRE206, TRE207) et si le Portefeuille Bâlois - Opération [P1 2.18] = '070' ET si la donnée échelon de qualité de crédit de la tranche à date d'origine [P1 16.25] est renseignée</t>
  </si>
  <si>
    <t>The data is mandatory if the Basel Portfolio - Operation [P1 2.18] = '070'
--
The data is mandatory if Risk type [P1 2.0] = 'TRE2xx' to 'TRE4xx', 'ISS200', 'ISS300', 'SIGxxx' out (TRE201, TRE203, TRE205, TRE206, TRE207) and the Basel Portfolio - Operation [P1 2.18] = '070' AND if the data quality of credit step of the tranche at the original date [P1 1 6.25] is filled in</t>
  </si>
  <si>
    <t>6
7</t>
  </si>
  <si>
    <t>TPS0793
TPS0794</t>
  </si>
  <si>
    <t>P1 16.27</t>
  </si>
  <si>
    <t>Echelon qualité de crédit de la tranche à date d'arrêté</t>
  </si>
  <si>
    <t>Credit quality step of the securitization tranche at closing date</t>
  </si>
  <si>
    <t>Echelon de qualité de crédit de la tranche à date d'arrêté</t>
  </si>
  <si>
    <t>CdEchQualCreditTranArrDt</t>
  </si>
  <si>
    <t>La donnée est obligatoire, SI le Portefeuille Bâle Opération [P1 2.18] est égal à '070' ET SI [la méthode de titrisation [P1 16.24] est égale à 'ERBA' OU la Méthode de titrisation pour le calcul de l'Output Floor [P1 21.48] est égale à 'ERBA'] ET SI la donnée Type de cotation échelon de qualité de crédit de la tranche à date d'arrêté [P1 16.28] est renseignée.</t>
  </si>
  <si>
    <t>The data is mandatory IF Basel Transaction Portfolio [P1 2.18] is equal to '070' AND IF [Securitisation method [P1 16.24] is equal to 'ERBA' OR Securitization method for the Output Floor calculation calculation [P1 21.48] is equal to 'ERBA'] AND IF Type of rating of credit quality step of the securitization tranche at closing date [P1 16.28] is filled</t>
  </si>
  <si>
    <t>TPS0921</t>
  </si>
  <si>
    <t>P1 16.28</t>
  </si>
  <si>
    <t>Type de cotation échelon de qualité de crédit de la tranche à date d'arrêté</t>
  </si>
  <si>
    <t xml:space="preserve">Type of rating of credit quality step of the securitization tranche at closing date </t>
  </si>
  <si>
    <t>Type de cotation échelon de qualité de crédit de la tranche à date d'arrêté (Long terme, Court terme)</t>
  </si>
  <si>
    <t>Type of rating of credit quality step of the securitization tranche at closing date (Long-term, short-term)</t>
  </si>
  <si>
    <t>TypCotEchQualCreditTranArrDt</t>
  </si>
  <si>
    <t>La donnée est obligatoire, SI le Portefeuille Bâle Opération [P1 2.18] est égal à '070' ET SI [la méthode de titrisation [P1 16.24] est égale à 'ERBA' OU la Méthode de titrisation pour le calcul de l'Output Floor [P1 21.48] est égale à 'ERBA'] ET SI la donnée Echelon de qualité de crédit de la tranche à date d'arrêté [P1 16.27] est renseignée.</t>
  </si>
  <si>
    <t>The data is mandatory IF Basel Transaction Portfolio [P1 2.18] is equal to '070' AND IF [Securitisation method [P1 16.24] is equal to 'ERBA' OR Securitization method for the Output Floor calculation calculation [P1 21.48] is equal to 'ERBA'] AND IF Credit quality step of the securitization tranche at closing date [P1 16.27] is filled</t>
  </si>
  <si>
    <t>TPS0922</t>
  </si>
  <si>
    <t>P1 16.29</t>
  </si>
  <si>
    <t xml:space="preserve">Montant escompte d'achats non remboursables </t>
  </si>
  <si>
    <t xml:space="preserve">Discount amount of non-refundable purchases </t>
  </si>
  <si>
    <t xml:space="preserve">Montant d'escompte d'achats non remboursables (colonne 160 de l'état COREP Titrisation 13.1 « CR-SEC ») </t>
  </si>
  <si>
    <t>Discount amount of non-refundable purchases (column 160 of the COREP report Securitization 13.1 "CR-SEC")</t>
  </si>
  <si>
    <t>MtEscAchNonRemb</t>
  </si>
  <si>
    <t>P1 16.30</t>
  </si>
  <si>
    <t xml:space="preserve">Devise du montant escompte d'achats non remboursables </t>
  </si>
  <si>
    <t xml:space="preserve">Currency of the discount amount of non-refundable purchases </t>
  </si>
  <si>
    <t>Devise d'expression du montant escompte d'achats non remboursables</t>
  </si>
  <si>
    <t>Currency of the amount of discount amount of non-refundable purchases</t>
  </si>
  <si>
    <t>cdDevEscAchNonRemb</t>
  </si>
  <si>
    <t>La donnée est obligatoire si la donnée montant d'escompte achats non remboursables [P1 16.29] est renseignée</t>
  </si>
  <si>
    <t>The data is mandatory if the non-refundable purchase discount amount data [P1 16.29] is filled</t>
  </si>
  <si>
    <t>P1 16.31</t>
  </si>
  <si>
    <t>Montant de l'ajustement spécifique du risque de crédit sur des expositions sous-jacentes</t>
  </si>
  <si>
    <t>Amount of specific adjustment of credit risk on underlying exposures</t>
  </si>
  <si>
    <t>L'ajustement spécifique du risque de crédit sur des expositions sous-jacentes (colonne 170 de l'état COREP Titrisation 13.1 « CR-SEC ») correspond au montant de provisions adossé aux créances titrisées (et pas aux provisions qui concernent la position de titrisation)</t>
  </si>
  <si>
    <t>The specific adjustment of credit risk on underlying exposures (column 170 of statement COREP Securitization 13.1 "CR-SEC"). corresponds to the amount of provisions backing securitised loans (and not to provisions relating to the securitization position)</t>
  </si>
  <si>
    <t>mtAjustExpo</t>
  </si>
  <si>
    <t>P1 16.32</t>
  </si>
  <si>
    <t>Devise du montant de l'ajustement spécifique du risque de crédit sur des expositions sous-jacentes</t>
  </si>
  <si>
    <t>Currency of the amount of specific adjustment of credit risk on underlying exposures</t>
  </si>
  <si>
    <t>Devise d'expression de l'ajustement spécifique du risque de crédit sur des expositions sous-jacentes</t>
  </si>
  <si>
    <t>Currency of the specific adjustment of credit risk on underlying exposures</t>
  </si>
  <si>
    <t>cdDevAjustExpo</t>
  </si>
  <si>
    <t>La donnée est obligatoire si la donnée Montant de l'ajustement spécifique du risque de crédit sur des expositions sous-jacentes [P1 16.31] est renseignée</t>
  </si>
  <si>
    <t>The data is mandatory if the Amount of specific adjustment of credit risk on underlying exposures [P1 16.31] is filled</t>
  </si>
  <si>
    <t>P1 16.33</t>
  </si>
  <si>
    <t>Valeur exposée au risque des positions déduites des fonds propres</t>
  </si>
  <si>
    <t xml:space="preserve">Exposure value of positions deducted from own funds </t>
  </si>
  <si>
    <t>Valeur exposée au risque des positions déduites des fonds propres (colonne 190 de l'état COREP Titrisation 13.1 « CR-SEC »). Dans le cas d'une titrisation pondérée à 1250% on peut faire le choix de déduire ce montant des emplois pondérés</t>
  </si>
  <si>
    <t>Exposure value of positions deducted from own funds (column 190 of COREP securitization statement 13.1 "CR-SEC"). In the case of a 1250% risk-weighted securitization, you can choose to deduct this amount from the risk-weighted assets</t>
  </si>
  <si>
    <t>MtValFondProp</t>
  </si>
  <si>
    <t>P1 16.34</t>
  </si>
  <si>
    <t>Devise de la valeur exposée au risque des positions déduites des fonds propres</t>
  </si>
  <si>
    <t xml:space="preserve">Currency of exposure value of positions deducted from own funds </t>
  </si>
  <si>
    <t>Devise d'expression de la valeur exposée au risque des positions déduites des fonds propres</t>
  </si>
  <si>
    <t>Currency of the exposure value of positions deducted from own funds</t>
  </si>
  <si>
    <t>cdDevValFondProp</t>
  </si>
  <si>
    <t>La donnée est obligatoire si la donnée valeur exposée au risque des positions déduites des fonds propres [P1 16.33] est renseignée</t>
  </si>
  <si>
    <t>The data is mandatory if the data value exposed to the risk of the positions deduced from the equities [P1 16.33] is filled</t>
  </si>
  <si>
    <t>P1 16.35</t>
  </si>
  <si>
    <t xml:space="preserve">Montant de l'ajustement des risques pondérés lié à décote d'asymétrie d'échéance </t>
  </si>
  <si>
    <t>Amount of adjustment of risk-weighted assets linked to discount for maturity mismatch</t>
  </si>
  <si>
    <t>Montant des ajustements des risques pondérés liés aux décalages d'échéances (colonne 870 l'état COREP Titrisation 13.1 « CR-SEC »). Il s'agit du montant de RWA lié à une décote d'asymétrie d'échéance
Concerne uniquement les titrisations synthétiques</t>
  </si>
  <si>
    <t>Amount of risk-weighted adjustments related to maturity mismatches (column 870 of the COREP securitization statement 13.1 "CR-SEC"). This is the amount of RWA linked to a discount for maturity mismatch
Covers only synthetic securitizations</t>
  </si>
  <si>
    <t>mtAjustDec</t>
  </si>
  <si>
    <t>P1 16.36</t>
  </si>
  <si>
    <t>Devise du montant de l'ajustement des risques pondérés lié à décote d'asymétrie d'échéance</t>
  </si>
  <si>
    <t>Currency of amount of adjustment of risk-weighted assets linked to discount for maturity mismatch</t>
  </si>
  <si>
    <t>Devise d'expression de l'ajustement des risques pondérés lié à décote d'asymétrie d'échéance</t>
  </si>
  <si>
    <t>Currency of adjustment of risk-weighted assets linked to discount for maturity mismatch</t>
  </si>
  <si>
    <t>cdDevAjustDec</t>
  </si>
  <si>
    <t>La donnée est obligatoire si la donnée Montant de l'ajustement des risques pondérés lié à décote d'asymétrie d'échéance [P1 16.35] est renseignée</t>
  </si>
  <si>
    <t>The data is mandatory if the Amount of adjustment of risk-weighted assets linked to discount for maturity mismatch [P1 16.35] is filled</t>
  </si>
  <si>
    <t>P1 16.37</t>
  </si>
  <si>
    <t xml:space="preserve">Montant de RWA supplémentaire pour non-conformité aux exigences prévues </t>
  </si>
  <si>
    <t>Additional RWA amount for non-compliance with planned requirements</t>
  </si>
  <si>
    <t>Effet global (ajustement) lié au manquements aux dispositions du chapitre 2 du règlement (UE) 2017
2402 -&gt; montant de RWA supplémentaire à déclarer (article 270.bis)</t>
  </si>
  <si>
    <t>Overall effect (adjustment) related to the non-compliance with the provisions of Chapter 2 of Regulation (EU) 2017
2402 -&gt; additional RWA to be reported (Article 270.a)</t>
  </si>
  <si>
    <t>mtRWASup</t>
  </si>
  <si>
    <t>P1 16.38</t>
  </si>
  <si>
    <t>Devise du montant de RWA supplémentaire pour non-conformité aux exigences prévues</t>
  </si>
  <si>
    <t>Currency of additional RWA amount for non-compliance with planned requirements</t>
  </si>
  <si>
    <t>Devise d'expression du montant de RWA supplémentaire pour non-conformité aux exigences prévues</t>
  </si>
  <si>
    <t>cdDevRWASup</t>
  </si>
  <si>
    <t>La donnée est obligatoire si la donnée montant de RWA supplémentaire pour non-conformité aux exigences prévues [P1 16.37] est renseignée</t>
  </si>
  <si>
    <t>The data is mandatory if the additional RWA amount data for non-compliance to the requirements [P1 16.37] is filled</t>
  </si>
  <si>
    <t>P1 16.39</t>
  </si>
  <si>
    <t>Montant du gain RWA obtenu par le CAP sur la pondération</t>
  </si>
  <si>
    <t>Amount of RWA gain obtained by CAP on risk weight</t>
  </si>
  <si>
    <t>Réduction due à l'application d'un plafond des exposition pondérées (colonne 900 état COREP Titrisation 13.1 « CR-SEC »). Il s'agit du montant de RWA à déduire dans le cadre d'un « CAP » qui répond à l'article 267 du règlement (UE) 2017 2401</t>
  </si>
  <si>
    <t>Reduction due to the application of a risk-weighted exposure ceiling (column 900 COREP securitization statement 13.1 "CR-SEC"). This is the amount of RWA to be deducted in the context of a "CAP" which complies with Article 267 of Regulation (EU) 2017 2401</t>
  </si>
  <si>
    <t>mtRWACAPPond</t>
  </si>
  <si>
    <t>P1 16.40</t>
  </si>
  <si>
    <t>Devise du montant du gain RWA obtenu par le CAP sur la pondération</t>
  </si>
  <si>
    <t>Currency of the amount of RWA gain obtained by CAP on risk weight</t>
  </si>
  <si>
    <t>Devise d'expression gain RWA obtenu par le CAP sur la pondération</t>
  </si>
  <si>
    <t>Currency of RWA gain obtained by CAP on risk weight</t>
  </si>
  <si>
    <t>cdDevRWACAPPond</t>
  </si>
  <si>
    <t>La donnée est obligatoire si la donnée Montant du gain RWA obtenu par le CAP sur la pondération [P1 16.39] est renseignée</t>
  </si>
  <si>
    <t>The data is mandatory if the Amount of RWA gain obtained by the CAP on the weighting [P1 16.39] is filled</t>
  </si>
  <si>
    <t>P1 16.41</t>
  </si>
  <si>
    <t>Montant du gain RWA obtenu par le CAP sur les exigences en fonds propres</t>
  </si>
  <si>
    <t>Amount of RWA gain obtained by CAP on capital requirements</t>
  </si>
  <si>
    <t>Réduction due à l'application d'un plafond des exposition pondérées (colonne 910 état COREP Titrisation 13.1 « CR-SEC »). Il s'agit du montant de RWA à déduire dans le cadre d'un "CAP" qui répond à l'article 268 du règlement (UE) 2017 2401</t>
  </si>
  <si>
    <t>Reduction due to the application of a risk-weighted exposure ceiling (column 910 statement COREP Securitization 13.1 "CR-SEC"). This is the amount of RWA to be deducted in the context of a "CAP" which complies with Article 268 of Regulation (EU) 2017 2401</t>
  </si>
  <si>
    <t>mtRWACAPFondProp</t>
  </si>
  <si>
    <t>P1 16.42</t>
  </si>
  <si>
    <t>Devise du montant du gain RWA obtenu par le CAP sur les exigences en fonds propres</t>
  </si>
  <si>
    <t>Currency of the amount of RWA gain obtained by CAP on capital requirements</t>
  </si>
  <si>
    <t>Devise d'expression gain RWA obtenu par le CAP sur les exigences en fonds propres</t>
  </si>
  <si>
    <t>Currency of RWA gain obtained by CAP on capital requirements</t>
  </si>
  <si>
    <t>cdDevRWACAPFondProp</t>
  </si>
  <si>
    <t>La donnée est obligatoire si la donnée Montant du gain RWA obtenu par le CAP sur les exigences en fonds propres [P1 16.41] est renseignée</t>
  </si>
  <si>
    <t>The data is mandatory if the Amount of RWA gain obtained by the CAP on capital requirements [P1 16.41] is filled</t>
  </si>
  <si>
    <t>P1 28.3</t>
  </si>
  <si>
    <t>Nature du financement</t>
  </si>
  <si>
    <t xml:space="preserve">Nature of funding </t>
  </si>
  <si>
    <t>Nature du financement accordé dans le cadre du financement d'une opération à effet de levier</t>
  </si>
  <si>
    <t>Nature of funding granted in the context of financing of a leveraged transaction</t>
  </si>
  <si>
    <t>cdNatFin</t>
  </si>
  <si>
    <t>LC.0347</t>
  </si>
  <si>
    <t>TA Z8NATFIN</t>
  </si>
  <si>
    <t xml:space="preserve">EQU101
EQU201
TRE2 à 4XX hors 203,205,206,207
SIG
</t>
  </si>
  <si>
    <t>P1 28.4</t>
  </si>
  <si>
    <t>Type d'origination opération à effet de levier</t>
  </si>
  <si>
    <t>Origination type of leveraged transaction</t>
  </si>
  <si>
    <t>Type d'origination de l'opération à effet de levier</t>
  </si>
  <si>
    <t>cdTypOpLev</t>
  </si>
  <si>
    <t>LC.0348</t>
  </si>
  <si>
    <t>TA Z8TYOFEL</t>
  </si>
  <si>
    <t>P1 28.5</t>
  </si>
  <si>
    <t>Type clause contrat covenant</t>
  </si>
  <si>
    <t>Covenant contract clause type</t>
  </si>
  <si>
    <t>Type de clause du contrat covenant</t>
  </si>
  <si>
    <t>Clause type of "COVENANT" contracts</t>
  </si>
  <si>
    <t>cdTypCntCov</t>
  </si>
  <si>
    <t>LC.0349</t>
  </si>
  <si>
    <t>TA Z8TCLAUS</t>
  </si>
  <si>
    <t>P1 28.6</t>
  </si>
  <si>
    <t>Identifiant local du tiers sponsor financier</t>
  </si>
  <si>
    <t>Local identifier of the financial sponsor</t>
  </si>
  <si>
    <t>Identifiant du tiers sponsor financier dans le système local utilisé pour générer le flux</t>
  </si>
  <si>
    <t>Identifier of the financial sponsor in the local system used to generate the flow</t>
  </si>
  <si>
    <t>idLocalTiersSponsor</t>
  </si>
  <si>
    <t>La donnée est obligatoire si le type de risque [P1 2.0] = ('TRE2*', 'TRE4*', 'EQU*', 'SIG*') hors (TRE203, TRE205, TRE206, TRE207, 'SIG1*', SIG203, SIG205) et l'indicateur opération effet de levier [P1 28.1] est renseigné et différent de '0' ou '3'</t>
  </si>
  <si>
    <t>The data is mandatory if Risk type [P1 2.0] = ('TRE2*', 'TRE4*', 'EQU*', 'SIG*') except (TRE203, TRE205, TRE206, TRE207, 'SIG1*', SIG203, SIG205) and leveraged transaction indicator [P1 28.1] is filled and different from '0' or '3'</t>
  </si>
  <si>
    <t>TPS0923</t>
  </si>
  <si>
    <t>P1 28.7</t>
  </si>
  <si>
    <t>Identifiant central du tiers sponsor financier</t>
  </si>
  <si>
    <t>Central identifier of the financial sponsor</t>
  </si>
  <si>
    <t>Identifiant du tiers sponsor financier dans le système central DRG (i.e Identifiant central de la base Tiers TIGRE)</t>
  </si>
  <si>
    <t>Identifier of the financial sponsor in the central DRG system (i.e. Central identifier of the TIGRE Third Party database)</t>
  </si>
  <si>
    <t>idCentralTiersSponsor</t>
  </si>
  <si>
    <t>Obligatoire si indicateur opération effet de levier (P1 28.1) différent de '0' (Opération sans effet de levier)</t>
  </si>
  <si>
    <t>Mandatory if leverage effect transaction indicator (P1 28.1) is different from '0' (Leverage-less)</t>
  </si>
  <si>
    <t>ASTRE, FEL, LOAN TAPE</t>
  </si>
  <si>
    <t>S'il est renseigné, l'identifiant doit correspondre à un enregistrement dans l'objet associé, indépendamment de l'entité
---
La donnée doit être présente dans TIGRE
---
Le couple identifiant local / central (P1 28.6 et P1 28.7) doit exister dans TIGRE</t>
  </si>
  <si>
    <t>If it is filled in, the identifier must correspond to a record in the associated object, regardless of the entity
---
Data must be present in TIGRE
---
The local/central identifier pair (P1 28.6 and P1 28.7) must exist in TIGRE</t>
  </si>
  <si>
    <t>P1 28.8</t>
  </si>
  <si>
    <t>Ratio de levier de l'opération à l'origination</t>
  </si>
  <si>
    <t>Leverage ratio of the original transaction</t>
  </si>
  <si>
    <t>Date de la signature du contrat
Ratio de levier brut BCE (endettement brut / EBITDA) : 
- Toutes les dettes connues non tirées, y compris la nouvelle dette au closing pour les LBO/FSA et financements conséquents CEL ou date de renouvellement pour les CEL (revue annuelle sans mise en place de nouveaux financements)
- Toute amélioration de l'EBITDA doit être dûment justifié et examiné par une fonction indépendante de la fonction de front office</t>
  </si>
  <si>
    <t>Date of contract signature.
ECB gross leverage ratio (gross debt/EBITDA):
- All known undrawn debts, including the new closing debt for LBO/FSA and significant CEL financing or renewal date for CEL (annual review without new financing)
- Any improvement in the EBITDA must be duly justified and examined by a function independent of the front office function</t>
  </si>
  <si>
    <t>AmtOpeEffetLevier</t>
  </si>
  <si>
    <t>P1 28.9</t>
  </si>
  <si>
    <t>Montant de la part de la prise ferme du montant du contrat à l'origine</t>
  </si>
  <si>
    <t>Amount of the underwriting of the original contract amount</t>
  </si>
  <si>
    <t>Part (en montant) de la prise ferme du montant du contrat à l'origine par la Banque</t>
  </si>
  <si>
    <t>Amount of the underwriting of the original contract amount by the Bank</t>
  </si>
  <si>
    <t>MtPriseFerme</t>
  </si>
  <si>
    <t>Si renseignée, la donnée doit être strictement supérieure à 0</t>
  </si>
  <si>
    <t>If filled, data must strictly be greater than 0</t>
  </si>
  <si>
    <t>TVG0003</t>
  </si>
  <si>
    <t>P1 28.10</t>
  </si>
  <si>
    <t>Devise du montant de la part de la prise ferme du montant du contrat à l'origine</t>
  </si>
  <si>
    <t>Currency of amount of the underwriting of the original contract amount</t>
  </si>
  <si>
    <t>Devise d'expression du montant de la part de la prise ferme du montant du contrat à l'origine</t>
  </si>
  <si>
    <t>cdDevPriseFerme</t>
  </si>
  <si>
    <t>La donnée est obligatoire si la donnée montant de la part de la prise ferme du montant du contrat à l'origine [P1 28.9] est renseignée</t>
  </si>
  <si>
    <t>The data is mandatory if the Amount of the underwriting of the original contract amount [P1 28.9] is filled</t>
  </si>
  <si>
    <t>P1 28.11</t>
  </si>
  <si>
    <t>Montant de la part à syndiquer du montant du contrat à l'origine</t>
  </si>
  <si>
    <t>Amount to syndicate of the original contract amount</t>
  </si>
  <si>
    <t>Part à syndiquer du contrat, à céder dans les 90 jours suivant la signature du contrat</t>
  </si>
  <si>
    <t>Amount of the part to be syndicated of the contract, to be sold within 90 days of contract signing date</t>
  </si>
  <si>
    <t>MtPartSynd</t>
  </si>
  <si>
    <t>P1 28.12</t>
  </si>
  <si>
    <t>Devise du montant de la part à syndiquer du montant du contrat à l'origine</t>
  </si>
  <si>
    <t>Currency of amount to syndicate of the original contract amount</t>
  </si>
  <si>
    <t>Devise d'expression de la part à syndiquer du montant du contrat à l'origine</t>
  </si>
  <si>
    <t>cdDevPartSynd</t>
  </si>
  <si>
    <t>La donnée est obligatoire si la donnée Montant de la part à syndiquer du montant du contrat à l'origine [P1 28.11] est renseignée</t>
  </si>
  <si>
    <t>The data is mandatory if the Amount to syndicate of the original contract amount [P1 28.11] is filled</t>
  </si>
  <si>
    <t>P1 28.13</t>
  </si>
  <si>
    <t>Montant de la part à syndiquer non cédé</t>
  </si>
  <si>
    <t>Amount to be syndicated not transferred</t>
  </si>
  <si>
    <t>Montant de la part à syndiquer non cédé après le délai de 90 jours (délai norme Groupe pour la syndication)</t>
  </si>
  <si>
    <t>Amount of the part to be syndicated not transferred after the 90-day period (Group standard time limit for syndication)</t>
  </si>
  <si>
    <t>MtPartSyndNonCede</t>
  </si>
  <si>
    <t>P1 28.14</t>
  </si>
  <si>
    <t>Devise du montant de la part à syndiquer non cédé</t>
  </si>
  <si>
    <t>Currency of amount to be syndicated not transferred</t>
  </si>
  <si>
    <t xml:space="preserve">Devise d'expression du montant de la part à syndiquer non cédé </t>
  </si>
  <si>
    <t>cdDevPartSyndNonCede</t>
  </si>
  <si>
    <t>La donnée est obligatoire si la donnée montant de la part à syndiquer non cédé [P1 28.13] est renseignée</t>
  </si>
  <si>
    <t>The data is mandatory if the data amount of the share to be unionized not assigned [P1 28.13] is filled</t>
  </si>
  <si>
    <t>P1 50.1</t>
  </si>
  <si>
    <t>Devise de liasse de l'entité</t>
  </si>
  <si>
    <t>Package currency of the risk bearing entity</t>
  </si>
  <si>
    <t>Devise de liasse comptable de l'entité porteuse de risque à la date d'arrêté</t>
  </si>
  <si>
    <t>Accounting package currency of the risk bearing entity at closing date</t>
  </si>
  <si>
    <t>cdDevEntCmpt</t>
  </si>
  <si>
    <t>P1 50.2</t>
  </si>
  <si>
    <t>PCCO - Montant du principal 1</t>
  </si>
  <si>
    <t xml:space="preserve">PCCO - Amount of principal 1 </t>
  </si>
  <si>
    <t>Code du compte dans le Plan de comptes consolidé prudentiel
Le compte "PCCO - Montant du principal 1" correspond : 
 - au compte de l'actif comptabilisé au bilan (en juste valeur ou en coût amorti selon sa classification comptable), classé en nature d'opération NAT01 (Opérations de trésorerie et interbancaires), NAT02 (Opérations avec la clientèle) or NAT03 (Opérations sur titres hors repos),
- au compte comptabilisé au hors-bilan, classé en nature d'opération NAT06 (Engagements de garanties donnés), NAT07 (Engagements de financement donnés) ou en NAT08 (Engagements de garanties reçus), 
- au compte de l'actif comptabilisant au bilan la juste valeur comptable du dérivé, classé en nature d'opération NAT10B (Instruments financiers à terme (Bilan)),
- au compte de l'actif comptabilisant la valeur des titres pour les cessions temporaires de titres classé en nature d'opération NAT04 (Pensions)</t>
  </si>
  <si>
    <t>Account code in the prudential consolidated chart of accounts
The "PCCO - Amount of Principal 1" account corresponds of :
 - the asset account recognized in the balance sheet (at fair value or amortized cost according to its accounting classification), classified as transaction type NAT01 (Treasury and interbank operations), NAT02 (Customer operations) or NAT03 (Securities transactions (excluded repos)),
- the account of the assets recognized on the off-balance sheet, classified as a transaction type NAT06 (Guarantee commitments given) and NAT07 (Funding commitments given) or NAT08 (Guarantee commitments received),
- the asset account recognized in the balance sheet the accounting fair value of derivative, classified as transaction type NAT10B (Financial futures instruments (Balance sheet)),
- the account accounting for the value of the securities for temporary securities sales, classified as transaction type NAT04 (Repos)</t>
  </si>
  <si>
    <t>noPCCO1</t>
  </si>
  <si>
    <t>LC.0111</t>
  </si>
  <si>
    <t>TA H8PCCO</t>
  </si>
  <si>
    <t>CONGLOMERATS, CORFOU, LIQUIDITE, MREL, PALMA</t>
  </si>
  <si>
    <t>La donnée est obligatoire si le type de risque [P1 2.0] est différent de 'TRE203', 'TRE205', 'TRE206', 'TRE207'</t>
  </si>
  <si>
    <t>The data is mandatory if Risk type [P1 2.0] is different from 'TRE203', 'TRE205', 'TRE206', 'TRE207'</t>
  </si>
  <si>
    <t>TPS0924</t>
  </si>
  <si>
    <t>P1 50.3</t>
  </si>
  <si>
    <t xml:space="preserve">Montant du principal 1 </t>
  </si>
  <si>
    <t xml:space="preserve">Amount of principal 1 </t>
  </si>
  <si>
    <t>Il s'agit du solde du compte déclaré dans le champ "PCCO Montant du principal 1", en devise de liasse comptable de l'entité porteuse de risques, à la date d'arrêté</t>
  </si>
  <si>
    <t>This is the account balance declared in the "PCCO Amount of Principal 1" field, in the accounting package currency of the risk-bearing entity, on the closing date</t>
  </si>
  <si>
    <t>mtPCCO1</t>
  </si>
  <si>
    <t>LIQUIDITE, MREL</t>
  </si>
  <si>
    <t>La donnée est obligatoire si la donnée PCCO - Montant du principal 1 [P1 50.2] est renseignée</t>
  </si>
  <si>
    <t>The data is mandatory if the PCCO - Amount of principal 1 [P1 50.2] data is filled</t>
  </si>
  <si>
    <t>TPS0925</t>
  </si>
  <si>
    <t>P1 50.4</t>
  </si>
  <si>
    <t>PCCO - Montant du principal 2</t>
  </si>
  <si>
    <t>PCCO - Amount of principal 2</t>
  </si>
  <si>
    <t>Code du compte dans le Plan de comptes consolidé prudentiel
Le compte "PCCO - Montant du principal 2" correspond : 
- au compte comptabilisé au hors-bilan, classé en nature d'opération NAT07 (Part non utilisée des engagements confirmés), 
- au compte comptabilisant la valeur du cash pour les cessions temporaires de titres classé en nature d'opération NAT04 (Pensions),
- au compte hors bilan comptabilisant la valeur nominale du dérivé d'une des deux jambes, classé en nature d'opération NAT10H (Instruments financiers à terme (Hors bilan))</t>
  </si>
  <si>
    <t>Account code in the prudential consolidated chart of accounts
The "PCCO - Amount of Principal 2" corresponds of :
 - the account of the assets recognized on the off-balance sheet, classified as a transaction type NAT07 (Undrawn portion of confirmed commitments),
- the account recording the cash value for temporary securities sales NAT04 (Repos),
- the off-balance sheet account recording the nominal value of the derivative of one of the two legs, classified as transaction type NAT10H (Financial futures instruments (Off-Balance sheet))</t>
  </si>
  <si>
    <t>noPCCO2</t>
  </si>
  <si>
    <t>Dans le cas des dérivés, renseigner le PCCO du notionnel de la jambe achetée</t>
  </si>
  <si>
    <t>In the case of derivatives, enter the PCCO of the notional of the purchased leg</t>
  </si>
  <si>
    <t>P1 50.5</t>
  </si>
  <si>
    <t>Montant du principal 2</t>
  </si>
  <si>
    <t>Amount of principal 2</t>
  </si>
  <si>
    <t>Il s'agit du solde du compte déclaré dans le champ "PCCO Montant du principal 2", en devise de liasse comptable de l'entité porteuse de risques, à la date d'arrêté</t>
  </si>
  <si>
    <t>This is the account balance declared in the "PCCO Amount of Principal 2" field, in the accounting package currency of the risk-bearing entity, on the closing date</t>
  </si>
  <si>
    <t>mtPCCO2</t>
  </si>
  <si>
    <t>La donnée est obligatoire si la donnée PCCO - Montant du principal 2 [P1 50.4] est renseignée</t>
  </si>
  <si>
    <t>The data is mandatory if the PCCO - Amount of principal 2 [P1 50.4] data is filled</t>
  </si>
  <si>
    <t>TPS0926</t>
  </si>
  <si>
    <t>P1 50.8</t>
  </si>
  <si>
    <t>PCCO - Montant des Dettes et créances rattachées</t>
  </si>
  <si>
    <t>PCCO - Amount of related Debts and receivables</t>
  </si>
  <si>
    <t>Code du compte dans le plan de comptes consolidé prudentiel
Le compte "PCCO - Montant des Dettes et créances rattachées" correspond au compte comptabilisant les intérêts courus au bilan</t>
  </si>
  <si>
    <t>Account code in the prudential consolidated chart of accounts
The "PCCO - Amount of related Debts and receivables" account corresponds to the account recording accrued interests in the balance sheet</t>
  </si>
  <si>
    <t>noPCCOCreances</t>
  </si>
  <si>
    <t>La donnée est obligatoire si le type de risque [P1 2.0] = TRE2xx à TRE5xx (hors TRE201, TRE203, TRE205, TRE206, TRE207), ISSxx
---
La donnée est obligatoire si le type de risque [P1 2.0] = TRE201 ET si Indicateur Différé carte de paiement [P1 22.69] = 'N'</t>
  </si>
  <si>
    <t>The data is mandatory if Risk type [P1 2.0] = TRE2xx to TRE5xx (except TRE201, TRE203, TRE205, TRE206, TRE207), ISSxx
---
The data is mandatory if Risk type [P1 2.0] = TRE201 AND if Credit granted via delayed debit cards indicator [P1 22.69] = 'N'</t>
  </si>
  <si>
    <t>TPS0927
TPS0928</t>
  </si>
  <si>
    <t>P1 50.9</t>
  </si>
  <si>
    <t>Montant des Dettes et créances rattachées</t>
  </si>
  <si>
    <t>Amount of related Debts and receivables</t>
  </si>
  <si>
    <t>Il s'agit du solde du compte déclaré dans le champ "PCCO - Montant des Dettes et créances rattachées" en devise de liasse comptable de l'entité porteuse de risques, à la date d'arrêté</t>
  </si>
  <si>
    <t>This is the account balance declared in the "PCCO - Amount of related Debts and receivables" field, in the accounting package currency of the risk-bearing entity, on the closing date</t>
  </si>
  <si>
    <t>mtPCCOCreances</t>
  </si>
  <si>
    <t>La donnée est obligatoire si la donnée PCCO - Montant des Dettes et créances rattachées [P1 50.8] est renseignée</t>
  </si>
  <si>
    <t>The data is mandatory if PCCO - Amount of related Debts and receivables [P1 50.8] is filled</t>
  </si>
  <si>
    <t>TPS0929</t>
  </si>
  <si>
    <t>P1 50.14</t>
  </si>
  <si>
    <t>PCCO - Montant Marge initiale - Fonds de défaut</t>
  </si>
  <si>
    <t>PCCO - Amount of initial margin - Default fund</t>
  </si>
  <si>
    <t>Code du compte dans le plan de comptes consolidé prudentiel
Le compte "PCCO - Montant Marge initiale - Fonds de défaut" correspond aux comptes comptabilisant les marges intiales versées (avec ou sans CCP) lors d'opérations sur dérivés ou d'opérations sur pensions ou Fonds de défaut versés auprès d'une CCP</t>
  </si>
  <si>
    <t>Account code in the prudential consolidated chart of accounts
The "PCCO - Amount of initial margin - Default fund" account corresponds of the accounts recording the amount of Initial margins paid (with or not CCP) during operations of derivatives or repos or Default fund paid to CCP</t>
  </si>
  <si>
    <t>cdPCCOMargeIni</t>
  </si>
  <si>
    <t>TRE203, 205, 207</t>
  </si>
  <si>
    <t>La donnée est obligatoire si le type de risque [P1 2.0] = 'TRE203', 'TRE205', 'TRE207'</t>
  </si>
  <si>
    <t>The data is mandatory if Risk type [P1 2.0] = 'TRE203', 'TRE205', 'TRE207'</t>
  </si>
  <si>
    <t>TPS0930</t>
  </si>
  <si>
    <t>P1 50.15</t>
  </si>
  <si>
    <t>Montant Marge initiale - Fonds de défaut</t>
  </si>
  <si>
    <t>Amount of initial margin - Default fund</t>
  </si>
  <si>
    <t>Il s'agit du solde du compte déclaré dans le champ "PCCO - Montant Marge initiale - Fonds de défaut", en devise de liasse comptable de l'entité porteuse de risques, à la date d'arrêté</t>
  </si>
  <si>
    <t>This is the account balance declared in the "PCCO - Amount of initial margin - Default fund" field, in the accounting package currency of the risk-bearing entity, on the closing date</t>
  </si>
  <si>
    <t>mtPCCOMargeIni</t>
  </si>
  <si>
    <t>La donnée est obligatoire si la donnée PCCO - Montant Marge initiale - Fonds de défaut [P1 50.14] est renseignée</t>
  </si>
  <si>
    <t>The data is mandatory if the data PCCO - Amount of initial margin - Default fund [P1 50.14] is filled</t>
  </si>
  <si>
    <t>TPS0931</t>
  </si>
  <si>
    <t>P1 50.16</t>
  </si>
  <si>
    <t>PCCO - Montant Marge variable</t>
  </si>
  <si>
    <t>PCCO - Amount of Variable margin</t>
  </si>
  <si>
    <t>Code du compte dans le plan de comptes consolidé prudentiel
Le compte "PCCO - Montant Marge variable" correspond aux comptes comptabilisant les marges variables versées (avec ou sans CCP) lors d'opérations sur dérivés ou d'opérations sur pensions</t>
  </si>
  <si>
    <t>Account code in the prudential consolidated chart of accounts
The "PCCO - Amount of Variable margin" account corresponds of the accounts recording the amount of variable margins paid (with or not CCP) during operations of derivatives or repos</t>
  </si>
  <si>
    <t>cdPCCOMargeVar</t>
  </si>
  <si>
    <t>P1 50.17</t>
  </si>
  <si>
    <t>Montant Marge variable</t>
  </si>
  <si>
    <t>Amount of Variable margin</t>
  </si>
  <si>
    <t>Il s'agit du solde du compte déclaré dans le champ "PCCO - Montant Marge variable", en devise de liasse comptable de l'entité porteuse de risques, à la date d'arrêté</t>
  </si>
  <si>
    <t>This is the account balance declared in the "PCCO - Amount of Variable margin" field, in the accounting package currency of the risk-bearing entity, on the closing date</t>
  </si>
  <si>
    <t>mtPCCOMargeVar</t>
  </si>
  <si>
    <t>La donnée est obligatoire si la donnée PCCO - Montant Marge variable [P1 50.16] est renseignée</t>
  </si>
  <si>
    <t>The data is mandatory if the PCCO - Amount of Variable margin [P1 50.16] is filled</t>
  </si>
  <si>
    <t>TPS0932</t>
  </si>
  <si>
    <t>P1 50.18</t>
  </si>
  <si>
    <t>PCCO - Montant Impacts JV</t>
  </si>
  <si>
    <t>PCCO - Amount of Impacts FV</t>
  </si>
  <si>
    <t>Code du compte dans le plan de comptes consolidé prudentiel
Le compte "PCCO - Montant Impacts JV" correspond au compte comptabilisant le montant de l'impact en juste valeur des instruments en coût amorti micro couverts</t>
  </si>
  <si>
    <t>Account code in the prudential consolidated chart of accounts
The "PCCO - Amount of Impacts FV" account corresponds to the account recording the amount of the impact in fair value of micro hedged instruments at amortized cost</t>
  </si>
  <si>
    <t>noPCCOJV</t>
  </si>
  <si>
    <t>ISS200 et 300
TRE2 à 4XX hors 203,205,206,207
TRE5XX</t>
  </si>
  <si>
    <t>Si renseignée, la 'Classification comptable de référence des actifs' [P1 19.5] = 'CAM'</t>
  </si>
  <si>
    <t>If filled, the 'Reference accounting classification of assets' [P1 19.5] = 'CAM'</t>
  </si>
  <si>
    <t>TCS0740</t>
  </si>
  <si>
    <t>P1 50.19</t>
  </si>
  <si>
    <t>Montant Impacts JV</t>
  </si>
  <si>
    <t>Amount of impacts FV</t>
  </si>
  <si>
    <t>Il s'agit du solde du compte déclaré dans le champ "PCCO - Montant Impacts JV", en devise de liasse comptable de l'entité porteuse de risques, à la date d'arrêté</t>
  </si>
  <si>
    <t>This is the account balance declared in the "PCCO - Amount of Impacts FV" field, in the accounting package currency of the risk-bearing entity, on the closing date</t>
  </si>
  <si>
    <t>mtPCCOJV</t>
  </si>
  <si>
    <t>La donnée est obligatoire si la donnée PCCO - Montant Impacts JV [P1 50.18] est renseignée</t>
  </si>
  <si>
    <t>The data is mandatory if the PCCO - Amount of Impacts FV [P1 50.18] is filled</t>
  </si>
  <si>
    <t>TPS0933</t>
  </si>
  <si>
    <t>30 - Caractéristiques moratoires</t>
  </si>
  <si>
    <t>30 - Moratorium characteristics</t>
  </si>
  <si>
    <t>P1 21.22</t>
  </si>
  <si>
    <t>Motif du moratoire</t>
  </si>
  <si>
    <t>Reason for the moratorium</t>
  </si>
  <si>
    <t>Motif du moratoire, le moratoire étant une mesure d'exception qui intervient dans le cadre d'une relation entre créancier et débiteur. Le moratoire permet la suspension des paiements et ajourne les échéances dues en raison de certaines circonstances.</t>
  </si>
  <si>
    <t>Reason for the moratorium, the moratorium being an exceptional measure that occurs in the context of a relationship between creditor and debtor. The moratorium allows for the suspension of payments and postpones due to certain circumstances.</t>
  </si>
  <si>
    <t>MotifMorat</t>
  </si>
  <si>
    <t>LC.0470</t>
  </si>
  <si>
    <t>TA Z8MOTMOR</t>
  </si>
  <si>
    <t>Si plusieurs motifs de moratoires s'appliquent sur un même contrat, prioriser le motif "Covid 19" ou les moratoires non contractuels</t>
  </si>
  <si>
    <t>If multiple moratoria apply to the same contract, prioritize "Covid 19" or non-contractual moratoria</t>
  </si>
  <si>
    <t>MORATORIA</t>
  </si>
  <si>
    <t>TRE*</t>
  </si>
  <si>
    <t>La donnée est obligatoire si la donnée 'Statut du moratoire' [P1 21.25] est renseignée</t>
  </si>
  <si>
    <t>The data is mandatory if the data 'Moratorium status' [P1 21.25] is filled</t>
  </si>
  <si>
    <t>TPS0934</t>
  </si>
  <si>
    <t>P1 21.23</t>
  </si>
  <si>
    <t>Date de début du moratoire</t>
  </si>
  <si>
    <t>Start date of the moratorium</t>
  </si>
  <si>
    <t>Date de début effective du moratoire</t>
  </si>
  <si>
    <t>Effective start date of the moratorium</t>
  </si>
  <si>
    <t>dtDebMorat</t>
  </si>
  <si>
    <t>P1 21.29</t>
  </si>
  <si>
    <t>Durée du moratoire</t>
  </si>
  <si>
    <t>Duration of the moratorium</t>
  </si>
  <si>
    <t>Durée du moratoire.
Exprimé en nombre de jours.</t>
  </si>
  <si>
    <t>Duration of the moratorium.
Expressed in number of days.</t>
  </si>
  <si>
    <t>DureeMorat</t>
  </si>
  <si>
    <t>P1 21.25</t>
  </si>
  <si>
    <t>Statut du moratoire</t>
  </si>
  <si>
    <t>Moratorium status</t>
  </si>
  <si>
    <t>Indique l'état du statut du moratoire lorsqu'une mesure de suspension des paiements dans le cadre de la relation créancier-débiteur a été décidée</t>
  </si>
  <si>
    <t>Indicates the status of the moratorium when a measure suspending payments under the creditor-debtor relationship has been decided</t>
  </si>
  <si>
    <t>StatutMorat</t>
  </si>
  <si>
    <t>LC.0471</t>
  </si>
  <si>
    <t>TA Z8STATMO</t>
  </si>
  <si>
    <t>Le statut du moratoire est attendu dans le cas d'un moratoire sur le contrat. Ne reporter que les moratoires actifs/en-cours</t>
  </si>
  <si>
    <t>Moratorium status is expected when there is a moratorium on the contract. Report only on-going moratoria</t>
  </si>
  <si>
    <t>P1 21.26</t>
  </si>
  <si>
    <t>Indicateur de moratoire législatif</t>
  </si>
  <si>
    <t>Legislative moratorium indicator</t>
  </si>
  <si>
    <t>Indique si le moratoire se fonde sur le droit national applicable (moratoire législatif) ou sur une initiative d'allègement de paiements prise dans le cadre d'un régime moratoire sectoriel convenu ou coordonné au sein du secteur bancaire.</t>
  </si>
  <si>
    <t>Indicates whether the moratorium is based on the applicable national law (legislative moratorium) or on a payment relief initiative under an agreed or coordinated sectoral moratorium regime in the banking sector.</t>
  </si>
  <si>
    <t>indMoratLeg</t>
  </si>
  <si>
    <t>LC.0472</t>
  </si>
  <si>
    <t>TA Z8IMORLE</t>
  </si>
  <si>
    <t>P1 21.27</t>
  </si>
  <si>
    <t>Indicateur de moratoire contractuel</t>
  </si>
  <si>
    <t>Contractual moratorium indicator</t>
  </si>
  <si>
    <t>Indique si le moratoire est contractuel.</t>
  </si>
  <si>
    <t>Indicates whether the moratorium is contractual.</t>
  </si>
  <si>
    <t>indMoratCont</t>
  </si>
  <si>
    <t>LC.0473</t>
  </si>
  <si>
    <t>TA Z8IMORCO</t>
  </si>
  <si>
    <t>P1 21.28</t>
  </si>
  <si>
    <t>Champ d'application du moratoire</t>
  </si>
  <si>
    <t>Scope of the moratorium</t>
  </si>
  <si>
    <t>Champ d'application du moratoire lorsque celui-ci est restreint (à une activité, une région…).</t>
  </si>
  <si>
    <t>Scope of the moratorium when it is restricted (to an activity, a region, etc.).</t>
  </si>
  <si>
    <t>ChampApplMorat</t>
  </si>
  <si>
    <t>LC.0474</t>
  </si>
  <si>
    <t>TA Z8CAPMOR</t>
  </si>
  <si>
    <t>P1 21.30</t>
  </si>
  <si>
    <t>Montant des échéances reportées</t>
  </si>
  <si>
    <t>Amount of deferred maturities</t>
  </si>
  <si>
    <t>mtEchReport</t>
  </si>
  <si>
    <t>P1 21.31</t>
  </si>
  <si>
    <t>Devise du montant des échéances reportées</t>
  </si>
  <si>
    <t>Currency of amount of deferred maturities</t>
  </si>
  <si>
    <t>cdDevMtEchReport</t>
  </si>
  <si>
    <t>La donnée est obligatoire si le Montant des échéances reportées [P1 21.30] est renseigné</t>
  </si>
  <si>
    <t>The data is mandatory if the Amount of due dates carried forward [P1 21.30] is filled</t>
  </si>
  <si>
    <t>P1 21.32</t>
  </si>
  <si>
    <t>Méthode de convention des taux sans risque (RFR)</t>
  </si>
  <si>
    <t>Risk Free Rate (RFR) convention method</t>
  </si>
  <si>
    <t>Conventions de calcul de taux d'intérêt appliquées aux RFR afin d'obtenir des calculs de taux sur des périodes de temps standardisées.</t>
  </si>
  <si>
    <t>Interest rate calculation conventions applied to RFRs to obtain rate calculations over standardized time periods.</t>
  </si>
  <si>
    <t>cdMethConvRFR</t>
  </si>
  <si>
    <t>LC.0434</t>
  </si>
  <si>
    <t>TA Z8MCTRFR</t>
  </si>
  <si>
    <t>P1 21.33</t>
  </si>
  <si>
    <t>Durée de convention des taux sans risque (RFR)</t>
  </si>
  <si>
    <t>Risk Free Rate (RFR) convention duration</t>
  </si>
  <si>
    <t>Période associée à la convention de taux RFR permettant de déterminer la date de paiement des intérêts (plain base), la date de début d'observation (lookback) ou la durée de la période d'observation (last reset et last recent).</t>
  </si>
  <si>
    <t xml:space="preserve">Period associated with the RFR rate agreement used to determine the interest payment date (plain base), the observation start date (lookback) or the duration of the observation period (last reset and last recent).
</t>
  </si>
  <si>
    <t>DureeConvRFR</t>
  </si>
  <si>
    <t>LC.0435</t>
  </si>
  <si>
    <t>TA Z8DCTRFR</t>
  </si>
  <si>
    <t>P1 15</t>
  </si>
  <si>
    <t>Numéro de compte local (PCI) de l'encours</t>
  </si>
  <si>
    <t>Account number in local norms (in French or Local norms)</t>
  </si>
  <si>
    <t>Compte comptable local de l'encours (NF ou locale)</t>
  </si>
  <si>
    <t>noPCIEnc</t>
  </si>
  <si>
    <t>Renseigner le PCI relatif au PCCO - Valeur du principal 1</t>
  </si>
  <si>
    <t>Must be completed with the PCI related to the PCCO - Value of principal 1</t>
  </si>
  <si>
    <t>P1 16</t>
  </si>
  <si>
    <t>Numéro de compte PCCA de l'encours en norme IFRS</t>
  </si>
  <si>
    <t>Account number PCCA of outstanding amount in IFRS norms</t>
  </si>
  <si>
    <t>noPCCAEncIAS
noPCCAEncIFRS</t>
  </si>
  <si>
    <t>P1 14</t>
  </si>
  <si>
    <t>Numéro de compte PCCA de l'encours en NF</t>
  </si>
  <si>
    <t xml:space="preserve">PCCA account number of outstanding amount in French Norms </t>
  </si>
  <si>
    <t xml:space="preserve">Account number PCCA of outstanding amount in French Norms </t>
  </si>
  <si>
    <t>noPCCAEncNF</t>
  </si>
  <si>
    <t>Le plan de comptes Crédit Agricole PCCA est utilisé exclusivement par Crédit Agricole SA entité sociale, LCL et les Caisses régionales.</t>
  </si>
  <si>
    <t>The Crédit Agricole PCCA account plan is used exclusively by Crédit Agricole SA social entity, LCL and the Regional Banks.</t>
  </si>
  <si>
    <t>ACTIF PASSIF DURABLE, PALMA</t>
  </si>
  <si>
    <t>P1 50.20</t>
  </si>
  <si>
    <t>PCCO - Montant du principal 3</t>
  </si>
  <si>
    <t>PCCO - Amount of principal 3</t>
  </si>
  <si>
    <t>Code du compte dans le Plan de comptes consolidé prudentiel
Le compte "PCCO - Montant du principal 3" correspond : 
- au compte hors bilan comptabilisant la valeur nominale du dérivé d'une des deux jambes, classé en nature d'opération NAT10H (Instruments financiers à terme (Hors bilan))</t>
  </si>
  <si>
    <t>Account code in the prudential consolidated chart of accounts
The "PCCO - Amount of Principal 3" corresponds of :
- the off-balance sheet account recording the nominal value of the derivative of one of the two legs, classified as transaction type NAT10H (Financial futures instruments (Off-Balance sheet))</t>
  </si>
  <si>
    <t>noPCCO3</t>
  </si>
  <si>
    <t>Dans le cas des dérivés, renseigner le PCCO du notionnel de la jambe vendue.
A renseigner pour les opérations de change de devises.</t>
  </si>
  <si>
    <t>In the case of derivatives, enter the PCCO of the notional of the sold leg.
To be filled for currency exchange transactions.</t>
  </si>
  <si>
    <t>P1 50.21</t>
  </si>
  <si>
    <t>Montant du principal 3</t>
  </si>
  <si>
    <t>Amount of principal 3</t>
  </si>
  <si>
    <t>Il s'agit du solde du compte déclaré dans le champ "PCCO - Montant du principal 3", en devise de liasse comptable de l'entité porteuse de risques, à la date d'arrêté</t>
  </si>
  <si>
    <t>This is the account balance declared in the "PCCO - Amount of principal 3" field, in the accounting package currency of the risk-bearing entity, on the closing date</t>
  </si>
  <si>
    <t>mtPCCO3</t>
  </si>
  <si>
    <t>La donnée est obligatoire si la donnée PCCO - Montant du principal 3 [P1 50.20] est renseignée</t>
  </si>
  <si>
    <t>The data is mandatory if the PCCO - Amount of principal 3 [P1 50.20] data is filled</t>
  </si>
  <si>
    <t>TPS0935</t>
  </si>
  <si>
    <t>P1 21.34</t>
  </si>
  <si>
    <t>Indicateur de créance titrisable</t>
  </si>
  <si>
    <t>Securitizable debt indicator</t>
  </si>
  <si>
    <t>Indique si la créance est titrisable</t>
  </si>
  <si>
    <t>Indicates whether the claim is securitizable</t>
  </si>
  <si>
    <t>IndCreTitrisab</t>
  </si>
  <si>
    <t>LC.0489</t>
  </si>
  <si>
    <t>TA Z8ICTITR</t>
  </si>
  <si>
    <t>12 - Caractéristiques Prêts - Emprunts</t>
  </si>
  <si>
    <t>12 - Loans - Borrowings characteristics</t>
  </si>
  <si>
    <t>P1 21.35</t>
  </si>
  <si>
    <t>Indicateur de créance pour émission de covered bonds</t>
  </si>
  <si>
    <t>Debt indicator for covered bond issue</t>
  </si>
  <si>
    <t>Indique si la créance peut faire l'objet d'une émission de covered bonds</t>
  </si>
  <si>
    <t>Indicates whether the claim is eligible for covered bonds</t>
  </si>
  <si>
    <t>indCreEmCovBds</t>
  </si>
  <si>
    <t>LC.0488</t>
  </si>
  <si>
    <t>TA Z8ICPECB</t>
  </si>
  <si>
    <t>P1 21.36</t>
  </si>
  <si>
    <t>Montants liquidatifs estimés</t>
  </si>
  <si>
    <t>Estimated Close Out Amounts</t>
  </si>
  <si>
    <t>Le montant de clôture estimé couvrant le montant des pertes ou des coûts encourus par les dérivés des contreparties, ou les gains réalisés par elles.
Ce montant fait référence aux dépenses associées à la clôture anticipée ou à la résiliation d'une position dérivée ou d'un contrat dérivé.
Ces coûts peuvent être encourus lorsqu'un investisseur ou une institution financière décide de mettre fin à un contrat dérivé avant sa date d'échéance prévue. Les coûts de clôture des dérivés peuvent inclure les éléments suivants : frais de transaction, spread, coûts de règlement, frais administratifs, pénalités</t>
  </si>
  <si>
    <t xml:space="preserve">The estimated close-out amount covering the amount of losses or costs incurred by derivative counterparties, or gains realised by them.
This amount refers to the expenses associated with the early closing or termination of a derivative position or derivative contract.
These costs may be incurred when an investor or financial institution decides to terminate a derivative contract before its expected maturity date. Closing costs of derivatives may include transaction fees, spreads, settlement costs, administrative fees, penalties
</t>
  </si>
  <si>
    <t>mtLiquidEstim</t>
  </si>
  <si>
    <t>Concerne les dérivés</t>
  </si>
  <si>
    <t>Concerns derivatives</t>
  </si>
  <si>
    <t>P1 21.37</t>
  </si>
  <si>
    <t>Devise des montants liquidatifs estimés</t>
  </si>
  <si>
    <t>Currency of estimated Close Out Amounts</t>
  </si>
  <si>
    <t>cdDevMtLiquidEstim</t>
  </si>
  <si>
    <t>La donnée est obligatoire si la donnée Montants liquidatifs estimés [P1 21.36] est renseignée</t>
  </si>
  <si>
    <t>The data is mandatory if the data Estimated Close Out Amounts [P1 21.36] is filled</t>
  </si>
  <si>
    <t>P1 21.47</t>
  </si>
  <si>
    <t>Pondération Bâloise de l'engagement pour le calcul de l'Output Floor</t>
  </si>
  <si>
    <t>Basel weighting of commitment for the Output Floor calculation</t>
  </si>
  <si>
    <t>Correspond à la pondération bâloise calculée pour l'encours en méthodes SA ou ERBA pour les besoins du calcul de l'outputfloor.
Exprimée en pourcentage.</t>
  </si>
  <si>
    <t>Corresponds to the Basel weighting calculated for the outstanding amount in SA or ERBA methods for the purpose of calculating the outputfloor.
Expressed in percentage.</t>
  </si>
  <si>
    <t>txPondBalOutFloor</t>
  </si>
  <si>
    <t>Concerne uniquement les titrisations</t>
  </si>
  <si>
    <t>Covers only securizations</t>
  </si>
  <si>
    <t>P1 21.48</t>
  </si>
  <si>
    <t>Méthode de titrisation pour le calcul de l'Output Floor</t>
  </si>
  <si>
    <t>Securitization method for the Output Floor calculation calculation</t>
  </si>
  <si>
    <t>Ce champ permet de préciser la méthode de titrisation appliquée à l'engagement titrisation pour le calcul de l'outputfloor.
L'Output Floor pour les exigences de fonds propres fondés sur le risque est introduit dans le CRR3, il fixe une limite inférieure aux exigences de fonds propres produites par les modèles internes des banques, à 72,5% des exigences de fonds propres qui s'appliqueraient sur la base des approches standard.</t>
  </si>
  <si>
    <t>This field makes it possible to identify the securization method used for outputfloor calculation.
The Output Floor for risk-based capital requirements is introduced in CRR3, setting a lower limit on the capital requirements produced by banks' internal models, at 72.5% of the capital requirements that would apply based on the standard approaches.</t>
  </si>
  <si>
    <t>cdMethTitriOutFloor</t>
  </si>
  <si>
    <t>P1 21.49</t>
  </si>
  <si>
    <t>Montant des ajustements de risques pondérés lié à décote d'asymétrie d'échéance pour le calcul de l'Output Floor</t>
  </si>
  <si>
    <t>Amount of adjustment of risk-weighted assets linked to discount for maturity mismatch for the Output Floor calculation</t>
  </si>
  <si>
    <t>Montant des ajustements des risques pondérés liés aux décalages d'échéances recalculé en SA ou ERBA pour le calcul de l'outputfloor.
Il s'agit du montant de RWA lié à une décote d'asymétrie d'échéance. 
Concerne uniquement les titrisations synthétiques.</t>
  </si>
  <si>
    <t>Amount of risk-weighted adjustments related to maturity mismatches recalculated in SA or ERBA method for outputfloor calculation.
This is the amount of RWA linked to a discount for maturity mismatch. 
Covers only synthetic securitizations.</t>
  </si>
  <si>
    <t>mtAjustDecOutFloor</t>
  </si>
  <si>
    <t>P1 21.50</t>
  </si>
  <si>
    <t>Devise du montant des ajustements de risques pondérés lié à décote d'asymétrie d'échéance pour le calcul de l'Output Floor</t>
  </si>
  <si>
    <t>Currency of the amount of adjustment of risk-weighted assets linked to discount for maturity mismatch for the Output Floor calculation</t>
  </si>
  <si>
    <t>Devise du montant des ajustements des risques pondérés liés aux décalages d'échéances recalculé en SA ou ERBA pour le calcul de l'outputfloor (colonne 870 l'état COREP Titrisation 13.1 « CR-SEC »). Il s'agit du montant de RWA lié à une décote d'asymétrie d'échéance. 
Concerne uniquement les titrisations synthétiques.</t>
  </si>
  <si>
    <t>Currency of themount of risk-weighted adjustments related to maturity mismatches for outputfloor calculation (column 870 of the COREP securitization statement 13.1 "CR-SEC"). This is the amount of RWA linked to a discount for maturity mismatch. 
Covers only synthetic securitizations.</t>
  </si>
  <si>
    <t>cdDevMtAjustDecOutFloor</t>
  </si>
  <si>
    <t>La donnée est obligatoire si le Montant des ajustements de risques pondérés lié à décote d'asymétrie d'échéance pour le calcul de l'Output Floor [P1 21.49] est renseigné</t>
  </si>
  <si>
    <t>The data is mandatory if the Amount of adjustment of risk-weighted assets linked to discount for maturity mismatch for the Output Floor calculation [P1 21.49] is filled</t>
  </si>
  <si>
    <t>P1 21.51</t>
  </si>
  <si>
    <t>Montant de RWA supplémentaire pour non-conformité aux exigences prévues pour le calcul de l'Output Floor</t>
  </si>
  <si>
    <t>Additional RWA amount for non-compliance with planned requirements for the Output Floor calculation</t>
  </si>
  <si>
    <t>Effet global (ajustement) lié aux manquements aux dispositions de l'article 270bis de PACT calculé pour l'outputfloor (calcul en méthode SA ou ERBA)
Montant de RWA supplémentaire à déclarer.</t>
  </si>
  <si>
    <t>Overall effect (adjustment) related to the non-compliance with the provisions of Chapter 2 of Regulation (EU) 2017 calculated for the outputfloor
2402 -&gt; additional RWA to be reported (Article 270.a).</t>
  </si>
  <si>
    <t>mtRWASupOutFloor</t>
  </si>
  <si>
    <t>P1 21.52</t>
  </si>
  <si>
    <t>Devise du montant de RWA supplémentaire pour non-conformité aux exigences prévues pour le calcul de l'Output Floor</t>
  </si>
  <si>
    <t>Currency of the additional RWA amount for non-compliance with planned requirements for the Output Floor calculation</t>
  </si>
  <si>
    <t>Devise de l'effet global (ajustement) lié au manquements aux dispositions du chapitre 2 du règlement (UE) 2017 calculé pour l'outputfloor
2402 -&gt; montant de RWA supplémentaire à déclarer (article 270.bis).</t>
  </si>
  <si>
    <t>Currency of the overall effect (adjustment) related to the non-compliance with the provisions of Chapter 2 of Regulation (EU) 2017 calculated for the outputfloor
2402 -&gt; additional RWA to be reported (Article 270.a).</t>
  </si>
  <si>
    <t>cdDevMtRWASupOutFloor</t>
  </si>
  <si>
    <t>La donnée est obligatoire si le Montant de RWA supplémentaire pour non-conformité aux exigences prévues pour le calcul de l'Output Floor [P1 21.51] est renseigné</t>
  </si>
  <si>
    <t>The data is mandatory if the Additional RWA amount for non-compliance with planned requirements for the Output Floor calculation [P1 21.51] is filled</t>
  </si>
  <si>
    <t>P1 21.53</t>
  </si>
  <si>
    <t>Montant du gain RWA obtenu par le CAP sur la pondération pour le calcul de l'Output Floor</t>
  </si>
  <si>
    <t>Amount of RWA gain obtained by CAP on risk weight for the Output Floor calculation</t>
  </si>
  <si>
    <t>Réduction due à l'application d'un plafond des exposition pondérées calculé pour l'outputfloor (calcul en méthode SA ou ERBA).
Il s'agit du montant de RWA à déduire dans le cadre d'un « CAP » qui répond à l'article 267 du règlement PACT</t>
  </si>
  <si>
    <t>Reduction due to the application of a risk-weighted exposure ceiling for outputfloor calculation (calculated with "SA" or "ERBA" method). 
This is the amount of RWA to be deducted in the context of a "CAP" which complies with Article 267 of PACT Regulation</t>
  </si>
  <si>
    <t>mtRWACAPPondOutFloor</t>
  </si>
  <si>
    <t>P1 21.54</t>
  </si>
  <si>
    <t>Devise du gain RWA obtenu par le CAP sur la pondération pour le calcul de l'Output Floor</t>
  </si>
  <si>
    <t>Currency of the RWA gain obtained by CAP on risk weight for the Output Floor calculation</t>
  </si>
  <si>
    <t>cdDevMtRWACAPPondOutFloor</t>
  </si>
  <si>
    <t>La donnée est obligatoire si le Montant du gain RWA obtenu par le CAP sur la pondération pour le calcul de l'Output Floor [P1 21.53] est renseigné</t>
  </si>
  <si>
    <t>The data is mandatory if the Amount of RWA gain obtained by CAP on risk weight for the Output Floor calculation [P1 21.53] is filled</t>
  </si>
  <si>
    <t>32 - Financement spécialisé</t>
  </si>
  <si>
    <t>32 - Dedicated funding</t>
  </si>
  <si>
    <t>P1 21.44</t>
  </si>
  <si>
    <t>Indicateur d'exposition de qualité élevée</t>
  </si>
  <si>
    <t xml:space="preserve">Indicator of High Quality Exposure </t>
  </si>
  <si>
    <t>Indique si l'exposition est réputée être de qualité élevée compte tenu de l'ensemble des critères vérifiés dans l'article 122bis-3-a du CRR3.</t>
  </si>
  <si>
    <t>Indicates if the exposure is deemed to be of high quality taking into account all the criteria verified in article 122bis-3 a of CRR3.</t>
  </si>
  <si>
    <t>indExpoQualElev</t>
  </si>
  <si>
    <t>LC.0496</t>
  </si>
  <si>
    <t>TA Z8IEXQEL</t>
  </si>
  <si>
    <t>Concerne uniquement les financements spécialisés</t>
  </si>
  <si>
    <t>Covers only specialized funding</t>
  </si>
  <si>
    <t>La donnée est obligatoire si le Portefeuille Bâle Opération [P1 2.18] = '062'</t>
  </si>
  <si>
    <t>The data is mandatory if the Basel Transaction Portfolio [P1 2.18] = '062'</t>
  </si>
  <si>
    <t>TPS0936</t>
  </si>
  <si>
    <t>P1 21.45</t>
  </si>
  <si>
    <t>Indicateur de la phase opérationnelle du projet financé</t>
  </si>
  <si>
    <t>Indicator of the operational phase of the financed project</t>
  </si>
  <si>
    <t>Indique si le projet financé est en phase opérationnelle (Projet finalisé et en cours d'exploitation).</t>
  </si>
  <si>
    <t>Indicates whether the financed project is in the operational phase (Finalized projet and in operation).</t>
  </si>
  <si>
    <t>indPhaseOpe</t>
  </si>
  <si>
    <t>LC.0492</t>
  </si>
  <si>
    <t>TA Z8IPOPFI</t>
  </si>
  <si>
    <t>Concerne uniquement les financements spécialisés.
Se référer à l'article 122 bis- 3C de la réglementation CRR3</t>
  </si>
  <si>
    <t>Covers only specialized funding.
Refer to Article 122a- 3C of Regulation CRR3</t>
  </si>
  <si>
    <t>TRE2 à 4XX hors 203,205,206,207
SIG*</t>
  </si>
  <si>
    <t>La donnée est obligatoire si le Portefeuille Bâle Opération [P1 2.18] = '061'</t>
  </si>
  <si>
    <t>The data is mandatory if the Basel Transaction Portfolio [P1 2.18] = '061'</t>
  </si>
  <si>
    <t>TPS0937</t>
  </si>
  <si>
    <t>P1 21.46</t>
  </si>
  <si>
    <t xml:space="preserve">Indicateur de conformité des critères opérationnels du projet </t>
  </si>
  <si>
    <t xml:space="preserve">Indicator of conformity of the operational criteria of the project </t>
  </si>
  <si>
    <t>Indique si tous les critères opérationnels du projet listés dans l'article "122bis-3-c-ii " du CRR3 sont vérifiés</t>
  </si>
  <si>
    <t>Indicates whether all the operational criteria of the project listed in article "122bis-3-c-ii" of the CRR3 are verified</t>
  </si>
  <si>
    <t>indConformCritOpe</t>
  </si>
  <si>
    <t>LC.0487</t>
  </si>
  <si>
    <t>TA Z8ICDCOP</t>
  </si>
  <si>
    <t>P1 21.38</t>
  </si>
  <si>
    <t xml:space="preserve">Indicateur d'exposition garantie par un bien immobilier générateur de revenu (IPRE) </t>
  </si>
  <si>
    <t xml:space="preserve">Exposure guaranteed by an Income Producing Real Estate (IPRE) indicator </t>
  </si>
  <si>
    <t>Indique si l'exposition est garantie par un ou plusieurs biens immobiliers résidentiels ou commerciaux lorsque le respect des obligations de crédit liées à l'exposition dépend significativement des flux de trésorerie générés par ces biens immobiliers garantissant cette exposition, plutôt que de la capacité du débiteur à remplir ses obligations de crédit à partir d'autres sources</t>
  </si>
  <si>
    <t>Indicates whether it is an IPRE exposure (Income producing Real Estate);
income-producing real estate exposure" means an exposure secured by one or more residential or commercial properties where satisfaction of the credit obligations associated with the exposure is significantly dependent on the cash flows generated by the properties securing that exposure, rather than on the obligor's ability to meet its credit obligations from other sources</t>
  </si>
  <si>
    <t>indExpoGarIPRE</t>
  </si>
  <si>
    <t>LC.0497</t>
  </si>
  <si>
    <t>TA Z8IEIPRE</t>
  </si>
  <si>
    <t>A renseigner s'il s'agit d'un prêt garanti par un bien immobilier</t>
  </si>
  <si>
    <t>To be filled if the loan is secured by real estate</t>
  </si>
  <si>
    <t>TRE2 à 5XX hors 203,205,206,207, SIG*</t>
  </si>
  <si>
    <t>La donnée est obligatoire si le type de risque [P1 2.0] est égal à {TRE2 à TRE5XX hors (TRE203, TRE205, TRE206, TRE207), SIG*} ET si l'Usage du bien immobilier apporté en garantie [P1 3.46] est égal à '1' ou '2' ET si l'Indicateur d'exposition sur acquisition, développement et construction (ADC) [P1 21.39] = 'N' ou vide</t>
  </si>
  <si>
    <t>The data is mandatory if Risk type [P1 2.0] is equal to {TRE2 to TRE5XX except (TRE203, TRE205, TRE206, TRE207), SIG*} AND if the Use of real-estate brought into guarantee [P1 3.46] is equal to '1' or '2' AND the Acquisition, Development and Construction (ADC) Exposure Indicator [P1 21.39] = 'N' or empty</t>
  </si>
  <si>
    <t>TPS0938</t>
  </si>
  <si>
    <t>P1 21.39</t>
  </si>
  <si>
    <t>Indicateur d'exposition sur acquisition, développement et construction (ADC)</t>
  </si>
  <si>
    <t xml:space="preserve">Acquisition, Development and Construction (ADC) Exposure Indicator </t>
  </si>
  <si>
    <t>Indique si l'exposition est sur des entreprises ou des entités ad hoc qui financent toute acquisition de terrains à des fins de promotion et de construction, ou qui financent la promotion et la construction de tout bien immobilier résidentiel ou commercial;</t>
  </si>
  <si>
    <t>Indicates whether it is an ADC exposure (acquisition, development and construction).
Exposures to companies or special purpose entities that finance any acquisition of land for development and construction purposes, or that finance the development and construction of any residential or commercial real estate</t>
  </si>
  <si>
    <t>indExpoADC</t>
  </si>
  <si>
    <t>LC.0498</t>
  </si>
  <si>
    <t>TA Z8IESADC</t>
  </si>
  <si>
    <t>La donnée est obligatoire si le type de risque [P1 2.0] = 'TRE2 à TRE5XX hors (TRE203, TRE205, TRE206, TRE207), SIG*' ET si l'Usage du bien immobilier apporté en garantie [P1 3.46] est égal à '1' ou '2'</t>
  </si>
  <si>
    <t>The data is mandatory if Risk type [P1 2.0] = 'TRE2 to TRE5XX except (TRE203, TRE205, TRE206, TRE207), SIG*' AND if the Use of real-estate brought into guarantee [P1 3.46] is equal to '1' or '2'</t>
  </si>
  <si>
    <t>TPS0734</t>
  </si>
  <si>
    <t>Si type de risque [P1 2.0] = 'PRI*' OU si Portefeuille Bâle Opération [P1 2.18] = '011, 014', alors la donnée doit être différente de 'Y'</t>
  </si>
  <si>
    <t>If Risk type [P1 2.0] = 'PRI*' OR if Basel Transaction Portfolio [P1 2.18] = '011, 014', then the data must be different from 'Y'</t>
  </si>
  <si>
    <t>TCS0775</t>
  </si>
  <si>
    <t>P1 21.40</t>
  </si>
  <si>
    <t>Réalisation des conditions de pondération préférentielle</t>
  </si>
  <si>
    <t>Realization of preferential weighting conditions</t>
  </si>
  <si>
    <t>indique le respect des conditions des articles 124-3 et 124-2-a du règlement CRR3.
'Pour qu'une exposition garantie par un bien immobilier puisse recevoir le traitement préférentiel pour les pondérations de RWA, les conditions suivantes doivent être réunies:
* si le bien donné en garantie est un bien immobilier commercial =&gt; alors il faut vérifier les conditions de l'article 124-3 de CRR3 et l'exposition doit être NON-IPRE
* si le bien donné en garantie est un bien immobilier résidentiel =&gt; alors il faut vérifier les conditions de l'article 124-3 de CRR3 et l'exposition doit être soit NON-IPRE sans aucune autre condition, soit IPRE mais en respectant en plus les conditions de l'article 124-2-a de CRR3</t>
  </si>
  <si>
    <t>Indicates whether the conditions of articles 124-3 and 124-2-a of the CRR3 regulation are respected.
To have preferred RWA weighting rate, the following conditions must be met:
* if the collateral is commercial real estate =&gt; then the conditions of Article 124-3 of CRR3 must be verified and the exposure must be NON-IPRE
* if the collateral is residential real estate =&gt; then the conditions of Article 124-3 of CRR3 and the exposure must be either NON-IPRE without any other conditions, or IPRE but in addition respecting the conditions of Article 124-2-a of CRR3</t>
  </si>
  <si>
    <t>indRealPondePref</t>
  </si>
  <si>
    <t>LC.0517</t>
  </si>
  <si>
    <t>TA Z8RCONPP</t>
  </si>
  <si>
    <t>P1 21.41</t>
  </si>
  <si>
    <t xml:space="preserve">Indicateur de dépôt en espèces substantiel </t>
  </si>
  <si>
    <t xml:space="preserve">Indicator of substantial cash deposit </t>
  </si>
  <si>
    <t>Pour les expositions sur acquisition, développement et construction (ADC) sur des biens immobiliers résidentiels, indique s'il y a eu un dépôt en espèces substantiel par les acheteurs ou locataires du bien financé.
Le dépôt doit représenter une part importante du total des contrats juridiquement contraignants de prévente ou de prélocation. Ce dépôt sera retenu en cas de résiliation de contrat</t>
  </si>
  <si>
    <t>For residential property exposures on acquisition, devlopment and construction (ADC), indicates whether there has been a substantial cash deposit (which will be withheld in the event of contract termination) by buyers or tenants representing a significant portion of the total legally binding pre-sale or pre-rental contracts</t>
  </si>
  <si>
    <t>indDepoEspSubst</t>
  </si>
  <si>
    <t>LC.0490</t>
  </si>
  <si>
    <t>TA Z8IDESUB</t>
  </si>
  <si>
    <t>A renseigner s'il s'agit d'un prêt garanti par un bien immobilier
se référer à l'Article 126bis-2-a du réglement CRR3</t>
  </si>
  <si>
    <t>to be filled if the loan is secured by real estate
refer to Article 126bis-2-a of CRR3</t>
  </si>
  <si>
    <t>TRE2 à 4XX hors 203,205,206,207, SIG*</t>
  </si>
  <si>
    <t>La donnée est obligatoire si le type de risque [P1 2.0] est égal à {TRE2 à TRE4XX hors (TRE203, TRE205, TRE206, TRE207), SIG*} ET si l'Usage du bien immobilier apporté en garantie [P1 3.46] est égal à '1' ET l'Indicateur d'exposition sur acquisition, développement et construction (ADC) [P1 21.39] est égal à 'Y'</t>
  </si>
  <si>
    <t>The data is mandatory if Risk type [P1 2.0] is equal to {TRE2 to TRE4XX except (TRE203, TRE205, TRE206, TRE207), SIG*} AND if the Use of real-estate brought into guarantee [P1 3.46] is equal to '1' AND the Acquisition, Development and Construction (ADC) Exposure Indicator [P1 21.39] is equal to 'Y'</t>
  </si>
  <si>
    <t>TPS0939</t>
  </si>
  <si>
    <t>P1 21.42</t>
  </si>
  <si>
    <t>Indicateur d'apport en fonds propres substantiels</t>
  </si>
  <si>
    <t>Indicator of substancial equity contribution</t>
  </si>
  <si>
    <t>Indique si le débiteur a apporté une contribution substantielle au capital total du projet financé. L'apport de cette contribution en capital est d'un montant approprié par rapport à la valeur estimée du bien immobilier résidentiel finalisé.</t>
  </si>
  <si>
    <t>Indicates whether the debtor has made a substantial contribution to the total capital of the financed project. 
The contribution of this capital contribution is of an appropriate amount in relation to the estimated value of the finalized residential property.</t>
  </si>
  <si>
    <t>indFondPropSubst</t>
  </si>
  <si>
    <t>LC.0486</t>
  </si>
  <si>
    <t>TA Z8IAEFPS</t>
  </si>
  <si>
    <t>A renseigner s'il s'agit d'un prêt garanti par un bien immobilier.
Lorsque l'établissement a plusieurs expositions garanties par le même bien immobilier il faut les traiter comme une seule exposition combinée et les montants d'exposition bruts pour chacune des expositions sont additionnés pour calculer le montant d'exposition brut de l'exposition combinée.
La valeur du bien immobilier ne dépasse pas la valeur moyenne mesurée pour ce bien ou pour un bien comparable au cours des trois dernières années dans le cas d'un bien immobilier commercial, et au cours des six dernières années dans le cas d'un bien immobilier résidentiel. 
se référer à l'Article 126bis-2-b du réglement CRR3</t>
  </si>
  <si>
    <t>to be filled if it is the loan is secured by real estate.
Where the institution has more than one exposure guaranteed by the same real estate, it shall be treated as one combined exposure and the gross exposure amounts for each of the exposures shall be summed to calculate the gross exposure amount of the combined exposure.
The value of the property does not exceed the average value measured for that property or for a comparable property in the last three years in the case of commercial real estate and in the last six years in the case of residential real estate. 
refer to Article 126a-2-b of CRR3</t>
  </si>
  <si>
    <t>P1 21.43</t>
  </si>
  <si>
    <t xml:space="preserve">Ratio prudentiel d'Exposition/valeur (ETV) </t>
  </si>
  <si>
    <t>Prudential ratio Exposure To Value (ETV)</t>
  </si>
  <si>
    <t>Ce ratio représente la part du montant de l'exposition à date par rapport à la valeur prudente du bien financé
Exprimée en pourcentage</t>
  </si>
  <si>
    <t>Dividing the Exposure Amount revalorised by the prudent Value of the Financed Property
Expressed in percentage</t>
  </si>
  <si>
    <t>ratioPrudETV</t>
  </si>
  <si>
    <t>A renseigner s'il s'agit d'un prêt garanti par un bien immobilier.
Se référer à l'Article 124-5-a du réglement CRR3</t>
  </si>
  <si>
    <t>To be filled if it is the loan is secured by real estate.
Refer to Article 124-5-a of CRR3</t>
  </si>
  <si>
    <t>P1 21.56</t>
  </si>
  <si>
    <t xml:space="preserve">Indicateur Intention de revente à court terme </t>
  </si>
  <si>
    <t>Short-term resale intention indicator</t>
  </si>
  <si>
    <t>indique que l'investissement est à des fins de revente à court terme - valable uniquement pour les actions non cotées.
Se référer à l'Article 133-4-a du réglement CRR3</t>
  </si>
  <si>
    <t>indicates that the investment is for short-term resale purposes - only for unlisted share.
More details in Article 133-4-a of CRR3 regulation</t>
  </si>
  <si>
    <t>indReventeCT</t>
  </si>
  <si>
    <t>LC.0504</t>
  </si>
  <si>
    <t>TA Z8INTRCT</t>
  </si>
  <si>
    <t>EQU*, ISS200, TRE405, TRE406</t>
  </si>
  <si>
    <t>La donnée est obligatoire si le type de risque [P1 2.0] est égal à EQU* ou ISS200 ou TRE405 ou TRE406 ET si le Portefeuille Bâle Opération [P1 2.18] est égal à '080' ou '085'</t>
  </si>
  <si>
    <t>The data is mandatory if Risk type [P1 2.0] is equal to EQU* or ISS200 or TRE405 or TRE406 AND if the Basel Transaction Portfolio [P1 2.18] is equal to '080' or '085'</t>
  </si>
  <si>
    <t>TPS0940</t>
  </si>
  <si>
    <t>P1 21.57</t>
  </si>
  <si>
    <t xml:space="preserve">Indicateur d'investissement en Capital Risque </t>
  </si>
  <si>
    <t xml:space="preserve">Venture Capital investment Indicator </t>
  </si>
  <si>
    <t xml:space="preserve">Indique que c'est un investissement dans des entreprises de capital-risque ou investissement similaire qui est acquis en vue de réaliser d'importantes plus-values à court terme - valable uniquement pour les actions non cotées
</t>
  </si>
  <si>
    <t>Indicates that it is an investment in venture capital firms or similar investment which is acquired with a view to making significant short-term capital gains - only for unlisted share</t>
  </si>
  <si>
    <t>indInvestCapRisq</t>
  </si>
  <si>
    <t>LC.0500</t>
  </si>
  <si>
    <t>TA Z8INCRIS</t>
  </si>
  <si>
    <t>Se référer à l'Article 133-4-b du réglement CRR3</t>
  </si>
  <si>
    <t>Refer to article 133-4-b of regulation CRR3</t>
  </si>
  <si>
    <t>P1 21.58</t>
  </si>
  <si>
    <t xml:space="preserve">Indicateur d'investissement dans un programme législatif </t>
  </si>
  <si>
    <t>Legislative program investment indicator</t>
  </si>
  <si>
    <t>Indique s'il s'agit d'un investissement dans un programme législatif</t>
  </si>
  <si>
    <t>Indicates whether this is an investment in a legislative program</t>
  </si>
  <si>
    <t>indInvestProgLeg</t>
  </si>
  <si>
    <t>LC.0505</t>
  </si>
  <si>
    <t>TA Z8IPRLEG</t>
  </si>
  <si>
    <t>Se référer à l'Article 133-5 du réglement CRR3</t>
  </si>
  <si>
    <t>Refer to article 133-5 of regulation CRR3</t>
  </si>
  <si>
    <t>P1 21.59</t>
  </si>
  <si>
    <t>Indicateur de participation stratégique depuis plus de 6 ans</t>
  </si>
  <si>
    <t>Strategic participation for more than 6 years indicator</t>
  </si>
  <si>
    <t>Indique si la participation date depuis plus de 6 ans avec l'application de l'article 495bis -3</t>
  </si>
  <si>
    <t>Indicates if the participation dates back more than 6 years with applying article 495bis-3</t>
  </si>
  <si>
    <t>IndParticipPlus6</t>
  </si>
  <si>
    <t>LC.0506</t>
  </si>
  <si>
    <t>TA Z8IPARS6</t>
  </si>
  <si>
    <t>P1 21.60</t>
  </si>
  <si>
    <t>Taux historique de pondération de la participation</t>
  </si>
  <si>
    <t>Historical participation weighting rate</t>
  </si>
  <si>
    <t xml:space="preserve">Taux historique de pondération appliqué à la participation pour le calcul du RWA.
Exprimé en %
</t>
  </si>
  <si>
    <t>Historical weighting rate applied to the participation for the calculation of the RWA.
Expressed as %</t>
  </si>
  <si>
    <t>txHistoPondeParticip</t>
  </si>
  <si>
    <t>Se référer à l'Article 495bis-3 du réglement CRR3</t>
  </si>
  <si>
    <t>Refer to Article 495bis-3 of CRR3 regulation</t>
  </si>
  <si>
    <t>La donnée est obligatoire si le type de risque [P1 2.0] est égal à EQU* ou ISS200 ou TRE405 ou TRE406 ET si le Portefeuille Bâle Opération [P1 2.18] est égal à '080' ou '085' ET si l'Indicateur de participation stratégique depuis plus de 6 ans [P1 21.59] est égal à 'Y'</t>
  </si>
  <si>
    <t>The data is mandatory if Risk type [P1 2.0] is equal to EQU* or ISS200 or TRE405 or TRE406 AND if the Basel Transaction Portfolio [P1 2.18] is equal to '080' or '085' AND if the Strategic participation for more than 6 years indicator [P1 21.59] is equal to 'Y'</t>
  </si>
  <si>
    <t>TPS0941</t>
  </si>
  <si>
    <t>P1 21.61</t>
  </si>
  <si>
    <t>Perte en cas de défaut (LGD) de la part d'encours couverte par des sûretés réelles</t>
  </si>
  <si>
    <t>LGD of secured part (in %)</t>
  </si>
  <si>
    <t>Correspond à la LGD moyenne de la part de l'encours couverte par des sûretés réelles
Exprimée en pourcentage</t>
  </si>
  <si>
    <t>LGD in percentage calculated by the entity
Corresponds to the average LGD of the part of outstandings covered by collateral</t>
  </si>
  <si>
    <t>txLDGCouvSur</t>
  </si>
  <si>
    <t>Donnée utilisée par le moteur IRB A et utilisée pour les engagements de certaines activités du groupe.
A ne pas renseigner pour les Dérivés et Repos car par convention, on la renseignera sur le champ 'LGD partie non couverte'</t>
  </si>
  <si>
    <t>Data used by the IRB A engine and used for the funds in use of certain group activities.
Do not fill for derivatives and Repos because by convention, it will be reported on the field 'LGD part not covered'</t>
  </si>
  <si>
    <t>La donnée est obligatoire si la Méthodologie Bâloise [P1 1.1] est égale à 'IRB A' et si le Montant d'encours pour la partie couverte par des sûretés réelles [P1 21.63] est renseigné et différent de '0'</t>
  </si>
  <si>
    <t>The data is mandatory if the Basel methodology [P1 1.1] is equal to 'IRB A' and if the Secured part exposure amount [P1 21.63] is filled and different from '0'</t>
  </si>
  <si>
    <t>TPS0942</t>
  </si>
  <si>
    <t>P1 21.62</t>
  </si>
  <si>
    <t>Perte en cas de défaut (LGD) de la part d'encours non couverte par des sûretés réelles</t>
  </si>
  <si>
    <t>LGD of unsecured part (in %)</t>
  </si>
  <si>
    <t>Correspond à la LGD de la part de l'encours non couverte par des sûretés réelles
Exprimée en %</t>
  </si>
  <si>
    <t>Corresponds to the LGD of the unsecured part of outstandings
Expressed in %</t>
  </si>
  <si>
    <t>txLGDnonCouvSur</t>
  </si>
  <si>
    <t>Donnée utilisée par le moteur IRB A et utilisée pour les engagements de certaines activités du groupe</t>
  </si>
  <si>
    <t>Data used by the IRB A engine and used for the commitments of some group activities</t>
  </si>
  <si>
    <t>La donnée est obligatoire si la Méthodologie Bâloise [P1 1.1] est égale à 'IRB A' et si le Montant d'encours pour la partie couverte par des sûretés réelles [P1 21.63] est égal à '0' ou vide</t>
  </si>
  <si>
    <t>The data is mandatory if the Basel methodology [P1 1.1] is equal to 'IRB A' and if the Secured part exposure amount [P1 21.63] is equal to '0' or empty</t>
  </si>
  <si>
    <t>TPS0943</t>
  </si>
  <si>
    <t>P1 21.63</t>
  </si>
  <si>
    <t>Montant d'encours pour la partie couverte par des sûretés réelles</t>
  </si>
  <si>
    <t>Secured part exposure amount</t>
  </si>
  <si>
    <t>Correspond au montant de la part de l'encours couverte par des sûretés réelles</t>
  </si>
  <si>
    <t>Corresponds to the amount of the secured part of the outstanding</t>
  </si>
  <si>
    <t>mntEncCouvSur</t>
  </si>
  <si>
    <t>La donnée est obligatoire si la Méthodologie Bâloise [P1 1.1] est égale à ‘IRB A' et si le contrat est garanti par une sûreté réelle.
Pour les types de risque 'VAR***' (Dérivés et Repos), cette donnée ne doit pas être renseignée</t>
  </si>
  <si>
    <t>The data is mandatory if the Basel methodology [P1 1.1] is equal to ‘IRB A' and if the contract is secured by a security interest.
For risk types 'VAR***' (Derivatives and Repos), this data must not be filled</t>
  </si>
  <si>
    <t>EQU101
EQU201
ISS100
ISS200 et 300
TRE100
TRE2 à 4XX hors 203,205,206,207
TRE203, 205, 207
TRE206
TRE5XX
SIG
INT</t>
  </si>
  <si>
    <t>Si le type de risque [P1 2.0] est égal à 'VARxxx', la donnée ne doit pas être renseignée.</t>
  </si>
  <si>
    <t>If the risk type [P1 2.0] is equal to 'VARxxx', the data must be not filled</t>
  </si>
  <si>
    <t>TCS0741</t>
  </si>
  <si>
    <t>P1 21.64</t>
  </si>
  <si>
    <t>Devise du montant d'encours pour la partie couverte des sûretés réelles</t>
  </si>
  <si>
    <t>Currency of the exposure amount secured part</t>
  </si>
  <si>
    <t>Devise du montant encours partie couverte</t>
  </si>
  <si>
    <t>cdDevMntEncCouvSur</t>
  </si>
  <si>
    <t>La donnée est obligatoire si le Montant d'encours pour la partie couverte par des sûretés réelles [P1 21.63] est renseigné</t>
  </si>
  <si>
    <t>The data is mandatory if the Secured part exposure amount [P1 21.63] is filled</t>
  </si>
  <si>
    <t>P1 21.65</t>
  </si>
  <si>
    <t>Entité juridique de rattachement du contrat de netting prudentiel</t>
  </si>
  <si>
    <t>Legal entity of the netting contract</t>
  </si>
  <si>
    <t>Correspond au code de consolidation de l'entité juridique à laquelle est rattaché le contrat de netting prudentiel. Champ utilisé pour des contraintes purement techniques et sans signification fonctionnelle.</t>
  </si>
  <si>
    <t>Corresponds to the consolidation code of the legal entity to which the netting contract is attached. Field used for technical purpose, without functional meaning.</t>
  </si>
  <si>
    <t>EntJurContNettPrud</t>
  </si>
  <si>
    <t>L'entité juridique de rattachement du contrat de netting prudentiel peut être une entité présente dans le LC.0003 TA 0990 FI59</t>
  </si>
  <si>
    <t>The legal entity of the netting contract may be an entity present in LC.0003 TA 0990 FI59</t>
  </si>
  <si>
    <t>TRE203, 205, 207
TRE206
VAR*</t>
  </si>
  <si>
    <t>La donnée est obligatoire si le type de risque [P1 2.0] = 'EQU, ISS, VAR, INT, TRE203, TRE205, TRE206, TRE207, TRE405, TRE406' ET si l'Indicateur accord de netting prudentiel [P1 3.16] est égal à 'Y'</t>
  </si>
  <si>
    <t>The data is mandatory if Risk type [P1 2.0] = 'EQU, ISS, VAR, INT, TRE203, TRE205, TRE206, TRE207, TRE405, TRE406' AND if the Prudential netting arrangement indicator [P1 3.16] is equal to 'Y'</t>
  </si>
  <si>
    <t>TPS0944</t>
  </si>
  <si>
    <t>P1 21.66</t>
  </si>
  <si>
    <t>Indicateur d'engagement hors bilan annulable sans conditions (UCC)</t>
  </si>
  <si>
    <t>Indicator of an off balance-sheet commitment unconditionally cancellable (UCC)</t>
  </si>
  <si>
    <t>Permet d'identifier un encours hors-bilan UCC afin de lui appliquer le CCF adéquat et l'identifier dans les reportings réglementaires</t>
  </si>
  <si>
    <t>Allows to identify an off-balance UCC exposure in order to apply the appropriate CCF and identify it in the regulatory reporting</t>
  </si>
  <si>
    <t>indHbUCC</t>
  </si>
  <si>
    <t>LC.0495</t>
  </si>
  <si>
    <t>TA Z8IHBUCC</t>
  </si>
  <si>
    <t>Pour le cas des expositions en méthode IRBA, le top UCC ne doit pas être renseigné si l'exposition fait partie du périmètre de calibrage du modèle. Dans ce cas, le CCF à prendre en compte est celui du modèle IRBA</t>
  </si>
  <si>
    <t>For IRBA exposures, the top UCC does not need to be entered if the exposure is part of the model's calibration perimeter. In this case, the CCF to be taken into account is that of the IRBA model</t>
  </si>
  <si>
    <t>P1 21.67</t>
  </si>
  <si>
    <t xml:space="preserve">Indicateur de l'application de l'approche par mandat </t>
  </si>
  <si>
    <t>Mandate-based approach indicator</t>
  </si>
  <si>
    <t>Indicateur permettant de préciser si l'exposition sous forme de parts ou d'actions d'OPC est à pondérer selon l'approche par mandat ou selon l'approche alternative, soit 1250%.</t>
  </si>
  <si>
    <t>Allows to indicate that the exposure in the form of UCITS units or shares is to be weighted according to mandate-based approach.
If not, the exposure will be weighted using the alternative approach, i.e. 1250%</t>
  </si>
  <si>
    <t>indMandatApproch</t>
  </si>
  <si>
    <t>LC.0493</t>
  </si>
  <si>
    <t>TA Z8IAPPMA</t>
  </si>
  <si>
    <t>Champ à renseigner pour les OPCVM externes.
S'il est alimenté à 'Y', bien renseigner le champ nature du sous-jacent (P1 12.1) afin de pondérer correctement l'encours sinon il sera pondéré à 1250%</t>
  </si>
  <si>
    <t>Field to be completed for external UCITS.
If it is fed to 'Y', fill in the nature field of the underlying (P1 12.1) in order to correctly weight the outstanding otherwise it will be weighted at 1250%</t>
  </si>
  <si>
    <t>SIG*, ISS*</t>
  </si>
  <si>
    <t>P1 21.68</t>
  </si>
  <si>
    <t>Niveau de risque CRR3</t>
  </si>
  <si>
    <t>Risk level (CRR3)</t>
  </si>
  <si>
    <t>Permet de préciser le niveau de risque associé à l'engagement et de forcer le taux de CCF à appliquer.
Si ce champ n'est pas renseigné, alors le CCF sera déterminé en fonction des différents paramètres (type de risque, maturité, …)
Ce champ respecte les définitions de la réglementation CRR3 - Annexe 1</t>
  </si>
  <si>
    <t>Allows you to specify the level of risk associated with the commitment and to force the CCF rate to be applied.
If this field is not filled in, then the CCF will be determined according to the different parameters (type of risk, maturity, etc.)
It follows CRR3 - Appendix 1 Regulation definitions</t>
  </si>
  <si>
    <t>NivRisqCRR3</t>
  </si>
  <si>
    <t>LC.0511</t>
  </si>
  <si>
    <t>TA Z8NRCRR3</t>
  </si>
  <si>
    <t>Si renseigné, le CCF associé à ce niveau de risque sera pris en compte dans le calcul de la valeur exposée au risque EAD, sinon le CCF est déterminé en central à partir du type de risque et de la maturité de l'engagement</t>
  </si>
  <si>
    <t>If completed, the CCF associated with this risk level will be considered in the calculation of the EAD risk exposure value, otherwise the CCF is determined centrally based on the risk type and maturity of the funds in use</t>
  </si>
  <si>
    <t>P1 21.55</t>
  </si>
  <si>
    <t>NATure d'Opération de l'engagement pour le calcul Output floor</t>
  </si>
  <si>
    <t>Commitment Transaction Nature for Output floor calculation</t>
  </si>
  <si>
    <t>Correspond à la classification de l'encours pour le calcul en Output Floor selon la nomenclature Groupe CA "NATO" commune aux Risques et à la Comptabilité.</t>
  </si>
  <si>
    <t>Represents the classification of outstanding amounts for Output floor calculation on the basis of the CA Group shared Risk and Accounting "NATO" (transaction nature) nomenclature</t>
  </si>
  <si>
    <t>cdNatOpCalcOutFloor</t>
  </si>
  <si>
    <t>TA H8NATOPE</t>
  </si>
  <si>
    <t>Il s'agit ici de la NATure d'Opération telle que déterminée et employée par l'entité pour la déclaration de l'outputfloor</t>
  </si>
  <si>
    <t>This is the Operation NATure as determined and used by the entity for the outputfloor reporting</t>
  </si>
  <si>
    <t>P1 21.69</t>
  </si>
  <si>
    <t>Indicateur de calcul de l'ajustement de l'évaluation de crédit (CVA) prudentielle en local</t>
  </si>
  <si>
    <t>Prudential credit valuation adjustment (CVA) local calculation indicator</t>
  </si>
  <si>
    <t>Indique si le calcul de la CVA prudentielle se fait en local</t>
  </si>
  <si>
    <t>Indicates if the Prudential CVA calculation is done locally</t>
  </si>
  <si>
    <t>indCalcCVAlocal</t>
  </si>
  <si>
    <t>LC.0485</t>
  </si>
  <si>
    <t>TA Z8ICVAPL</t>
  </si>
  <si>
    <t>P1 21.89</t>
  </si>
  <si>
    <t>Identifiant local du client de l'intermédiaire compensateur</t>
  </si>
  <si>
    <t>Local identifier of the clearing intermediary's customer</t>
  </si>
  <si>
    <t>Identifiant du client de l'intermédiaire compensateur dans le système local utilisé pour générer le flux.
Identifiant local du client intragroupe pour le compte duquel l'intermédiaire (entité déclarante) réalise la compensation via CCP sans garantie de bonne fin.
Ce champ est à renseigner sur les opérations entre l'intermédiaire et la CCP.</t>
  </si>
  <si>
    <t>Identifier of the clearing intermediary's customer in the local system used to generate the flow.
The local identifier of the intra-group customer on whose behalf the intermediary (reporting entity) makes the compensation via CCP without a completion guarantee.
This field is to be filled on declared transactions between the intermediary and the CCP.</t>
  </si>
  <si>
    <t>idLocalCliCompens</t>
  </si>
  <si>
    <t>Ce champ est à renseigner sur les opérations entre l'intermédiaire et la CCP. Il ne devrait être renseigné que lorsque le client fait partie du groupe Crédit Agricole.
Champ réservé à CACEIS</t>
  </si>
  <si>
    <t>This field is for information on the transactions between the intermediary and the CCP. It should only be provided when the customer Credit Agricole Group is part of the
Field reserved for CACEIS</t>
  </si>
  <si>
    <t>P1 21.90</t>
  </si>
  <si>
    <t>Identifiant central du client de l'intermédiaire compensateur</t>
  </si>
  <si>
    <t>Central identifier of the clearing intermediary's customer</t>
  </si>
  <si>
    <t>Identifiant central du client intragroupe pour le compte duquel l'intermédiaire (entité déclarante) réalise la compensation via CCP sans garantie de bonne fin.
Ce champ est à renseigner sur les opérations entre l'intermédiaire et la CCP.</t>
  </si>
  <si>
    <t>The central identifier of the intra-group customer on whose behalf the intermediary (reporting entity) makes the compensation via CCP without a completion guarantee.
This field is to be filled on declared transactions between the intermediary and the CCP.</t>
  </si>
  <si>
    <t>idCentralCliCompens</t>
  </si>
  <si>
    <t>S'il est renseigné, l'identifiant doit correspondre à un enregistrement dans l'objet associé, indépendamment de l'entité
---
La donnée doit être présente dans TIGRE
---
Le couple identifiant local / central (P1 21.89 et P1 21.90) doit exister dans TIGRE</t>
  </si>
  <si>
    <t>If it is filled in, the identifier must correspond to a record in the associated object, regardless of the entity
---
Data must be present in TIGRE
---
The local/central identifier pair (P1 21.89 and P1 21.90) must exist in TIGRE</t>
  </si>
  <si>
    <t>P1 8.13</t>
  </si>
  <si>
    <t>Usage du bien immobilier financé</t>
  </si>
  <si>
    <t>Use of financed property</t>
  </si>
  <si>
    <t>Permet de préciser si le bien financé est à usage résidentiel ou à usage commercial</t>
  </si>
  <si>
    <t>Specifies whether the funded property is for residential or commercial use</t>
  </si>
  <si>
    <t>cdUsBienFin</t>
  </si>
  <si>
    <t>Il s'agit du bien financé (et non du bien apporté en garantie)
Si le bien financé n'est pas un bien immobilier, mettre '0'</t>
  </si>
  <si>
    <t>It is the financed property (not the property assigned as collateral)
If the financed property is not real estate, put '0'</t>
  </si>
  <si>
    <t>ESG PILIER 3, NZBA, RISQUE PHYSIQUE</t>
  </si>
  <si>
    <t>TRE2 à 4XX (hors 201,203,205,206,207)
TRE5XX</t>
  </si>
  <si>
    <t>P1 21.71</t>
  </si>
  <si>
    <t>Lieu d'investissement du bien principal financé : Nom commune</t>
  </si>
  <si>
    <t>Investment location of the principal asset financed: Commune name</t>
  </si>
  <si>
    <t>Lieu d'investissement du bien financé : Nom de la commune</t>
  </si>
  <si>
    <t>Investment location of the financed asset: Name of the commune</t>
  </si>
  <si>
    <t>NomCommBienFin</t>
  </si>
  <si>
    <t>NZBA, RISQUE PHYSIQUE</t>
  </si>
  <si>
    <t>TRE2 à 5XX hors 201,203,205-207</t>
  </si>
  <si>
    <t>P1 21.72</t>
  </si>
  <si>
    <t>Lieu d'investissement du bien principal financé : numéro dans la voie</t>
  </si>
  <si>
    <t>Investment location of the principal asset financed: number in the road/street</t>
  </si>
  <si>
    <t>Lieu d'investissement du bien financé : numéro dans la voie</t>
  </si>
  <si>
    <t>Investment location of the financed asset: number in the road name</t>
  </si>
  <si>
    <t>NumVoieBienFin</t>
  </si>
  <si>
    <t>P1 21.73</t>
  </si>
  <si>
    <t>Lieu d'investissement du bien principal financé : extension</t>
  </si>
  <si>
    <t>Investment location of the principal asset financed: Extension to the number</t>
  </si>
  <si>
    <t>Lieu d'investissement du bien financé : extension (bis, ter…)</t>
  </si>
  <si>
    <t>Investment location of the financed asset: Extension to the number</t>
  </si>
  <si>
    <t>ExtNumBienFin</t>
  </si>
  <si>
    <t>RISQUE PHYSIQUE</t>
  </si>
  <si>
    <t>P1 21.74</t>
  </si>
  <si>
    <t>Lieu d'investissement du bien principal financé : type de voie</t>
  </si>
  <si>
    <t>Investment location of the principal asset financed: type of road</t>
  </si>
  <si>
    <t>Lieu d'investissement du bien financé : type de voie (rue, avenue, allée, boulevard etc…)</t>
  </si>
  <si>
    <t>Investment location of the financed asset: type of road</t>
  </si>
  <si>
    <t>TypVoieBienFin</t>
  </si>
  <si>
    <t>P1 21.75</t>
  </si>
  <si>
    <t>Lieu d'investissement du bien principal financé : libellé de la voie</t>
  </si>
  <si>
    <t>Investment location of the principal asset financed: road name</t>
  </si>
  <si>
    <t>Lieu d'investissement du bien financé : libellé de la voie</t>
  </si>
  <si>
    <t>Investment location of the financed asset: road name</t>
  </si>
  <si>
    <t>LibVoieBienFin</t>
  </si>
  <si>
    <t>P1 21.76</t>
  </si>
  <si>
    <t>Lieu d'investissement du bien principal financé : lieu dit / service particulier de distribution</t>
  </si>
  <si>
    <t>Investment location of the principal asset financed: Locality / special delivery service</t>
  </si>
  <si>
    <t>Lieu d'investissement du bien financé : lieu dit / service particulier de distribution</t>
  </si>
  <si>
    <t>Investment location of the financed asset: Locality / special delivery service</t>
  </si>
  <si>
    <t>LieuDitBienFin</t>
  </si>
  <si>
    <t>P1 21.77</t>
  </si>
  <si>
    <t>Lieu d'investissement du bien principal financé : coordonnées GPS - Latitude</t>
  </si>
  <si>
    <t>Investment location of the principal asset financed: Coordinates GPS - Latitude</t>
  </si>
  <si>
    <t>Latitude de la localisation géographique (GPS) exprimée en degrés décimaux (DD) du bien immobilier financé</t>
  </si>
  <si>
    <t>Latitude of the geographical location (GPS) expressed in decimal degrees (DD) of the funded property</t>
  </si>
  <si>
    <t>GPSLatBienFin</t>
  </si>
  <si>
    <t>Format : +-NN.DDDDDDD avec NN situé entre -90 et +90, selon la norme WGS84.
Les coordonnées GPS sont utilisées pour déterminer les sensibilités aux risques physiques à cette position.
Les coordonnées GPS sont requises si l'adresse du bien immobilier financé n'est pas renseignée</t>
  </si>
  <si>
    <t>Format: +-NN.DDDDD with NN between -90 and +90, in accordance with WGS84.
GPS coordinates are used to determine sensitivity to physical risks at this position.
GPS coordinates are required if the address of the property financed is not provided</t>
  </si>
  <si>
    <t>11 dont signe, séparateur et 7 décimales</t>
  </si>
  <si>
    <t>11 including sign, separator and 7 decimals</t>
  </si>
  <si>
    <t>P1 21.78</t>
  </si>
  <si>
    <t>Lieu d'investissement du bien principal financé : coordonnées GPS - Longitude</t>
  </si>
  <si>
    <t>Investment location of the principal asset financed: Coordinates GPS - Longitude</t>
  </si>
  <si>
    <t>Longitude de la localisation géographique (GPS) exprimée en degrés décimaux (DD) du bien immobilier financé</t>
  </si>
  <si>
    <t>Longitude of the geographical location (GPS) expressed in decimal degrees (DD) of the funded property</t>
  </si>
  <si>
    <t>GPSLongBienFin</t>
  </si>
  <si>
    <t>Format : +-NNN.DDDDDDD avec NNN situé entre -180 et +180, selon la norme WGS84.
Les coordonnées GPS sont utilisées pour déterminer les sensibilités aux risques physiques à cette position.
Les coordonnées GPS sont requises si l'adresse du bien immobilier financé n'est pas renseignée</t>
  </si>
  <si>
    <t>Format: +-NNN.DDDDDD with NNN between -180 and +180, in accordance with WGS84.
GPS coordinates are used to determine sensitivity to physical risks at this position.
GPS coordinates are required if the address of the property financed is not provided</t>
  </si>
  <si>
    <t>12 dont signe, séparateur et 7 décimales</t>
  </si>
  <si>
    <t>12 including sign, separator and 7 decimals</t>
  </si>
  <si>
    <t>P1 21.94</t>
  </si>
  <si>
    <t>Indicateur d'actif liquide de haute qualité (HQLA)</t>
  </si>
  <si>
    <t>High quality liquid asset (HQLA) indicator</t>
  </si>
  <si>
    <t>Indicateur précisant si l'actif est considéré liquide de haute qualité</t>
  </si>
  <si>
    <t>Indicator of whether the asset is considered high quality liquid</t>
  </si>
  <si>
    <t>indHQLA</t>
  </si>
  <si>
    <t>LC.0502</t>
  </si>
  <si>
    <t>RB Z8INHQLA</t>
  </si>
  <si>
    <t>CORFOU</t>
  </si>
  <si>
    <t>EQU101, ISS*</t>
  </si>
  <si>
    <t xml:space="preserve">La donnée est obligatoire si le type de risque [P1 2.0] = 'EQU101', 'ISSxxx' </t>
  </si>
  <si>
    <t xml:space="preserve">The data is mandatory if Risk type [P1 2.0] = 'EQU101', 'ISSxxx' </t>
  </si>
  <si>
    <t>TPS0876</t>
  </si>
  <si>
    <t>P1 21.95</t>
  </si>
  <si>
    <t>Niveau de l'actif liquide de haute qualité (HQLA)</t>
  </si>
  <si>
    <t>High quality liquid asset (HQLA) level</t>
  </si>
  <si>
    <t>Niveau HQLA de l'actif</t>
  </si>
  <si>
    <t>HQLA level of the asset</t>
  </si>
  <si>
    <t>NivHQLA</t>
  </si>
  <si>
    <t>LC.0512</t>
  </si>
  <si>
    <t>RB Z8NVHQLA</t>
  </si>
  <si>
    <t xml:space="preserve">La donnée est obligatoire si Indicateur d'actif liquide de haute qualité (HQLA) [P1 21.94] = 'Y' </t>
  </si>
  <si>
    <t xml:space="preserve">The data is mandatory if High quality liquid asset (HQLA) indicator [P1 21.94] = 'Y' </t>
  </si>
  <si>
    <t>TPS0970</t>
  </si>
  <si>
    <t>P1 21.79</t>
  </si>
  <si>
    <t>Indicateur Titre de Participation</t>
  </si>
  <si>
    <t>Equity Security indicator</t>
  </si>
  <si>
    <t>Indique si le titre est un titre de participation</t>
  </si>
  <si>
    <t>Indicates whether the security is an equity security (or not)</t>
  </si>
  <si>
    <t>indTitrePartic</t>
  </si>
  <si>
    <t>LC.0509</t>
  </si>
  <si>
    <t>TA Z8ITPART</t>
  </si>
  <si>
    <t>EQU101
ISS200, ISS300</t>
  </si>
  <si>
    <t>La donnée est obligatoire si le type de risque [P1 2.0] = 'EQU101', 'ISS200', 'ISS300' ET Nature du sous-jacent [P1 12.1] = '12, 13, 14'</t>
  </si>
  <si>
    <t>Mandatory data if Risk type [P1 2.0] = 'EQU101', 'ISS200', 'ISS300' AND Nature of underlying [P1 12.1] = '12, 13, 14'</t>
  </si>
  <si>
    <t>P1 21.80</t>
  </si>
  <si>
    <t>Classification comptable de l'élément couvert par le dérivé</t>
  </si>
  <si>
    <t>Reference accounting classification of the security covered by the derivative transaction</t>
  </si>
  <si>
    <t>cdClassCptEltDeriv</t>
  </si>
  <si>
    <t>La donnée est obligatoire si le type de risque [P1 2.0] est égal à VAR (hors Repos VAR105, VAR302) et si la Référence unique du titre couvert par l'opération de dérivé [P1 24.37] est renseignée</t>
  </si>
  <si>
    <t>The data is mandatory if Risk type [P1 2.0] is equal to VAR (except Repos VAR105, VAR302) and if the Unique reference of the security covered by the derivative transaction [P1 24.37] is filled</t>
  </si>
  <si>
    <t>TPS0945</t>
  </si>
  <si>
    <t>P1 21.81</t>
  </si>
  <si>
    <t>DSCR (ratio de couverture des charges d'emprunt) à l'octroi</t>
  </si>
  <si>
    <t>Local DSCR ratio at the origin</t>
  </si>
  <si>
    <t>DSCR local à l'octroi
Correspond aux revenus annuels produits par l'usage du bien commercial sur la valeur des charges liées au prêt garanti par le bien immobilier commercial
Exprimée en pourcentage</t>
  </si>
  <si>
    <t>Local DSCR ratio upon origination
Corresponds to the annual income generated by the use of the commercial property over the value of the charges related to the loan secured by the commercial property
Expressed in percentage</t>
  </si>
  <si>
    <t>txDSCRoctroi</t>
  </si>
  <si>
    <t>TRE2 à 5XX hors 203,205-207</t>
  </si>
  <si>
    <t>P1 21.82</t>
  </si>
  <si>
    <t>DSCR (ratio de couverture des charges d'emprunt) revalorisé</t>
  </si>
  <si>
    <t>Recalculated DSCR ratio</t>
  </si>
  <si>
    <t>DSCR local revalorisé
Correspond aux revenus annuels roduits par l'usage du bien commercial sur la valeur des charges liées au prêt garanti par le bien immobilier commercial
Exprimée en pourcentage</t>
  </si>
  <si>
    <t>Recalculated Local DSCR ratio
Corresponds to the annual income generated by the use of the commercial property over the value of the charges related to the loan secured by the commercial property
Expressed in percentage</t>
  </si>
  <si>
    <t>txDSCRreval</t>
  </si>
  <si>
    <t>La donnée est obligatoire, si le type de risque [P1 2.0] = 'TRExx' (hors 'TRE203, TRE205, TRE206, TRE207'), 'SIGxx' ET si l'usage du bien immobilier financé [P1 8.13] est égal à '2' et si la Date de revalorisation du bien [P1 22.46] est renseignée</t>
  </si>
  <si>
    <t>The data is mandatory if the Risk type [P1 2.0] = 'TRExx' (except 'TRE203, TRE205, TRE206, TRE207'), 'SIGxx' AND if the Use of financed property [P1 8.13] is equal to '2' and if the Property's revaluation date [P1 22.46] is filled</t>
  </si>
  <si>
    <t>TPS0946</t>
  </si>
  <si>
    <t>P1 21.83</t>
  </si>
  <si>
    <t>Ratio de couverture des intérêts (ICR) revalorisé</t>
  </si>
  <si>
    <t>Recalculated ICR ratio</t>
  </si>
  <si>
    <t>Le ratio ICR (Interest Coverage Ratio) revalorisé correspond au rapport entre l'excédent brut d'exploitation (EBE) de l'emprunteur et le coût annuel des intérêts du service total de la dette au moment du montage du prêt.</t>
  </si>
  <si>
    <t>The Recalculated Interest Coverage Ratio (ICR) corresponds to the ratio between the borrower's gross operating surplus (GOS) and the annual interest cost of the total debt service at the time of the loan.</t>
  </si>
  <si>
    <t>txICRreval</t>
  </si>
  <si>
    <t xml:space="preserve">La donnée est obligatoire si le type de risque [P1 2.0] est égal à 'TRE2xx' à 'TRE4xx', 'TRE502' hors (TRE201, TRE203, TRE205, TRE206, TRE207) ET si la donnée objet financé [P1 22.7] est égale à '03' ET si la donnée méthodologie de notation [C1 4.3] du tiers en risque est égale à 'M1 ', 'M2', 'M41', 'M43' ou 'M44' ET si la date revalorisation du bien [P1 22.46] est renseignée </t>
  </si>
  <si>
    <t>The data is mandatory if Risk type [P1 2.0] is equal to 'TRE2xx' to 'TRE4xx', 'TRE502' except (TRE201, TRE203, TRE205, TRE206, TRE207) AND if the data Object financed [P1 22.7] is equal to '03' AND if the data Rating methodology [C1 4.3] of third-party in risk is equal to 'M1 ', 'M2', 'M41', 'M43' or 'M44' AND if the Property's revaluation date [P1 22.46] is filled</t>
  </si>
  <si>
    <t>TP2037</t>
  </si>
  <si>
    <t>P1 21.84</t>
  </si>
  <si>
    <t>Ratio prêts-coûts (LTC) à l'octroi</t>
  </si>
  <si>
    <t>LTC (Loan to Cost) at the origin</t>
  </si>
  <si>
    <t>Le ratio LTC (Loan To Cost) représente le montant initial de l'ensemble des prêts accordés par rapport aux coûts liés à la construction d'un bien immobilier jusqu'à son achèvement</t>
  </si>
  <si>
    <t>The Loan To Cost (LTC) ratio represents the initial amount of all loans granted relative to the costs of the property construction until its completion</t>
  </si>
  <si>
    <t>txLTCoctroi</t>
  </si>
  <si>
    <t>P1 21.85</t>
  </si>
  <si>
    <t>Taux de précommercialisation / prélocation à l'octroi</t>
  </si>
  <si>
    <t>Pre-market/pre-grant rate at the origin</t>
  </si>
  <si>
    <t>Correspond à la surface pré-réservée (location ou vente) au moment de l'accord de prêt / surface totale après achèvement du bien
Exprimé en %</t>
  </si>
  <si>
    <t>Corresponds to the pre-reserved area (renting or sale) at the time of the loan agreement / total area after completion of the property
Expressed as %</t>
  </si>
  <si>
    <t>txPreOctroi</t>
  </si>
  <si>
    <t>P1 21.86</t>
  </si>
  <si>
    <t>Type de bien commercial</t>
  </si>
  <si>
    <t>Type of commercial property</t>
  </si>
  <si>
    <t>Correspond à l'usage principal du bien immobilier commercial</t>
  </si>
  <si>
    <t>Corresponds to the principle use of the commercial real estate property</t>
  </si>
  <si>
    <t>TypBienCcial</t>
  </si>
  <si>
    <t>LC.0513</t>
  </si>
  <si>
    <t>TA Z8TYPBCO</t>
  </si>
  <si>
    <t>P1 21.87</t>
  </si>
  <si>
    <t>Emplacement du bien immobilier commercial</t>
  </si>
  <si>
    <t>Location of the commercial real estate property</t>
  </si>
  <si>
    <t>Fait référence à la répartition géographique ou aux sous-marchés immobiliers.
Comprend les emplacements privilégiés et les emplacements non-privilégiés (cf. le langage commun pour une définition d'un emplacement privilégié).</t>
  </si>
  <si>
    <t>Refers to geographical distribution or real-estate submarkets.
Includes preferred and non-preferred locations (see the common language for a definition of a preferred location)</t>
  </si>
  <si>
    <t>EmplBienCcial</t>
  </si>
  <si>
    <t>LC.0516</t>
  </si>
  <si>
    <t>TA Z8EMPBCO</t>
  </si>
  <si>
    <t>P1 21.88</t>
  </si>
  <si>
    <t>Indicateur d'opération avec recours</t>
  </si>
  <si>
    <t>Operation with recourse indicator</t>
  </si>
  <si>
    <t>Classification des opérations en fonction des droits qu'a le créancier de saisir des actifs ne constituant pas une protection nantie pour garantir l'opération.
Dans le cas de créances commerciales, il s'agit du droit de recouvrer la dette auprès de l'entité ayant vendu ces créances au créancier.</t>
  </si>
  <si>
    <t>Classification of operation according to the creditor's rights to seize assets not pledged as security for the operation.
In the case of trade receivables, it is the right to collect the debt from the entity that sold the receivables to the creditor.</t>
  </si>
  <si>
    <t>indOpeAvcRecours</t>
  </si>
  <si>
    <t>LC.0503</t>
  </si>
  <si>
    <t>TA Z8INSARE</t>
  </si>
  <si>
    <t>TRE2xx' à 'TRE5xx' hors (TRE201, TRE203, TRE205, TRE206, TRE207)</t>
  </si>
  <si>
    <t>P1 21.91</t>
  </si>
  <si>
    <t>Montant des variations cumulées de la juste valeur dues au risque de crédit</t>
  </si>
  <si>
    <t>Amount of cumulative changes of the fair value due to credit risk</t>
  </si>
  <si>
    <t xml:space="preserve">Ce montant représente les variations cumulées de la juste valeur dues au risque de crédit conformément à l'annexe V, partie 2.46, du règlement d'exécution (UE) no 680/2014. Les variations cumulées de la juste valeur dues au risque de crédit sont calculées en additionnant toutes les variations négatives et positives de la juste valeur de l'instrument dues au risque de crédit qui se sont produites depuis sa comptabilisation. 
</t>
  </si>
  <si>
    <t>This amount represents the cumulative changes in fair value due to credit risk in accordance with Annex V, Part 2.46 of Implementing Regulation (EU) No 680/2014. Cumulative changes in fair value due to credit risk are calculated as the sum of all negative and positive changes in the fair value of the instrument due to credit risk that have occurred since its recognition.</t>
  </si>
  <si>
    <t>mtVarJustValRisq</t>
  </si>
  <si>
    <t>Les variations cumulées de la juste valeur dues au risque de crédit sont calculées en additionnant toutes les variations négatives et positives de la juste valeur de l'instrument dues au risque de crédit qui se sont produites depuis sa comptabilisation</t>
  </si>
  <si>
    <t>Cumulative changes in fair value due to credit risk are calculated as the sum of all negative and positive changes in the fair value of the instrument due to credit risk that have occurred since its recognition</t>
  </si>
  <si>
    <t>P1 21.92</t>
  </si>
  <si>
    <t>Devise du montant des variations cumulées de la juste valeur dues au risque de crédit</t>
  </si>
  <si>
    <t>Currency of the amount of cumulative changes of the fair value due to credit risk</t>
  </si>
  <si>
    <t>cdDevMtVarJustValRisq</t>
  </si>
  <si>
    <t>La donnée est obligatoire si le Montant des variations cumulées de la juste valeur dues au risque de crédit [P1 21.91] est renseigné</t>
  </si>
  <si>
    <t>The data is mandatory if the Amount of cumulative changes of the fair value due to credit risk [P1 21.91] is filled</t>
  </si>
  <si>
    <t>P1 21.93</t>
  </si>
  <si>
    <t>Numéro du dernier billet financier apériodique</t>
  </si>
  <si>
    <t>Number of the last aperiodic financial banknote</t>
  </si>
  <si>
    <t>Permet d'indiquer le numéro du dernier billet financier apériodique qui a été utilisé dans une opération utilisant ce type de produit bancaire.</t>
  </si>
  <si>
    <t>Used to indicate the number of the last aperiodic financial banknote that was used in a transaction using this type of banking product.</t>
  </si>
  <si>
    <t>NumDernBilletFin</t>
  </si>
  <si>
    <t>La donnée est obligatoire si le Type de produit bancaire [P1 4.42] = CRED14</t>
  </si>
  <si>
    <t>The data is mandatory if the Banking Product type [P1 4.42] ='CRED14'</t>
  </si>
  <si>
    <t>TPS0947</t>
  </si>
  <si>
    <t>P1 31.51</t>
  </si>
  <si>
    <t>Identifiant du contrat maître en responsabilité solidaire</t>
  </si>
  <si>
    <t>Master contract in joint liability identifier</t>
  </si>
  <si>
    <t>idEngRespSolid</t>
  </si>
  <si>
    <t>44</t>
  </si>
  <si>
    <t>P1 31.52</t>
  </si>
  <si>
    <t>Montant en responsabilité solidaire</t>
  </si>
  <si>
    <t>Joint liability amount</t>
  </si>
  <si>
    <t>mtRespSolid</t>
  </si>
  <si>
    <t>P1 31.53</t>
  </si>
  <si>
    <t>Devise du montant en responsabilité solidaire</t>
  </si>
  <si>
    <t>Currency of the joint liability amount</t>
  </si>
  <si>
    <t>cdDevMtRespSolid</t>
  </si>
  <si>
    <t>P1 1001</t>
  </si>
  <si>
    <t>Date de réalisation du tirage</t>
  </si>
  <si>
    <t>Date of drawing</t>
  </si>
  <si>
    <t>Date de mise à disposition des fonds au client</t>
  </si>
  <si>
    <t>Date funds are made available to the client</t>
  </si>
  <si>
    <t>dtRealTir</t>
  </si>
  <si>
    <t>Concerne les billets périodiques et apériodiques des Caisses régionales</t>
  </si>
  <si>
    <t>Concerns the periodic and aperiodic notes of the Regional Banks</t>
  </si>
  <si>
    <t>CRED13
CRED14</t>
  </si>
  <si>
    <t>La donnée est obligatoire, si Type de produit bancaire [P1 4.42] = 'CRED13, CRED14'</t>
  </si>
  <si>
    <t>The data is mandatory, if Type of banking product [P1 4.42] = 'CRED13, CRED14'</t>
  </si>
  <si>
    <t>TPS0971</t>
  </si>
  <si>
    <t>P1 1002</t>
  </si>
  <si>
    <t>Date d'échéance du tirage</t>
  </si>
  <si>
    <t>Drawing maturity date</t>
  </si>
  <si>
    <t>Date de remboursement des fonds par le client</t>
  </si>
  <si>
    <t>Date of repayment of funds by the customer</t>
  </si>
  <si>
    <t>dtEchTir</t>
  </si>
  <si>
    <t>La donnée est obligatoire, si Type de produit bancaire [P2 4.42] = 'CRED13, CRED14'</t>
  </si>
  <si>
    <t>Si renseignée, la date d'échéance du tirage [P1 1002] doit être supérieure ou égale à la date de réalisation du tirage [P1 1001]</t>
  </si>
  <si>
    <t>If filled, the drawing maturity date [P1 1002] must be higher or equal to the date of drawing [P1 1001]</t>
  </si>
  <si>
    <t>TCS0776</t>
  </si>
  <si>
    <t>P1 22.222</t>
  </si>
  <si>
    <t>Indicateur différé d'amortissement</t>
  </si>
  <si>
    <t>Deferred depreciation indicator</t>
  </si>
  <si>
    <t>Signale la présence d'une période pendant laquelle l'emprunteur ne rembourse pas le capital de son prêt, mais uniquement les intérêts. Cette période, située au début du crédit, permet d'alléger temporairement les mensualités avant le démarrage de l'amortissement complet (capital + intérêts)</t>
  </si>
  <si>
    <t>Indicates the presence of a period during which the borrower does not repay the principal of his loan, but only the interest. This period, located at the beginning of the loan, allows to temporarily reduce the monthly payments before the start of the full amortisation (capital + interest)</t>
  </si>
  <si>
    <t>indDiffAmort</t>
  </si>
  <si>
    <t>LC.0576</t>
  </si>
  <si>
    <t>RB Z8IDDIAM</t>
  </si>
  <si>
    <t>ANACREDIT, LOAN TAPE, OMP, PALMA</t>
  </si>
  <si>
    <t xml:space="preserve">La donnée est obligatoire si le type de risque [P1 2.0] = TRE2xx, TRE3xx, TRE4xx, TRE5xx hors (TRE203, TRE205, TRE206, TRE207) </t>
  </si>
  <si>
    <t>The data is mandatory if Risk type [P1 2.0] = TRE2xx, TRE3xx, TRE4xx, TRE5xx except (TRE203, TRE205, TRE206, TRE207)</t>
  </si>
  <si>
    <t>P1 24.22.1</t>
  </si>
  <si>
    <t>Indicateur dérivé en couverture</t>
  </si>
  <si>
    <t>Indicator of Derived in hedge</t>
  </si>
  <si>
    <t>Indique l'existence d'un instrument financier dérivé (comme un swap, une option ou un contrat à terme) utilisé par l'entreprise pour se protéger contre un risque financier spécifique (taux d'intérêt, change, matières premières)</t>
  </si>
  <si>
    <t>Indicates the existence of a derivative financial instrument (such as a swap, option or futures contract) used by the company to protect against a specific financial risk (interest rate, foreign exchange, commodities)</t>
  </si>
  <si>
    <t>indDerivCouv</t>
  </si>
  <si>
    <t>LC.0590</t>
  </si>
  <si>
    <t>RB Z8IDDERC</t>
  </si>
  <si>
    <t>La donnée est obligatoire, si type de risque [P1 2.0] = 'EQU101, ISS200 et 300, TRE4xx'</t>
  </si>
  <si>
    <t>The date is mandatory, if Risk type [P1 2.0] = 'EQU101, ISS200 et 300, TRE4xx'</t>
  </si>
  <si>
    <t>TPS0972</t>
  </si>
  <si>
    <t>P1 600</t>
  </si>
  <si>
    <t>Indicateur Présence de recouvrement</t>
  </si>
  <si>
    <t>Recovery Presence Indicator</t>
  </si>
  <si>
    <t>Indicateur qui précise si l'encours est en procédure de recouvrement ou non</t>
  </si>
  <si>
    <t>Indicator specifying whether the outstanding amount is in recovery or not</t>
  </si>
  <si>
    <t>indPresRecouv</t>
  </si>
  <si>
    <t>LC.0571</t>
  </si>
  <si>
    <t>RB KVIDPRRC</t>
  </si>
  <si>
    <t>BASE LGD</t>
  </si>
  <si>
    <t>EQU*, ISS*, TRE*, VAR*, INT, SIG*</t>
  </si>
  <si>
    <t>La donnée est obligatoire, si Indicateur Engagement en défaut [P1 5.2] = 'Y'</t>
  </si>
  <si>
    <t>The data is mandatory, if Defaulted commitments indicator [P1 5.2] = 'Y'</t>
  </si>
  <si>
    <t>TPS0973</t>
  </si>
  <si>
    <t>P1 601</t>
  </si>
  <si>
    <t>Type de recouvrement à l'amiable ou contentieux</t>
  </si>
  <si>
    <t>Type of recovery amicable or contentious</t>
  </si>
  <si>
    <t>Le type de recouvrement désigne la méthode employée pour récupérer une créance impayée, soit par une approche amiable privilégiant le dialogue et la négociation avec le débiteur, soit par une voie contentieuse impliquant des procédures judiciaires et l'intervention d'huissiers lorsque les tentatives de résolution à l'amiable ont échoué</t>
  </si>
  <si>
    <t>The type of recovery refers to the method used to recover an unpaid debt, either through an amicable approach favouring dialogue and negotiation with the debtor, or through a contentious route involving legal proceedings and the intervention of bailiffs when attempts at amicable resolution have failed</t>
  </si>
  <si>
    <t>cdTypRecouvAmiaCont</t>
  </si>
  <si>
    <t>LC.0572</t>
  </si>
  <si>
    <t>RB KVTYRECO</t>
  </si>
  <si>
    <t>La donnée est obligatoire, si Indicateur Présence de recouvrement [P1 600] = 'Y'</t>
  </si>
  <si>
    <t>The data is mandatory, if Recovery Presence Indicator [P1 600] = 'Y'</t>
  </si>
  <si>
    <t>TPS0974</t>
  </si>
  <si>
    <t>P1 602</t>
  </si>
  <si>
    <t>Statut de recouvrement</t>
  </si>
  <si>
    <t>Status of recovery</t>
  </si>
  <si>
    <t>Le statut de recouvrement indique l'état actuel de la procédure mise en place pour récupérer des créances impayées : "en cours" signifie que des actions de recouvrement sont activement menées, "clôturé" indique que la procédure est terminée (soit par règlement complet, soit par abandon de créance), et "suspendu" signifie que les démarches sont temporairement arrêtées en attente d'un événement particulier. Ce statut permet aux gestionnaires de suivre efficacement l'évolution des dossiers de recouvrement et d'adapter leurs actions en fonction de la situation de chaque client concerné.</t>
  </si>
  <si>
    <t xml:space="preserve">
The recovery status indicates the current state of the procedure for recovering unpaid claims: "in progress" means that recovery actions are actively carried out, "closed" indicates that the procedure is completed (either by full settlement or by debt waiver), and "suspended" means that the procedures are temporarily stopped pending a particular event. This status allows managers to effectively monitor the evolution of recovery cases and adapt their actions according to the situation of each customer concerned.</t>
  </si>
  <si>
    <t>cdStatRecouv</t>
  </si>
  <si>
    <t>LC.0578</t>
  </si>
  <si>
    <t>RB KVSTAREC</t>
  </si>
  <si>
    <t>P1 603</t>
  </si>
  <si>
    <t>Montant recouvré depuis le défaut</t>
  </si>
  <si>
    <t>Amount recovered during the month since default</t>
  </si>
  <si>
    <t>Montant cumulé recouvré depuis le défaut</t>
  </si>
  <si>
    <t>Amount recovered associated with the outstanding balance during the month</t>
  </si>
  <si>
    <t>mtRecouvDefaut</t>
  </si>
  <si>
    <t>P1 603.1</t>
  </si>
  <si>
    <t>Devise du montant recouvré depuis le défaut</t>
  </si>
  <si>
    <t>Currency of the amount recovered during the month</t>
  </si>
  <si>
    <t>cdDevmtRecouvDefaut</t>
  </si>
  <si>
    <t>La donnée est obligatoire si Montant recouvré depuis le défaut [P1 603] est renseignée</t>
  </si>
  <si>
    <t>The data is mandatory if Amount recovered during the month since default [P1 603] data is filled</t>
  </si>
  <si>
    <t>P1 604</t>
  </si>
  <si>
    <t>Montant passé à perte depuis le défaut</t>
  </si>
  <si>
    <t>Amount written off during the month</t>
  </si>
  <si>
    <t>Montant cumulé passé à perte depuis le défaut</t>
  </si>
  <si>
    <t>mtPerteDefaut</t>
  </si>
  <si>
    <t>P1 604.1</t>
  </si>
  <si>
    <t>Devise du montant passé à perte depuis le défaut</t>
  </si>
  <si>
    <t>Currency of the amount Amount written off during the month</t>
  </si>
  <si>
    <t>cdDevmtPerteDefaut</t>
  </si>
  <si>
    <t>La donnée est obligatoire si Montant passé à perte depuis le défaut [P1 604] est renseignée</t>
  </si>
  <si>
    <t>The data is mandatory if Amount written off during the month [P1 604] data is filled</t>
  </si>
  <si>
    <t>P1 605</t>
  </si>
  <si>
    <t>Montant tiré depuis le défaut</t>
  </si>
  <si>
    <t>Amount drawn during the month</t>
  </si>
  <si>
    <t>Montant cumulé tiré depuis le défaut</t>
  </si>
  <si>
    <t>mtTireDefaut</t>
  </si>
  <si>
    <t>P1 605.1</t>
  </si>
  <si>
    <t>Devise du montant tiré depuis le défaut</t>
  </si>
  <si>
    <t>Currency of the amount drawn during the month</t>
  </si>
  <si>
    <t>cdDevmtTireDefaut</t>
  </si>
  <si>
    <t>La donnée est obligatoire si Montant tiré depuis le défaut [P1 605] est renseignée</t>
  </si>
  <si>
    <t>The data is mandatory if Amount drawn during the month [P1 605] data is filled</t>
  </si>
  <si>
    <t>P1 606</t>
  </si>
  <si>
    <t>Identifiant du contrat restructuré en cas de changement d’identifiant post restructuration</t>
  </si>
  <si>
    <t>Identifier of the restructured contract in case of change of identifier post-restructuring</t>
  </si>
  <si>
    <t>Identifiant du contrat parent ayant fait l'objet de la restructuration en cas de changement d’identifiant post restructuration</t>
  </si>
  <si>
    <t>idCtatpostRestruc</t>
  </si>
  <si>
    <t>P1 607</t>
  </si>
  <si>
    <t>Indicateur de multi financement par plusieurs entités</t>
  </si>
  <si>
    <t>Indicator of multi-funding by multiple entities</t>
  </si>
  <si>
    <t>Indicateur de multi financement par plusieurs entités du Groupe</t>
  </si>
  <si>
    <t>indMultiFin</t>
  </si>
  <si>
    <t>LC.0579</t>
  </si>
  <si>
    <t>RB KVIDMUFI</t>
  </si>
  <si>
    <t>P1 608</t>
  </si>
  <si>
    <t>Montant des prélèvements supplémentaires après le défaut</t>
  </si>
  <si>
    <t>Amount of additional deductions after default</t>
  </si>
  <si>
    <t>Tout octroi d’un nouveau montant de financement sur la ligne venant augmenter l’exposition inscrite au bilan (hors capitalisation des intérêts échus et non échus post entrée en défaut). Correspond une augmentation du principal. Peut le cas échéant correspondre à l’utilisation d’une ligne hors-bilan.</t>
  </si>
  <si>
    <t>mtPrelvtSup</t>
  </si>
  <si>
    <t>P1 608.1</t>
  </si>
  <si>
    <t>Devise du montant des prélèvements supplémentaires après le défaut</t>
  </si>
  <si>
    <t>Currency of the amount of additional deductions after default</t>
  </si>
  <si>
    <t>cdDevmtPrelvtSup</t>
  </si>
  <si>
    <t>La donnée est obligatoire si Montant des prélèvements supplémentaires après le défaut [P1 608] est renseignée</t>
  </si>
  <si>
    <t>The data is mandatory if Amount of additional deductions after default [P1 608] data is filled</t>
  </si>
  <si>
    <t>P1 609</t>
  </si>
  <si>
    <t>Date des prélèvements supplémentaires après le défaut</t>
  </si>
  <si>
    <t>Date of additional deductions after default</t>
  </si>
  <si>
    <t>dtPrelSup</t>
  </si>
  <si>
    <t>P1 610</t>
  </si>
  <si>
    <t>Montant des coûts directs associés à la procédure de recouvrement</t>
  </si>
  <si>
    <t>Amount of direct costs associated with the recovery process</t>
  </si>
  <si>
    <t>Montant des coûts directs associés à la procédure de recouvrement (spécifique à la créance, frais d'huissiers, avocats, lettres de relance …). De façon générale, tout frais de recouvrement spécifique à la créance (tout ce qui ne relève pas des coûts de fonctionnement ou de structure type loyer, salaire/ETP, recours à un prestataire).</t>
  </si>
  <si>
    <t>mtCoutDirRecouv</t>
  </si>
  <si>
    <t>P1 610.1</t>
  </si>
  <si>
    <t>Devise du montant des coûts directs associés à la procédure de recouvrement</t>
  </si>
  <si>
    <t>Currency of the amount of direct costs associated with the recovery process</t>
  </si>
  <si>
    <t>cdDevmtCoutDirRecouv</t>
  </si>
  <si>
    <t>La donnée est obligatoire si Montant des coûts directs associés à la procédure de recouvrement [P1 610] est renseignée</t>
  </si>
  <si>
    <t>The data is mandatory if Amount of direct costs associated with the recovery process [P1 610] data is filled</t>
  </si>
  <si>
    <t>P1 611</t>
  </si>
  <si>
    <t>Date des coûts directs associés à la procédure de recouvrement</t>
  </si>
  <si>
    <t>Date of direct costs associated with the recovery process</t>
  </si>
  <si>
    <t>dtCoutRecouv</t>
  </si>
  <si>
    <t>P1 612</t>
  </si>
  <si>
    <t>Montant des frais divers</t>
  </si>
  <si>
    <t>Amount of miscellaneous fees</t>
  </si>
  <si>
    <t>Frais supplémentaires liés au non-respect des conditions du contrat (ex : retards de paiement)</t>
  </si>
  <si>
    <t>Additional costs related to non-compliance with contract conditions (e.g. late payment)</t>
  </si>
  <si>
    <t>mtFraisDiv</t>
  </si>
  <si>
    <t>En cas d'absence de frais, alimenter à zéro</t>
  </si>
  <si>
    <t>In case of no charge, feed to zero</t>
  </si>
  <si>
    <t>P1 612.1</t>
  </si>
  <si>
    <t>Devise du montant des frais divers</t>
  </si>
  <si>
    <t>Currency of the amount of miscellaneous fees</t>
  </si>
  <si>
    <t>cdDEVmtFraisDiv</t>
  </si>
  <si>
    <t>La donnée est obligatoire si Montant des frais divers [P1 612] est renseignée</t>
  </si>
  <si>
    <t>The data is mandatory if Amount of miscellaneous fees [P1 612] data is filled</t>
  </si>
  <si>
    <t>P1 613</t>
  </si>
  <si>
    <t>Indicateur engagement renouvelable</t>
  </si>
  <si>
    <t>Renewable Engagement Indicator</t>
  </si>
  <si>
    <t>Indique si un engagement est réputé "Renouvelable" au sens du CRR3 Article 166 8ter : Un engagement est réputé renouvelable lorsqu’il laisse à un débiteur la liberté de décider à quelle fréquence et selon quelle périodicité il souhaite utiliser son prêt, le débiteur étant ainsi autorisé à utiliser, rembourser et réutiliser les fonds qui lui ont été avancés. Les accords contractuels qui autorisent les paiements anticipés et les réutilisations ultérieures de ces paiements anticipés sont considérés comme renouvelables.</t>
  </si>
  <si>
    <t>indicates if a commitment is deemed 'revolving' according to CRR3 Article 166 8b : a commitment shall be deemed ‘revolving’ where it lets an obligor obtain a loan where the obligor has the flexibility to decide how often to withdraw from the loan and at what intervals, allowing the obligor to drawdown, repay and redraw loans advanced to it. Contractual arrangements that allow prepayments and subsequent redraws of those prepayments shall be considered revolving</t>
  </si>
  <si>
    <t>indEngtRenouv</t>
  </si>
  <si>
    <t>LC.0580</t>
  </si>
  <si>
    <t>RB KVIDEGRE</t>
  </si>
  <si>
    <t>P1 614</t>
  </si>
  <si>
    <t>Exposure at default (EAD) standard local</t>
  </si>
  <si>
    <t>Standard locally calculated Exposure at default (EAD)</t>
  </si>
  <si>
    <t>Exposure at default (EAD) standard calculé en local sur les Repos (spécifique CACIB)</t>
  </si>
  <si>
    <t>Standard locally calculated Exposure at default (EAD) on Rest (CACIB specific)</t>
  </si>
  <si>
    <t>mtEADstd</t>
  </si>
  <si>
    <t>A renseigner par CACIB uniquement pour les types de risque VAR102 et VAR305</t>
  </si>
  <si>
    <t>To be filled in by CACIB only for VAR102 and VAR305 risk types</t>
  </si>
  <si>
    <t>VAR105 et VAR302</t>
  </si>
  <si>
    <t>P1 614.1</t>
  </si>
  <si>
    <t>Devise de l'Exposure at default (EAD) standard local</t>
  </si>
  <si>
    <t>Currency of EAD standard calculé en local sur les Repos (spécifique CACIB)</t>
  </si>
  <si>
    <t>cdDevmtEADstd</t>
  </si>
  <si>
    <t>La donnée est obligatoire si Exposure at default (EAD) standard local [P1 614] est renseignée</t>
  </si>
  <si>
    <t>The data is mandatory if Standard locally calculated Exposure at default (EAD) [P1 614] data is filled</t>
  </si>
  <si>
    <t>P1 615</t>
  </si>
  <si>
    <t>Maturité Exposure at default (EAD) standard local</t>
  </si>
  <si>
    <t>Maturité lié au calcul local de l'EAD standard sur les Repos (spécifique CACIB)</t>
  </si>
  <si>
    <t>Maturité lié au calcul local de l'exposure at default (EAD) standard sur les Repos (spécifique CACIB)</t>
  </si>
  <si>
    <t>Maturity linked to the local calculation of the standard exposure at default (EAD) on the Repos (specific CACIB)</t>
  </si>
  <si>
    <t>txMaturEAD</t>
  </si>
  <si>
    <t>6 dont signe et 4 décimales</t>
  </si>
  <si>
    <t>6 including sign and 4 decimals</t>
  </si>
  <si>
    <t>P1 616</t>
  </si>
  <si>
    <t>Indicateur calcul de RWA en local au titre de la CVA prudentiel</t>
  </si>
  <si>
    <t>Indicator calculation of local RWA under prudential CVA</t>
  </si>
  <si>
    <t xml:space="preserve">Indique si les encours donnent lieu en local à un calcul sans exemption de RWA CVA. Dans ce cas-là il faut appliquer un plafond de 1 an en RWA CCR (spécifique CACIB)
</t>
  </si>
  <si>
    <t>Indicates whether outstanding amounts are calculated locally without an exemption from RWA CVA. In this case, a ceiling of 1 year in RWA CCR (specific CACIB) must be applied</t>
  </si>
  <si>
    <t>indCalcRWA</t>
  </si>
  <si>
    <t>LC.0591</t>
  </si>
  <si>
    <t>RB KVIDCRWA</t>
  </si>
  <si>
    <t>A renseigner par CACIB uniquement pour les types de risque VAR*. 
Pour les autres entités à renseigner à 'N'</t>
  </si>
  <si>
    <t>To be filled in by CACIB only for VAR102* risk types.
For other entities to fill in 'N'</t>
  </si>
  <si>
    <t>La donnée est obligatoire, si type de risque [P1 2.0] = 'VAR*'</t>
  </si>
  <si>
    <t>The data is mandatory, if Risk type [P1 2.0] = 'VAR*'</t>
  </si>
  <si>
    <t>P1 617</t>
  </si>
  <si>
    <t>Plan de roll-out</t>
  </si>
  <si>
    <t>Roll-out plan</t>
  </si>
  <si>
    <t>Cet indicateur est demandé pour pouvoir alimenter l'état C08.07 du COREP (définition des périmètres d'utilisation des méthodes IRB et SA-CCR)</t>
  </si>
  <si>
    <t>This indicator is required to be able to feed the COREP status C08.07 (definition of the scope of use of the IRB and SA-CCR methods)</t>
  </si>
  <si>
    <t>indPlanRoll</t>
  </si>
  <si>
    <t>LC.0581</t>
  </si>
  <si>
    <t>RB KVIDPROL</t>
  </si>
  <si>
    <t>Si Méthodologie bâloise [P1 1.1] ='STD' et Plan de roll-out inconnu, mettre '1'
Si Méthodologie bâloise [P1 1.1] = 'IRB A' ou 'IRB F' et plan de roll-out inconnu, mettre '2'</t>
  </si>
  <si>
    <t>If Basel Methodology [P1 1.1] ='STD' and Unknown Roll-out Plan, put '1'
If Basel Methodology [P1 1.1] = 'IRB A' or 'IRB F' and unknown roll-out plan, put '2'</t>
  </si>
  <si>
    <t>La donnée est obligatoire, si Méthodologie Bâloise [P1 1.1] = 'STD, IRB A, IRB F'</t>
  </si>
  <si>
    <t>The data is mandatory, if Basel methodology [P1 1.1] = 'STD, IRB A, IRB F'</t>
  </si>
  <si>
    <t>TPS0975</t>
  </si>
  <si>
    <t>P1 618</t>
  </si>
  <si>
    <t>Type de crypto-actifs au sens de l'article 501 quinquies de CRR3</t>
  </si>
  <si>
    <t>Type of crypto-asset as defined in Article 501d of CRR3</t>
  </si>
  <si>
    <t>Prise en compte de l'article 501 quinquies concernant les dispositions transitoires sur les crypto-actifs. 3 valeurs possibles</t>
  </si>
  <si>
    <t>Consideration of Article 501d concerning transitional provisions on crypto-assets. 3 possible values</t>
  </si>
  <si>
    <t>cdTypCrypto</t>
  </si>
  <si>
    <t>LC.0582</t>
  </si>
  <si>
    <t>RB KVTYCRYP</t>
  </si>
  <si>
    <t>TRE*
VAR*</t>
  </si>
  <si>
    <t>P1 619</t>
  </si>
  <si>
    <t>Coefficient « Beta » pour modèles IRBA</t>
  </si>
  <si>
    <t>valeur forfaitaire correspondant à l'estimation directe du montant d’EAD s'il n'y a pas de CCF disponible
Une donnée propre aux modèles IRBA, corporate ou retail. Dans certains cas les modèles prennent en compte des coefficients « Beta » pour simuler un impact de type CCF. Il se présente sous la forme d’un montant. Il faudrait le prévoir dans le C3RD sur le P3T et en corporate sur les P1 et P2</t>
  </si>
  <si>
    <t xml:space="preserve">Valeur forfaitaire correspondant à l'estimation directe du montant d’EAD s'il n'y a pas de CCF disponible
Une donnée propre aux modèles IRBA, corporate ou retail. Dans certains cas, les modèles prennent en compte des coefficients « Beta » pour simuler un impact de type CCF. </t>
  </si>
  <si>
    <t>Lump sum value corresponding to the direct estimate of the amount of EAD if there is no CCF available
Data specific to IRBA, corporate or retail models. In some cases, the models take into account “Beta” coefficients to simulate a CCF-type impact</t>
  </si>
  <si>
    <t>mtBetaCoefIRBA</t>
  </si>
  <si>
    <t>P1 620</t>
  </si>
  <si>
    <t>Indicateur Exposition financée en devise locale</t>
  </si>
  <si>
    <t>Exposure funded in local currency indicator</t>
  </si>
  <si>
    <t>Cet indicateur sert à la vérification de l'application de l'article 114 de CRR3:
Pour les expositions sur les administrations centrales ou banques centrales, pour les pays équivalents à l'Union Européenne, l'établissement bancaire peut pondérer ses expositions de la même manière que l'autorité compétente du pays de résidence fiscale du Tiers dès lors que l'exposition est libellée et financée dans sa monnaie locale.
Cet indicateur permet d'indiquer que l'exposition est "financée" dans la monnaie locale soit par la collecte locale, soit via des instruments de couverture du risque de change (cross currency swaps)</t>
  </si>
  <si>
    <t>This indicator is used to verify the application of Article 114 of CRR3:
For exposures to central governments or central banks, for countries equivalent to the European Union, the banking institution may weight its exposures in the same way as the competent authority of the third party's country of tax residence, provided that the exposure is denominated and financed in its local currency.
This indicator indicates that the exposure is "financed" in the local currency either through local inflows or through cross currency swaps</t>
  </si>
  <si>
    <t>indExpFinc</t>
  </si>
  <si>
    <t>LC.0584</t>
  </si>
  <si>
    <t>RB KVEXFIDE</t>
  </si>
  <si>
    <t>P1 635</t>
  </si>
  <si>
    <t>Indicateur Facteur de Conversion de Crédit (CCF) modèle interne</t>
  </si>
  <si>
    <t>Credit Conversion Factor (CCF) indicator internal model</t>
  </si>
  <si>
    <t>Indicateur pour indiquer si le Facteur de Conversion de Crédit (CCF) est issu d'un modèle interne. Cet indicateur sera utilisé pour alimenter la colonne 0101 des états COREP IRB C08.01 et C08.02</t>
  </si>
  <si>
    <t>Indicator to indicate whether the Credit Conversion Factor (CCF) is derived from an internal model. This indicator will be used to supply column 0101 of the COREP IRB C08.01 and C08.02 reports</t>
  </si>
  <si>
    <t>indCCFModInt</t>
  </si>
  <si>
    <t>LC.0585</t>
  </si>
  <si>
    <t>RB KVIDCCFM</t>
  </si>
  <si>
    <t>SIG*</t>
  </si>
  <si>
    <t>La donnée est obligatoire, si type de risque [P1 2.0] = 'SIG*' ET si Méthodologie Bâloise [P1 1.1] = 'IRB A'</t>
  </si>
  <si>
    <t>The data is mandatory, if Risk type [P1 2.0] = 'SIG*' AND if Basel methodology [P1 1.1] = 'IRB A'</t>
  </si>
  <si>
    <t>TPS0976</t>
  </si>
  <si>
    <t>P1 622</t>
  </si>
  <si>
    <t>Indicateur de l'intention de gestion de l'opération</t>
  </si>
  <si>
    <t>Indicator of the investment intent of the operation</t>
  </si>
  <si>
    <t>Indicateur permettant d'identifier si l'intention de gestion de l'opération fait partie des valeurs suivantes : OCP (Opération pour Compte Propre), OCPLIQ (Opérations pour Compte propre avec l’objectif de constituer des réserves de liquidité), OCPAUT (Opérations pour Compte propre avec un objectif de rendement complémentaire), OCA (Opération Crédit Agricole), ODR (Opération de Développement Régional), OGE (Opération en Gestion Extinctive)</t>
  </si>
  <si>
    <t>Inidicator enabling to indentify wether the investment intent of the operation is amongst the following values:  OCP (Operation for Own Account), OCPLIQ (Operations for Own Account with the objective of building liquidity reserves), OCPAUT (Operations for Own Account with a complementary return objective), OCA (Crédit Agricole Operation), ODR (Regional Development Operation), OGE (Extinction Management Operation)</t>
  </si>
  <si>
    <t>LC.0587</t>
  </si>
  <si>
    <t>RB KVIDGOCP</t>
  </si>
  <si>
    <t>Pour les Caisses régionales, renseigner 'Y' pour les opérations Opération pour Compte Propre, Opérations pour Compte propre avec l’objectif de constituer des réserves de liquidité, Opérations pour Compte propre avec un objectif de rendement complémentaire, Opération Crédit Agricole, Opération de Développement Régional, Opération en Gestion Extinctive
Pour les Caisses Régionales, renseigner 'N' pour les autres types d'opérations
Pour les autres entités (autre que Caisses Régionales), renseigner 'N'</t>
  </si>
  <si>
    <t>For the Regional Banks, enter 'Y' for Operations for Own Account (OCP), Operations for Own Account with the objective of building liquidity reserves (OCPLIQ), Operations for Own Account with a complementary return objective (OCPAUT), Crédit Agricole Operation (OCA), Regional Development Operation (ODR), Extinction Management Operation (OGE)
For Regional Banks, enter 'N' for other types of operations
For other entities (other than Regional Banks), enter 'N'</t>
  </si>
  <si>
    <t>P1 623</t>
  </si>
  <si>
    <t>Identifiant Markit</t>
  </si>
  <si>
    <t>Markit ticker</t>
  </si>
  <si>
    <t>L'identifiant Markit permet dans l'écosystème financier l'identification unique et standardisée des éléments à appliquer chaque contrat CDS (Credit Default Swaps), et en particulier ici la référence de la courbe de crédit à affecter aux contreparties
NB : Markit est l'autorité de référence pour les CDS</t>
  </si>
  <si>
    <t>The Markit identifier allows, within the financial ecosystem, the unique and standardized identification of elements to be applied to each CDS (Credit Default Swaps) contract, and particularly in this case, the reference of the credit curve to be assigned to counterparties. Note: Markit is the reference authority for CDS</t>
  </si>
  <si>
    <t>idMarkit</t>
  </si>
  <si>
    <t>VAR (hors VAR105 et 302)</t>
  </si>
  <si>
    <t>La donnée est obligatoire, si Instrument financier [P1 3.75] = '84, 85'</t>
  </si>
  <si>
    <t>The data is mandatory if Financial instrument [P1 3.75] = '84, 85'</t>
  </si>
  <si>
    <t>TPS0977</t>
  </si>
  <si>
    <t>P1 624</t>
  </si>
  <si>
    <t>Taux de recouvrement du Credit Default Swap (CDS)</t>
  </si>
  <si>
    <t>Credit Default Swap (CDS) Recovery Rate</t>
  </si>
  <si>
    <t>Le taux de recouvrement d'un CDS (Credit Default Swap) est un élément essentiel qui sert à déterminer le montant de compensation en cas d'événement de crédit : il représente le pourcentage de la valeur nominale que les détenteurs de dette peuvent espérer récupérer après un défaut. NB : estimation de la perte en cas de défaut (LGD - Loss Given Default) : LGD = 1 - taux de recouvrement
Exprimé en %</t>
  </si>
  <si>
    <t>The recovery rate of a CDS (Credit Default Swap) is an essential element used to determine the compensation amount in case of a credit event: it represents the percentage of the nominal value that debt holders can expect to recover after a default. Note: estimation of the Loss Given Default (LGD): LGD = 1 - recovery rate.
Expressed as %</t>
  </si>
  <si>
    <t>txRecouvCDS</t>
  </si>
  <si>
    <t>P1 625</t>
  </si>
  <si>
    <t>Note estimée du groupe de risque ou du Tiers à l'origination des financements LBO/FSA/CEL</t>
  </si>
  <si>
    <t>Nor Group or Counterparty at the origination of LBOs/FSA/CELs operations</t>
  </si>
  <si>
    <t>Note estimée à l'origination du groupe de risque, ou du Tiers après mise en place du financement d'acquisition LBO/FSA/CEL
(note calculée lors du montage du dossier de crédit)</t>
  </si>
  <si>
    <t>NOR group or Counterparty during the creation/implementation of acquisition financing
This data is specific to the LBO/FSA/CEL perimeter.</t>
  </si>
  <si>
    <t>cdNotLBOFSA</t>
  </si>
  <si>
    <t>Identifier la NOR du groupe de risque ou du Tiers à l'origination (signature du contrat) incluant tout l’endettement connu, y compris le nouveau financement d'acquisition (bilan et hors bilan) pour les financements de type LBO/FSA (NOR Groupe) et CEL (NOR du Tiers)</t>
  </si>
  <si>
    <t>Identify the NOR group or Counterparty at origination (contract signing), including all known debt, including the new acquisition financing (on- and off-balance sheet) for LBO/FSA-type financing (NOR group) and CEL-type financing (NOR counterparty)</t>
  </si>
  <si>
    <t>La donnée est obligatoire, si Indicateur opération effet de levier [P1 28.1] = '1,2,3'</t>
  </si>
  <si>
    <t>The data is mandatory, if Leveraged transaction Indicator [P1 28.1] = '1,2,3'</t>
  </si>
  <si>
    <t>P1 626</t>
  </si>
  <si>
    <t>Indicateur nouvelle production (trimestriel)</t>
  </si>
  <si>
    <t>New production indicator (quarterly)</t>
  </si>
  <si>
    <t>Indique si le contrat a été produit durant le dernier trimestre glissant intégrant toute nouvelle production sur l'ensemble des financements pour lesquels des documents d'engagement ont été signés par l'entité au cours de la période (committed lines) y compris les refinancements, les recapitalisations et les restructurations.</t>
  </si>
  <si>
    <t>Indicates whether the contract was produced during the last rolling quarter, including any new production across all financings for which commitment documents were signed by the entity during the period (committed lines), including refinancing, recapitalizations, and restructurings.</t>
  </si>
  <si>
    <t>IndNvlProdTrim</t>
  </si>
  <si>
    <t>LC.0592</t>
  </si>
  <si>
    <t>RB KVIDNPTR</t>
  </si>
  <si>
    <t>Sont à intégrer dans la nouvelle production du trimestre tous les nouveaux financements « originés » sur le trimestre concerné (date d’origination = date de signature du contrat) – incluant les nouveaux financements, les refinancements et les restructurations.
Le critère déterminant est donc la signature du contrat pendant le trimestre en question, indépendamment de la date de déblocage des fonds ou de la mise en place effective du financement. (= date de l'engagement contractuel formalisé par la signature, qui représente le moment où l'accord est officiellement conclu entre l'établissement et le client).Donnée à renseigner avec les valeurs suivantes :
Si production nouvelle alors : renseigner à "Y".
Sinon renseigner à "N".</t>
  </si>
  <si>
    <t>All new financing for the relevant quarter (original date = contract signing date) – including new financing, refinancing, and restructuring – must be included in the quarter's production figures.
The determining factor is therefore the contract signing during the relevant quarter, which establishes the date of fund disbursement or effective implementation of the financing. (This is the date of the formal contractual commitment through signature, representing the point at which the agreement is presumed to be concluded between the institution and the client.) Data to be entered with the following values:
If new production, enter "Y".
Otherwise, enter "N".</t>
  </si>
  <si>
    <t>TPS0978</t>
  </si>
  <si>
    <t>P1 627</t>
  </si>
  <si>
    <t>Indicateur période de fronting</t>
  </si>
  <si>
    <t>Fronting period indicator</t>
  </si>
  <si>
    <t>Dans une opération de syndication, le "fronting" désigne la période transitoire pendant laquelle l'entité attend de recevoir les fonds correspondant à l’engagement financier, confirmé, par l’un(les) investisseur(s). Durant cette phase, la quote-part concernée n'est pas encore officiellement enregistrée au nom du(des) investisseur(s) dans les livres de l'agent.
L'indicateur précise si l'opéation est soumise au "fronting".</t>
  </si>
  <si>
    <t>In a syndication operation, "fronting" refers to the transitional period during which the entity awaits receipt of funds corresponding to the financial commitment, confirmed, by the investor(s). During this phase, the concerned share is not yet officially registered in the name of the investor(s) in the agent's books. The indicator specifies whether the operation is subject to "fronting".</t>
  </si>
  <si>
    <t>indPerFront</t>
  </si>
  <si>
    <t>LC.0593</t>
  </si>
  <si>
    <t>RB KVIDPFRO</t>
  </si>
  <si>
    <t>Entités hors CACIB, renseigner par 'N'</t>
  </si>
  <si>
    <t>Entities except CACIB, fill in with 'N'</t>
  </si>
  <si>
    <t>P1 628</t>
  </si>
  <si>
    <t>Montant d'exposition réglementaire soumise au fronting</t>
  </si>
  <si>
    <t>Amount of regulatory exposure subject to fronting</t>
  </si>
  <si>
    <t>Montant associé à la quote part du financement acheté par des investisseurs pour lequel l'entité n'a pas encore reçu le cash correspondant à cette quote part et qui n’a pas encore été transférée au nom des investisseurs dans les livres de l’agent.</t>
  </si>
  <si>
    <t>Amount associated to the share of financing purchased by investors for which the entity has not yet received the cash corresponding to that share and which has not yet been transferred in the agent's books.</t>
  </si>
  <si>
    <t>mtExpoReglFront</t>
  </si>
  <si>
    <t>La donnée est obligatoire, si Indicateur période de fronting [P1 627] = 'Y'
---
La donnée est obligatoire, si Indicateur opération effet de levier [P1 28.1] = '1,2,3'</t>
  </si>
  <si>
    <t>The data is mandatory, if Fronting period indicator [P1 627] = 'Y'
---
The data is mandatory, if Leveraged transaction Indicator [P1 28.1] = '1,2,3'</t>
  </si>
  <si>
    <t>P1 628.1</t>
  </si>
  <si>
    <t>Devise du montant d'exposition réglementaire soumise au fronting</t>
  </si>
  <si>
    <t>Currency of Amount of regulatory exposure subject to fronting</t>
  </si>
  <si>
    <t>Devise du montant associé à la quote part du financement acheté par des investisseurs pour lequel l'entité n'a pas encore reçu le cash correspondant à cette quote part et qui n’a pas encore été transférée au nom des investisseurs dans les livres de l’agent.</t>
  </si>
  <si>
    <t>Currency of amount associated to the share of financing purchased by investors for which the entity has not yet received the cash corresponding to that share and which has not yet been transferred in the agent's books.</t>
  </si>
  <si>
    <t>cdDevmtExpoReglFront</t>
  </si>
  <si>
    <t>La donnée est obligatoire si Montant d'exposition réglementaire soumise au fronting [P1 628] est renseignée</t>
  </si>
  <si>
    <t>The data is mandatory if Amount of regulatory exposure subject to fronting [P1 628] data is filled</t>
  </si>
  <si>
    <t>P1 629</t>
  </si>
  <si>
    <t>Indicateur Reserve Based Lending (RBL)</t>
  </si>
  <si>
    <t>Reserve Based Lending (RBL) indicator</t>
  </si>
  <si>
    <t xml:space="preserve">Indicateur "Reserve-based lending".
Financement adossé au secteur de l’énergie (pétrole, gaz, mines…) </t>
  </si>
  <si>
    <t>"Reserve-based lending" indicator: Financing backed by the energy sector (oil, gas, mining, etc.)</t>
  </si>
  <si>
    <t>indRBL</t>
  </si>
  <si>
    <t>LC.0594</t>
  </si>
  <si>
    <t>RB KVIDRRBL</t>
  </si>
  <si>
    <t>P1 630</t>
  </si>
  <si>
    <t>Exposition réglementaire soumise au RBL</t>
  </si>
  <si>
    <t>Regulatory amount subject to RBL</t>
  </si>
  <si>
    <t>Montant associé à l'indicateur Reserve-based lending Financements adossés à l'actif financé (pétrole, charbon...)</t>
  </si>
  <si>
    <t>Amount associated with the Reserve-based lending indicator: Financing backed by the financed asset (oil, coal, etc.)</t>
  </si>
  <si>
    <t>mtExpoRBL</t>
  </si>
  <si>
    <t>La donnée est obligatoire, si Indicateur Reserve Based Lending (RBL) [P1 629]= 'Y'</t>
  </si>
  <si>
    <t>The data is mandatory, if Reserve Based Lending (RBL) indicator [P1 629] = 'Y'</t>
  </si>
  <si>
    <t>TPS0980</t>
  </si>
  <si>
    <t>P1 630.1</t>
  </si>
  <si>
    <t>Devise de l'exposition réglementaire soumise au RBL</t>
  </si>
  <si>
    <t>Currency of Regulatory amount subject to RBL</t>
  </si>
  <si>
    <t>Devise du montant associé à l'indicateur Reserve-based lending Financements adossés à l'actif financé (pétrole, charbon...)</t>
  </si>
  <si>
    <t>Currency of amount associated with the Reserve-based lending indicator: Financing backed by the financed asset (oil, coal, etc.)</t>
  </si>
  <si>
    <t>cdDevmtExpoRBL</t>
  </si>
  <si>
    <t>La donnée est obligatoire si Exposition réglementaire soumise au RBL [P1 630] est renseignée</t>
  </si>
  <si>
    <t>The data is mandatory if Regulatory amount subject to RBL [P1 631] data is filled</t>
  </si>
  <si>
    <t>P1 631</t>
  </si>
  <si>
    <t>Expositions à date d'arrêté (vision stock) sur High Yield Bonds</t>
  </si>
  <si>
    <t>Exposures as of the reporting date (stock view) on High Yield Bonds</t>
  </si>
  <si>
    <t>Expostions à date d'arrêté, liées à l'émission d'obligation de sociétés « non investment grade ». Les émissions obligataires souveraines ainsi que les émissions obligataires « investment grade » sont exclues</t>
  </si>
  <si>
    <t>Exposures as of the reporting date, related to the issuance of 'non-investment grade' corporate bonds. Sovereign bond issuances as well as 'investment grade' bond issuances are excluded.</t>
  </si>
  <si>
    <t>mtExpHYB</t>
  </si>
  <si>
    <t>P1 631.1</t>
  </si>
  <si>
    <t>Devise des expositions à date d'arrêté (vision stock) sur High Yield Bonds</t>
  </si>
  <si>
    <t>Currency of exposures as of the reporting date (stock view) on High Yield Bonds</t>
  </si>
  <si>
    <t>Devise des expostions à date d'arrêté, liées à l'émission d'obligation de sociétés « non investment grade ». Les émissions obligataires souveraines ainsi que les émissions obligataires « investment grade » sont exclues</t>
  </si>
  <si>
    <t>Currency of exposures as of the reporting date, related to the issuance of 'non-investment grade' corporate bonds. Sovereign bond issuances as well as 'investment grade' bond issuances are excluded.</t>
  </si>
  <si>
    <t>cdDevmtExpHYB</t>
  </si>
  <si>
    <t>La donnée est obligatoire si Expositions à date d'arrêté (vision stock) sur High Yield Bonds [P1 631] est renseignée</t>
  </si>
  <si>
    <t>The data is mandatory if Exposures as of the reporting date (stock view) on High Yield Bonds [P1 631] data is filled</t>
  </si>
  <si>
    <t>P1 632</t>
  </si>
  <si>
    <t>Expositions arrangées par la banque au cours du trimestre sur High Yield Bonds</t>
  </si>
  <si>
    <t>Exposures arranged by the bank during the quarter on High Yield Bonds</t>
  </si>
  <si>
    <t>Expostions au cours du trimestre, liées à l'émission d'obligation de sociétés « non investment grade ». Les émissions obligataires souveraines ainsi que les émissions obligataires « investment grade » sont exclues</t>
  </si>
  <si>
    <t>Exposures during the quarter related to the issuance of 'non-investment grade' corporate bonds. Sovereign bond issuances and 'investment grade' bond issuances are excluded.</t>
  </si>
  <si>
    <t>mtExpTrimHYB</t>
  </si>
  <si>
    <t>P1 632.1</t>
  </si>
  <si>
    <t>Devise des expositions arrangées par la banque au cours du trimestre sur High Yield Bonds</t>
  </si>
  <si>
    <t>Currency of exposures arranged by the bank during the quarter on High Yield Bonds</t>
  </si>
  <si>
    <t>Devise des expostions au cours du trimestre, liées à l'émission d'obligation de sociétés « non investment grade ». Les émissions obligataires souveraines ainsi que les émissions obligataires « investment grade » sont exclues</t>
  </si>
  <si>
    <t>Currency of exposures during the quarter related to the issuance of 'non-investment grade' corporate bonds. Sovereign bond issuances and 'investment grade' bond issuances are excluded.</t>
  </si>
  <si>
    <t>cdDevmtExpTrimHYB</t>
  </si>
  <si>
    <t>La donnée est obligatoire si Expositions arrangées par la banque au cours du trimestre sur High Yield Bonds [P1 632] est renseignée</t>
  </si>
  <si>
    <t>The data is mandatory if Exposures arranged by the bank during the quarter on High Yield Bonds [P1 632] data is filled</t>
  </si>
  <si>
    <t>P1 633</t>
  </si>
  <si>
    <t>Montant du Mark-to-market hors part à syndiquer</t>
  </si>
  <si>
    <t>Amount of exposures excluding shares to be syndicated - Fair value amount</t>
  </si>
  <si>
    <t>Montant juste valeur des expositions hors part à syndiquer (prises fermes)</t>
  </si>
  <si>
    <t>Fair value amount of exposures excluding part to be syndicated (firm commitments)</t>
  </si>
  <si>
    <t>mtMTMhorsSynd</t>
  </si>
  <si>
    <t>P1 633.1</t>
  </si>
  <si>
    <t>Devise du montant du Mark-to-market hors part à syndiquer</t>
  </si>
  <si>
    <t>Currency of amount of exposures excluding shares to be syndicated - Fair value amount</t>
  </si>
  <si>
    <t>Devise du montant juste valeur des expositions hors part à syndiquer (prises fermes)</t>
  </si>
  <si>
    <t>Currency of fair value amount of exposures excluding part to be syndicated (firm commitments)</t>
  </si>
  <si>
    <t>cdDevmtMTMhorsSynd</t>
  </si>
  <si>
    <t>La donnée est obligatoire si Montant du Mark-to-market hors part à syndiquer [P1 633] est renseignée</t>
  </si>
  <si>
    <t>The data is mandatory if Amount of exposures excluding shares to be syndicated - Fair value amount [P1 633] data is filled</t>
  </si>
  <si>
    <t>P1 621</t>
  </si>
  <si>
    <t>Intention de gestion de l'opération</t>
  </si>
  <si>
    <t>Investment intent of the operation</t>
  </si>
  <si>
    <t>L'objet de cette donnée est de pouvoir classifier l'intention de gestion de l'opération initiée parmi les possibilités suivantes : OCP (Opération pour Compte Propre), OCPLIQ (Opérations pour Compte propre avec l’objectif de constituer des réserves de liquidité), OCPAUT (Opérations pour Compte propre avec un objectif de rendement complémentaire), OCA (Opération Crédit Agricole), ODR (Opération de Développement Régional), OGE (Opération en Gestion Extinctive)</t>
  </si>
  <si>
    <t>The purpose of this data is to classify the investment intent of the operation amongst the following values: OCP (Operation for Own Account), OCPLIQ (Operations for Own Account with the objective of building liquidity reserves), OCPAUT (Operations for Own Account with a complementary return objective), OCA (Crédit Agricole Operation), ODR (Regional Development Operation), OGE (Extinction Management Operation)</t>
  </si>
  <si>
    <t>LC.0586</t>
  </si>
  <si>
    <t>RB 0990 KVINTGTD</t>
  </si>
  <si>
    <t>Concerne uniquement les Caisses Régionales
Le choix entre OCP, OCPLIQ &amp; OCPAUT se fait comme suit :
- Les nouveaux investissement en titres obligataires détenus en direct doivent être catégorisés en OCPLIQ ou OCPAUT
- Les autres titres (stock d’investissement antérieur à juin 2026) ou les autres titres que les titres obligataires détenus en direct (OPCVM, Private Equity, Actions, SCPI …) doivent être catégorisés en OCP</t>
  </si>
  <si>
    <t>To be filled only for Caisses Régionales 
The choice between OCP, OCPLIQ &amp; OCPAUT is as follows:
- Old held securities (investment stock) must be categorized into OCP
- New held securities (new investment) must be categorized into OCPLIQ or OCPAUT</t>
  </si>
  <si>
    <t>EQU101, ISS200, ISS300</t>
  </si>
  <si>
    <t>La donnée est obligatoire si 'Indicateur de l'intention de gestion de l'opération' [P1 622] = 'Y' et 'Indicateur titre de participation' [P1 21.79]='N' et 'Type de risque' [P1 2.0] = 'EQU101, ISS200, ISS300'</t>
  </si>
  <si>
    <t>The data is mandatory if  the 'Indicator of the investment intent of the operation' [P1 622] = 'Y' and 'Equity Security indicator' [P1 21.79]='N' et si 'Risk type' [P1 2.0] = 'EQU101, ISS200, ISS300'</t>
  </si>
  <si>
    <t>P1 99.99</t>
  </si>
  <si>
    <t xml:space="preserve"> ZoneLibre99</t>
  </si>
  <si>
    <t>P2</t>
  </si>
  <si>
    <t>0.1 (P2)</t>
  </si>
  <si>
    <t>0.2 (P2)</t>
  </si>
  <si>
    <t>CALCULS PRUDENTIELS, NPE, NZBA, PALMA</t>
  </si>
  <si>
    <t>0.3 (P2)</t>
  </si>
  <si>
    <t>0.4 (P2)</t>
  </si>
  <si>
    <t>0.5 (P2)</t>
  </si>
  <si>
    <t>0.6 (P2)</t>
  </si>
  <si>
    <t>Valeur admise : 'P2' (Domaine Engagement)</t>
  </si>
  <si>
    <t>Permitted value: 'P2' (Commitment Section)</t>
  </si>
  <si>
    <t>Si renseignée, la donnée doit être égale à 'P2'</t>
  </si>
  <si>
    <t>If filled in, the data must be equal to 'P2'</t>
  </si>
  <si>
    <t>0.7 (P2)</t>
  </si>
  <si>
    <t>0.8 (P2)</t>
  </si>
  <si>
    <t>La donnée est obligatoire si l'entité porteuse de risques [0.2 (P2)] est égale à '00018'</t>
  </si>
  <si>
    <t>The data is mandatory if Risk taker entity [0.2 (P2)] is equal to '00018'</t>
  </si>
  <si>
    <t>TPS1700</t>
  </si>
  <si>
    <t>0.9 (P2)</t>
  </si>
  <si>
    <t>La donnée est obligatoire si le Type d'enregistrement [0.6 (P2)] est différent de 'C1' et de 'Z9', et que, dans la table START "TA 0990 KVAPPBK", KVBAPPID commence par 'CACI' pour le KVAPPBK valant la concaténation "Entité porteuse de risque" [0.2 (P2)] et "Application source" [0.3 (P2)]</t>
  </si>
  <si>
    <t>The data is mandatory if the record type [0.6 (P2)] is different from 'C1' and 'Z9', and in the START table "TA 0990 KVAPPBK", KVBAPPID starts with 'CACI' for the KVAPPBK with the concatenation 'Risk taker entity' [0.2 (P2)]and 'Source application' [0.3 (P2)]</t>
  </si>
  <si>
    <t>Si renseignée, et si le type d'enregistrement [0.6 (P2] est différent de 'C1' et de 'Z9' :
1/ Si dans la table START "TA 0990 KVAPPBK", KVBAPPID commence par 'CACI' pour le KVAPPBK valant la concaténation "Entité porteuse de risque" [0.2 (P2)] et "Application source" [0.3 (P2)], alors, dans la table START "TA TMTAKOBU", la concaténation 'CA-CIB' + un blanc + [0.9 (P2)] + "_" + [0.2 (P2)] doit être présente dans le champ TMNOMOBU.
2/ Sinon, dans la table START "TA TMTAKOBU", la concaténation des 9 premiers caractères du BAPPID + '_' + 0.9 (P2)] doit être présente dans le champ TMNOMOBU.</t>
  </si>
  <si>
    <t>If filled in, and the type of record [0.6 (P2] is different from 'C1' and 'Z9':
1/ If in the START table "TA 0990 KVAPPBK", KVBAPPID starts with "CACI" for the KVAPPBK with the concatenation "risk carrying Entity" [0.2 (P2)] and "Source application" [0.3 (P2)], then in the START table "TA TMTAKOBU", the concatenation 'CA-CIB' + a blank + [0.9 (P2)] + "_" + [0.2 (P2)] must be present in the TMNOMOBU field.
2/ Otherwise, in the START table "TA TMTAKOBU", the concatenation of the first 9 characters of the BAPPID + '_' + [0.9 (P2)] must be present in the TMNOMOBU field.</t>
  </si>
  <si>
    <t>0.99 (P2)</t>
  </si>
  <si>
    <t>1.1 (P2)</t>
  </si>
  <si>
    <t>Vérification présence d'un enregistrement de type C1 avec même identifiant dans le lot (Sauf entité émettrice d'un flux FTCA)</t>
  </si>
  <si>
    <t>Verification of the existence in the batch of a C1 type record with the same ID (Except for entity issuing an FTCA flow)</t>
  </si>
  <si>
    <t>DEI, OMP</t>
  </si>
  <si>
    <t>Le tiers doit exister (présence du tiers dans TIGRE)
---
L'Identifiant local du tiers en risque doit etre identique à l'Identifiant local du tiers en risque du F2 lié</t>
  </si>
  <si>
    <t>The third-party must exist (presence of the third-party in TIGRE)
---
The local ID of the third party in risk must be identical to the local ID of the third party in risk of the linked F2</t>
  </si>
  <si>
    <t>TIG0002
TC0096</t>
  </si>
  <si>
    <t>1.2 (P2)</t>
  </si>
  <si>
    <t>ASTRE, NPE, RISQUE PHYSIQUE</t>
  </si>
  <si>
    <t>S'il est renseigné, l'identifiant doit correspondre à un enregistrement dans l'objet associé, indépendamment de l'entité
---
La donnée doit être présente dans TIGRE
---
Le couple identifiant local / central (1.1 (P2) et 1.2 (P2)) doit exister dans TIGRE</t>
  </si>
  <si>
    <t>If it is filled in, the identifier must correspond to a record in the associated object, regardless of the entity
---
Data must be present in TIGRE
---
The local/central identifier pair (1.1 (P2) and 1.2 (P2)) must exist in TIGRE</t>
  </si>
  <si>
    <t>1.4 (P2)</t>
  </si>
  <si>
    <t>1.6 (P2)</t>
  </si>
  <si>
    <t>Obligatoire si l'engagement est lié à une autorisation et donc à une ligne de détail</t>
  </si>
  <si>
    <t>Mandatory where commitment is linked to an facility and hence to a line</t>
  </si>
  <si>
    <t>ASTRE, CALCULS PRUDENTIELS, NPE</t>
  </si>
  <si>
    <t>Si renseignée, la ligne d'autorisation associé au P2 doit exister dans le flux F2</t>
  </si>
  <si>
    <t>If filled in, the authorization line associated with P2 must exist in the flow F2</t>
  </si>
  <si>
    <t>1.8 (P2)</t>
  </si>
  <si>
    <t>1.11 (P2)</t>
  </si>
  <si>
    <t xml:space="preserve">For a given batch, the commitment ID must be unique within the batch and no facility line, outstanding amount, mitigant or provision within the batch may have the same reference code
The identifier must be time invariant </t>
  </si>
  <si>
    <t>ASTRE, CALCULS PRUDENTIELS, ESG PILIER 3, LIQUIDITE, NPE, NZBA, PALMA, RISQUE PHYSIQUE</t>
  </si>
  <si>
    <t>L'identifiant renseigné doit être unique au sein de l'entité porteuse de risque
---
Il ne doit pas y avoir de doublon (quelque soit l'entité et quelque soit le flux)
---
Dans le cadre du flux Interlot, une PNU doit être rattachée à une ligne d'autorisation
---
Unicité absolue de la donnée au sein du lot</t>
  </si>
  <si>
    <t>The identifier provided must be unique within the entity carrying the risk
---
There should be no duplicates (whatever the entity and flow are)
---
Under the Interlot flow, an unused portion must be attached to an authorization line
---
The data must be unique within the batch</t>
  </si>
  <si>
    <t>TU0001
TU0003
TC0269
TU0007</t>
  </si>
  <si>
    <t>1.16 (P2)</t>
  </si>
  <si>
    <t>1.99 (P2)</t>
  </si>
  <si>
    <t>1.98 (P2)</t>
  </si>
  <si>
    <t>1.97 (P2)</t>
  </si>
  <si>
    <t>P2 1.1</t>
  </si>
  <si>
    <t xml:space="preserve">Correspond à la méthode de calcul des risques pondérés dans Bâle </t>
  </si>
  <si>
    <t>ASTRE, CALCULS PRUDENTIELS, ESG PILIER 3, NPE, OMP</t>
  </si>
  <si>
    <t>Si renseignée, ET si le type de risque [P2 2.0] = 'TRE2xx' à 'TRE4xx', 'ISS200', 'ISS300', 'SIG*' hors (TRE201,TRE203,TRE205, TRE206, TRE207) et le 'Portefeuille Bâle Opération' [P2 2.18] = '070' alors la donnée [P2 1.1] = 'STD'</t>
  </si>
  <si>
    <t>If filled and if Risk Type [P2 2.0] = 'TRE2xx' to 'TRE4xx', 'ISS200', 'ISS300', 'SIG*' out (TRE201, TRE203, TRE205, TRE206, TRE207) and the 'Basel Operation Portfolio' [P2 2.18] = '070' then the data [P2 1.1] = 'STD'</t>
  </si>
  <si>
    <t>TVS0733</t>
  </si>
  <si>
    <t>P2 1.2</t>
  </si>
  <si>
    <t>Cette donnée permet d'indiquer le traitement Bâlois associé à la méthodologie</t>
  </si>
  <si>
    <t>This data makes it possible to indicate the Basel treatment associated with the methodology</t>
  </si>
  <si>
    <t>La valeur renseignée doit être cohérente avec la 'Méthodologie Bâloise' [P2 1.1] (LC.0154 - TA 0990 KVCOTMMC)</t>
  </si>
  <si>
    <t>Value filled must be consistent with the 'Basel Methodology' [P2 1.1] (LC.0154 - TA 0990 KVCOTMMC)</t>
  </si>
  <si>
    <t>TCS0742</t>
  </si>
  <si>
    <t>P2 4.34</t>
  </si>
  <si>
    <t xml:space="preserve">Permet de filtrer certains engagements du moteur GRR (pour faciliter les correctifs) </t>
  </si>
  <si>
    <t xml:space="preserve">Makes it possible to filter certain commitments of the Large Exposures engine (to facilitate corrections) </t>
  </si>
  <si>
    <t>This field must be used to manage exceptions and must be approved by the Group Risk Management Division</t>
  </si>
  <si>
    <t>P2 2.0</t>
  </si>
  <si>
    <t>Si l'engagement est lié à une autorisation, le type de risque est égal au type de risque de la ligne de détail associée (F2)</t>
  </si>
  <si>
    <t>Where the commitment is linked to an facility, the risk type is the same as the risk type of the associated line (F2)</t>
  </si>
  <si>
    <t>ANACREDIT, ASTRE, CALCULS PRUDENTIELS, CONGLOMERATS, DEI, ESG PILIER 3, GRR, NPE, OMP</t>
  </si>
  <si>
    <t>La donnée doit être égale au Type de risque [F2 2.1] de la ligne de détail de l'autorisation F2 liée</t>
  </si>
  <si>
    <t>The data must be equal to Risk Type [F2 2.1] of the F2 authorization line to which the PNU is link</t>
  </si>
  <si>
    <t>TC0600</t>
  </si>
  <si>
    <t>P2 2.4</t>
  </si>
  <si>
    <t>ANACREDIT, ASTRE, CALCULS PRUDENTIELS, CONGLOMERATS, DEI, ESG PILIER 3, GRR, LIQUIDITE, NPE, PALMA</t>
  </si>
  <si>
    <t>P2 2.6</t>
  </si>
  <si>
    <t>ANACREDIT, CALCULS PRUDENTIELS, DEI, LIQUIDITE</t>
  </si>
  <si>
    <t>P2 2.18</t>
  </si>
  <si>
    <t>Les expositions en portefeuille Bâle opération '070' (titrisation) sont à déclarer en méthode 'STD'</t>
  </si>
  <si>
    <t>The exposures reported in the basel transaction portfolio '070' (securitization) must be reported in Basel methodology 'STD'</t>
  </si>
  <si>
    <t>ANACREDIT, ASTRE, CALCULS PRUDENTIELS, DEI, ESG PILIER 3, NPE, OMP</t>
  </si>
  <si>
    <t>Si renseignée, la donnée doit être égale à ‘070', ‘090' ou ‘900' ou commencer par ‘06'</t>
  </si>
  <si>
    <t>If filled, data must be equal to ‘070', ‘090' or ‘900' or start with ‘06'</t>
  </si>
  <si>
    <t>TVS0736</t>
  </si>
  <si>
    <t>P2 2.29</t>
  </si>
  <si>
    <t>This is the transaction nature as determined and used by the entity for its accounting risk systems reconciliation</t>
  </si>
  <si>
    <t>ASTRE, CALCULS PRUDENTIELS, ESG PILIER 3, NPE</t>
  </si>
  <si>
    <t>Si renseignée, la donnée doit être égale à ‘NAT07' ou ‘NAT06'</t>
  </si>
  <si>
    <t>If filled, the data must be ‘NAT07' or ‘NAT06'</t>
  </si>
  <si>
    <t>TVS0737</t>
  </si>
  <si>
    <t>P2 3.2</t>
  </si>
  <si>
    <t>Date de mise en place de l'engagement</t>
  </si>
  <si>
    <t>Date transaction was arranged</t>
  </si>
  <si>
    <t>ANACREDIT, ASTRE, CALCULS PRUDENTIELS, CONGLOMERATS, DEI, ESG PILIER 3, LIQUIDITE, NPE, OMP, PALMA</t>
  </si>
  <si>
    <t>La donnée doit être inférieure ou égale à la date d'arrêté
---
La Date de début de l'engagement [P2 3.2] doit être &lt; Date de fin de l'engagement [P2 3.4]</t>
  </si>
  <si>
    <t>Data must be lower or equal than closing date
---
The Start date of commitment [P2 3.2] must be &lt; End date of commitment [P2 3.4]</t>
  </si>
  <si>
    <t>TCG0004
TCS0744</t>
  </si>
  <si>
    <t>P2 3.4</t>
  </si>
  <si>
    <t>Date d'échéance de l'engagement</t>
  </si>
  <si>
    <t>Due date of transaction</t>
  </si>
  <si>
    <t>ANACREDIT, ASTRE, CALCULS PRUDENTIELS, CONGLOMERATS, DEI, ESG PILIER 3, GRR, LIQUIDITE, NPE, OMP, PALMA, SRB VALUATION</t>
  </si>
  <si>
    <t>P2 16.6</t>
  </si>
  <si>
    <t xml:space="preserve">La donnée est obligatoire si le Portefeuille Bâle Opération [P2 2.18] = ‘070' </t>
  </si>
  <si>
    <t xml:space="preserve">The data is mandatory if Basel Transaction Portfolio [P2 2.18] = ‘070' </t>
  </si>
  <si>
    <t>TPS1701</t>
  </si>
  <si>
    <t>P2 18.1</t>
  </si>
  <si>
    <t>Exprimée en %.
A renseigner uniquement pour les financements spécialisés en IRB A</t>
  </si>
  <si>
    <t>Expressed as %
Only to be filled in for specialised financing under A IRB</t>
  </si>
  <si>
    <t>La donnée est obligatoire, si le type de risque [P2 2.0] = ‘TRE2xx' à 'TRE5xx' hors (TRE203, TRE205, TRE206, TRE207), 'SIGxxx' ET si la Méthodologie Bâloise [P2 1.1] = ‘IRB A' ET si le Portefeuille Bâlois - Opération [P2 2.18] = '06x'</t>
  </si>
  <si>
    <t>The data is mandatory, if Risk type [P2 2.0] = ‘TRE2xx' to 'TRE5xx' except (TRE203, TRE205, TRE206, TRE207), 'SIGxxx' AND if the Basel methodology [P2 1.1] = ‘IRB A' AND if the Basel Transaction Portfolio [P2 2.18] = '06x'</t>
  </si>
  <si>
    <t>TPS1702</t>
  </si>
  <si>
    <t>P2 18.10</t>
  </si>
  <si>
    <t>P2 18.5</t>
  </si>
  <si>
    <t>La donnée est obligatoire, si le type de risque [P2 2.0] = 'TRE2xx' à 'TRE4xx' hors (TRE203, TRE205, TRE206, TRE207), 'SIGxxx' et si le Portefeuille Bâle Opération [P2 2.18] = ‘070'</t>
  </si>
  <si>
    <t>The data is mandatory, if Risk type [P2 2.0] = 'TRE2xx' to 'TRE4xx' except (TRE203, TRE205, TRE206, TRE207), 'SIGxxx' and the Basel Transaction Portfolio [P2 2.18] = ‘070'</t>
  </si>
  <si>
    <t>TPS1703</t>
  </si>
  <si>
    <t>P2 18.6</t>
  </si>
  <si>
    <t>La donnée est obligatoire si le Montant de l'Exposition en cas de Défaut (EAD) [P2 18.5] est renseigné</t>
  </si>
  <si>
    <t>The data is mandatory if Exposure At Default (EAD) amount [P2 18.5] is filled</t>
  </si>
  <si>
    <t>P2 18.18</t>
  </si>
  <si>
    <t>Cette devise est indispensable. Utilisée pour les traitements Bâlois dans certaines conditions et pour la déclaration des Engagements Internationaux du Groupe</t>
  </si>
  <si>
    <t>This currency is critical. Used for Basel II treatments in certain circumstances and for reporting of Group International Commitments</t>
  </si>
  <si>
    <t>ANACREDIT, ASTRE, CALCULS PRUDENTIELS, DEI, GRR, LIQUIDITE, OMP, PALMA</t>
  </si>
  <si>
    <t>P2 3.98</t>
  </si>
  <si>
    <t>The creation of this field and the maintenance of its content will be managed by the entity in cooperation with the specialised business monitoring unit</t>
  </si>
  <si>
    <t>P2 21.1</t>
  </si>
  <si>
    <t>Obligatoire en cas de restructuration
L'origine de la restructuration devra être précisée par le Front Office dans l'accord de crédit</t>
  </si>
  <si>
    <t>Mandatory in the event of restructuring
The source of the restructuring should be specified by the Front Office in the credit agreement</t>
  </si>
  <si>
    <t>P2 21.2</t>
  </si>
  <si>
    <t>La donnée est obligatoire si la donnée Indicateur type de restructuration [P2 21.1] est renseignée</t>
  </si>
  <si>
    <t>The data is mandatory if the data Restructuring Standard Indicator [P2 21.1] is filled</t>
  </si>
  <si>
    <t>TPS1704</t>
  </si>
  <si>
    <t>La donnée doit être inférieure à la date d'arrêté</t>
  </si>
  <si>
    <t>Data must be lower than closing date</t>
  </si>
  <si>
    <t>TCG0006</t>
  </si>
  <si>
    <t>P2 4.1</t>
  </si>
  <si>
    <t>Il s'agit ici de la notion d'impayé prudentiel; Ainsi cet indicateur permet de préciser si l'opération est comptabilisée en douteux ou non et ainsi diférencier les impayés à - de 90 jours de ceux de + de 90 jours
A noter : jusqu'à nouvel ordre, la notion d'impayé prudentiel est adossé à la notion comptable du douteux déprécié</t>
  </si>
  <si>
    <t>This is the concept of prudential arrears. This indicator makes it possible to specify whether the transaction is recognised as doubtful or not and to thereby differentiate arrears of under 90 days from those of over 90 days
Please note: until instructed otherwise, the prudential arrears concept is attributed the same meaning as the doubtful impaired concept</t>
  </si>
  <si>
    <t>ANACREDIT, ASTRE, DEI, OMP</t>
  </si>
  <si>
    <t>P2 5.2</t>
  </si>
  <si>
    <t>ndicator to specify whether transactions are recognised as defaulted commitments</t>
  </si>
  <si>
    <t>ANACREDIT, ASTRE, CALCULS PRUDENTIELS, DEI, ESG PILIER 3, NPE, OMP, PALMA</t>
  </si>
  <si>
    <t>Si renseigné ET si Bucket IFRS9 [P2 22.72] = 'B3', alors Indicateur engagement en défaut [P2 5.2] = 'Y'</t>
  </si>
  <si>
    <t xml:space="preserve">If filled AND if Bucket IFRS9 [P2 22.72] = 'B3', then Defaulted Commitments Indicator [P2 5.2] = 'Y' </t>
  </si>
  <si>
    <t>TVS0739</t>
  </si>
  <si>
    <t>P2 5.3</t>
  </si>
  <si>
    <t>ANACREDIT, ASTRE, CALCULS PRUDENTIELS, DEI, NPE, OMP</t>
  </si>
  <si>
    <t>La donnée est obligatoire si la donnée indicateur engagement en défaut [P2 5.2] est = 'Y'</t>
  </si>
  <si>
    <t>The data is mandatory if the indicator data funds in use doubtful [P2 5.2] is = 'Y'</t>
  </si>
  <si>
    <t>TPS1707</t>
  </si>
  <si>
    <t>P2 4.16</t>
  </si>
  <si>
    <t>Montant de la Part Non Utilisée (PNU)</t>
  </si>
  <si>
    <t>Amount of the Undrawn Portion</t>
  </si>
  <si>
    <t>mtPNU</t>
  </si>
  <si>
    <t>ANACREDIT, CALCULS PRUDENTIELS, CONGLOMERATS, DEI, ESG PILIER 3, GRR, LOAN TAPE, OMP, PALMA</t>
  </si>
  <si>
    <t>P2 4.17</t>
  </si>
  <si>
    <t>Devise du montant de la Part Non Utilisée (PNU)</t>
  </si>
  <si>
    <t>Currency of amount of the Undrawn Portion</t>
  </si>
  <si>
    <t>cdDevMtPNU</t>
  </si>
  <si>
    <t>ANACREDIT, CALCULS PRUDENTIELS, CONGLOMERATS, DEI, ESG PILIER 3, GRR, OMP</t>
  </si>
  <si>
    <t>La donnée est obligatoire si le Montant de la Part Non Utilisée [P2 4.16] est renseigné</t>
  </si>
  <si>
    <t>The data is mandatory if Amount of Undrawn Portion [P2 4.16] is filled</t>
  </si>
  <si>
    <t>P2 4.18</t>
  </si>
  <si>
    <t>Zone libre (Ex PCCO du montant déclaré)</t>
  </si>
  <si>
    <t>Zonelibre418</t>
  </si>
  <si>
    <t>P2 4.23</t>
  </si>
  <si>
    <t>P2 5.6</t>
  </si>
  <si>
    <t>P2 5.7</t>
  </si>
  <si>
    <t>To be filled in where there is a single beneficiary. It makes it possible to identify whether the commitment is internal or external to the CA Group.
Not to be filled in where there are multiple beneficiaries</t>
  </si>
  <si>
    <t>P2 5.8</t>
  </si>
  <si>
    <t>ASTRE, CALCULS PRUDENTIELS, CONGLOMERATS, DEI, ESG PILIER 3</t>
  </si>
  <si>
    <t>S'il est renseigné, l'identifiant doit correspondre à un enregistrement dans l'objet associé, indépendamment de l'entité
---
Le tiers doit exister (présence du tiers dans TIGRE)
---
Le couple identifiant local / central (P2 5.7 et P2 5.8) doit exister dans TIGRE</t>
  </si>
  <si>
    <t>If it is filled in, the identifier must correspond to a record in the associated object, regardless of the entity
---
The third-party must exist (presence of the third-party in TIGRE)
---
The local/central identifier pair (P2 5.7 and P2 5.8) must exist in TIGRE</t>
  </si>
  <si>
    <t>P2 3.33</t>
  </si>
  <si>
    <t>Si type de risque "SIGxxx, il permet de traiter en IRB A, les garanties aux OPCVM données par AMUNDI Finance</t>
  </si>
  <si>
    <t>If risk type “SIGxxx”, it makes it possible to treat UCITS guarantees given by AMUNDI Finance under A IRB</t>
  </si>
  <si>
    <t>P2 5.10</t>
  </si>
  <si>
    <t>P2 5.11</t>
  </si>
  <si>
    <t>P2 16.3</t>
  </si>
  <si>
    <t>AER, ANACREDIT, CALCULS PRUDENTIELS, DEI</t>
  </si>
  <si>
    <t>P2 11.33</t>
  </si>
  <si>
    <t>P2 11.12</t>
  </si>
  <si>
    <t>Concerne les encours déclarés en portefeuille Bâle Opération (P2 2.18) = '070' (Titrisation)
Les valeurs possibles sont : 
sources externes : 
01 : FITCH, 
02 : MOODYS
03 : S&amp;P, 
source interne dite : 
04 : IAA</t>
  </si>
  <si>
    <t>P2 16.9</t>
  </si>
  <si>
    <t>Concerne les encours déclarés en portefeuille Bâle Opération (P2 2.18) = '070' (Titrisation)
Il s'agit de la granularité au sens Bâlois</t>
  </si>
  <si>
    <t>Only for outstandings reported in the basel transaction portfolio (P2 2.18) = '070' (securitization)
This is the granularity for Basel II purposes</t>
  </si>
  <si>
    <t>P2 16.12</t>
  </si>
  <si>
    <t>Correspond à la position ou statut de la banque dans le programme de titrisation</t>
  </si>
  <si>
    <t>P2 16.13</t>
  </si>
  <si>
    <t>Concerne les encours déclarés en portefeuille Bâle Opération (P2 2.18) = '070' (Titrisation)</t>
  </si>
  <si>
    <t>Only for outstandings reported in the basel transaction portfolio (P2 2.18) = '070' (securitization)</t>
  </si>
  <si>
    <t>P2 16.15</t>
  </si>
  <si>
    <t>P2 16.16</t>
  </si>
  <si>
    <t>La donnée est obligatoire, si le type de risque [P2 2.0] = 'TRE2xx' à 'TRE4xx', 'ISS200', 'ISS300', 'SIGxxx' hors (TRE203, TRE205, TRE206, TRE207) ET si le Portefeuille Bâlois - Opération [P2 2.18] = '070' OU si l'indicateur créance titrisée [P2 4.29] = 'Y'</t>
  </si>
  <si>
    <t xml:space="preserve">The data is mandatory, if risk type [P2 2.0] = 'TRE2xx' to 'TRE4xx', 'ISS200', 'ISS300', 'SIGxxx' except (TRE203, TRE205, TRE206, TRE207) AND whether the Basel Portfolio - Transaction [P2 2.18] = '070' OR whether the securitised debt indicator [P2 4.29] = 'Y'
</t>
  </si>
  <si>
    <t>TPS1708</t>
  </si>
  <si>
    <t>P2 16.17</t>
  </si>
  <si>
    <t>P2 16.18</t>
  </si>
  <si>
    <t>cdTypTitr</t>
  </si>
  <si>
    <t>P2 16.19</t>
  </si>
  <si>
    <t xml:space="preserve">Initial weighting </t>
  </si>
  <si>
    <t>P2 16.20</t>
  </si>
  <si>
    <t>P2 16.21</t>
  </si>
  <si>
    <t>P2 16.22</t>
  </si>
  <si>
    <t>P2 16.23</t>
  </si>
  <si>
    <t>La donnée est obligatoire, si le Portefeuille Bâlois - Opération [P2 2.18] = '070' et si la méthode de titrisation [P2 16.24] = 'ERBA'</t>
  </si>
  <si>
    <t>The data is mandatory if the Basel Portfolio - Transaction [P2 2.18] = '070' and if the securitization method [P2 16.24] = 'ERBA'</t>
  </si>
  <si>
    <t>TPS1709</t>
  </si>
  <si>
    <t>P2 16.99</t>
  </si>
  <si>
    <t>Zonelibre1699</t>
  </si>
  <si>
    <t>P2 4.31</t>
  </si>
  <si>
    <t xml:space="preserve">Concerne les expositions de titrisation </t>
  </si>
  <si>
    <t xml:space="preserve">Relates to securitisation exposures </t>
  </si>
  <si>
    <t>P2 4.32</t>
  </si>
  <si>
    <t>P2 11.13</t>
  </si>
  <si>
    <t xml:space="preserve">Il s'agit du point d'attachement de la tranche du portefeuille sous-jacent sur laquelle porte le dérivé
Il identifie de manière quantitative le niveau de séniorité sur lequel porte le dérivé de crédit (i.e. : la tranche de titrisation). 
Il s'exprime en % du Nominal du portefeuille sous-jacent au dérivé (Nominal du véhicule de titrisation).
Exprimée en %
</t>
  </si>
  <si>
    <t>This is the attachment point of the underlying portfolio tranche covered by the derivative
It quantifies the level of seniority enjoyed by the credit derivative (i.e.: the securitisation tranche). 
It is expressed as % of the nominal amount of the underlying portfolio to the derivative (nominal amount of the securitisation vehicle)
Expressed as %</t>
  </si>
  <si>
    <t>P2 11.14</t>
  </si>
  <si>
    <t>Exprimée en %</t>
  </si>
  <si>
    <t>P2 4.24</t>
  </si>
  <si>
    <t>P2 4.36</t>
  </si>
  <si>
    <t>Underlying transparency indicator</t>
  </si>
  <si>
    <t>Obligatoire si structure à sous-jacent</t>
  </si>
  <si>
    <t>Mandatory if underlying structure</t>
  </si>
  <si>
    <t>La donnée est obligatoire si Indicateur Produit à sous-jacent [P2 4.31] = ‘Y'</t>
  </si>
  <si>
    <t>The data is mandatory if Product with underlying indicator [P2 4.31] = ‘Y'</t>
  </si>
  <si>
    <t>TPS1710</t>
  </si>
  <si>
    <t>P2 4.49</t>
  </si>
  <si>
    <t>La donnée est obligatoire si le type de risque [P2 2.0] = 'SIG203', 'SIG206', 'SIG207'</t>
  </si>
  <si>
    <t>The data is mandatory if risk type [P2 2.0] = 'SIG203', 'SIG206', 'SIG207'</t>
  </si>
  <si>
    <t>TPS1711</t>
  </si>
  <si>
    <t>P2 4.99</t>
  </si>
  <si>
    <t>Zonelibre499</t>
  </si>
  <si>
    <t>P2 3.20</t>
  </si>
  <si>
    <t>Donnée exprimée en années. Calcul à faire par l'entité en divisant le nombre de jours restants entre la date de fin de l'engagement et la date d'arrêté et en divisant par 365,25</t>
  </si>
  <si>
    <t>Data expressed in years. Calculation to be made by the entity by dividing the number of days remaining between the funds in use completion date and the cut-off date and dividing by 365.25</t>
  </si>
  <si>
    <t>ASTRE, CALCULS PRUDENTIELS, DEI, ESG PILIER 3, GRR</t>
  </si>
  <si>
    <t>P2 4.8</t>
  </si>
  <si>
    <t>ANACREDIT, ASTRE, CALCULS PRUDENTIELS, DEI, GRR</t>
  </si>
  <si>
    <t>Si renseignée, la donnée doit être égale à 'H'</t>
  </si>
  <si>
    <t>If filled, the data must be equal to 'H'</t>
  </si>
  <si>
    <t>TVS0740</t>
  </si>
  <si>
    <t>P2 12.16</t>
  </si>
  <si>
    <t>Code séniorité</t>
  </si>
  <si>
    <t>P2 4.43</t>
  </si>
  <si>
    <t>P2 4.44</t>
  </si>
  <si>
    <t>P2 3.99</t>
  </si>
  <si>
    <t>P2 3.46</t>
  </si>
  <si>
    <t>P2 3.47</t>
  </si>
  <si>
    <t>Obligatoire si prêt immobilier sinon renseigner à vide</t>
  </si>
  <si>
    <t>Mandatory if real estate loan otherwise to be filled in empty</t>
  </si>
  <si>
    <t>P2 4.25</t>
  </si>
  <si>
    <t>Spécifique aux opérations d'affacturage
Correspond au montant du Add-on affacturage</t>
  </si>
  <si>
    <t xml:space="preserve">Specific to factoring
Correspond to the factoring Add-on amount
</t>
  </si>
  <si>
    <t>La donnée est obligatoire si le Portefeuille Bâle Opération [P2 2.18] = ‘090'</t>
  </si>
  <si>
    <t>The data is mandatory if Basel Transaction Portfolio [P2 2.18] = ‘090'</t>
  </si>
  <si>
    <t>TPS1713</t>
  </si>
  <si>
    <t>P2 4.26</t>
  </si>
  <si>
    <t xml:space="preserve">Currency of the amount of the Add-on factoring </t>
  </si>
  <si>
    <t>La donnée est obligatoire si le Montant du Add-on affacturage [P2 4.25] est renseigné</t>
  </si>
  <si>
    <t>The data is mandatory if Amount of the Add-on factoring [P2 4.25] is filled</t>
  </si>
  <si>
    <t>P2 4.27</t>
  </si>
  <si>
    <t>Spécifique aux opérations d'affacturage
Correspond au montant du montant de la part de financement garanti par des créances acheteurs</t>
  </si>
  <si>
    <t xml:space="preserve">Specific to factoring
Corresponds to the amount of the amount of the financing backed by buyers debts
</t>
  </si>
  <si>
    <t>La donnée est obligatoire si le type de risque [P2 2.0] ='TRExx' (hors 'TRE203, TRE205, TRE206, TRE207'), 'SIGxx' ET si le Portefeuille Bâle Opération [P2 2.18] = ‘090'</t>
  </si>
  <si>
    <t>The data is mandatory if the Risk type [P2 2.0] = 'TRExx' (except 'TRE203, TRE205, TRE206, TRE207'), 'SIGxx' AND if Basel Transaction Portfolio [P2 2.18] = ‘090'</t>
  </si>
  <si>
    <t>TPS1714</t>
  </si>
  <si>
    <t>P2 4.28</t>
  </si>
  <si>
    <t>Devise de la part de financement garanti par des créances acheteurs</t>
  </si>
  <si>
    <t xml:space="preserve">Devise de la part de financement garanti par des créances acheteurs </t>
  </si>
  <si>
    <t>La donnée est obligatoire si le Montant de la part de financement garanti par des créances acheteurs [P2 4.27] est renseigné</t>
  </si>
  <si>
    <t>The data is mandatory if Amount of backed financing by buyer debts [P2 4.27] is filled</t>
  </si>
  <si>
    <t>P2 3.32</t>
  </si>
  <si>
    <t>cdRolTiers</t>
  </si>
  <si>
    <t>A renseigner uniquement par les entités exerçant une activité d'affacturage NA sinon</t>
  </si>
  <si>
    <t xml:space="preserve">Mandatory if entities have a factoring activity, NA otherwise.
NA otherwise
</t>
  </si>
  <si>
    <t>P2 4.30</t>
  </si>
  <si>
    <t>Expressed as %
Data reserved for factoring in IRB</t>
  </si>
  <si>
    <t>Si renseignée, la donnée doit être positive (supérieure ou égale à 0)
---
Si renseignée, la donnée doit être comprise entre 0 et 100</t>
  </si>
  <si>
    <t>If filled, data must be positive (greater or equal to 0)
---
If filled, data must be between 0 and 100</t>
  </si>
  <si>
    <t>P2 6.99</t>
  </si>
  <si>
    <t>P2 4.29</t>
  </si>
  <si>
    <t>Si renseigné ET si l'identifiant du Fonds Commun de Titrisation (SPV) [P2 4.40] est renseigné, alors 'Indicateur créance titrisée' [P2 4.29] = 'Y'</t>
  </si>
  <si>
    <t>If filled and if Securitisation fund (SPV) Identifier [P2 4.40] is filled, then 'Securitised debt indicator' [P2 4.29] = 'Y'</t>
  </si>
  <si>
    <t>TVS0741</t>
  </si>
  <si>
    <t>P2 4.40</t>
  </si>
  <si>
    <t xml:space="preserve">Donnée TRUE SALE réservée à LCL et aux Caisses Régionales </t>
  </si>
  <si>
    <t>Data TRUE SALE reserved for LCL and Regional Banks</t>
  </si>
  <si>
    <t>P2 4.41</t>
  </si>
  <si>
    <t>La donnée est obligatoire si Identifiant du Fonds Commun de Titrisation (SPV) [P2 4.40] est renseigné</t>
  </si>
  <si>
    <t>The data is mandatory if Securitisation fund (SPV) Identifier [P2 4.40] is filled in</t>
  </si>
  <si>
    <t>TPS1715</t>
  </si>
  <si>
    <t>P2 4.48</t>
  </si>
  <si>
    <t>La donnée est obligatoire si le type de risque [P2 2.0] = 'TRExxx' et si l'indicateur créance titrisée [P2 4.29] = 'Y'</t>
  </si>
  <si>
    <t>The data is mandatory if Risk type [P2 2.0] = 'TRExxx' and the securitised debt indicator [P2 4.29] = 'Y'</t>
  </si>
  <si>
    <t>TPS1716</t>
  </si>
  <si>
    <t>P2 4.98</t>
  </si>
  <si>
    <t>P2 7.99</t>
  </si>
  <si>
    <t>Zonelibre799</t>
  </si>
  <si>
    <t>P2 3.36</t>
  </si>
  <si>
    <t>La donnée est obligatoire si le type de risque [P2 2.0] = ‘TRE205'</t>
  </si>
  <si>
    <t>The data is mandatory if Risk type [P2 2.0] = ‘TRE205'</t>
  </si>
  <si>
    <t>TPS1717</t>
  </si>
  <si>
    <t>P2 8.99</t>
  </si>
  <si>
    <t>Zonelibre899</t>
  </si>
  <si>
    <t>P2 19.5</t>
  </si>
  <si>
    <t>Classification comptable de référence des actifs</t>
  </si>
  <si>
    <t>cdClasIas</t>
  </si>
  <si>
    <t>La valeur renseignée doit être cohérente avec le type de risque [P2 2.0] (LC.0066 - Z8COCCTR)</t>
  </si>
  <si>
    <t>The value filled must be consistent with the risk type [P2 2.0] (LC.0066 - Z8COCCTR)</t>
  </si>
  <si>
    <t>TCS0745</t>
  </si>
  <si>
    <t>P2 21.3</t>
  </si>
  <si>
    <t>This data is mandatory whether or not there is FORBEARANCE
Possible events (modification of existing contract (Restructuring), Grant of new credit)</t>
  </si>
  <si>
    <t>La donnée est obligatoire si type de risque [P2 2.0] = 'TRE2*, TRE3*, TRE4*, TRE5* (hors TRE203, TRE205, TRE206, TRE207, TRE405, TRE406)'</t>
  </si>
  <si>
    <t>The data is mandatory if risk type [P2 2.0] = 'TRE2*, TRE3*, TRE4*, TRE5* (except TRE203, TRE205, TRE206, TRE207, TRE405, TRE406)'</t>
  </si>
  <si>
    <t>TPS1718</t>
  </si>
  <si>
    <t>P2 21.4</t>
  </si>
  <si>
    <t>Nature contextuelle évènement de crédit</t>
  </si>
  <si>
    <t>Nature contextuelle au moment de l'événement de crédit au sens de la forbearance</t>
  </si>
  <si>
    <t>P2 21.5</t>
  </si>
  <si>
    <t>Si la donnée 'Montant des passages en pertes cumulées' [P2 21.20] est renseignée ET strictement supérieure à zéro, alors la donnée 'Statut du crédit' [P2 21.5] = '1 ou '2'</t>
  </si>
  <si>
    <t>If the data Amount of cumulative write-offs [P2 21.20] is filled AND strictly greater than zero, then the data 'Credit status' [P2 21.5] = '1 or '2'</t>
  </si>
  <si>
    <t>TVS0742</t>
  </si>
  <si>
    <t>P2 21.6</t>
  </si>
  <si>
    <t>ANACREDIT, ASTRE, ESG PILIER 3, NPE, OMP, SHS</t>
  </si>
  <si>
    <t>La donnée est obligatoire si le type de risque [P2 2.0] est égal à 'EQU101', 'EQU201', 'ISS100', 'ISS200', 'ISS300', 'TRE*', 'SIG*', 'VAR*', 'INT*'</t>
  </si>
  <si>
    <t>The data is mandatory if Risk type [P2 2.0] is equal to 'EQU101', 'EQU201', 'ISS100', 'ISS200', 'ISS300', 'TRE*', 'SIG*', 'VAR*', 'INT*'</t>
  </si>
  <si>
    <t>TPS1719</t>
  </si>
  <si>
    <t>Si renseigné, ET si le type de risque [P2 2.0] = 'TRE2xx', 'TRE3xx', 'TRE4xx', 'TRE5xx' hors ('TRE203', 'TRE205', 'TRE206', 'TRE207') ET Indicateur Engagement en défaut [P2 5.2] = 'Y', alors Indicateur créance performante [P2 21.6] = 'NP'</t>
  </si>
  <si>
    <t>If filled AND if risk type [P2 2.0] = 'TRE2xx', 'TRE3xx', 'TRE4xx', 'TRE5xx' except ('TRE203', 'TRE205', 'TRE206', 'TRE207') AND Doubtful Commitment Indicator [P2 5.2] = 'Y', then Performing debt indicator [P2 21.6] = 'NP'</t>
  </si>
  <si>
    <t>TVS0743</t>
  </si>
  <si>
    <t>P2 21.7</t>
  </si>
  <si>
    <t>Must be retained throughout the life term of debt when it was at least one forborne. IFRS 9 needs</t>
  </si>
  <si>
    <t>La donnée est obligatoire, si type de risque [P2 2.0] = 'TRE2*, TRE3*, TRE4*, TRE5* (hors TRE203, TRE205, TRE206, TRE207, TRE405, TRE406)' ET si le statut du crédit [P2 21.5] = '1', '2', '3'</t>
  </si>
  <si>
    <t>The data is mandatory, if Risk type [P2 2.0] = 'TRE2*, TRE3*, TRE4*, TRE5* (except TRE203, TRE205, TRE206, TRE207, TRE405, TRE406)' AND if the credit status [P2 21.5] = '1', '2', '3'</t>
  </si>
  <si>
    <t>TPS1720</t>
  </si>
  <si>
    <t>P2 21.8</t>
  </si>
  <si>
    <t>If several commercial restructuring, the last restructuring date to be provided. IFRS 9 needs</t>
  </si>
  <si>
    <t>La donnée est obligatoire, si type de risque [P2 2.0] = TRE2*,TRE3*,TRE4*,TRE5* (hors TRE203, TRE205, TRE206, TRE207, TRE405, TRE406) ET si le type de restructuration [P2 21.1] = ‘AR' ET si Nature Contextuelle au moment de l'évènement de crédit [P2 21.4] = ‘4'</t>
  </si>
  <si>
    <t>The data is mandatory, if Risk type [P2 2.0] = TRE2*,TRE3*,TRE4*,TRE5* (except TRE203, TRE205, TRE206, TRE207, TRE405, TRE406) AND if the restructuring type [P2 21.1] = ‘AR' AND if the contextual nature of the credit event [P2 21.4] = ‘4'</t>
  </si>
  <si>
    <t>TPS1721</t>
  </si>
  <si>
    <t>P2 21.9</t>
  </si>
  <si>
    <t>The last risk restructuring date to be provided (forborne exposure). IFRS 9 needs</t>
  </si>
  <si>
    <t>La donnée est obligatoire, si type de risque [P2 2.0] = TRE2*,TRE3*,TRE4*,TRE5* (hors TRE203, TRE205, TRE206, TRE207, TRE405, TRE406) ET si le type de restructuration [P2 21.1] = RF' ou 'RC' ET si la nature contectuelle de l'événement de crédit [P2 21.4] = ‘1', ‘2', ‘3'</t>
  </si>
  <si>
    <t>The data is mandatory, if Risk type [P2 2.0] = TRE2*,TRE3*,TRE4*,TRE5* (except TRE203, TRE205, TRE206, TRE207, TRE405, TRE406) AND if the restructuring type [P2 21.1] = RF', 'RC' and if the contextual nature of the credit event [P2 21.4] = ‘1', ‘2', ‘3'</t>
  </si>
  <si>
    <t>TPS1722</t>
  </si>
  <si>
    <t>P2 21.10</t>
  </si>
  <si>
    <t>La donnée est obligatoire, si type de risque [P2 2.0] = TRE2*,TRE3*,TRE4*,TRE5* (hors TRE203, TRE205, TRE206, TRE207, TRE405, TRE406) ET si le statut du crédit [P2 21.5] = '1'</t>
  </si>
  <si>
    <t>The data is mandatory, if Risk type [P2 2.0] = TRE2*,TRE3*,TRE4*,TRE5* (except TRE203, TRE205, TRE206, TRE207, TRE405, TRE406) AND if the credit status [P2 21.5] = '1'</t>
  </si>
  <si>
    <t>TPS1723</t>
  </si>
  <si>
    <t>P2 21.11</t>
  </si>
  <si>
    <t>Si la date d'entrée de la créance en période d'observation [P2 21.10] est renseignée ET si la date de sortie de la créance de la période d'observation [P2 21.11] est renseignée, alors la date de sortie [P2 21.11] doit être supérieure ou égale à la date d'entrée [P2 21.10]</t>
  </si>
  <si>
    <t>If the Debt's observation period start date [P2 21.10] is filled AND if the Debt's observation period end date [P2 21.11] is filled, then the end date [P2 21.11] must be greater than or equal to the start date [P2 21.10]</t>
  </si>
  <si>
    <t>TCS0746</t>
  </si>
  <si>
    <t>P2 21.12</t>
  </si>
  <si>
    <t>La donnée est obligatoire, si type de risque [P2 2.0] = TRE2*,TRE3*,TRE4*,TRE5* (hors TRE203, TRE205, TRE206, TRE207, TRE405, TRE406) ET si le statut du crédit [P2 21.5] = '2'</t>
  </si>
  <si>
    <t>The data is mandatory, if Risk type [P2 2.0] = TRE2*,TRE3*,TRE4*,TRE5* (except TRE203, TRE205, TRE206, TRE207, TRE405, TRE406) AND if the credit status [P2 21.5] = '2'</t>
  </si>
  <si>
    <t>TPS1724</t>
  </si>
  <si>
    <t>P2 21.13</t>
  </si>
  <si>
    <t>Si la Date d'entrée de la créance en période probatoire [P2 21.12] est renseignée et que la Date de sortie de la créance de la période probatoire [P2 21.13] est renseignée, alors la date de sortie [P2 21.13] doit être supérieure ou égale à la date d'entrée [P2 21.12]</t>
  </si>
  <si>
    <t>If the Debt's probation period start date [P2 21.12] is filled and the Debt's probation period end date [P2 21.13] is filled, then the end date [P2 21.13]must be greater than or equal to the start date [P2 21.12]</t>
  </si>
  <si>
    <t>TCS0747</t>
  </si>
  <si>
    <t>P2 21.14</t>
  </si>
  <si>
    <t>La donnée est obligatoire, si type de risque [P2 2.0] = TRE2*,TRE3*,TRE4*,TRE5* (hors TRE203, TRE205, TRE206, TRE207, TRE405, TRE406) ET si le statut du crédit [P2 21.5] = '1' ou '2'</t>
  </si>
  <si>
    <t>The data is mandatory, if Risk type [P2 2.0] = TRE2*,TRE3*,TRE4*,TRE5* (except TRE203, TRE205, TRE206, TRE207, TRE405, TRE406) AND if the credit status [P2 21.5] = '1' or '2'</t>
  </si>
  <si>
    <t>TPS1725</t>
  </si>
  <si>
    <t>P2 21.15</t>
  </si>
  <si>
    <t>Obligatoire si statut du crédit au sens de la forbearance (P2 21.5) = ‘1' ou ‘2. Si information non disponible, laisser à vide la date de sortie effective de situation forborne</t>
  </si>
  <si>
    <t xml:space="preserve">Mandatory if 'Credit status with regard to forbearance' (P2 21.5) = '1' or '2'. If the information unavailable, indicate the theoretical end date of the forborne status, leave "empty" </t>
  </si>
  <si>
    <t>P2 21.16</t>
  </si>
  <si>
    <t>If the Performing debt indicator (PE NPE) has not changed since the origin, the start date of the performance status corresponds to the start of the contract otherwise, the start date of the performance status corresponds to the date of change of PE NPE status</t>
  </si>
  <si>
    <t>ANACREDIT, ASTRE, NPE, SHS</t>
  </si>
  <si>
    <t>La donnée est obligatoire si l'Indicateur créance performante [P2 21.6] est renseigné</t>
  </si>
  <si>
    <t>The data is mandatory if the Debt Performance Indicator [P2 21.6] is filled</t>
  </si>
  <si>
    <t>TPS1726</t>
  </si>
  <si>
    <t>Si le type de risque [P2 2.0] = ('EQU101', 'EQU201', 'ISS100', 'ISS200', 'ISS300', 'TRE*', 'SIG*', 'VAR*', 'INT*'), et si la donnée est renseignée, alors elle doit être (supérieure ou égale à Date de signature du contrat initial [P2 22.67]) ET (inférieure ou égale à la date d'arrêté [0.1 (P2)])</t>
  </si>
  <si>
    <t>If Risk type [P2 2.0] = ('EQU101', 'EQU201', 'ISS100', 'ISS200', 'ISS300', 'TRE*', 'SIG*', 'VAR*', 'INT*'), and if the data is filled, then it must be (greater than or equal to the Date of signature of the initial contract [P2 22.67]) AND (less than or equal to the Closing date [0.1 (P2)])</t>
  </si>
  <si>
    <t>TCS0748</t>
  </si>
  <si>
    <t>P2 21.17</t>
  </si>
  <si>
    <t>P2 21.18</t>
  </si>
  <si>
    <t>La donnée est obligatoire si le type de risque [P2 2.0] = 'TRExxx' ET si le statut de crédit [P2 21.5] = '1' ou '2'</t>
  </si>
  <si>
    <t>The data is mandatory if risk type [P2 2.0] = 'TRExxx' AND if credit status [P2 21.5] = '1' or '2'</t>
  </si>
  <si>
    <t>TPS1727</t>
  </si>
  <si>
    <t>P2 21.19</t>
  </si>
  <si>
    <t>P2 21.99</t>
  </si>
  <si>
    <t>P2 22.56</t>
  </si>
  <si>
    <t>Indicateur produit échéancé</t>
  </si>
  <si>
    <t>cdProd</t>
  </si>
  <si>
    <t>Ne concerne que les types de risque "TRExxx".
Pour les autres types risques, renseigner à 'NEC'.
Un produit est dit "échéancé" s'il a au moins une échéance (i.e. cas des remboursements linéaire , montant constant, in fine, etc.).
Cette donnée permet d'identifier les produits pour lesquels un échéancier doit être associé (calculé en central ou fourni). Les produits non échéancés sont ceux pour lesquels aucun tableau d'amortissement n'est requis (exemple : les découverts). Dans ce cas, ces produits seront traitées par défaut comme In fine sur la base de la date de fin d'engagement</t>
  </si>
  <si>
    <t>Concerns risk types "TRExxx" only. For other type of risk indicate 'NEC'.
A product is said to be "scheduled" if it has at least one term (with amortizing method that could be linear, constant installment, in fine, etc. ).
This data allows to identify the products for which a schedule must be associated (calculated at central level or provided by entity). There some products for which no amortization schedule is required (eg overdrafts). In this case, these products will be treated by default as "In fine" based on the end date of commitment</t>
  </si>
  <si>
    <t>LIQUIDITE, OMP</t>
  </si>
  <si>
    <t>P2 22.57</t>
  </si>
  <si>
    <t xml:space="preserve">Indicateur permettant d'indiquer que les données nécessaires au calcul de l'échéancier à date sont reportées dans l'objet PALIER du flux échéancier C2RE.
les caractéristiques permettant de reconstituer l'échéancier sont dans ce cas facultatif </t>
  </si>
  <si>
    <t>Indicator specifying that the data required to calculate repayment schedule to date is reported in the STAGE (PALIER) object of C2RE flow. 
In this case, the characteristics allowing to reconstitute the schedule are optional</t>
  </si>
  <si>
    <t>Si les informations sont fournies dans l'objet PALIER du flux échéancier C2RE, l'indicateur objet métier palier fourni doit être renseignée à 'Y'</t>
  </si>
  <si>
    <t>If the information is provided in the STAGE (PALIER) object of the C2RE schedule flow, the "Business object stage provided indicator" = 'Y'</t>
  </si>
  <si>
    <t>La donnée est obligatoire si la donnée indicateur produit échéancé [P2 22.56] = 'ECH'</t>
  </si>
  <si>
    <t>The data is mandatory if the indicator product schedule [P2 22.56] = 'ECH'</t>
  </si>
  <si>
    <t>TPS1728</t>
  </si>
  <si>
    <t>Si la valeur renseignée est 'Y', il existe au moins un enregistrement de même identifiant (1.11 (P2) Identifiant de l'engagement) dans l'objet métier palier E0</t>
  </si>
  <si>
    <t xml:space="preserve">If the value filled is 'Y', there is at least one record linked with the same identifier (1.11 (P2) Commitment identifier) in the stage business object E0 </t>
  </si>
  <si>
    <t>P2 4.42</t>
  </si>
  <si>
    <t>AER, ANACREDIT, ASTRE, CONGLOMERATS, LIQUIDITE, NPE, PALMA</t>
  </si>
  <si>
    <t>P2 22.1</t>
  </si>
  <si>
    <t>ANACREDIT, CONGLOMERATS, LIQUIDITE, NZBA, OMP, PALMA</t>
  </si>
  <si>
    <t>P2 22.51</t>
  </si>
  <si>
    <t>ANACREDIT, CONGLOMERATS, LIQUIDITE, NPE, NZBA, OMP</t>
  </si>
  <si>
    <t>P2 22.2</t>
  </si>
  <si>
    <t>P2 22.3</t>
  </si>
  <si>
    <t>Famille de risque de l'opération couverte par l'engagement de financement
de garantie</t>
  </si>
  <si>
    <t>Risk family of the transaction covered by the financing
guarantee commitment</t>
  </si>
  <si>
    <t>P2 22.4</t>
  </si>
  <si>
    <t>Covered unique contract reference</t>
  </si>
  <si>
    <t>P2 22.5</t>
  </si>
  <si>
    <t>Obligatoire si 
- Eligibilité OMP &lt;&gt; '1' (instrument éligible à l'outil de provissionnement) 
- et Classification comptable des actifs en norme IFRS9 (P2 23.4) &lt;&gt; de "Juste valeur par résultat" et de "Juste valeur par capitaux propres non recyclables" 
- et Organisme de notation à l'origine = ‘I‘ (Notation interne)</t>
  </si>
  <si>
    <t>Mandatory if
- Mutualised provisioning tool eligibility (P2 23.1) &lt;&gt; '1 (instrument eligible for provisioning tool)
- and Accounting classification of assets under IFRS 9 (P2 23.4) &lt;&gt; of "Fair value through P&amp;L" and "Fair value through OCI non-recyclable"
- and Rating agency at the origin = 'I' (Internal rating)</t>
  </si>
  <si>
    <t>La donnée est obligatoire si l'éligibilité OMP [P2 23.1] est renseignée et est différente de '1' et que la classification comptable des actifs en norme IFRS9 [P2 23.4] est différente de "JVR" et de "JCN" et que l'organisme de notation à l'origine externe au Groupe [P2 22.6] est égale à 'I'</t>
  </si>
  <si>
    <t>The data is mandatory if Mutualised provisioning tool eligibility [P2 23.1] is filled in and different from '1' AND Accounting classification of assets under IFRS 9 [P2 23.4] is different from 'JVR' or 'JCN' AND Rating agency of initial rating [P2 22.6] = 'I'</t>
  </si>
  <si>
    <t>TPS1729</t>
  </si>
  <si>
    <t>Si Méthodologie de notation à l'origine [P2 22.55] est renseignée et ne commence pas par R (1er caractère), alors la valeur renseignée doit être connue du Langage Commun</t>
  </si>
  <si>
    <t>If Methodology of initial rating [P2 22.55] if filled and does not start with R (1st letter), then the value filled must be known to the Common Language</t>
  </si>
  <si>
    <t>TIS0706</t>
  </si>
  <si>
    <t>Si renseignée ET si l'indicateur Actif déprécié dès l'origination [P2 23.6] = 'Y' ET si la note externe à l'origine [P2 22.52] n'est pas renseignée, alors la note finale retenue à l'origine [P2 22.5] = 'F' ou 'Z'</t>
  </si>
  <si>
    <t>If filled and the Asset indicator depreciated at origination [P2 23.6] = 'Y' and the Initial external rating [P2 22.52] is not filled, then the Assigned initial final rating [P2 22.5] = 'F' or 'Z'</t>
  </si>
  <si>
    <t>TVS0744</t>
  </si>
  <si>
    <t>P2 22.52</t>
  </si>
  <si>
    <t>La donnée est obligatoire si (l'éligibilité OMP [P2 23.1] est renseignée et est différente de '1') et si (la classification comptable des actifs en norme IFRS9 [P2 23.4] est différente de "JVR" et de "JCN") et si (l'organisme de notation à l'origine externe au Groupe [P2 22.6] est renseigné et est différent de 'I')</t>
  </si>
  <si>
    <t>The data is mandatory if (OMP eligibility [P2 23.1] is filled and is different from '1') and if (the accounting classification of assets in IFRS9 [P2 23.4] is different from "JVR" and "JCN") and if (the credit rating organization originally outside the Group [P2 22.6] is filled and different from 'I')</t>
  </si>
  <si>
    <t>TPS1730</t>
  </si>
  <si>
    <t>P2 22.6</t>
  </si>
  <si>
    <t>La donnée est obligatoire si la note finale retenue à l'origine [P2 22.5] ou si la note externe à l'origine [P2 22.52] est renseignée</t>
  </si>
  <si>
    <t>The data is mandatory if the original final score [P2 22.5] or the original external score [P2 22.52] is filled in</t>
  </si>
  <si>
    <t>TPS1731</t>
  </si>
  <si>
    <t>P2 22.53</t>
  </si>
  <si>
    <t xml:space="preserve">Initial rating segment if internal rating </t>
  </si>
  <si>
    <t>La donnée est obligatoire si la note finale retenue à l'origine [P2 22.5] est renseignée et &lt;&gt; ‘ND'</t>
  </si>
  <si>
    <t>The data is mandatory if the original final score [P2 22.5] is filled in and &lt;&gt; ‘ND'</t>
  </si>
  <si>
    <t>TPS1732</t>
  </si>
  <si>
    <t>P2 22.54</t>
  </si>
  <si>
    <t>Obligatoire si la note finale retenue à l'origine (P2 22.5) renseignée et &lt;&gt; ‘ND'
La Grille de notation à l'origine doit être cohérente avec la Méthodologie de notation à l'origine (P2 22.55)</t>
  </si>
  <si>
    <t>Mandatory if Assigned initial final rating (P2 22.5) indicated and &lt;&gt; 'ND'
The scoring grid originally must be consistent with the rating methodology at the origin (P2 22.55)</t>
  </si>
  <si>
    <t>Si renseignée et ne commence pas par ‘99000' et si la méthodologie de notation à l'origine [P2 22.55] est renseignée, alors la Grille Modèle de notation à l'origine doit être cohérente avec la méthodologie de notation à l'origine (Table KVGNOTIE Code grille P01 Cod MET R03)</t>
  </si>
  <si>
    <t>If filled and does not start with ‘99000' and if the Methodology of initial rating [P2 22.55] is filled, then the Initial rating grid model should be consistent with the Methodology of initial rating (Table KVGNOTIE Grid Code P01 MET code R03)</t>
  </si>
  <si>
    <t>TCS0750</t>
  </si>
  <si>
    <t>P2 22.55</t>
  </si>
  <si>
    <t>P2 22.7</t>
  </si>
  <si>
    <t>ANACREDIT, ESG PILIER 3, NZBA, RISQUE PHYSIQUE</t>
  </si>
  <si>
    <t>Si l'usage du bien immobilier financé [P2 8.13] est différent de ‘0', alors l'Objet du financement [P2 22.7] doit être égal à ‘01', '02, '03 ou ‘04' (biens immobiliers)</t>
  </si>
  <si>
    <t>If the use of the financed property [P2 8.13] is different from ‘0', then Asset of the financing [P2 22.7] must be equal to ‘01', '02, '03 or ‘04' (real estate)</t>
  </si>
  <si>
    <t>TCS0751</t>
  </si>
  <si>
    <t>P2 22.8</t>
  </si>
  <si>
    <t>ANACREDIT, NZBA, PALMA</t>
  </si>
  <si>
    <t>P2 22.9</t>
  </si>
  <si>
    <t>La donnée est obligatoire si le montant du contrat à l'origine [P2 22.8] est renseigné</t>
  </si>
  <si>
    <t>The data is mandatory if original contract amount [P2 22.8] is filled</t>
  </si>
  <si>
    <t>P2 22.12</t>
  </si>
  <si>
    <t>LIQUIDITE, OMP, PALMA</t>
  </si>
  <si>
    <t xml:space="preserve">Si la valeur renseignée est 'O', il existe au moins un enregistrement de même identifiant (1.11 (P2) Identifiant de l'engagement) dans l'objet métier échéancier E1
</t>
  </si>
  <si>
    <t>If the value filled is 'O', there is at least one record linked with the same identifier (1.11 (P2) Commitment identifier) in the schedule business object E1</t>
  </si>
  <si>
    <t>P2 22.13</t>
  </si>
  <si>
    <t xml:space="preserve"> TIE ou taux nominal ou taux de rendement ou valeur de l'indice à date + spread d'origine 
Exprimé en %</t>
  </si>
  <si>
    <t xml:space="preserve"> EIR or nominal interest rate or rate of return or value of the index at a given date + initial spread 
Expressed as %</t>
  </si>
  <si>
    <t xml:space="preserve">TIE ou taux nominal ou taux de rendement ou valeur de l'indice à date + spread d'origine </t>
  </si>
  <si>
    <t>EIR or nominal interets rate, or rate of return, or index value at closing date + spread margin at origin</t>
  </si>
  <si>
    <t>La donnée est obligatoire, si le type de risque [P2 2.0] = 'TRE2xx' à 'TRE5xx' (hors TRE203, TRE205, TRE206, TRE207) ET si l'indicateur produit échéancé [P2 22.56] = 'ECH' et que l'indicateur échéancier fourni [P2 22.12] = 'N' et que l'indicateur objet métier palier à date fourni [P2 22.57] = 'N' ou vide</t>
  </si>
  <si>
    <t>The data is mandatory, if Risk type [P2 2.0] = 'TRE2xx' à 'TRE5xx' (except TRE203, TRE205, TRE206, TRE207) AND if the output indicator is due [P2 22.56] = 'ECH' and the timeline indicator is filled in [P2 22.12] = 'N' and the object indicator is time business filled in [P2 22.57] = 'N' or empty</t>
  </si>
  <si>
    <t>TPS1733</t>
  </si>
  <si>
    <t>P2 22.14</t>
  </si>
  <si>
    <t>cdTypTx</t>
  </si>
  <si>
    <t>ANACREDIT, CONGLOMERATS, LIQUIDITE, OMP, PALMA</t>
  </si>
  <si>
    <t>La donnée est obligatoire si le type de risque [P2 2.0] = (TRE2xx à TRE5xx (hors ‘TRE203, TRE205, TRE206, TRE207'), SIGxxx) ET si le Portefeuille Bâle Opération [P2 2.18] &lt;&gt; '081</t>
  </si>
  <si>
    <t>The data is mandatory if Risk type [P2 2.0] = (TRE2xx to TRE5xx (except 'TRE203, TRE205, TRE206, TRE207'), SIGxxx) AND if the basel Transaction Portfolio [P2 2.18] &lt;&gt; '081'</t>
  </si>
  <si>
    <t>TPS1734</t>
  </si>
  <si>
    <t>P2 22.15</t>
  </si>
  <si>
    <t>La donnée est obligatoire si le type de risque [P2 2.0] = 'TRE2xx' (hors ‘TRE203, 205, 206, 207'), 'TRE3xx', 'TRE4xx', 'TRE5xx', 'SIGxxx' ET si le type de taux [P2 22.14] = 'V' ou 'R'</t>
  </si>
  <si>
    <t>The data is mandatory if Risk type [P2 2.0] = 'TRE2xx' (excluding ‘TRE203, 205, 206, 207'), 'TRE3xx', 'TRE4xx', 'TRE5xx', 'SIGxxx' AND if the type of interest rate [P2 22.14] = 'V' or 'R'</t>
  </si>
  <si>
    <t xml:space="preserve"> TPS1735</t>
  </si>
  <si>
    <t>P2 22.16</t>
  </si>
  <si>
    <t>La donnée est obligatoire si le type de risque [P2 2.0] = (TRE2xx, TRE3xx, TRE4xx, TRE5xx hors (TRE203, TRE205, TRE206, TRE207), SIGxxx)</t>
  </si>
  <si>
    <t>The data is mandatory if Risk type [P2 2.0] = (TRE2xx, TRE3xx, TRE4xx, TRE5xx except (TRE203, TRE205, TRE206, TRE207), SIGxxx)</t>
  </si>
  <si>
    <t xml:space="preserve"> TPS1736</t>
  </si>
  <si>
    <t>P2 22.17</t>
  </si>
  <si>
    <t>TPS1736</t>
  </si>
  <si>
    <t>P2 22.18</t>
  </si>
  <si>
    <t>P2 22.19</t>
  </si>
  <si>
    <t>ANACREDIT, ASTRE, LIQUIDITE, OMP, PALMA</t>
  </si>
  <si>
    <t>P2 22.20</t>
  </si>
  <si>
    <t>La donnée est obligatoire si le type de risque [P2 2.0] = (TRE2xx, TRE3xx, TRE4xx, TRE5xx hors (TRE203, TRE205, TRE206, TRE207), SIGxxx) ET que l'indicateur produit échéancé [P2 22.56] = 'ECH' ET que l'indicateur échéancier fourni [P2 22.12] = 'N' ET que l'indicateur objet métier palier fourni [P2 22.57] = 'N' ou vide</t>
  </si>
  <si>
    <t>The data is mandatory if Risk type [P2 2.0] = (TRE2xx, TRE3xx, TRE4xx, TRE5xx except (TRE203, TRE205, TRE206, TRE207), SIGxxx) AND the indicator product schedule [P2 22.56] = 'ECH' AND the repayment schedule provided indicator [P2 22.12] = 'N' AND the indicator of business object stage provided [P2 22.57] = 'N' or empty</t>
  </si>
  <si>
    <t>P2 22.21</t>
  </si>
  <si>
    <t>Si renseignée, ET que l'indicateur produit échéancé [P2 22.56] = 'ECH' ET que l'indicateur échéancier fourni [P2 22.12] = 'N' ET que l'indicateur objet métier palier fourni [P2 22.57] = 'N' ou vide, alors la Date de première échéance [P2 22.21] doit être postérieure ou égale à la date de début de l'engagement [P2 3.2]</t>
  </si>
  <si>
    <t>If filled, AND the indicator product schedule [P2 22.56] = 'ECH' AND the repayment schedule provided indicator [P2 22.12] = 'N' AND the indicator of business object stage provided [P2 22.57] = 'N' or empty, then the First repayment date [P2 22.21] must be higher or equal to the start date of commitment [P2 3.2]</t>
  </si>
  <si>
    <t>TCS0752</t>
  </si>
  <si>
    <t>P2 22.22</t>
  </si>
  <si>
    <t>La donnée est obligatoire si l'Indicateur différé d'amortissement [P2 22.222] = 'Y'</t>
  </si>
  <si>
    <t>The data is mandatory if Deferred depreciation indicator [P2 22.222] = 'Y'</t>
  </si>
  <si>
    <t>Si renseignée, ET que l'indicateur produit échéancé [P2 22.56] = 'ECH' ET que l'indicateur échéancier fourni [P2 22.12] = 'N' ET que l'indicateur objet métier palier fourni [P2 22.57] = 'N' ou vide, alors la Date de fin du différé d'amortissement [P2 22.22] doit être comprise entre la date de début de l'engagement [P2 3.2] et la date de fin de l'engagement [P2 3.4]</t>
  </si>
  <si>
    <t>If filled, AND the indicator product schedule [P2 22.56] = 'ECH' AND the repayment schedule provided indicator [P2 22.12] = 'N' AND the indicator of business object stage provided [P2 22.57] = 'N' or empty, then the Grace period's end date [P2 22.22] must be between the start date of commitment [P2 3.2] and the end date of commitment [P2 3.4]</t>
  </si>
  <si>
    <t>TCS0753</t>
  </si>
  <si>
    <t>P2 22.23</t>
  </si>
  <si>
    <t>Maximum value of the billed interest rate
Expressed as %</t>
  </si>
  <si>
    <t>txPlaf</t>
  </si>
  <si>
    <t>La donnée est obligatoire si le type de risque [P2 2.0] = TRE2xx à TRE5xx (hors TRE203, TRE205, TRE206, TRE207) et si l'indicateur produit échéancé [P2 22.56] = 'ECH' et l'indicateur échéancier fourni [P2 22.12] = 'N' et l'indicateur objet métier palier fourni [P2 22.57] = 'N' ou vide et le type de taux [P2 22.14] = 'V' ou 'R'</t>
  </si>
  <si>
    <t>The data is mandatory if Risk type [P2 2.0] = TRE2xx to TRE5xx (except TRE203, TRE205, TRE206, TRE207) and if the indicator product schedule [P2 22.56] = 'ECH' and the repayment schedule provided indicator [P2 22.12] = ‘N' and the indicator of business object stage provided [P2 22.57] = ‘N' or empty and the type of interest rate [P2 22.14] ='V' or 'R'</t>
  </si>
  <si>
    <t>TPS1738</t>
  </si>
  <si>
    <t>Si renseigné, ET si l'indicateur produit échéancé [P2 22.56] = 'ECH' ET l'indicateur échéancier fourni [P2 22.12] = 'N' ET l'indicateur objet métier palier fourni [P2 22.57] = 'N' ou vide ET le type de taux [P2 22.14] = 'V' ou 'R', alors le taux renseigné doit être supérieur ou égal au 'Taux plancher' [P2 22.24]</t>
  </si>
  <si>
    <t>If filled, AND if the indicator product schedule [P2 22.56] = 'ECH' AND the repayment schedule provided indicator [P2 22.12] = ‘N' AND the indicator of business object stage provided [P2 22.57] = ‘N' or empty AND the type of interest rate [P2 22.14] ='V' or 'R', then the rate filled must be higher or equal than the 'Interest rate floor' [P2 22.24]</t>
  </si>
  <si>
    <t>TCS0754</t>
  </si>
  <si>
    <t>P2 22.24</t>
  </si>
  <si>
    <t>Minimum value of the billed interest rate
Expressed as %</t>
  </si>
  <si>
    <t>P2 22.25</t>
  </si>
  <si>
    <t>La donnée est obligatoire si le type de taux [P2 22.14] = 'V' ou 'R'</t>
  </si>
  <si>
    <t>The data is mandatory if the Type of interest rate [P2 22.14] = 'V' or 'R'</t>
  </si>
  <si>
    <t>TPS1739</t>
  </si>
  <si>
    <t>P2 22.26</t>
  </si>
  <si>
    <t xml:space="preserve">Nombre affecté à l'unité de temps (P2 22.25)
Par exemple, si fréquence de révision du taux (P2 22.25) = S (semestriel) :
- périodicité = 1, cela veut dire que le taux est révisé tous les semestres = tous les 6 mois
- périodicité = 6, cela veut dire que le taux est révisé tous les 6 semestres = tous les 3 ans </t>
  </si>
  <si>
    <t xml:space="preserve">Number allocated to the time unit (P2 22.25)
For example, if Frequency of revision of interest rate (P2 22.25) = S (half-year):
- periodicity = 1, it means revision of interest rate is every semester = every 6 months
- periodicity = 6, it means revision of interest rate is every 6 semesters = every 3 years </t>
  </si>
  <si>
    <t>ANACREDIT, LIQUIDITE, OMP</t>
  </si>
  <si>
    <t>La donnée est obligatoire si la Fréquence de révision du taux [P2 22.25] est renseignée</t>
  </si>
  <si>
    <t>The data is mandatory if the Frequency of revision of interest rate [P2 22.25] is filled</t>
  </si>
  <si>
    <t>TPS1740</t>
  </si>
  <si>
    <t>P2 22.27</t>
  </si>
  <si>
    <t>La donnée est obligatoire si le type de risque [P2 2.0] = ('TRE2xx', 'TRE3xx', 'TRE4xx', 'TRE5xx' (hors 'TRE203', 'TRE205', 'TRE206', 'TRE207'), 'SIGxxx')</t>
  </si>
  <si>
    <t>The data is mandatory if Risk type [P2 2.0] = ('TRE2xx', 'TRE3xx', 'TRE4xx', 'TRE5xx' (except 'TRE203', 'TRE205', 'TRE206', 'TRE207'), 'SIGxxx')</t>
  </si>
  <si>
    <t>P2 22.28</t>
  </si>
  <si>
    <t>txMargeAd</t>
  </si>
  <si>
    <t>ANACREDIT, OMP, LIQUIDITE, PALMA</t>
  </si>
  <si>
    <t>P2 22.29</t>
  </si>
  <si>
    <t>La donnée est obligatoire si le type de risque [P2 2.0] = [TRE2xx à TRE5xx (hors TRE203, TRE205, TRE206, TRE207)] et si le type de taux [P2 22.14] = 'V' ou 'R'</t>
  </si>
  <si>
    <t>The data is mandatory if Risk type [P2 2.0] = [TRE2xx to TRE5xx (except TRE203, TRE205, TRE206, TRE207)] and if the type of interest rate [P2 22.14] ='V' or 'R'</t>
  </si>
  <si>
    <t>P2 22.30</t>
  </si>
  <si>
    <t>ANACREDIT, LIQUIDITE, OMP. PALMA</t>
  </si>
  <si>
    <t xml:space="preserve">TPS1746 </t>
  </si>
  <si>
    <t>P2 22.31</t>
  </si>
  <si>
    <t>dtPrDebloc</t>
  </si>
  <si>
    <t>Used for the generation of the simple schedules on interest calculation from the first repayment</t>
  </si>
  <si>
    <t>P2 22.32</t>
  </si>
  <si>
    <t>mtPrDebloc</t>
  </si>
  <si>
    <t>P2 22.33</t>
  </si>
  <si>
    <t xml:space="preserve">Devise du montant du premier déblocage de fonds </t>
  </si>
  <si>
    <t xml:space="preserve">Currency of the amount of first release of funds </t>
  </si>
  <si>
    <t>cdDevMtPrDebloc</t>
  </si>
  <si>
    <t>P2 22.34</t>
  </si>
  <si>
    <t>P2 22.35</t>
  </si>
  <si>
    <t>cdDevCapResDu</t>
  </si>
  <si>
    <t>ANACREDIT, LIQUIDITE, NZBA, OMP, PALMA</t>
  </si>
  <si>
    <t>La donnée est obligatoire si le montant du capital théorique restant dû [P2 22.34] est renseigné</t>
  </si>
  <si>
    <t>The data is mandatory if the amount of theoretical capital remaining due [P2 22.34] is filled</t>
  </si>
  <si>
    <t>P2 22.36</t>
  </si>
  <si>
    <t>P2 22.37</t>
  </si>
  <si>
    <t>P2 22.38</t>
  </si>
  <si>
    <t xml:space="preserve">Si renseignée, la date de passage en douteux compromis [P2 22.38] doit être supérieure ou égale à la date de début de l'engagement [P2 3.2] </t>
  </si>
  <si>
    <t>If filled in, the Date loan recognised as compromised [P2 22.38] must be greater than or equal to the funds in use start date [P2 3.2]</t>
  </si>
  <si>
    <t>TCS0755</t>
  </si>
  <si>
    <t>P2 22.39</t>
  </si>
  <si>
    <t>La donnée est obligatoire si la date de passage en douteux compromis [P2 22.38] est renseignée</t>
  </si>
  <si>
    <t>The data is mandatory if the date of compromise in doubt [P2 22.38] is filled in</t>
  </si>
  <si>
    <t>TPS1741</t>
  </si>
  <si>
    <t>P2 22.40</t>
  </si>
  <si>
    <t>La donnée est obligatoire si le montant de l'encours en douteux compromis [P2 22.39] est renseigné</t>
  </si>
  <si>
    <t>The data is mandatory if the Amount of compromised debt [P2 22.39] is filled</t>
  </si>
  <si>
    <t>P2 22.41</t>
  </si>
  <si>
    <t>P2 22.42</t>
  </si>
  <si>
    <t>Local Loan-to-value (LTV) ratio when loan granted.
Expressed as %</t>
  </si>
  <si>
    <t>ASTRE, CALCULS PRUDENTIELS, OCTROI DE CREDIT</t>
  </si>
  <si>
    <t>La donnée est obligatoire, si le type de risque [P2 2.0] = 'TRExx' (hors 'TRE203, TRE205, TRE206, TRE207'), 'SIGxx' ET si l'Usage du bien immobilier financé [P2 8.13] ='1' ou '2'</t>
  </si>
  <si>
    <t>The data is mandatory, if the Risk type [P2 2.0] = 'TRExx' (except 'TRE203, TRE205, TRE206, TRE207'), 'SIGxx' AND if Use of financed property [P2 8.13] ='1' or '2'</t>
  </si>
  <si>
    <t>TPS1742</t>
  </si>
  <si>
    <t>P2 22.43</t>
  </si>
  <si>
    <t>La donnée est obligatoire, si le type de risque [P2 2.0] = 'TRExx' (hors 'TRE203, TRE205, TRE206, TRE207'), 'SIGxx' ET si l'usage du bien immobilier financé [P2 8.13] ='1' ou '2' ET si la Date de revalorisation [P2 22.46] est renseignée</t>
  </si>
  <si>
    <t>The data is mandatory if the Risk type [P2 2.0] = 'TRExx' (except 'TRE203, TRE205, TRE206, TRE207'), 'SIGxx' AND if the use of financed property [P2 8.13]] ='1' or '2' and if revaluation date [P2 22.46] is filled</t>
  </si>
  <si>
    <t>TPS1743</t>
  </si>
  <si>
    <t>P2 22.44</t>
  </si>
  <si>
    <t>P2 22.45</t>
  </si>
  <si>
    <t>La donnée est obligatoire si le montant initial du bien à l'achat [P2 22.44] est renseigné</t>
  </si>
  <si>
    <t>The data is mandatory if the original purchase amount [P2 22.44] is filled</t>
  </si>
  <si>
    <t>P2 22.46</t>
  </si>
  <si>
    <t>P2 22.47</t>
  </si>
  <si>
    <t>P2 22.48</t>
  </si>
  <si>
    <t>Devise du montant du bien immobilier revalorisé</t>
  </si>
  <si>
    <t>Currency of the amount of the revalued real property</t>
  </si>
  <si>
    <t xml:space="preserve">Devise du montant du bien immobilier revalorisé </t>
  </si>
  <si>
    <t xml:space="preserve">Currency of the amount of the revalued real property </t>
  </si>
  <si>
    <t>cdDevMar</t>
  </si>
  <si>
    <t>La donnée est obligatoire si le montant du bien revalorisé [P2 22.47] est renseigné</t>
  </si>
  <si>
    <t>The data is mandatory if the amount of the revalued property [P2 22.47] is filled</t>
  </si>
  <si>
    <t>P2 22.49</t>
  </si>
  <si>
    <t>La donnée est obligatoire, si le type de risque [P2 2.0] = 'TRExx' (hors 'TRE203, TRE205, TRE206, TRE207'), 'SIGxx' ET si l'Usage du bien immobilier financé [P2 8.13] ='2'</t>
  </si>
  <si>
    <t>The data is mandatory, if the Risk type [P2 2.0] = 'TRExx' (except 'TRE203, TRE205, TRE206, TRE207'), 'SIGxx' AND if Use of financed property [P2 8.13] ='2'</t>
  </si>
  <si>
    <t>TPS1744</t>
  </si>
  <si>
    <t>P2 22.50</t>
  </si>
  <si>
    <t>P2 22.58</t>
  </si>
  <si>
    <t xml:space="preserve">Date de début de palier </t>
  </si>
  <si>
    <t>Si renseignée, la Date de début de palier [P2 22.58] doit être comprise entre la date de début de l'engagement [P2 3.2] et la date de fin de l'engagement [P2 3.4]</t>
  </si>
  <si>
    <t>If filled, the Start date of the stage [P2 22.58] must be between the start date of commitment [P2 3.2] and the end date of commitment [P2 3.4]</t>
  </si>
  <si>
    <t>TCS0756</t>
  </si>
  <si>
    <t>P2 22.59</t>
  </si>
  <si>
    <t>Si la date de début de palier [P2 22.58] est renseignée et si la date de fin de palier [P2 22.59] est renseignée, alors la date de fin de palier [P2 22.59] doit être supérieure ou égale à la date de début de palier [P2 22.58] et inférieure ou égale à la date de fin de l'engagement [P2 3.4]</t>
  </si>
  <si>
    <t>If the start date of the stage [P2 22.58] is filled and the end date of the stage [P2 22.59] is filled, then the end date of the stage [P2 22.59] must be greater than or equal to the start date of the stage [P2 22.58] and lower or equal to the end date of commitment [P2 3.4]</t>
  </si>
  <si>
    <t>TCS0757</t>
  </si>
  <si>
    <t>P2 22.60</t>
  </si>
  <si>
    <t>P2 22.61</t>
  </si>
  <si>
    <t>cdDevEchEnc</t>
  </si>
  <si>
    <t>La donnée est obligatoire si le montant de l'échéance en cours [P2 22.60] est renseigné</t>
  </si>
  <si>
    <t>The data is mandatory if current due date amount [P2 22.60] is filled</t>
  </si>
  <si>
    <t>P2 22.62</t>
  </si>
  <si>
    <t>IndicPPFix</t>
  </si>
  <si>
    <t>La donnée est obligatoire si le type de risque [P2 2.0] = ('TRE2xx', 'TRE3xx', 'TRE4xx', 'TRE5xx' (hors 'TRE203', 'TRE205', 'TRE206', 'TRE207'), 'SIGxxx') ET si le type de taux [P2 22.14] = 'V' ou 'R'</t>
  </si>
  <si>
    <t>The data is mandatory if Risk type [P2 2.0] = ('TRE2xx', 'TRE3xx', 'TRE4xx', 'TRE5xx' (except 'TRE203', 'TRE205', 'TRE206', 'TRE207'), 'SIGxxx') AND if the type of interest rate [P2 22.14] = 'V' or 'R'</t>
  </si>
  <si>
    <t>TPS1735</t>
  </si>
  <si>
    <t>P2 22.63</t>
  </si>
  <si>
    <t>TCS0800
TCG0004</t>
  </si>
  <si>
    <t>P2 22.64</t>
  </si>
  <si>
    <t>cdTypPret</t>
  </si>
  <si>
    <t>If commercial mortgage loan</t>
  </si>
  <si>
    <t>P2 22.65</t>
  </si>
  <si>
    <t>P2 22.66</t>
  </si>
  <si>
    <t>Country Code of jurisdiction of contract in line with ISO2 norm</t>
  </si>
  <si>
    <t>La donnée est obligatoire, si le type de risque [P2 2.0] = 'TRE2xx à TRE5xx, SIGxx (sauf TRE203, TRE205, TRE206, TRE207)'</t>
  </si>
  <si>
    <t>The data is mandatory, if Risk type [P2 2.0] = 'TRE2xx to TRE5xx, SIGxx (except TRE203, TRE205, TRE206, TRE207)'</t>
  </si>
  <si>
    <t>TPS1746</t>
  </si>
  <si>
    <t>P2 22.67</t>
  </si>
  <si>
    <t>ANACREDIT, ASTRE, NPE, NZBA</t>
  </si>
  <si>
    <t>P2 22.68</t>
  </si>
  <si>
    <t>Event susceptible to trigger the involvement of the guarantee (ex. default, solvency, liquidity, others</t>
  </si>
  <si>
    <t xml:space="preserve">La donnée est obligatoire si le type de risque [P2 2.0] = 'SIG2xx' </t>
  </si>
  <si>
    <t xml:space="preserve">The data is mandatory if risk type [P2 2.0] = 'SIG2xx' </t>
  </si>
  <si>
    <t>TPS1776</t>
  </si>
  <si>
    <t>P2 22.70</t>
  </si>
  <si>
    <t>P2 22.71</t>
  </si>
  <si>
    <t>P2 22.72</t>
  </si>
  <si>
    <t xml:space="preserve">Permet d'indiquer le classement de l'encours en norme IFRS9 </t>
  </si>
  <si>
    <t xml:space="preserve">Permits to indicate the classification of outstanding in IFRS9 </t>
  </si>
  <si>
    <t>La donnée est obligatoire si ([P2 19.5] = ‘CAM') et ([P2 3.2] &lt;= dernier jour du mois ([EN 0.1] moins 1 mois)*)
* si [EN 0.1] = 20180228 alors on prend la valeur 20180131</t>
  </si>
  <si>
    <t xml:space="preserve">The data is mandatory if ([P2 19.5] = ‘CAM') and ([P2 3.2] &lt;= last day of the month ([EN 0.1] minus 1 month)*)
* if [EN 0.1] = 20180228 then the value 20180131 is taken
</t>
  </si>
  <si>
    <t>TPS1747</t>
  </si>
  <si>
    <t>P2 22.73</t>
  </si>
  <si>
    <t>Exprimée en %.
Obligatoire si Probabilité de Défaut à l'origine calculée en local (concerne les encours retail sans note) sinon laisser à vide – spécifique Cariparma pour le périmètre du retail avec encours &gt; 1M€ traité en corporate STD</t>
  </si>
  <si>
    <t>Expressed as %
Mandatory if Default Probability originally calculated locally (for retail outstandings without rating) otherwise leave empty - specific Cariparma for the retail scope with outstanding &gt; € 1M treated in corporate STD</t>
  </si>
  <si>
    <t>P2 22.74</t>
  </si>
  <si>
    <t>Exprimée en %.
Obligatoire si Probabilité de Défaut à date calculée en local (concerne les encours retail sans note) sinon laisser à vide – spécifique Cariparma pour le périmètre du retail avec encours &gt; 1M€ traité en corporate STD</t>
  </si>
  <si>
    <t>Expressed as %
Mandatory if Probability of default at date calculated locally (concerns retail outstandings without note) otherwise leave empty - specific Cariparma for the retail scope with outstanding &gt; € 1M treated in corporate STD</t>
  </si>
  <si>
    <t>ANACREDIT, ASTRE, OMP</t>
  </si>
  <si>
    <t>P2 22.99</t>
  </si>
  <si>
    <t>Zonelibre2299</t>
  </si>
  <si>
    <t>P2 23.1</t>
  </si>
  <si>
    <t>Indicateur d'éligibilité à l'Outil Mutualisé de provisionnement</t>
  </si>
  <si>
    <t>P2 23.2</t>
  </si>
  <si>
    <t>Identification of sub-scope in an entity. 
Corresponds to an accounting responsibility centre, result centre, or Business Unit depending on the entity. 
Free codification</t>
  </si>
  <si>
    <t>P2 23.3</t>
  </si>
  <si>
    <t>ASTRE, OMP, NPE</t>
  </si>
  <si>
    <t xml:space="preserve">La donnée est obligatoire </t>
  </si>
  <si>
    <t>P2 23.4</t>
  </si>
  <si>
    <t>Cette donnée devra être alimentée à partir de la nomenclature IFRS9 dès 2017 pour les simulations de l'outil OMP. La nomenclature IFRS9 rentrera officiellement en vigueur (à la place de la norme IAS au 1er janvier 2018) et il conviendra alors à cette date d'alimenter la donnée "Classification comptable de référence des actifs " (P2 19.5) en norme IFRS9</t>
  </si>
  <si>
    <t>This nomenclature will be used in 2017 only for the MPT simulations
The IFRS 9 nomenclature goes into force on January 1, 2018 (replaces IAS 39), therefore "Reference accounting classification of assets" (P2 19.5) will be used for the IFRS9 nomenclature</t>
  </si>
  <si>
    <t>CONGLOMERATS, OMP</t>
  </si>
  <si>
    <t>P2 23.5</t>
  </si>
  <si>
    <t>Dans un premier temps, seule la classification en norme française sera prise en compte</t>
  </si>
  <si>
    <t>In the first stage, only the classification in French standard will be taken into account</t>
  </si>
  <si>
    <t>Si 'Pays de juridiction du contrat' [P2 22.66] = ‘FR', alors la valeur doit être connue du Langage Commun associé</t>
  </si>
  <si>
    <t>If Country of jurisdiction of the contract [P2 22.66] = 'FR', then the value must be known to the associated Common Language</t>
  </si>
  <si>
    <t>TIS0707</t>
  </si>
  <si>
    <t>P2 23.6</t>
  </si>
  <si>
    <t>Obligatoire si 
- Eligibilité OMP &lt;&gt; '1' (instrument éligible à l'outil de provisionnement) 
- et Classification comptable des actifs en norme IFRS9 (P2 23.4) &lt;&gt; de "Juste valeur par résultat" et de "Juste valeur par capitaux propres non recyclables"</t>
  </si>
  <si>
    <t>Mandatory if
- Mutualised provisioning tool eligibility (P2 23.1) &lt;&gt; '1' (instrument eligible for the provisioning tool)
- and Accounting classification of assets under IFRS 9 (P2 23.4) &lt;&gt; of "Fair value through P&amp;L" and "Fair value through OCI non-recyclable"</t>
  </si>
  <si>
    <t>La donnée est obligatoire si [l'éligibilité OMP [P2 23.1] est renseignée et différente de '1' ET la classification comptable des actifs en norme IFRS9 [P2 23.4] est différente de ('JVR', 'JCN')] OU si Eligibilité Outil Central ANACREDIT [P2 27.3] = '2'</t>
  </si>
  <si>
    <t>The data is mandatory if [OMP eligibility [P2 23.1] is filled and different from '1' AND the accounting classification of assets in IFRS9 [P2 23.4] is different from ('JVR', 'JCN')] OR if Eligibility for the ANACREDIT Central tool [P2 27.3] = '2'</t>
  </si>
  <si>
    <t>TPS1748</t>
  </si>
  <si>
    <t>P2 23.7</t>
  </si>
  <si>
    <t>Obligatoire si 
- Eligibilité OMP &lt;&gt; '1' (instrument éligible à l'outil de provissionnement) 
- et Classification comptable des actifs en norme IFRS9 (P2 23.4) &lt;&gt; de "Juste valeur par résultat" et de "Juste valeur par capitaux propres non recyclables"
Champ libre à la main de l'entité permettant de collecter des informations facilitant les appariements comptables</t>
  </si>
  <si>
    <t>Mandatory if
- Mutualised provisioning tool eligibility (P2 23.1) &lt;&gt; '1' (instrument eligible for the provisioning tool)
- and Accounting classification of assets under IFRS 9 (P2 23.4) &lt;&gt; of "Fair value through P&amp;L" and "Fair value through OCI non-recyclable".
Free zone to feed by the entity for collecting information that facilitates accounting matching</t>
  </si>
  <si>
    <t>P2 23.12</t>
  </si>
  <si>
    <t>P2 23.13</t>
  </si>
  <si>
    <t>P2 23.8</t>
  </si>
  <si>
    <t>P2 23.9</t>
  </si>
  <si>
    <t>P2 23.10</t>
  </si>
  <si>
    <t>P2 23.11</t>
  </si>
  <si>
    <t>P2 23.99</t>
  </si>
  <si>
    <t>Zonelibre2399</t>
  </si>
  <si>
    <t>P2 26.1</t>
  </si>
  <si>
    <t>P2 26.2</t>
  </si>
  <si>
    <t>P2 26.3</t>
  </si>
  <si>
    <t>P2 26.4</t>
  </si>
  <si>
    <t>cdOrgMob</t>
  </si>
  <si>
    <t>P2 26.99</t>
  </si>
  <si>
    <t>ZoneResAssEnc</t>
  </si>
  <si>
    <t>P2 28.1</t>
  </si>
  <si>
    <t>La donnée est obligatoire si le type de risque [P2 2.0] = 'TRExxx' hors (TRE3xx et TRE5xx) et 'SIGxx' hors (SIG1xx, SIG202, SIG203, SIG205)</t>
  </si>
  <si>
    <t>The data is mandatory if Risk type [P2 2.0] = 'TRExxx' out (TRE3xx and TRE5xx) and 'SIGxx' out (SIG1xx, SIG202, SIG203, SIG205)</t>
  </si>
  <si>
    <t>TPS1749</t>
  </si>
  <si>
    <t>P2 28.2</t>
  </si>
  <si>
    <t>La donnée est obligatoire si le type de risque [P2 2.0] = 'TRExxx' hors (TRE3xx et TRE5xx) et 'SIGxx' hors (SIG1xx, SIG202, SIG203, SIG205) et si la donnée indicateur opération effet de levier [P2 28.1] est renseignée et est &lt;&gt; '0'</t>
  </si>
  <si>
    <t>The data is mandatory if Risk type [P2 2.0] = 'TRExxx' out (TRE3xx and TRE5xx) and 'SIGxx' out (SIG1xx, SIG202, SIG203, SIG205) and the leverage operation indicator data [P2 28.1] is filled in and is &lt;&gt; '0'</t>
  </si>
  <si>
    <t>TPS1750</t>
  </si>
  <si>
    <t>P2 29.1</t>
  </si>
  <si>
    <t>P2 29.2</t>
  </si>
  <si>
    <t>La donnée est obligatoire si le Montant de l'indemnité de résiliation [P2 29.1] est renseigné</t>
  </si>
  <si>
    <t>The data is mandatory if Amount of the termination indemnity [P2 29.1] is filled</t>
  </si>
  <si>
    <t>P2 27.1</t>
  </si>
  <si>
    <t>P2 27.2</t>
  </si>
  <si>
    <t xml:space="preserve">Devise du Montant cumulé des recouvrements depuis le défaut </t>
  </si>
  <si>
    <t>P2 27.3</t>
  </si>
  <si>
    <t>P2 27.4</t>
  </si>
  <si>
    <t>P2 27.99</t>
  </si>
  <si>
    <t>P2 31.1</t>
  </si>
  <si>
    <t>P2 31.2</t>
  </si>
  <si>
    <t>Si le référence unique de contrat à date est identique à celle à l'origine, renseigner la référence unique de contrat à l'origne avec la référence unique de contrat (P2 22.1)</t>
  </si>
  <si>
    <t>If the single contract reference on date is the same as the original one, enter the original single contract reference with the single contract reference (P2 22.1)</t>
  </si>
  <si>
    <t>P2 31.3</t>
  </si>
  <si>
    <t>cdEDCOri</t>
  </si>
  <si>
    <t>Si le référence unique de l'élément de contrat à date est identique à celle à l'origine, renseigner la référence unique de l'élément de contrat à l'origne avec la référence unique de l'élément de contrat (P2 22.51)</t>
  </si>
  <si>
    <t>If the unique reference of the contract item on date is the same as the original one, enter the unique reference of the original contract item with the unique reference of the contract item (P2 22.51)</t>
  </si>
  <si>
    <t>P2 31.4</t>
  </si>
  <si>
    <t>La donnée est obligatoire si le montant du contrat à l'origine [P2 22.8] est renseigné et si l'indicateur"Eligibilité Outil Central ANACREDIT" [P2 27.3] = '2' et le motif exclusion à la déclaration ANACREDIT [P2 27.4] est non renseigné</t>
  </si>
  <si>
    <t>The data is mandatory if the original contract amount [P2 22.8] is filled in and the indicator "Eligibility Central Tool ANACREDIT" [P2 27.3] = '2' and the reason exclusion to the ANACREDIT declaration [P2 27.4] is not filled in</t>
  </si>
  <si>
    <t>TPS1751</t>
  </si>
  <si>
    <t>P2 31.5</t>
  </si>
  <si>
    <t>P2 31.6</t>
  </si>
  <si>
    <t>La donnée est obligatoire si le type de risque [P2 2.0] = 'SIGxxx'</t>
  </si>
  <si>
    <t>The data is mandatory if risk type [P2 2.0] = 'SIGxxx'</t>
  </si>
  <si>
    <t>TPS1752</t>
  </si>
  <si>
    <t>P2 31.7</t>
  </si>
  <si>
    <t>La donnée est obligatoire si le type de risque [P2 2.0] = 'SIG2xx'</t>
  </si>
  <si>
    <t>The data is mandatory if risk type [P2 2.0] = 'SIG2xx'</t>
  </si>
  <si>
    <t>TPS1753</t>
  </si>
  <si>
    <t>P2 31.8</t>
  </si>
  <si>
    <t>Si renseignée et si la donnée Pays de juridiction du contrat [P2 22.66] est un pays HORS de l'UE (LC.0004 - TA 0990 H8COUNTR - liste des pays dont la zone géographique n'est pas 'XGE001' ou 'XGE002'), alors la donnée 'Droit d'un pays tiers : reconnaissance de la clause de bail-in' [P2 31.8] = '1' ou '2'
Sinon (Pays de juridiction du contrat [P2 22.66] est un pays de l'UE), alors la donnée 'Droit d'un pays tiers : reconnaissance de la clause de bail-in' [P2 31.8] = '3'</t>
  </si>
  <si>
    <t>If filled and if the data Country of contract jurisdiction [P2 22.66] is a country OUTSIDE the EU (LC.0004 - TA 0990 H8COUNTR - list of countries whose geographical area is not 'XGE001' or 'XGE002'), then the data 'Third Party, bail-in contractual recognition' [P2 31.8] = '1' or '2'
Otherwise (Country of contract jurisdiction [P2 22.66] is an EU country), then the data 'Third Party, bail-in contractual recognition' [P2 31.8] = '3'</t>
  </si>
  <si>
    <t>TCS0758</t>
  </si>
  <si>
    <t>P2 31.9</t>
  </si>
  <si>
    <t>ESG PILIER 3, NZBA, OMP, RISQUE PHYSIQUE</t>
  </si>
  <si>
    <t>La donnée est obligatoire si le type de risque [P2 2.0] = 'TRE2xx' à 'TRE5xx' hors (TRE201, TRE203, TRE205, TRE206, TRE207) et si la donnée usage du bien immobilier financé [P2 8.13] est renseignée et différente de '0' et si le Lieu d'investissement du bien financé : Code pays [P2 31.10] = 'FR'</t>
  </si>
  <si>
    <t>The data is mandatory if Risk type [P2 2.0] = 'TRE2xx' to 'TRE5xx' out (TRE201, TRE203, TRE205, TRE206, TRE207) and the use of real estate data [P2 8.13] is filled in and different from '0' and if Investment location of the financed asset: Country code [P2 31.10]= 'FR'</t>
  </si>
  <si>
    <t>TPS1754</t>
  </si>
  <si>
    <t>Si Lieu d'investissement du bien financé : Code pays [P2 31.10] = 'FR', alors la valeur renseignée doit être connue du Langage Commun (colonne RQCDPOST)</t>
  </si>
  <si>
    <t>If Investment location of the financed asset: Country code [P2 31.10]= 'FR', then the value filled must be known to the Common Language (column RQCDPOST)</t>
  </si>
  <si>
    <t>P2 31.10</t>
  </si>
  <si>
    <t>La donnée est obligatoire si le type de risque [P2 2.0] = 'TRE2xx' à 'TRE5xx', hors (TRE201,TRE203,TRE205, TRE206, TRE207) et si la donnée usage du bien immobilier financé [P2 8.13] est renseignée et différente de '0'</t>
  </si>
  <si>
    <t>The data is mandatory if Risk type [P2 2.0] = 'TRE2xx' to 'TRE5xx', out (TRE201, TRE203, TRE205, TRE206, TRE207) and the use of real estate data [P2 8.13] is filled in and different from '0'</t>
  </si>
  <si>
    <t>TPS1755</t>
  </si>
  <si>
    <t>P2 31.11</t>
  </si>
  <si>
    <t>La donnée est obligatoire si le type de risque [P2 2.0] = 'TRE2xx' à 'TRE5xx', hors (TRE201,TRE203,TRE205, TRE206, TRE207) ET si la donnée méthodologie de notation [C1 4.3] du tiers en risque ='M1 ', 'M2', 'M41', 'M43' ou 'M44', ET si l'Objet financé [P2 22.7] = '01', '02', '03' ou '04'</t>
  </si>
  <si>
    <t>The data is mandatory if Risk type [P2 2.0] = 'TRE2xx' to 'TRE5xx' (except TRE201, TRE203, TRE205, TRE206, TRE207) AND if the rating methodology data [C1 4.3] of the third party in risk ='M1 ', 'M2', 'M41', 'M43' or 'M44', AND if Object financed [P2 22.7] = '01', '02', '03' or '04'</t>
  </si>
  <si>
    <t>TP0030</t>
  </si>
  <si>
    <t>P2 31.12</t>
  </si>
  <si>
    <t>P2 31.13</t>
  </si>
  <si>
    <t>ESG PILIER 3, NZBA</t>
  </si>
  <si>
    <t>P2 31.14</t>
  </si>
  <si>
    <t>P2 31.15</t>
  </si>
  <si>
    <t>P2 31.16</t>
  </si>
  <si>
    <t>La donnée est obligatoire si la donnée montant de l'apport à l'octroi [P2 31.15] est renseignée</t>
  </si>
  <si>
    <t>The data is mandatory if the grant contribution amount data [P2 31.15] is filled</t>
  </si>
  <si>
    <t>P2 31.17</t>
  </si>
  <si>
    <t>Exprimé en nombre de mois</t>
  </si>
  <si>
    <t>Expressed in number of months</t>
  </si>
  <si>
    <t>NZBA, OCTROI DE CREDIT, OMP, PALMA</t>
  </si>
  <si>
    <t>La donnée est obligatoire si le type de risque [P2 2.0] = 'TREXXX'</t>
  </si>
  <si>
    <t>The data is mandatory if risk type [P2 2.0] = 'TREXXX'</t>
  </si>
  <si>
    <t>TPS1756</t>
  </si>
  <si>
    <t>P2 31.18</t>
  </si>
  <si>
    <t>P2 31.19</t>
  </si>
  <si>
    <t>Exprimé en nombre de mois
Uniquement pour le crédit immobilier</t>
  </si>
  <si>
    <t>Expressed in number of months
Only for the real estate credit</t>
  </si>
  <si>
    <t>La donnée est obligatoire si le type de risque [P2 2.0] = 'TREXXX' et si la donnée usage du bien immobilier financé [P2 8.13] est différente de '0'</t>
  </si>
  <si>
    <t>The data is mandatory if the type of risk [P2 2.0] = 'TREXXX' and if the use of financed property [P2 8.13] is different from '0'</t>
  </si>
  <si>
    <t>TPS1757</t>
  </si>
  <si>
    <t>P2 31.20</t>
  </si>
  <si>
    <t>P2 31.21</t>
  </si>
  <si>
    <t>P2 31.22</t>
  </si>
  <si>
    <t>P2 31.23</t>
  </si>
  <si>
    <t>La donnée est obligatoire si le type de risque [P2 2.0] = 'TRExxx'</t>
  </si>
  <si>
    <t>P2 31.24</t>
  </si>
  <si>
    <t>La donnée est obligatoire si la donnée montant des fonds remis à date [P2 31.23] est renseignée</t>
  </si>
  <si>
    <t>The data is mandatory if the amount of funds remitted to date data [P2 31.23] is filled</t>
  </si>
  <si>
    <t>P2 31.25</t>
  </si>
  <si>
    <t>La donnée est obligatoire si le type de risque [P2 2.0] = 'TREXXX' et si la donnée objet financé [P2 22.7] = '03' et si la donnée méthodologie de notation [C1 4.3] du tiers en risque ='M1 ', 'M2', 'M41', 'M43' ou 'M44'</t>
  </si>
  <si>
    <t>The data is mandatory if Risk type [P2 2.0] = 'TREXXX' and the funded object data [P2 22.7] = '03' and the rating methodology data [C1 4.3] of the third party in risk ='M1 ', 'M2', 'M41', 'M43' or 'M44'</t>
  </si>
  <si>
    <t>TP0583</t>
  </si>
  <si>
    <t>P2 31.26</t>
  </si>
  <si>
    <t>P2 31.27</t>
  </si>
  <si>
    <t>P2 31.28</t>
  </si>
  <si>
    <t>Le taux DSTI à l'octroi (Debt-Service To Income ratio) à l'octroi correspond au taux d'endettement global.
Pour les crédits aux particuliers</t>
  </si>
  <si>
    <t>P2 31.29</t>
  </si>
  <si>
    <t>P2 31.37</t>
  </si>
  <si>
    <t>P2 31.38</t>
  </si>
  <si>
    <t>P2 29.3</t>
  </si>
  <si>
    <t>La donnée est obligatoire si le type de risque [P2 2.0] = 'TRE5xx'</t>
  </si>
  <si>
    <t>The data is mandatory if risk type [P2 2.0] = 'TRE5xx'</t>
  </si>
  <si>
    <t>TPS1758</t>
  </si>
  <si>
    <t>P2 29.4</t>
  </si>
  <si>
    <t>La donnée est obligatoire si la donnée Montant des subventions [P2 29.3] est renseignée</t>
  </si>
  <si>
    <t>The data is mandatory if the Data Grant Amount [P2 29.3] is filled</t>
  </si>
  <si>
    <t>P2 29.5</t>
  </si>
  <si>
    <t>P2 29.6</t>
  </si>
  <si>
    <t>La donnée est obligatoire si la donnée Montant de l'avance preneur en crédit-bail [P2 29.5] est renseignée</t>
  </si>
  <si>
    <t>The data is mandatory if the data credit-leasehold advance amount [P2 29.5] is filled</t>
  </si>
  <si>
    <t>P2 21.20</t>
  </si>
  <si>
    <t>P2 21.21</t>
  </si>
  <si>
    <t>La donnée est obligatoire si la donnée montant de la valeur sacrifiée dans la restructuration [P2 21.20] est renseignée</t>
  </si>
  <si>
    <t>The data is mandatory if the value amount data in the restructuring [P2 21.20] is filled</t>
  </si>
  <si>
    <t>P2 16.24</t>
  </si>
  <si>
    <t>P2 16.25</t>
  </si>
  <si>
    <t>La donnée est obligatoire si le Portefeuille Bâlois - Opération [P2 2.18] = '070' ET si la donnée type de cotation échelon de qualité de crédit de la tranche à date d'origine [P2 16.26] est renseignée</t>
  </si>
  <si>
    <t>The data is mandatory if the Basel Portfolio - Transaction [P2 2.18] = '070' AND if the credit quality step quotation type data of the tranche at the original date [P2 16.26] is filled in</t>
  </si>
  <si>
    <t>TPS1759</t>
  </si>
  <si>
    <t>P2 16.26</t>
  </si>
  <si>
    <t>La donnée est obligatoire si le Portefeuille Bâlois - Opération [P2 2.18] = '070' ET si la donnée échelon de qualité de crédit de la tranche à date d'origine [P2 16.25] est renseignée</t>
  </si>
  <si>
    <t>The data is mandatory if the Basel Portfolio - Transaction [P2 2.18] = '070' AND the Quality of credit step data of the tranche at the original date [P2 16.25] is filled in</t>
  </si>
  <si>
    <t>TPS1760</t>
  </si>
  <si>
    <t>P2 16.27</t>
  </si>
  <si>
    <t>La donnée est obligatoire, SI le Portefeuille Bâle Opération [P2 2.18] est égal à '070' ET SI [la méthode de titrisation [P2 16.24] est égale à 'ERBA' OU la Méthode de titrisation pour le calcul de l'Output Floor [P2 21.48] est égale à 'ERBA'] ET SI la donnée Type de cotation échelon de qualité de crédit de la tranche à date d'arrêté [P2 16.28] est renseignée.</t>
  </si>
  <si>
    <t>The data is mandatory IF Basel Transaction Portfolio [P2 2.18] is equal to '070' AND IF [Securitisation method [P2 16.24] is equal to 'ERBA' OR Securitization method for the Output Floor calculation calculation [P2 21.48] is equal to 'ERBA'] AND IF Type of rating of credit quality step of the securitization tranche at closing date [P2 16.28] is filled</t>
  </si>
  <si>
    <t>TPS1761</t>
  </si>
  <si>
    <t>P2 16.28</t>
  </si>
  <si>
    <t>La donnée est obligatoire, SI le Portefeuille Bâle Opération [P2 2.18] est égal à '070' ET SI [la méthode de titrisation [P2 16.24] est égale à 'ERBA' OU la Méthode de titrisation pour le calcul de l'Output Floor [P2 21.48] est égale à 'ERBA'] ET SI la donnée Echelon de qualité de crédit de la tranche à date d'arrêté [P2 16.27] est renseignée.</t>
  </si>
  <si>
    <t>The data is mandatory IF Basel Transaction Portfolio [P2 2.18] is equal to '070' AND IF [Securitisation method [P2 16.24] is equal to 'ERBA' OR Securitization method for the Output Floor calculation calculation [P2 21.48] is equal to 'ERBA'] AND IF Credit quality step of the securitization tranche at closing date [P2 16.27] is filled</t>
  </si>
  <si>
    <t>TPS1762</t>
  </si>
  <si>
    <t>P2 16.29</t>
  </si>
  <si>
    <t>P2 16.30</t>
  </si>
  <si>
    <t>La donnée est obligatoire si la donnée montant d'escompte achats non remboursables [P2 16.29] est renseignée</t>
  </si>
  <si>
    <t>The data is mandatory if the non-refundable purchase discount amount [P2 16.29] data is filled</t>
  </si>
  <si>
    <t>P2 16.31</t>
  </si>
  <si>
    <t>P2 16.32</t>
  </si>
  <si>
    <t>Currency of amount of specific adjustment of credit risk on underlying exposures</t>
  </si>
  <si>
    <t>La donnée est obligatoire si la donnée Montant de l'ajustement spécifique du risque de crédit sur des expositions sous-jacentes [P2 16.31] est renseignée</t>
  </si>
  <si>
    <t>The data is mandatory if the Amount of specific adjustment of credit risk on underlying exposures [P2 16.31] is filled</t>
  </si>
  <si>
    <t>P2 16.33</t>
  </si>
  <si>
    <t>P2 16.34</t>
  </si>
  <si>
    <t>La donnée est obligatoire si la donnée valeur exposée au risque des positions déduites des fonds propres [P2 16.33] est renseignée</t>
  </si>
  <si>
    <t>The data is mandatory if the data risk exposure value of the positions derived from the equities [P2 16.33] is filled</t>
  </si>
  <si>
    <t>P2 16.35</t>
  </si>
  <si>
    <t>P2 16.36</t>
  </si>
  <si>
    <t>La donnée est obligatoire si la donnée Montant de l'ajustement des risques pondérés lié à décote d'asymétrie d'échéance [P2 16.35] est renseignée</t>
  </si>
  <si>
    <t>The data is mandatory if the Amount of adjustment of risk-weighted assets linked to discount for maturity mismatch [P2 16.35] is filled</t>
  </si>
  <si>
    <t>P2 16.37</t>
  </si>
  <si>
    <t>P2 16.38</t>
  </si>
  <si>
    <t>La donnée est obligatoire si la donnée montant de RWA supplémentaire pour non-conformité aux exigences prévues [P2 16.37] est renseignée</t>
  </si>
  <si>
    <t>The data is mandatory if the additional RWA amount data for non-compliance of the prescribed requirements [P2 16.37] is filled</t>
  </si>
  <si>
    <t>P2 16.39</t>
  </si>
  <si>
    <t>Réduction due à l'application d'un plafond des exposition pondérées (colonne 900 état COREP Titrisation 13.1 « CR-SEC »). Il s'agit du montant de RWA à déduire dans le cadre d'un « CAP » qui répond à l'article 267 du règlement (UE) 2017
2401</t>
  </si>
  <si>
    <t>P2 16.40</t>
  </si>
  <si>
    <t>La donnée est obligatoire si la donnée Montant du gain RWA obtenu par le CAP sur la pondération [P2 16.39] est renseignée</t>
  </si>
  <si>
    <t>The data is mandatory if the Amount of RWA gain obtained by CAP on risk weight [P2 16.39] is filled</t>
  </si>
  <si>
    <t>P2 16.41</t>
  </si>
  <si>
    <t xml:space="preserve">Montant du gain RWA obtenu par le CAP sur les exigences en fonds propres
</t>
  </si>
  <si>
    <t>P2 16.42</t>
  </si>
  <si>
    <t>La donnée est obligatoire si la donnée Montant du gain RWA obtenu par le CAP sur les exigences en fonds propres [P2 16.41] est renseignée</t>
  </si>
  <si>
    <t>The data is mandatory if the Amount of RWA gain obtained by CAP on capital requirements [P2 16.41] is filled</t>
  </si>
  <si>
    <t>P2 28.3</t>
  </si>
  <si>
    <t>P2 28.4</t>
  </si>
  <si>
    <t>P2 28.5</t>
  </si>
  <si>
    <t>P2 28.6</t>
  </si>
  <si>
    <t>La donnée est obligatoire si le type de risque [P2 2.0] = ('TRE*', 'SIG*') hors ('TRE3*', 'TRE5*', 'SIG1*', SIG202, SIG203, SIG205) et l'indicateur opération effet de levier [P2 28.1] est renseigné et différent de '0' ou '3'</t>
  </si>
  <si>
    <t>The data is mandatory if Risk type [P2 2.0] = ('TRE*', 'SIG*') except ('TRE3*', 'TRE5*', 'SIG1*', SIG202, SIG203, SIG205) and leveraged transaction indicator [P2 28.1] is filled and different from '0' or '3'</t>
  </si>
  <si>
    <t>TPS1763</t>
  </si>
  <si>
    <t>P2 28.7</t>
  </si>
  <si>
    <t>Obligatoire si indicateur opération effet de levier (P2 28.1) différent de '0' (Opération sans effet de levier)</t>
  </si>
  <si>
    <t>Mandatory where leveraged transaction Indicator (P2 28.1) différent de '0' (Operation without leverage)</t>
  </si>
  <si>
    <t>ASTRE, FEL</t>
  </si>
  <si>
    <t>S'il est renseigné, l'identifiant doit correspondre à un enregistrement dans l'objet associé, indépendamment de l'entité
---
Le tiers doit exister (présence du tiers dans TIGRE)
---
Le couple identifiant local / central (P2 28.6 et P2 28.7) doit exister dans TIGRE</t>
  </si>
  <si>
    <t>If it is filled in, the identifier must correspond to a record in the associated object, regardless of the entity
---
Data must be present in TIGRE
---
The local/central identifier pair (P2 28.6 and P2 28.7) must exist in TIGRE</t>
  </si>
  <si>
    <t>P2 28.8</t>
  </si>
  <si>
    <t>P2 28.9</t>
  </si>
  <si>
    <t>P2 28.10</t>
  </si>
  <si>
    <t>La donnée est obligatoire si la donnée part de la prise ferme du montant du contrat à l'origine [P2 28.9] est renseignée</t>
  </si>
  <si>
    <t>The data is mandatory if the Amount of the underwriting of the original contract amount [P2 28.9] is filled</t>
  </si>
  <si>
    <t>P2 28.11</t>
  </si>
  <si>
    <t>P2 28.12</t>
  </si>
  <si>
    <t>Devise d'expression du montant de la part à syndiquer du montant du contrat à l'origine</t>
  </si>
  <si>
    <t>La donnée est obligatoire si la donnée Montant de la part à syndiquer du montant du contrat à l'origine [P2 28.11] est renseignée</t>
  </si>
  <si>
    <t>The data is mandatory if the Amount to syndicate of the original contract amount [P2 28.11] is filled</t>
  </si>
  <si>
    <t>P2 28.13</t>
  </si>
  <si>
    <t>P2 28.14</t>
  </si>
  <si>
    <t>La donnée est obligatoire si la donnée montant de la part à syndiquer non cédé [P2 28.13] est renseignée</t>
  </si>
  <si>
    <t>The data is mandatory if the data amount of the share to be unionized not assigned [P2 28.13] is filled</t>
  </si>
  <si>
    <t>P2 50.1</t>
  </si>
  <si>
    <t>P2 50.2</t>
  </si>
  <si>
    <t>PCCO - Valeur du principal 1</t>
  </si>
  <si>
    <t xml:space="preserve">PCCO - Value of principal 1 </t>
  </si>
  <si>
    <t>Code du compte dans le Plan de comptes consolidé prudentiel
Le compte "PCCO - Valeur du principal 1" correspond : 
 - au compte de l'actif comptabilisé au bilan (en juste valeur ou en coût amorti selon sa classification comptable), classé en nature d'opération NAT01 (Opérations de trésorerie et interbancaires), NAT02 (Opérations avec la clientèle) or NAT03 (Opérations sur titres hors repos),
- au compte comptabilisé au hors-bilan, classé en nature d'opération NAT06 (Engagements de garanties donnés), NAT07 (Engagements de financement donnés) ou en NAT08 (Engagements de garanties reçus), 
- au compte de l'actif comptabilisant au bilan la juste valeur comptable du dérivé, classé en nature d'opération NAT10B (Instruments financiers à terme (Bilan)),
- au compte de l'actif comptabilisant la valeur des titres pour les cessions temporaires de titres classé en nature d'opération NAT04 (Pensions)</t>
  </si>
  <si>
    <t>Account code in the prudential consolidated chart of accounts
The "PCCO - Principal value 1" account corresponds of :
 - the asset account recognized in the balance sheet (at fair value or amortized cost according to its accounting classification), classified as transaction type NAT01 (Treasury and interbank operations), NAT02 (Customer operations) or NAT03 (Securities transactions (excluded repos)),
- the account of the assets recognized on the off-balance sheet, classified as a transaction type NAT06 (Guarantee commitments given) and NAT07 (Funding commitments given) or NAT08 (Guarantee commitments received),
- the asset account recognized in the balance sheet the accounting fair value of derivative, classified as transaction type NAT10B (Financial futures instruments (Balance sheet)),
- the account accounting for the value of the securities for temporary securities sales, classified as transaction type NAT04 (Repos)</t>
  </si>
  <si>
    <t>P2 50.3</t>
  </si>
  <si>
    <t xml:space="preserve">Valeur du principal 1 </t>
  </si>
  <si>
    <t xml:space="preserve">Value of principal 1 </t>
  </si>
  <si>
    <t>Il s'agit du solde du compte déclaré dans le champ "PCCO Valeur du principal 1", en devise de liasse comptable de l'entité porteuse de risques, à la date d'arrêté</t>
  </si>
  <si>
    <t>This is the account balance declared in the "PCCO Principal value 1" field, in the accounting package currency of the risk-bearing entity, on the closing date</t>
  </si>
  <si>
    <t>P2 50.4</t>
  </si>
  <si>
    <t>Code du compte dans le Plan de comptes consolidé prudentiel
Le compte "PCCO - Montant du principal 2" correspond : 
- au compte comptabilisé au hors-bilan, classé en nature d'opération NAT07 (Part non utilisée des engagements confirmés), 
- au compte comptabilisant la valeur du cash pour les cessions temporaires de titres classé en nature d'opération NAT04 (Pensions),
- au compte hors bilan comptabilisant la valeur nominale du dérivé, classé en nature d'opération NAT10H (Instruments financiers à terme (Hors bilan))</t>
  </si>
  <si>
    <t>Account code in the prudential consolidated chart of accounts
The "PCCO - Amount of Principal 2" corresponds of :
 - the account of the assets recognized on the off-balance sheet, classified as a transaction type NAT07 (Undrawn portion of confirmed commitments),
- the account recording the cash value for temporary securities sales NAT04 (Repos),
- the account n the off-balance sheet recording the notional amount of derivative, classified as transaction type NAT10H (Financial futures instruments (Off-Balance sheet))</t>
  </si>
  <si>
    <t>P2 50.5</t>
  </si>
  <si>
    <t>La donnée est obligatoire si la donnée PCCO - Montant du principal 2 [P2 50.4] est renseignée</t>
  </si>
  <si>
    <t>The data is mandatory if the PCCO - Amount of principal 2 [P2 50.4] data is filled</t>
  </si>
  <si>
    <t>TPS1764</t>
  </si>
  <si>
    <t>P2 50.8</t>
  </si>
  <si>
    <t>PCCO - Dettes et créances rattachées</t>
  </si>
  <si>
    <t>PCCO - related Debts and receivables</t>
  </si>
  <si>
    <t>Code du compte dans le plan de comptes consolidé prudentiel
Le compte "PCCO - Dettes et créances rattachées" correspond au compte comptabilisant les intérêts courus au bilan</t>
  </si>
  <si>
    <t>Account code in the prudential consolidated chart of accounts
The "PCCO - related Debts and receivables" account corresponds to the account recording accrued interests in the balance sheet</t>
  </si>
  <si>
    <t>P2 50.9</t>
  </si>
  <si>
    <t>Il s'agit du solde du compte déclaré dans le champ "PCCO - Dettes et créances rattachées" en devise de liasse comptable de l'entité porteuse de risques, à la date d'arrêté</t>
  </si>
  <si>
    <t>This is the account balance declared in the "PCCO - related Debts and receivables" field, in the accounting package currency of the risk-bearing entity, on the closing date</t>
  </si>
  <si>
    <t>P2 50.14</t>
  </si>
  <si>
    <t>PCCO - Marge initiale</t>
  </si>
  <si>
    <t>PCCO - Initial margin</t>
  </si>
  <si>
    <t>Code du compte dans le plan de comptes consolidé prudentiel
Le compte "PCCO - Marge initiale" correspond aux comptes comptabilisant les marges intiales versées (avec ou sans CCP) lors d'opérations sur dérivés ou d'opérations sur pensions</t>
  </si>
  <si>
    <t>Account code in the prudential consolidated chart of accounts
The "PCCO - Initial margin" account corresponds of the accounts recording the amount of Initial margins paid (with or not CCP) during operations of derivatives or repos</t>
  </si>
  <si>
    <t>P2 50.15</t>
  </si>
  <si>
    <t>Montant Marge initiale</t>
  </si>
  <si>
    <t>Amount of initial margin</t>
  </si>
  <si>
    <t>Il s'agit du solde du compte déclaré dans le champ "PCCO - Marge initiale", en devise de liasse comptable de l'entité porteuse de risques, à la date d'arrêté</t>
  </si>
  <si>
    <t>This is the account balance declared in the "of initial margin" field, in the accounting package currency of the risk-bearing entity, on the closing date</t>
  </si>
  <si>
    <t>MonNtNAtiale</t>
  </si>
  <si>
    <t>P2 50.16</t>
  </si>
  <si>
    <t>PCCO - Marge variable</t>
  </si>
  <si>
    <t>PCCO - Variable margin</t>
  </si>
  <si>
    <t>Code du compte dans le plan de comptes consolidé prudentiel
Le compte "PCCO - Marge variable" correspond aux comptes comptabilisant les marges variables versées (avec ou sans CCP) lors d'opérations sur dérivés ou d'opérations sur pensions</t>
  </si>
  <si>
    <t>Account code in the prudential consolidated chart of accounts
The "PCCO - Variable margin" account corresponds of the accounts recording the amount of variable margins paid (with or not CCP) during operations of derivatives or repos</t>
  </si>
  <si>
    <t>P2 50.17</t>
  </si>
  <si>
    <t>Il s'agit du solde du compte déclaré dans le champ "PCCO - Marge variable", en devise de liasse comptable de l'entité porteuse de risques, à la date d'arrêté</t>
  </si>
  <si>
    <t>This is the account balance declared in the "PCCO - Variable margin" field, in the accounting package currency of the risk-bearing entity, on the closing date</t>
  </si>
  <si>
    <t>MonNtNAiable</t>
  </si>
  <si>
    <t>P2 50.18</t>
  </si>
  <si>
    <t>PCCO - Impacts JV</t>
  </si>
  <si>
    <t>PCCO - Impacts FV</t>
  </si>
  <si>
    <t>Code du compte dans le plan de comptes consolidé prudentiel
Le compte "PCCO - Impacts JV" correspond au compte comptabilisant le montant de l'impact en juste valeur des instruments en coût amorti micro couverts</t>
  </si>
  <si>
    <t>Account code in the prudential consolidated chart of accounts
The "PCCO - Impacts FV" account corresponds to the account recording the amount of the impact in fair value of micro hedged instruments at amortized cost</t>
  </si>
  <si>
    <t>P2 50.19</t>
  </si>
  <si>
    <t>Montant Impact JV</t>
  </si>
  <si>
    <t>Il s'agit du solde du compte déclaré dans le champ "PCCO - Impacts JV", en devise de liasse comptable de l'entité porteuse de risques, à la date d'arrêté</t>
  </si>
  <si>
    <t>This is the account balance declared in the "PCCO - Impacts FV" field, in the accounting package currency of the risk-bearing entity, on the closing date</t>
  </si>
  <si>
    <t>P2 15</t>
  </si>
  <si>
    <t>Renseigner le PCI relatif au PCCO - Valeur du principal 2</t>
  </si>
  <si>
    <t>Must be completed with the PCI related to the PCCO - Value of principal 2</t>
  </si>
  <si>
    <t>P2 16</t>
  </si>
  <si>
    <t>P2 14</t>
  </si>
  <si>
    <t>ACTIF PASSIF DURABLE</t>
  </si>
  <si>
    <t>P2 21.48</t>
  </si>
  <si>
    <t>P2 21.49</t>
  </si>
  <si>
    <t>P2 21.50</t>
  </si>
  <si>
    <t>La donnée est obligatoire si le Montant des ajustements de risques pondérés lié à décote d'asymétrie d'échéance pour le calcul de l'Output Floor [P2 21.49] est renseigné</t>
  </si>
  <si>
    <t>The data is mandatory if the Amount of adjustment of risk-weighted assets linked to discount for maturity mismatch for the Output Floor calculation [P2 21.49] is filled</t>
  </si>
  <si>
    <t>P2 21.51</t>
  </si>
  <si>
    <t>P2 21.52</t>
  </si>
  <si>
    <t>La donnée est obligatoire si le Montant de RWA supplémentaire pour non-conformité aux exigences prévues pour le calcul de l'Output Floor [P2 21.51] est renseigné</t>
  </si>
  <si>
    <t>The data is mandatory if the Additional RWA amount for non-compliance with planned requirements for the Output Floor calculation [P2 21.51] is filled</t>
  </si>
  <si>
    <t>P2 21.53</t>
  </si>
  <si>
    <t>P2 21.54</t>
  </si>
  <si>
    <t>La donnée est obligatoire si le Montant du gain RWA obtenu par le CAP sur la pondération pour le calcul de l'Output Floor [P2 21.53] est renseigné</t>
  </si>
  <si>
    <t>The data is mandatory if the Amount of RWA gain obtained by CAP on risk weight for the Output Floor calculation [P2 21.53] is filled</t>
  </si>
  <si>
    <t>P2 21.66</t>
  </si>
  <si>
    <t>P2 21.61</t>
  </si>
  <si>
    <t>Data used by the IRB A engine and used for the funds in use of certain group activities.
Not to be reported for Derivatives and Rest because by convention, it will be reported on the field 'LGD part not covered'</t>
  </si>
  <si>
    <t>La donnée est obligatoire si la Méthodologie Bâloise [P2 1.1] est égale à ‘IRB A' et si le Montant d'encours pour la partie couverte des sûretés réelles [P2 21.63] est renseigné et différent de '0'</t>
  </si>
  <si>
    <t>The data is mandatory if the Basel methodology [P2 1.1] is equal to ‘IRB A' and if the Secured part exposure amount [P2 21.63] is filled and different from '0'</t>
  </si>
  <si>
    <t>TPS1765</t>
  </si>
  <si>
    <t>P2 21.62</t>
  </si>
  <si>
    <t>La donnée est obligatoire si la Méthodologie Bâloise [P2 1.1] est égale à ‘IRB A' et si le Montant d'encours pour la partie couverte des sûretés réelles [P2 21.63] est égal à '0' ou vide</t>
  </si>
  <si>
    <t>The data is mandatory if the Basel methodology [P2 1.1] is equal to ‘IRB A' and if the Secured part exposure amount [P2 21.63] is equal to '0' or empty</t>
  </si>
  <si>
    <t>TPS1766</t>
  </si>
  <si>
    <t>P2 21.63</t>
  </si>
  <si>
    <t>Si le type de risque [P2 2.0] est égal à 'VARxxx', la donnée ne doit pas être renseignée.</t>
  </si>
  <si>
    <t>If the risk type [P2 2.0] is equal to 'VARxxx', the data must be not filled</t>
  </si>
  <si>
    <t>TCS0759</t>
  </si>
  <si>
    <t>P2 21.64</t>
  </si>
  <si>
    <t>La donnée est obligatoire si le Montant d'encours pour la partie couverte des sûretés réelles [P2 21.63] est renseigné</t>
  </si>
  <si>
    <t>The data is mandatory if the Secured part exposure amount [P2 21.63] is filled</t>
  </si>
  <si>
    <t>P2 21.44</t>
  </si>
  <si>
    <t xml:space="preserve">Indicateur d'exposition de qualité élevée </t>
  </si>
  <si>
    <t>La donnée est obligatoire si le Portefeuille Bâle Opération [P2 2.18] = '062'</t>
  </si>
  <si>
    <t>The data is mandatory if the Basel Transaction Portfolio [P2 2.18] = '062'</t>
  </si>
  <si>
    <t>TPS1767</t>
  </si>
  <si>
    <t>P2 21.45</t>
  </si>
  <si>
    <t>La donnée est obligatoire si le Portefeuille Bâle Opération [P2 2.18] = '061'</t>
  </si>
  <si>
    <t>The data is mandatory if the Basel Transaction Portfolio [P2 2.18] = '061'</t>
  </si>
  <si>
    <t>TPS1768</t>
  </si>
  <si>
    <t>P2 21.46</t>
  </si>
  <si>
    <t xml:space="preserve">Indicateur de conformité des critères Opérationnels du projet </t>
  </si>
  <si>
    <t>P2 21.67</t>
  </si>
  <si>
    <t>Allows to indicate that the exposure in the form of UCITS units or shares is to be weighted according to mandate-based approach.
If not, the exposure will be weighted using the alternative approach, i.e. 1250%
Perimeter: External UCI</t>
  </si>
  <si>
    <t>Champ à renseigner pour les OPCVM externes</t>
  </si>
  <si>
    <t>Field to be completed for external UCITS</t>
  </si>
  <si>
    <t>P2 21.68</t>
  </si>
  <si>
    <t>P2 21.55</t>
  </si>
  <si>
    <t>P2 21.89</t>
  </si>
  <si>
    <t>CRR3</t>
  </si>
  <si>
    <t>P2 21.90</t>
  </si>
  <si>
    <t>Identifiant tiers central du client de l'intermédiaire compensateur</t>
  </si>
  <si>
    <t>Identifiant tiers central du client intragroupe pour le compte duquel l'intermédiaire (entité déclarante) réalise la compensation via CCP sans garantie de bonne fin.
Ce champ est à renseigner sur les opérations entre l'intermédiaire et la CCP.</t>
  </si>
  <si>
    <t>P2 21.47</t>
  </si>
  <si>
    <t>P2 21.56</t>
  </si>
  <si>
    <t>indique que l'investissement est à des fins de revente à court terme - valable uniquement pour les actions non cotées.
se référer à l'Article 133-4-a du réglement CRR3</t>
  </si>
  <si>
    <t>La donnée est obligatoire si le type de risque [P2 2.0] est égal à EQU* ou ISS200 ou TRE405 ou TRE406</t>
  </si>
  <si>
    <t>The data is mandatory if Risk type [P2 2.0] is equal to EQU* or ISS200 or TRE405 or TRE406</t>
  </si>
  <si>
    <t>TPS1769</t>
  </si>
  <si>
    <t>P2 21.57</t>
  </si>
  <si>
    <t>P2 21.58</t>
  </si>
  <si>
    <t>P2 21.38</t>
  </si>
  <si>
    <t>La donnée est obligatoire si l'Usage du bien immobilier apporté en garantie [P2 3.46] est égal à '1' ou '2' ET l'Indicateur d'exposition sur acquisition, développement et construction (ADC) [P2 21.39] = 'N' ou vide</t>
  </si>
  <si>
    <t>The data is mandatory if the Use of real-estate brought into guarantee [P2 3.46] is equal to '1' or '2' AND the Acquisition, Development and Construction (ADC) Exposure Indicator [P2 21.39] = 'N' or empty</t>
  </si>
  <si>
    <t>TPS1770</t>
  </si>
  <si>
    <t>P2 21.39</t>
  </si>
  <si>
    <t>La donnée est obligatoire si l'Usage du bien immobilier apporté en garantie [P2 3.46] est égal à '1' ou '2'</t>
  </si>
  <si>
    <t>The data is mandatory if the Use of real-estate brought into guarantee [P2 3.46] is equal to '1' or '2'</t>
  </si>
  <si>
    <t>TPS1771</t>
  </si>
  <si>
    <t>Si type de risque [P2 2.0] = 'PRI*' OU si Portefeuille Bâle Opération [P2 2.18] = '011, 014', alors la donnée doit être différente de 'Y'</t>
  </si>
  <si>
    <t>If Risk type [P2 2.0] = 'PRI*' OR if Basel Transaction Portfolio [P2 2.18] = '011, 014', then the data must be different from 'Y'</t>
  </si>
  <si>
    <t>TCS0778</t>
  </si>
  <si>
    <t>P2 21.40</t>
  </si>
  <si>
    <t>P2 21.41</t>
  </si>
  <si>
    <t>La donnée est obligatoire si l'Usage du bien immobilier apporté en garantie [P2 3.46] est égal à '1' ET l'Indicateur d'exposition sur acquisition, développement et construction (ADC) [P2 21.39] égal à 'Y'</t>
  </si>
  <si>
    <t>The data is mandatory if the Use of real-estate brought into guarantee [P2 3.46] is equal to '1' AND the Acquisition, Development and Construction (ADC) Exposure Indicator [P2 21.39] equal to 'Y'</t>
  </si>
  <si>
    <t>TPS1772</t>
  </si>
  <si>
    <t>P2 21.42</t>
  </si>
  <si>
    <t>La donnée est obligatoire si l'Usage du bien immobilier apporté en garantie [P2 3.46] est égal à '1' ou '2' ET l'Indicateur d'exposition sur acquisition, développement et construction (ADC) [P2 21.39] égal à 'Y'</t>
  </si>
  <si>
    <t>The data is mandatory if the Use of real-estate brought into guarantee [P2 3.46] is equal to '1' or '2' AND the Acquisition, Development and Construction (ADC) Exposure Indicator [P2 21.39] equal to 'Y'</t>
  </si>
  <si>
    <t>TPS1773</t>
  </si>
  <si>
    <t>P2 21.43</t>
  </si>
  <si>
    <t>P2 8.13</t>
  </si>
  <si>
    <t>cdUSBienFin</t>
  </si>
  <si>
    <t>La donnée est obligatoire si le type de risque [P2 2.0] = 'TRE2xx' à 'TRE5xx', hors (TRE201, TRE203, TRE205, TRE206, TRE207)</t>
  </si>
  <si>
    <t>The data is mandatory if Risk type [P2 2.0] = 'TRE2xx' to 'TRE5xx', out (TRE201, TRE203, TRE205, TRE206, TRE207)</t>
  </si>
  <si>
    <t>TPS1774</t>
  </si>
  <si>
    <t>P2 21.71</t>
  </si>
  <si>
    <t>P2 21.72</t>
  </si>
  <si>
    <t>P2 21.73</t>
  </si>
  <si>
    <t>P2 21.74</t>
  </si>
  <si>
    <t>P2 21.75</t>
  </si>
  <si>
    <t>P2 21.76</t>
  </si>
  <si>
    <t>P2 21.77</t>
  </si>
  <si>
    <t>P2 21.78</t>
  </si>
  <si>
    <t>P2 21.94</t>
  </si>
  <si>
    <t>Indicateur HQLA</t>
  </si>
  <si>
    <t>HQLA indicator</t>
  </si>
  <si>
    <t>Indicator of whether the asset is considered high quality liquid (or not)</t>
  </si>
  <si>
    <t>TA Z8INHQLA</t>
  </si>
  <si>
    <t>P2 21.95</t>
  </si>
  <si>
    <t>Niveau HQLA</t>
  </si>
  <si>
    <t>HQLA level</t>
  </si>
  <si>
    <t>TA Z8NIHQLA</t>
  </si>
  <si>
    <t>P2 21.81</t>
  </si>
  <si>
    <t>P2 21.82</t>
  </si>
  <si>
    <t>La donnée est obligatoire, si le type de risque [P2 2.0] = 'TRExx' (hors 'TRE203, TRE205, TRE206, TRE207'), 'SIGxx' ET si l'usage du bien immobilier financé [P2 8.13] = '2' ET si la Date de revalorisation [P2 22.46] renseignée</t>
  </si>
  <si>
    <t>The data is mandatory if the Risk type [P2 2.0] = 'TRExx' (except 'TRE203, TRE205, TRE206, TRE207'), 'SIGxx' AND if the use of financed property [P2 8.13] = '2' and if revaluation date [P2 22.46] is filled</t>
  </si>
  <si>
    <t>TPS1775</t>
  </si>
  <si>
    <t>P2 21.83</t>
  </si>
  <si>
    <t xml:space="preserve">La donnée est obligatoire si le type de risque [P2 2.0] est égal à 'TRE2xx' à 'TRE4xx', 'TRE502' hors (TRE201, TRE203, TRE205, TRE206, TRE207) ET si la donnée objet financé [P2 22.7] est égale à '03' ET si la donnée méthodologie de notation [C1 4.3] du tiers en risque est égale à 'M1 ', 'M2', 'M41', 'M43' ou 'M44' ET si la date revalorisation du bien [P2 22.46] est renseignée </t>
  </si>
  <si>
    <t>The data is mandatory if Risk type [P2 2.0] is equal to 'TRE2xx' to 'TRE4xx', 'TRE502' except (TRE201, TRE203, TRE205, TRE206, TRE207) AND if the data Object financed [P2 22.7] is equal to '03' AND if the data Rating methodology [C1 4.3] of third-party in risk is equal to 'M1 ', 'M2', 'M41', 'M43' or 'M44' AND if the Property's revaluation date [P2 22.46] is filled</t>
  </si>
  <si>
    <t>P2 21.84</t>
  </si>
  <si>
    <t>P2 21.85</t>
  </si>
  <si>
    <t>P2 21.86</t>
  </si>
  <si>
    <t>P2 21.87</t>
  </si>
  <si>
    <t>P2 21.88</t>
  </si>
  <si>
    <t>P2 31.51</t>
  </si>
  <si>
    <t>P2 31.52</t>
  </si>
  <si>
    <t>P2 31.53</t>
  </si>
  <si>
    <t>P2 1001</t>
  </si>
  <si>
    <t>The data is mandatory, if Type of banking product [P2 4.42] = 'CRED13, CRED14'</t>
  </si>
  <si>
    <t>TPS0986</t>
  </si>
  <si>
    <t>P2 1002</t>
  </si>
  <si>
    <t>Si renseignée, la date d'échéance du tirage [P2 1002] doit être supérieure ou égale à la date de réalisation du tirage [P2 1001]</t>
  </si>
  <si>
    <t>If filled, the drawing maturity date [P2 1002] must be higher or equal to the date of drawing [P2 1001]</t>
  </si>
  <si>
    <t>TCS0777</t>
  </si>
  <si>
    <t>P2 22.222</t>
  </si>
  <si>
    <t>P2 600</t>
  </si>
  <si>
    <t>La donnée est obligatoire, si Indicateur Engagement en défaut [P2 5.2] = 'Y'</t>
  </si>
  <si>
    <t>The data is mandatory, if Defaulted commitments indicator [P2 5.2] = 'Y'</t>
  </si>
  <si>
    <t>P2 601</t>
  </si>
  <si>
    <t>La donnée est obligatoire, si Indicateur Présence de recouvrement [P2 600] = 'Y'</t>
  </si>
  <si>
    <t>The data is mandatory, if Recovery Presence Indicator [P2 600] = 'Y'</t>
  </si>
  <si>
    <t>TPS0987</t>
  </si>
  <si>
    <t>P2 602</t>
  </si>
  <si>
    <t>P2 603</t>
  </si>
  <si>
    <t>P2 603.1</t>
  </si>
  <si>
    <t>La donnée est obligatoire si Montant recouvré depuis le défaut [P2 603] est renseignée</t>
  </si>
  <si>
    <t>The data is mandatory if Amount recovered during the month since default [P2 603] data is filled</t>
  </si>
  <si>
    <t>P2 604</t>
  </si>
  <si>
    <t>P2 604.1</t>
  </si>
  <si>
    <t>La donnée est obligatoire si Montant passé à perte depuis le défaut [P2 604] est renseignée</t>
  </si>
  <si>
    <t>The data is mandatory if Amount written off during the month [P2 604] data is filled</t>
  </si>
  <si>
    <t>P2 605</t>
  </si>
  <si>
    <t>P2 605.1</t>
  </si>
  <si>
    <t>La donnée est obligatoire si Montant tiré depuis le défaut [P2 605] est renseignée</t>
  </si>
  <si>
    <t>The data is mandatory if Amount drawn during the month [P2 605] data is filled</t>
  </si>
  <si>
    <t>P2 606</t>
  </si>
  <si>
    <t>P2 607</t>
  </si>
  <si>
    <t>P2 608</t>
  </si>
  <si>
    <t>P2 608.1</t>
  </si>
  <si>
    <t>La donnée est obligatoire si Montant des prélèvements supplémentaires après le défaut [P2 608] est renseignée</t>
  </si>
  <si>
    <t>The data is mandatory if Amount of additional deductions after default [P2 608] data is filled</t>
  </si>
  <si>
    <t>P2 609</t>
  </si>
  <si>
    <t>P2 610</t>
  </si>
  <si>
    <t>P2 610.1</t>
  </si>
  <si>
    <t>La donnée est obligatoire si Montant des coûts directs associés à la procédure de recouvrement [P2 610] est renseignée</t>
  </si>
  <si>
    <t>The data is mandatory if Amount of direct costs associated with the recovery process [P2 610] data is filled</t>
  </si>
  <si>
    <t>P2 611</t>
  </si>
  <si>
    <t>P2 612</t>
  </si>
  <si>
    <t>P2 612.1</t>
  </si>
  <si>
    <t>cdDevmtFraisDiv</t>
  </si>
  <si>
    <t>La donnée est obligatoire si Montant des frais divers [P2 612] est renseignée</t>
  </si>
  <si>
    <t>The data is mandatory if Amount of miscellaneous fees [P2 612] data is filled</t>
  </si>
  <si>
    <t>P2 613</t>
  </si>
  <si>
    <t>P2 617</t>
  </si>
  <si>
    <t>Si Méthodologie bâloise [P2 1.1] ='STD' et Plan de roll-out inconnu, mettre '1'
Si Méthodologie bâloise [P2 1.1] = 'IRB A' ou 'IRB F' et plan de roll-out inconnu, mettre '2'</t>
  </si>
  <si>
    <t>If Basel Methodology [P2 1.1] ='STD' and Unknown Roll-out Plan, put '1'
If Basel Methodology [P2 1.1] = 'IRB A' or 'IRB F' and unknown roll-out plan, put '2'</t>
  </si>
  <si>
    <t>La donnée est obligatoire, si Méthodologie Bâloise [P2 1.1] = 'STD, IRB A, IRB F'</t>
  </si>
  <si>
    <t>The data is mandatory, if Basel methodology [P2 1.1] = 'STD, IRB A, IRB F'</t>
  </si>
  <si>
    <t>TPS0988</t>
  </si>
  <si>
    <t>P2 618</t>
  </si>
  <si>
    <t>P2 619</t>
  </si>
  <si>
    <t>P2 620</t>
  </si>
  <si>
    <t>P2 635</t>
  </si>
  <si>
    <t>La donnée est obligatoire si Méthodologie Bâloise [P2 1.1] = 'IRB A'</t>
  </si>
  <si>
    <t>The data is mandatory if Basel methodology [P2 1.1] = 'IRB A'</t>
  </si>
  <si>
    <t>P2 625</t>
  </si>
  <si>
    <t>NOR group or Counterparty during the creation/implementation of acquisition financing
This data is specific to the LBO/FSA/CEL perimeter</t>
  </si>
  <si>
    <t>La donnée est obligatoire, si Indicateur opération effet de levier [P2 28.1] = '1,2,3'</t>
  </si>
  <si>
    <t>The data is mandatory, if Leveraged transaction Indicator [P2 28.1] = '1,2,3'</t>
  </si>
  <si>
    <t>P2 626</t>
  </si>
  <si>
    <t>TPS0990</t>
  </si>
  <si>
    <t>P2 627</t>
  </si>
  <si>
    <t>P2 628</t>
  </si>
  <si>
    <t>La donnée est obligatoire, si Indicateur période de fronting [P2 627] = 'Y'
---
La donnée est obligatoire, si Indicateur opération effet de levier [P2 28.1] = '1,2,3'</t>
  </si>
  <si>
    <t>The data is mandatory, if Fronting period indicator [P2 627] = 'Y'
---
The data is mandatory, if Leveraged transaction Indicator [P2 28.1] = '1,2,3'</t>
  </si>
  <si>
    <t>TPS0992</t>
  </si>
  <si>
    <t>P2 628.1</t>
  </si>
  <si>
    <t>La donnée est obligatoire si Montant d'exposition réglementaire soumise au fronting [P2 628] est renseignée</t>
  </si>
  <si>
    <t>The data is mandatory if Amount of regulatory exposure subject to fronting [P2 628] data is filled</t>
  </si>
  <si>
    <t>P2 629</t>
  </si>
  <si>
    <t>P2 630</t>
  </si>
  <si>
    <t>La donnée est obligatoire, si Indicateur Reserve Based Lending (RBL) [P2 629]= 'Y'</t>
  </si>
  <si>
    <t>The data is mandatory, if Reserve Based Lending (RBL) indicator [P2 629] = 'Y'</t>
  </si>
  <si>
    <t>TPS0993</t>
  </si>
  <si>
    <t>P2 630.1</t>
  </si>
  <si>
    <t>La donnée est obligatoire si Exposition réglementaire soumise au RBL [P2 630] est renseignée</t>
  </si>
  <si>
    <t>The data is mandatory if Regulatory amount subject to RBL [P2 631] data is filled</t>
  </si>
  <si>
    <t>P2 631</t>
  </si>
  <si>
    <t>P2 631.1</t>
  </si>
  <si>
    <t>La donnée est obligatoire si Expositions à date d'arrêté (vision stock) sur High Yield Bonds [P2 631] est renseignée</t>
  </si>
  <si>
    <t>The data is mandatory if Exposures as of the reporting date (stock view) on High Yield Bonds [P2 631] data is filled</t>
  </si>
  <si>
    <t>P2 632</t>
  </si>
  <si>
    <t>P2 632.1</t>
  </si>
  <si>
    <t>La donnée est obligatoire si Expositions arrangées par la banque au cours du trimestre sur High Yield Bonds [P2 632] est renseignée</t>
  </si>
  <si>
    <t>The data is mandatory if Exposures arranged by the bank during the quarter on High Yield Bonds [P2 632] data is filled</t>
  </si>
  <si>
    <t>P2 633</t>
  </si>
  <si>
    <t>P2 633.1</t>
  </si>
  <si>
    <t>La donnée est obligatoire si Montant du Mark-to-market hors part à syndiquer [P2 633] est renseignée</t>
  </si>
  <si>
    <t>The data is mandatory if Amount of exposures excluding shares to be syndicated - Fair value amount [P2 633] data is filled</t>
  </si>
  <si>
    <t>P2 99.99</t>
  </si>
  <si>
    <t>Zonelibre9999</t>
  </si>
  <si>
    <t>M1</t>
  </si>
  <si>
    <t>0.1 (M1)</t>
  </si>
  <si>
    <t>SEC-CAS-COL
IAS
GUA-CDE
INS
REE-TAS</t>
  </si>
  <si>
    <t>0.2 (M1)</t>
  </si>
  <si>
    <t>NPE, NSFR</t>
  </si>
  <si>
    <t>0.3 (M1)</t>
  </si>
  <si>
    <t>0.4 (M1)</t>
  </si>
  <si>
    <t>0.5 (M1)</t>
  </si>
  <si>
    <t>0.6 (M1)</t>
  </si>
  <si>
    <t>Valeur admise : 'M1' (Domaine Sûretés)</t>
  </si>
  <si>
    <t>Accepted value: 'M1' (Security interests domain)</t>
  </si>
  <si>
    <t>Si renseignée, la donnée doit être égale à 'M1'</t>
  </si>
  <si>
    <t>If filled in, the data must be equal to 'M1'</t>
  </si>
  <si>
    <t>0.7 (M1)</t>
  </si>
  <si>
    <t>0.8 (M1)</t>
  </si>
  <si>
    <t>Mandatory if entity carrying risks (C1 0.2) = '00018'
Zone operated only by entities reporting risks carried by Crédit Agricole S.A.
Accounting breakdown of Headquarters into Activities (sub-ledger accountings). Allows to manage CAsa proprietary transactions</t>
  </si>
  <si>
    <t>0.9 (M1)</t>
  </si>
  <si>
    <t>Permet de véhiculer le numéro d'unité d'exploitation au sein de CACIB</t>
  </si>
  <si>
    <t>Used to convey the number of the operating unit within CACIB</t>
  </si>
  <si>
    <t>La donnée est obligatoire si le Type d'enregistrement [0.6 (M1)] est différent de 'C1' et de 'Z9', et que, dans la table START "TA 0990 KVAPPBK", KVBAPPID commence par 'CACI' pour le KVAPPBK valant la concaténation "Entité porteuse de risque" [0.2 (M1)] et "Application source" [0.3 (M1)]</t>
  </si>
  <si>
    <t>The data is mandatory if the record type [0.6 (M1)] is different from 'C1' and 'Z9', and in the START table "TA 0990 KVAPPBK", KVBAPPID starts with 'CACI' for the KVAPPBK with the concatenation 'Risk taker entity' [0.2 (M1)]and 'Source application' [0.3 (M1)]</t>
  </si>
  <si>
    <t>Si renseignée, et si le type d'enregistrement [0.6 (M1] est différent de 'C1' et de 'Z9' :
1/ Si dans la table START "TA 0990 KVAPPBK", KVBAPPID commence par 'CACI' pour le KVAPPBK valant la concaténation "Entité porteuse de risque" [0.2 (M1)] et "Application source" [0.3 (M1)], alors, dans la table START "TA TMTAKOBU", la concaténation 'CA-CIB' + un blanc + [0.9 (M1)] + "_" + [0.2 (M1)] doit être présente dans le champ TMNOMOBU.
2/ Sinon, dans la table START "TA TMTAKOBU", la concaténation des 9 premiers caractères du BAPPID + '_' + 0.9 (M1)] doit être présente dans le champ TMNOMOBU.</t>
  </si>
  <si>
    <t>If filled in, and the type of record [0.6 (M1] is different from 'C1' and 'Z9':
1/ If in the START table "TA 0990 KVAPPBK", KVBAPPID starts with "CACI" for the KVAPPBK with the concatenation "risk carrying Entity" [0.2 (M1)] and "Source application" [0.3 (M1)], then in the START table "TA TMTAKOBU", the concatenation 'CA-CIB' + a blank + [0.9 (M1)] + "_" + [0.2 (M1)] must be present in the TMNOMOBU field.
2/ Otherwise, in the START table "TA TMTAKOBU", the concatenation of the first 9 characters of the BAPPID + '_' + [0.9 (M1)] must be present in the TMNOMOBU field.</t>
  </si>
  <si>
    <t>0.99 (M1)</t>
  </si>
  <si>
    <t>1.1 (M1)</t>
  </si>
  <si>
    <t>Une vérification est réalisée pour s'assurer de l'unicité du tiers au sein du lot</t>
  </si>
  <si>
    <t>A check shall be carried out to ensure that the third party is unique within the batch</t>
  </si>
  <si>
    <t>L'Identifiant local du tiers en risque doit etre identique à l'Identifiant local du tiers en risque du F2 lié</t>
  </si>
  <si>
    <t>The local ID of the third party in risk must be identical to the local ID of the third party in risk of the linked F2</t>
  </si>
  <si>
    <t>TC0041</t>
  </si>
  <si>
    <t>1.2 (M1)</t>
  </si>
  <si>
    <t>1.4 (M1)</t>
  </si>
  <si>
    <t>1.6 (M1)</t>
  </si>
  <si>
    <t>Pour un lot déterminé, le couple 1.6 (M1) Référence de la ligne de détail de l'Autorisation Mise En Place et 1.8 (M1) Identifiant de la sûreté reçue doit être unique</t>
  </si>
  <si>
    <t>For a given batch, the couple 1.6 (M1) Reference code of the line of the Arranged facility and 1.8 (M1) Mitigant identifier must be unique</t>
  </si>
  <si>
    <t>TPG0001
TP0001</t>
  </si>
  <si>
    <t>Sur le périmètre interlot, une sûreté doit être en lien avec un encours ou une PNU ou un arriéré
---
Sur le périmètre hors interlot, une sûreté doit être en lien avec un encours ou une PNU ou un arriéré
---
L'identifiant renseigné doit être unique au sein de l'entité porteuse de risque</t>
  </si>
  <si>
    <t>On interlot scope, a security must be related to an outstanding amount or a PNU or a past due amount
---
On except interlot scope, a security must be related to an outstanding amount or a PNU or a past due amount
---
The identifier provided must be unique within the entity carrying the risk</t>
  </si>
  <si>
    <t>TC0272
TC0729
TU0001</t>
  </si>
  <si>
    <t>1.8 (M1)</t>
  </si>
  <si>
    <t>Pour un lot déterminé, l'identifiant de la sûreté doit être unique.
La codification est libre</t>
  </si>
  <si>
    <t>For a given batch, the security interest identifier must be unique.
Codification is free</t>
  </si>
  <si>
    <t xml:space="preserve">L'identifiant renseigné doit être unique au sein de l'entité porteuse de risque
---
Il ne doit pas y avoir de doublon (quelque soit l'entité et quelque soit le flux)
---
Unicité absolue de la donnée au sein du lot
---
Dans le cadre du flux Interlot, une sûreté doit être rattachée à une ligne d'autorisation.
</t>
  </si>
  <si>
    <t xml:space="preserve">The identifier provided must be unique within the entity carrying the risk
---
There should be no duplicates (whatever the entity and flow are)
---
The data must be unique within the batch
---
Under the Interlot flow, a collateral must be attached to an authorization line.
</t>
  </si>
  <si>
    <t>TU0001
TU0003
TU0007
TC0270</t>
  </si>
  <si>
    <t>Si la combinaison de donnée n'est pas trouvée dans la matrice des règles de gestion C14, le contrôle doit se lever</t>
  </si>
  <si>
    <t>If the data combinaison is not found in the C14 business rules matrix, the control must trigger</t>
  </si>
  <si>
    <t>TC0C14</t>
  </si>
  <si>
    <t>1.11 (M1)</t>
  </si>
  <si>
    <t>1.16 (M1)</t>
  </si>
  <si>
    <t>1.99 (M1)</t>
  </si>
  <si>
    <t>1.98 (M1)</t>
  </si>
  <si>
    <t>1.97 (M1)</t>
  </si>
  <si>
    <t>M1 2.3</t>
  </si>
  <si>
    <t xml:space="preserve">NATure d'Opération de la sûreté </t>
  </si>
  <si>
    <t>NATure of Operation for surety</t>
  </si>
  <si>
    <t>Correspond à la classification de la garantie selon la nomenclature Groupe CA "NATO" commune aux Risques et à la Comptabilité.
Il s'agit ici de la NATure d'Opération telle que déterminée et employée par l'entité dans son rapprochement comptabilité risque</t>
  </si>
  <si>
    <t>Represents the classification of the mitigant on the basis of the CA Group shared Risk and Accounting "NATO" (transaction nature) nomenclature
This is the transaction nature as determined and used by the entity for its accounting risk systems reconciliation</t>
  </si>
  <si>
    <t>NPE</t>
  </si>
  <si>
    <t>Si la combinaison de donnée n'est pas trouvée dans la matrice des règles de gestion C11, le contrôle doit se lever
---
Si la combinaison de donnée n'est pas trouvée dans la matrice des règles de gestion C28, le contrôle doit se lever</t>
  </si>
  <si>
    <t>If the data combinaison is not found in the C11 business rules matrix, the control must trigger
---
If the data combinaison is not found in the C28 business rules matrix, the control must trigger</t>
  </si>
  <si>
    <t>TC0C11
TC0C28</t>
  </si>
  <si>
    <t>M1 2.4</t>
  </si>
  <si>
    <t>Indicateur TRR (mode de prise en compte)</t>
  </si>
  <si>
    <t xml:space="preserve">TRR indicator </t>
  </si>
  <si>
    <t xml:space="preserve">Permet de différencier les sûretés véhiculées qui rentrent déjà dans la détermination du LGD et celles qui devront faire l'objet d'un traitement particulier moteur avec une substitution de PD </t>
  </si>
  <si>
    <t>Enables to make the difference between reported mitigants which are including in the determination of the LGD and these which will be subject to a special treatment engine with a PD substitution</t>
  </si>
  <si>
    <t>cdIndTRR</t>
  </si>
  <si>
    <t>LC.0186</t>
  </si>
  <si>
    <t>TA KVITRR</t>
  </si>
  <si>
    <t>La donnée est obligatoire si l'exposition couverte est traitée en méthode bâloise [F2 2.17] = 'IRB A'</t>
  </si>
  <si>
    <t>The data is mandatory if the covered exposure is treated using the Basel method [F2 2.17] = 'IRB A'</t>
  </si>
  <si>
    <t>TP0315</t>
  </si>
  <si>
    <t>M1 2.5</t>
  </si>
  <si>
    <t>M1 2.99</t>
  </si>
  <si>
    <t>20 - Garants et Dépositaires</t>
  </si>
  <si>
    <t>20 - Guarantors and Depositaries</t>
  </si>
  <si>
    <t>M1 3.1</t>
  </si>
  <si>
    <t>Identifiant local du tiers garant</t>
  </si>
  <si>
    <t>Local identifier of the guarantor counterparty</t>
  </si>
  <si>
    <t>Identifiant du tiers garant dans le système de gestion de l'opération</t>
  </si>
  <si>
    <t>ID of the guarantor counterparty in the operation management system</t>
  </si>
  <si>
    <t>idLocalGaran</t>
  </si>
  <si>
    <t>Vérification de l'unicité du tiers au sein du lot</t>
  </si>
  <si>
    <t>Check that the third party is unique within the batch</t>
  </si>
  <si>
    <t>DEI, GRR</t>
  </si>
  <si>
    <t>M1 3.2</t>
  </si>
  <si>
    <t>Identifiant central du garant</t>
  </si>
  <si>
    <t>Central ID of guarantor</t>
  </si>
  <si>
    <t>Correspond à l'identifiant du garant dans le système central DRG</t>
  </si>
  <si>
    <t>Represents the guarantor's ID in the Group Risk Management Division IT System</t>
  </si>
  <si>
    <t>cdCentralGraran</t>
  </si>
  <si>
    <t xml:space="preserve">Identifiant central fourni par la DRG dans le fichier mensuel Référentiel ‘Tiers&amp;Groupes' (DTG) transmis aux entités émettrices du flux
</t>
  </si>
  <si>
    <t xml:space="preserve">Central identifier provided by the DRG in the monthly "Third Party&amp;Group" repository (DTG) file sent to the flow issuing
</t>
  </si>
  <si>
    <t>ASTRE, DEI, ESG PILIER 3, GRR, LOAN TAPE, NPE, RISQUE PHYSIQUE</t>
  </si>
  <si>
    <t>S'il est renseigné, l'identifiant doit correspondre à un enregistrement dans l'objet associé, indépendamment de l'entité
---
Le tiers doit exister (présence du tiers dans TIGRE)
---
Le couple identifiant local / central (M1 3.1 et M1 3.2) doit exister dans TIGRE</t>
  </si>
  <si>
    <t>If it is filled in, the identifier must correspond to a record in the associated object, regardless of the entity
---
Le tiers doit exister (présence du tiers dans TIGRE)
---
The local/central identifier pair (M1 3.1 and M1 3.2) must exist in TIGRE</t>
  </si>
  <si>
    <t>M1 3.4</t>
  </si>
  <si>
    <t>Identifiant local du dépositaire</t>
  </si>
  <si>
    <t>Local ID of depository</t>
  </si>
  <si>
    <t>Identifiant du tiers dépositaire de la sûreté dans le système de gestion de l'opération</t>
  </si>
  <si>
    <t>ID of the depositary counterparty in the operation management system</t>
  </si>
  <si>
    <t>idLocalDepo</t>
  </si>
  <si>
    <t>M1 3.6</t>
  </si>
  <si>
    <t>Identifiant central du dépositaire</t>
  </si>
  <si>
    <t>Central ID of depository</t>
  </si>
  <si>
    <t>Correspond à l'identifiant du dépositaire des titres reçus dans le système central DRG</t>
  </si>
  <si>
    <t>Represents the ID in the Group Risk Management Division IT System of the depository of the securities received</t>
  </si>
  <si>
    <t>cdCentralDepos</t>
  </si>
  <si>
    <t>ASTRE, DEI, GRR</t>
  </si>
  <si>
    <t>S'il est renseigné, l'identifiant doit correspondre à un enregistrement dans l'objet associé, indépendamment de l'entité
---
Le tiers doit exister (présence du tiers dans TIGRE)
---
Le couple identifiant local / central (M1 3.4 et M1 3.6) doit exister dans TIGRE</t>
  </si>
  <si>
    <t>If it is filled in, the identifier must correspond to a record in the associated object, regardless of the entity
---
The third-party must exist (presence of the third-party in TIGRE)
---
The local/central identifier pair (M1 3.4 and M1 3.6) must exist in TIGRE</t>
  </si>
  <si>
    <t>M1 8.11</t>
  </si>
  <si>
    <t>Lieu du dépôt de la sûreté réelle</t>
  </si>
  <si>
    <t>Place of deposit of real security</t>
  </si>
  <si>
    <t>Pour les sûretés financières
Pour les gages espèces et les titres
Le lieu du dépôt de la sûreté réelle détermine l'appartenance du dépositaire du gage-espèce ou du titre au groupe CA.</t>
  </si>
  <si>
    <t>For the financial collaterals
For cash pledges and securities
The lien's deposit location determines whether the custodian of the cash pledge or security belongs to the CA group.</t>
  </si>
  <si>
    <t>cdLieuDep</t>
  </si>
  <si>
    <t>LC.0053</t>
  </si>
  <si>
    <t>TA KVLIEU</t>
  </si>
  <si>
    <t>La donnée est obligatoire, si la nature juridique de la sûreté [M1 5.1] = 'SEC*, CAS*, COL*</t>
  </si>
  <si>
    <t>The data is mandatory, if Legal nature of the mitigant [M1 5.1] = 'SEC*, CAS*, COL*'</t>
  </si>
  <si>
    <t>TPS0706</t>
  </si>
  <si>
    <t>M1 3.99</t>
  </si>
  <si>
    <t>M1 4.1</t>
  </si>
  <si>
    <t>Etendue de la sûreté</t>
  </si>
  <si>
    <t>Scope of the mitigant</t>
  </si>
  <si>
    <t>Permet de déterminer si la sûreté reçue couvre la totalité des engagements d'une contrepartie, uniquement ceux couverts par une autorisation X, ou s'il s'agit d'une sûreté spécifique à une ligne de détail d'autorisation</t>
  </si>
  <si>
    <t>Makes it possible to determine whether the mitigant received covers all a counterparty's commitments, only those covered by facility X, or whether the mitigant is specific to an facility line</t>
  </si>
  <si>
    <t>cdEtendSur</t>
  </si>
  <si>
    <t>M1 4.3</t>
  </si>
  <si>
    <t>Arrosage</t>
  </si>
  <si>
    <t>Top-up collateral</t>
  </si>
  <si>
    <t>Périodicité de la revalorisation de la sûreté financière pour contrôle de la clause d'arrosage</t>
  </si>
  <si>
    <t>Frequency of the revaluation of the financial mitigant in order to check the top-up collateral clause</t>
  </si>
  <si>
    <t>cdArrosage</t>
  </si>
  <si>
    <t>M1 4.99</t>
  </si>
  <si>
    <t>M1 5.1</t>
  </si>
  <si>
    <t>Nature juridique de la sûreté</t>
  </si>
  <si>
    <t>Legal nature of the mitigant</t>
  </si>
  <si>
    <t>Permet de déterminer le code correspondant à la nature juridique de la sûreté reçue</t>
  </si>
  <si>
    <t>Makes it possible to determine the code corresponding to the legal nature of the mitigant received</t>
  </si>
  <si>
    <t>cdNatJur</t>
  </si>
  <si>
    <t>LC.0049</t>
  </si>
  <si>
    <t>TA KVSURJUR</t>
  </si>
  <si>
    <t>AER, ANACREDIT, ASTRE, DEI, ESG PILIER 3, GRR, LOAN TAPE, MREL, NPE, NSFR, SA-CCR, RISQUE PHYSIQUE, SRB VALUATION</t>
  </si>
  <si>
    <t>Si la combinaison de donnée n'est pas trouvée dans la matrice des règles de gestion C29, le contrôle doit se lever</t>
  </si>
  <si>
    <t>If the data combinaison is not found in the C29 business rules matrix, the control must trigger</t>
  </si>
  <si>
    <t>TC0C29</t>
  </si>
  <si>
    <t>M1 5.2</t>
  </si>
  <si>
    <t>Information complémentaire 1 sur la nature économique de la sûreté</t>
  </si>
  <si>
    <t>Additional information 1 on the economic nature of the mitigant</t>
  </si>
  <si>
    <t>La nature juridique d'une sûreté reçue peut être précisée par des éléments de nature économique (de 1 à 4) permettant de déterminer en particulier si cette sûreté est éligible selon les différentes méthodologies</t>
  </si>
  <si>
    <t>The legal nature of a mitigant received may be specified by items of an economic nature (from 1 to 4) making it possible to determine in particular whether this mitigant is eligible under the various methodologies</t>
  </si>
  <si>
    <t>cdInfo</t>
  </si>
  <si>
    <t>RB KVCDSUE1</t>
  </si>
  <si>
    <t>Si renseigné, l'information complémentaire 1 doit être cohérente avec la Nature juridique de la sûreté (M1 5.1)</t>
  </si>
  <si>
    <t>If filled in, the additional information 1 must be consistent with the legal nature of the security interest (M1 5.1)</t>
  </si>
  <si>
    <t>AER, ANACREDIT, DEI, GRR, LOAN TAPE, MREL, OMP, SA-CCR</t>
  </si>
  <si>
    <t xml:space="preserve">La donnée est obligatoire si la nature juridique de la sûreté [M1 5.1] est égale à ‘COL0101' ou 'REE01xx' </t>
  </si>
  <si>
    <t xml:space="preserve">The data is mandatory if the legal nature of the mitigant [M1 5.1] is equal to ‘COL0101' or ‘REE01xx' </t>
  </si>
  <si>
    <t>TPS0707</t>
  </si>
  <si>
    <t>M1 5.3</t>
  </si>
  <si>
    <t>Information complémentaire 2 sur la nature économique de la sûreté</t>
  </si>
  <si>
    <t>Additional information 2 on the economic nature of the mitigant</t>
  </si>
  <si>
    <t>Précisions qualitatives supplémentaires sur le sous-jacent du FRR affinant l'information remontée en M1 5.2</t>
  </si>
  <si>
    <t>Additional qualitative details on the underlying of the FRR, enhancing the information reported in M1 5.2</t>
  </si>
  <si>
    <t>cdInfo2</t>
  </si>
  <si>
    <t>RB KVCDSUE2</t>
  </si>
  <si>
    <t>DEI, LOAN TAPE, LIQUIDITE, MREL, NSFR, OCTROI DE CREDIT, SA-CCR</t>
  </si>
  <si>
    <t>M1 5.4</t>
  </si>
  <si>
    <t>Information complémentaire 3 sur la nature économique de la sûreté</t>
  </si>
  <si>
    <t>Additional information 3 on the economic nature of the mitigant</t>
  </si>
  <si>
    <t>Précisions qualitatives supplémentaires sur le sous-jacent du FRR affinant l'information remontée en M1 5.3</t>
  </si>
  <si>
    <t>Additional qualitative details on the underlying of the FRR, enhancing the information reported in M1 5.3</t>
  </si>
  <si>
    <t>cdInfo3</t>
  </si>
  <si>
    <t>RB KVCDSUE3</t>
  </si>
  <si>
    <t>Si renseigné, l'information complémentaire 3 doit être cohérente avec l'information complémentaire 2</t>
  </si>
  <si>
    <t>If filled in, the additional information 3 must be consistent with the additional information 2</t>
  </si>
  <si>
    <t>CALCULS PRUDENTIELS, DEI, LOAN TAPE</t>
  </si>
  <si>
    <t>M1 5.5</t>
  </si>
  <si>
    <t>Information complémentaire 4 sur la nature économique de la sûreté</t>
  </si>
  <si>
    <t>Additional information 4 on the economic nature of the mitigant</t>
  </si>
  <si>
    <t>Précisions qualitatives supplémentaires sur le sous-jacent du FRR affinant l'information remontée en M1 5.4</t>
  </si>
  <si>
    <t>Additional qualitative details on the underlying of the FRR, enhancing the information reported in M1 5.4</t>
  </si>
  <si>
    <t>cdInfo4</t>
  </si>
  <si>
    <t>RB KVCDSUE4</t>
  </si>
  <si>
    <t>Si renseigné, l'information complémentaire 4 doit être cohérente avec l'information complémentaire 3</t>
  </si>
  <si>
    <t>If filled in, the additional information 4 must be consistent with the additional information 3</t>
  </si>
  <si>
    <t>M1 5.99</t>
  </si>
  <si>
    <t>REE-TAS</t>
  </si>
  <si>
    <t>M1 6.1</t>
  </si>
  <si>
    <t xml:space="preserve">Montant initial de la sûreté </t>
  </si>
  <si>
    <t>Initial amount of the surety</t>
  </si>
  <si>
    <t>Montant de la sûreté revenant à l'entité porteuse de risques</t>
  </si>
  <si>
    <t>Initial share of the mitigant amount attributable to the risk-bearing entity</t>
  </si>
  <si>
    <t>MtIni</t>
  </si>
  <si>
    <t>AER, GRR, LOAN TAPE, NSFR, SA-CCR</t>
  </si>
  <si>
    <t>SEC-CAS-COL
IAS
REE-TAS
GUA-CDE
INS</t>
  </si>
  <si>
    <t>M1 6.97</t>
  </si>
  <si>
    <t>ZoneLibre6_97</t>
  </si>
  <si>
    <t>M1 6.3</t>
  </si>
  <si>
    <t xml:space="preserve">Montant révisé de la sûreté </t>
  </si>
  <si>
    <t>Revised amount of the surety</t>
  </si>
  <si>
    <t>Montant révisé du montant la sûreté revenant à l'entité porteuse de risques
Le montant "initial" peut être révisé dans le cadre des procédures de revalorisation des sûretés de façon régulière. Il n'intègre pas les décotes réglementaires
Pour les sûretés immobilières le montant révisé correspond à la valeur du bien</t>
  </si>
  <si>
    <t>Revised share of the mitigant amount attributable to the risk-bearing entity.
The “initial” amount may be regularly revised as part of mitigant revaluation procedures. 
It does not include regulatory haircuts</t>
  </si>
  <si>
    <t>AER, DEI, ESG PILIER 3, GRR, LIQUIDITE, LOAN TAPE, MREL, NSFR, SA-CCR, SRB VALUATION</t>
  </si>
  <si>
    <t>La donnée est obligatoire si la date de révision du montant [M1 6.6] est renseignée</t>
  </si>
  <si>
    <t>The data is mandatory if the revision date of the amount [M1 6.6] is filled in</t>
  </si>
  <si>
    <t>TPS0708</t>
  </si>
  <si>
    <t>M1 6.98</t>
  </si>
  <si>
    <t>ZoneLibre6_98</t>
  </si>
  <si>
    <t>M1 6.5</t>
  </si>
  <si>
    <t>Devise de la sûreté</t>
  </si>
  <si>
    <t>Currency of the mitigant</t>
  </si>
  <si>
    <t>Devise d'expression des montants initial (M1 6.1) et révisé (M1 6.3) de la sûreté</t>
  </si>
  <si>
    <t>Currency in which the initial (M1 6.1) and revised (M1 6.3) amounts of the mitigant are denominated</t>
  </si>
  <si>
    <t>cdDevSur</t>
  </si>
  <si>
    <t>AER, ANACREDIT, DEI, GRR, LIQUIDITE, LOAN TAPE, MREL, NSFR, SA-CCR, SRB VALUATION</t>
  </si>
  <si>
    <t>La donnée est obligatoire si Montant initial de la sûreté [M1 6.1] OU Montant révisé de la sûreté [M1 6.3] est renseigné</t>
  </si>
  <si>
    <t>The data is mandatory if Initial amount of the surety [M1 6.1] OR Revised amount of the surety [M1 6.3] is filled</t>
  </si>
  <si>
    <t>M1 6.6</t>
  </si>
  <si>
    <t>Date de révision du montant</t>
  </si>
  <si>
    <t>Date of revision of amount</t>
  </si>
  <si>
    <t>Correspond à la date à laquelle le montant de sûreté reçu par l'entité a été révisé à la valeur indiquée en M1 6.3</t>
  </si>
  <si>
    <t>Represents the date on which the amount (or percentage) of the mitigant received by the entity was revised to the value indicated in M1 6.3</t>
  </si>
  <si>
    <t>dtRevMt</t>
  </si>
  <si>
    <t>Correspond à la dernière date de réévaluation de la sûreté</t>
  </si>
  <si>
    <t>Corresponds to the last revaluation date of the security interest</t>
  </si>
  <si>
    <t>ANACREDIT, LIQUIDITE, LOAN TAPE</t>
  </si>
  <si>
    <t>Si renseignée, Date de révision du montant [M1 6.6] &lt;= Date de fin d'effet [M1 7.2]</t>
  </si>
  <si>
    <t>If filled, Date of revision of amount [M1 6.6] &lt;= Date expiring [M1 7.2]</t>
  </si>
  <si>
    <t>TCS0760</t>
  </si>
  <si>
    <t>M1 6.7</t>
  </si>
  <si>
    <t>Devise du montant de l'hypothèque</t>
  </si>
  <si>
    <t>Currency of the mortgage amount</t>
  </si>
  <si>
    <t xml:space="preserve">Devise d'expression du montant de l'hypothèque </t>
  </si>
  <si>
    <t xml:space="preserve">Currency of the mortgage amount </t>
  </si>
  <si>
    <t>cdDevMtHyp</t>
  </si>
  <si>
    <t>La donnée est obligatoire, si Montant d'hypothèque [M1 8.34] est renseigné</t>
  </si>
  <si>
    <t>The data is mandatory, if Mortgage amount [M1 8.34] is filled</t>
  </si>
  <si>
    <t>M1 6.99</t>
  </si>
  <si>
    <t>M1 7.1</t>
  </si>
  <si>
    <t xml:space="preserve">Date de début d'effet de la sûreté </t>
  </si>
  <si>
    <t>Date of coming into effect of the surety</t>
  </si>
  <si>
    <t>Date de début d'effet de la sûreté</t>
  </si>
  <si>
    <t>dtDebEf</t>
  </si>
  <si>
    <t>Seules les sûretés reçues ‘actives' sont à remonter</t>
  </si>
  <si>
    <t>Only received ‘active' collateral must be reported</t>
  </si>
  <si>
    <t>ANACREDIT, DEI, GRR, LIQUIDITE, LOAN TAPE, NPE</t>
  </si>
  <si>
    <t>M1 7.2</t>
  </si>
  <si>
    <t>Date de fin d'effet</t>
  </si>
  <si>
    <t>Date expiring</t>
  </si>
  <si>
    <t>Date de fin d'effet de la sûreté</t>
  </si>
  <si>
    <t>Date of expiry of the mitigant</t>
  </si>
  <si>
    <t>dtFinEf</t>
  </si>
  <si>
    <t>AER, ANACREDIT, DEI, ESG PILIER 3, GRR, LIQUIDITE, LOAN TAPE</t>
  </si>
  <si>
    <t>La date de fin de la sûreté [M1 7.2] doit être strictement supérieure à la Date de début d'effet [M1 7.1]
---
La donnée doit être supérieure ou égale à la date d'arrêté</t>
  </si>
  <si>
    <t>The Date expiring of the security [M1 7.2] must be after Date of coming into effect [M1 7.1]
---
Data must be greater or equal than closing date</t>
  </si>
  <si>
    <t>TCS0761
TCG0002</t>
  </si>
  <si>
    <t>M1 7.5</t>
  </si>
  <si>
    <t>Eligibilité de la sûreté</t>
  </si>
  <si>
    <t>Eligibility of the mitigant</t>
  </si>
  <si>
    <t>Indicateur qui spécifie que la sûreté déclarée répond aux exigences minimales d'éligibilité</t>
  </si>
  <si>
    <t>Indicates whether minimum eligibility conditions are satisfied</t>
  </si>
  <si>
    <t>cdEligSur</t>
  </si>
  <si>
    <t>LC.0169</t>
  </si>
  <si>
    <t>TA KVELIGIB</t>
  </si>
  <si>
    <t>Quelle que soit la méthodologie Bâle, l'indicateur Eligibilité de la sûreté est obligatoire</t>
  </si>
  <si>
    <t>Regardless of the Basel methodology, the Eligibility of the security interest indicator is mandatory</t>
  </si>
  <si>
    <t>ASTRE, LOAN TAPE, NPE</t>
  </si>
  <si>
    <t>M1 7.6</t>
  </si>
  <si>
    <t xml:space="preserve">Pays de recours de la sûreté </t>
  </si>
  <si>
    <t>Country of governing law of the mitigant</t>
  </si>
  <si>
    <t>Code ISO correspondant au pays de droit du contrat de la sûreté lorsque celle-ci est activée</t>
  </si>
  <si>
    <t>ISO code of the jurisdiction governing the contractual aspects of the mitigant when it is called in</t>
  </si>
  <si>
    <t>cdPayRec</t>
  </si>
  <si>
    <t>M1 7.7</t>
  </si>
  <si>
    <t>Rang de la sûreté</t>
  </si>
  <si>
    <t>Ranking of the mitigant</t>
  </si>
  <si>
    <t>Le rang permet de connaître la position de l'entité vis à vis de la garantie.
En cas de mise en jeu de la sûreté, il précise l'ordre de distribution du prix de cession sur les créanciers lorsqu'ils sont plusieurs.
Cet ordre est déterminé en fonction de la date d'inscription de la sûreté. (1er inscrit =&gt; rang 1).
Si la banque est seul créancier, le rang est égal à 1</t>
  </si>
  <si>
    <t>The ranking makes it possible to position the entity vis-à-vis the mitigant.
In the event that the mitigant is called in, it specifies the order in which the sales proceeds will be paid out to creditors where there is more than one.
This order is determined on the basis of the date on which mitigants are recorded. (1st entry =&gt; 1st ranking).
Where the bank is the only creditor, the rank is 1</t>
  </si>
  <si>
    <t>cdRgSur</t>
  </si>
  <si>
    <t>LC.0051</t>
  </si>
  <si>
    <t>TA KVRANG</t>
  </si>
  <si>
    <t>La valeur par défaut = ‘1'</t>
  </si>
  <si>
    <t>The default value = ‘1'</t>
  </si>
  <si>
    <t>ANACREDIT, DEI, LOAN TAPE, SRB VALUATION</t>
  </si>
  <si>
    <t>M1 7.8</t>
  </si>
  <si>
    <t>Sortie du risque pays</t>
  </si>
  <si>
    <t>Reduction of country risk</t>
  </si>
  <si>
    <t>Correspond au niveau de risque auquel le "risque pays" est déplacé du fait de la mise en place de la garantie (garant d'un pays autre que l'emprunteur)</t>
  </si>
  <si>
    <t>Represents the extent to which the “country risk” is attenuated by virtue of the establishment of the mitigant (country guarantor other than the borrower)</t>
  </si>
  <si>
    <t>cdSortieRisqPays</t>
  </si>
  <si>
    <t>LC.0052</t>
  </si>
  <si>
    <t>TA KVSORTIE</t>
  </si>
  <si>
    <t>La valeur par défaut = ‘0'</t>
  </si>
  <si>
    <t>The default value = ‘0'</t>
  </si>
  <si>
    <t>M1 7.9</t>
  </si>
  <si>
    <t>Méthodologie de valorisation</t>
  </si>
  <si>
    <t>Valuation methodology</t>
  </si>
  <si>
    <t>Cette donnée permet de connaître la méthodologie appliquée pour valoriser le montant (ou pourcentage) de la sûreté reçue</t>
  </si>
  <si>
    <t>This data makes it possible to identify the methodology applied to value the amount (or percentage) of the mitigant received</t>
  </si>
  <si>
    <t>cdMetValo</t>
  </si>
  <si>
    <t>LC.0061</t>
  </si>
  <si>
    <t>TA KVBALE2</t>
  </si>
  <si>
    <t>M1 8.26</t>
  </si>
  <si>
    <t>Périodicité de revalorisation de la sûreté</t>
  </si>
  <si>
    <t>Periodicity of revaluation of mitigant</t>
  </si>
  <si>
    <t>Correspond au nombre de jours définissant la périodicité avec laquelle la valeur de la sûreté est ré estimée.</t>
  </si>
  <si>
    <t>Represents the number of days specifying the periodicity with which the value of the mitigant is re-estimated.</t>
  </si>
  <si>
    <t>prdRevSur</t>
  </si>
  <si>
    <t>GRR, SA-CCR</t>
  </si>
  <si>
    <t>M1 7.19</t>
  </si>
  <si>
    <t>Guarantee trigger event</t>
  </si>
  <si>
    <t>Evénement susceptible de déclencher la mise en jeu de la garantie</t>
  </si>
  <si>
    <t>Event likely to trigger the implementation of the guarantee</t>
  </si>
  <si>
    <t>M1 7.20</t>
  </si>
  <si>
    <t>Disponibilité de l'actif reçu en collatéral pour encombrement</t>
  </si>
  <si>
    <t>Availability of assets received as collateral for encumbrance</t>
  </si>
  <si>
    <t>indMobAct</t>
  </si>
  <si>
    <t>M1 7.98</t>
  </si>
  <si>
    <t>dtEcheaTitre</t>
  </si>
  <si>
    <t>M1 7.10</t>
  </si>
  <si>
    <t>Indicateur Garantie Directe</t>
  </si>
  <si>
    <t>Direct Mitigant Indicator</t>
  </si>
  <si>
    <t>Indicateur permettant de préciser si la garantie est directe</t>
  </si>
  <si>
    <t>Indicator making it possible to specify whether the mitigant is direct</t>
  </si>
  <si>
    <t>indGarDirect</t>
  </si>
  <si>
    <t>LC.0202</t>
  </si>
  <si>
    <t>TA KVIGD</t>
  </si>
  <si>
    <t xml:space="preserve">
GUA-CDE
</t>
  </si>
  <si>
    <t>M1 7.11</t>
  </si>
  <si>
    <t>Indicateur Garantie Explicite</t>
  </si>
  <si>
    <t>Explicit Mitigant Indicator</t>
  </si>
  <si>
    <t>Indicateur permettant de préciser si la garantie est explicite</t>
  </si>
  <si>
    <t>Indicator making it possible to specify whether the mitigant is explicit</t>
  </si>
  <si>
    <t>indGarExplicite</t>
  </si>
  <si>
    <t>LC.0203</t>
  </si>
  <si>
    <t>TA KVIGE</t>
  </si>
  <si>
    <t>Une garantie est dite explicite, si les 3 conditions sont repectées :
- Contrat juridique signé (acte officiel déposé dans un cabinet d'avocat ou chez un notaire)
- Tiers qui se porte garant caution s'est engagé en pleine connaissance de l'étendue de son engagement et de la situation financière du débiteur principal
- Cautionnement express et sans équivoque</t>
  </si>
  <si>
    <t>A guarantee is said to be explicit, if the 3 conditions are met:
- Legal contract signed (official document deposited in a lawyer's office or in a notary)
- Third parties that act as guarantor guarantee have undertaken in full knowledge of the extent of its funds in use and the financial situation of the main debtor
- Quick and unequivocal guarantee</t>
  </si>
  <si>
    <t>M1 7.12</t>
  </si>
  <si>
    <t>Indicateur 'Garantie Irrévocable'</t>
  </si>
  <si>
    <t>Indicator 'Irrevocable Mitigant'</t>
  </si>
  <si>
    <t>Indicateur permettant de préciser si la garantie est irrévocable</t>
  </si>
  <si>
    <t>Indicator making it possible to specify whether the mitigant is irrevocable</t>
  </si>
  <si>
    <t>indGarIrrevoc</t>
  </si>
  <si>
    <t>LC.0204</t>
  </si>
  <si>
    <t>TA KVIGI</t>
  </si>
  <si>
    <t>Une garantie est dite irrévocable quand le garant reste tenu jusqu'à extinction totale de la créance sans faculté de dénonciation</t>
  </si>
  <si>
    <t>A guarantee shall be deemed irrevocable when the guarantor remains bound until the claim is completely extinguished without the right to denounce</t>
  </si>
  <si>
    <t>CALCULS PRUDENTIELS, NPE</t>
  </si>
  <si>
    <t>M1 7.13</t>
  </si>
  <si>
    <t>Indicateur 'Garantie Inconditionnelle'</t>
  </si>
  <si>
    <t>'Unconditional Mitigant' indicator</t>
  </si>
  <si>
    <t>Indicateur permettant de préciser si la garantie est inconditionnelle</t>
  </si>
  <si>
    <t>Indicator making it possible to specify whether the guarantee is unconditional</t>
  </si>
  <si>
    <t>indGarIncondi</t>
  </si>
  <si>
    <t>LC.0205</t>
  </si>
  <si>
    <t>TA KVIGINC</t>
  </si>
  <si>
    <t>Une garantie est dite inconditionnelle si le garant appelé par la banque doit payer sans condition</t>
  </si>
  <si>
    <t>A guarantee is said to be unconditional if the guarantor called by the bank has to pay unconditionally</t>
  </si>
  <si>
    <t>M1 7.14</t>
  </si>
  <si>
    <t>Indicateur 'corrélation emprunteur sûreté'</t>
  </si>
  <si>
    <t>Mitigant borrower correlation' indicator</t>
  </si>
  <si>
    <t>Indicateur permettant de préciser le niveau de consanguinité entre la santé financière du garant ou la valeur de la sûreté, et la santé financière de l'emprunteur</t>
  </si>
  <si>
    <t>Indicator making it possible to specify the level of correlation between the financial health of the guarantor or the value of the mitigant, and the financial health of the borrower</t>
  </si>
  <si>
    <t>indCorrSur</t>
  </si>
  <si>
    <t>LC.0075</t>
  </si>
  <si>
    <t>TA KVCONSAN</t>
  </si>
  <si>
    <t>Donnée réservée à CACIB</t>
  </si>
  <si>
    <t>Reserved for CACIB</t>
  </si>
  <si>
    <t>SEC-CAS-COL
GUA-CDE</t>
  </si>
  <si>
    <t>M1 7.99</t>
  </si>
  <si>
    <t>ZoneLibre7_99</t>
  </si>
  <si>
    <t>M1 8.35</t>
  </si>
  <si>
    <t>Margin call triggering threshold amount</t>
  </si>
  <si>
    <t>SA-CCR</t>
  </si>
  <si>
    <t>SEC-CAS-COL</t>
  </si>
  <si>
    <t>La donnée est obligatoire si la nature juridique de la sûreté [M1 5.1] = ‘COL01xx'</t>
  </si>
  <si>
    <t>The data is mandatory if Legal nature of the mitigant [M1 5.1] = ‘COL01xx'</t>
  </si>
  <si>
    <t>TPS0710</t>
  </si>
  <si>
    <t>M1 8.36</t>
  </si>
  <si>
    <t>Currency of margin call threshold amount</t>
  </si>
  <si>
    <t xml:space="preserve">Devise du montant du seuil de déclenchement de l'appel de marge </t>
  </si>
  <si>
    <t xml:space="preserve">SEC-CAS-COL
</t>
  </si>
  <si>
    <t>La donnée est obligatoire, si le montant du seuil de déclenchement de l'appel de marge [M1 8.35] est renseigné</t>
  </si>
  <si>
    <t>The data is mandatory, if Margin call trigerring threshold amount [M1 8.35] is filled</t>
  </si>
  <si>
    <t>M1 8.31</t>
  </si>
  <si>
    <t>Localisation bourse de Cotation</t>
  </si>
  <si>
    <t>Location listing exchange</t>
  </si>
  <si>
    <t>Code of country of stock exchange in which the securities are listed</t>
  </si>
  <si>
    <t>cdBourseCotat</t>
  </si>
  <si>
    <t>NB : Facultatif pour le type de risque INS</t>
  </si>
  <si>
    <t>N.B. Optional for the INS risk type</t>
  </si>
  <si>
    <t>DEI, SA-CCR</t>
  </si>
  <si>
    <t>SEC-CAS-COL
INS</t>
  </si>
  <si>
    <t>La donnée est obligatoire si la nature juridique de la sûreté [M1 5.1] = ‘SEC01xx' et si l'info complémentaire 1 [M1 5.2] est renseignée et différente de 11, 12, 13</t>
  </si>
  <si>
    <t>The data is mandatory if Legal nature of the mitigant [M1 5.1] = ‘SEC01xx' and if additional info 1 [M1 5.2]is filled in and is different from 11, 12, 13</t>
  </si>
  <si>
    <t>TPS0711</t>
  </si>
  <si>
    <t>M1 8.32</t>
  </si>
  <si>
    <t>Indicateur Indice de Cotation Bâlois</t>
  </si>
  <si>
    <t>Basel stock index indicator</t>
  </si>
  <si>
    <t>cdIndCotBal</t>
  </si>
  <si>
    <t>LC.0253</t>
  </si>
  <si>
    <t>TA KVIICB</t>
  </si>
  <si>
    <t>M1 8.1</t>
  </si>
  <si>
    <t>Indice dont les titres font partie</t>
  </si>
  <si>
    <t>Index to which the securities belong</t>
  </si>
  <si>
    <t>Code de l'indice</t>
  </si>
  <si>
    <t>Index code</t>
  </si>
  <si>
    <t>cdInd</t>
  </si>
  <si>
    <t>La donnée est obligatoire si l'Indicateur Indice de Cotation Bâlois [M1 8.32] = ‘Y'</t>
  </si>
  <si>
    <t>The data is mandatory if Basel stock index indicator [M1 8.32] = ‘Y'</t>
  </si>
  <si>
    <t>TPS0712</t>
  </si>
  <si>
    <t>M1 8.2</t>
  </si>
  <si>
    <t>Référence des titres dans l'indice</t>
  </si>
  <si>
    <t>Securities index symbol</t>
  </si>
  <si>
    <t>Code ISIN des titres au sein de l'indice mentionné en M1 8.1</t>
  </si>
  <si>
    <t>ISIN code of securities within the index mentioned in M1 8.1</t>
  </si>
  <si>
    <t>cdTitre</t>
  </si>
  <si>
    <t>AER, LIQUIDITE, NSFR</t>
  </si>
  <si>
    <t>M1 8.3</t>
  </si>
  <si>
    <t>Echelon de qualité de crédit des titres</t>
  </si>
  <si>
    <t>Securities credit quality step</t>
  </si>
  <si>
    <t>Correspond à l'échelon de qualité de crédit des titres</t>
  </si>
  <si>
    <t>Represents the Securities credit quality step</t>
  </si>
  <si>
    <t>cdQualTitre</t>
  </si>
  <si>
    <t>DEI, NSFR</t>
  </si>
  <si>
    <t>M1 8.4</t>
  </si>
  <si>
    <t>Nombre de titres détenus</t>
  </si>
  <si>
    <t>Number of securities held</t>
  </si>
  <si>
    <t>nbTitreDete</t>
  </si>
  <si>
    <t>M1 8.5</t>
  </si>
  <si>
    <t>Date d'échéance des titres</t>
  </si>
  <si>
    <t>Maturity date of securities</t>
  </si>
  <si>
    <t>Date d'échéance des titres déposés, reçus</t>
  </si>
  <si>
    <t>Maturity date of securities deposited, received</t>
  </si>
  <si>
    <t>AER, DEI</t>
  </si>
  <si>
    <t>SECxx</t>
  </si>
  <si>
    <t>La donnée est obligatoire si la nature juridique de la sûreté [M1 5.1] = ‘SECxx'</t>
  </si>
  <si>
    <t>The data is mandatory if Legal nature of the mitigant [M1 5.1] = ‘SECxx'</t>
  </si>
  <si>
    <t>TPS0714</t>
  </si>
  <si>
    <t>M1 8.6</t>
  </si>
  <si>
    <t>Période de liquidation des titres</t>
  </si>
  <si>
    <t>Settlement period of securities</t>
  </si>
  <si>
    <t>Délai minimal nécessaire à la liquidation des titres, exprimé en nombre de jours</t>
  </si>
  <si>
    <t>Minimum period required for settlement of securities, expressed in number of days</t>
  </si>
  <si>
    <t>prdLiqTitre</t>
  </si>
  <si>
    <t>La donnée est obligatoire si la nature juridique de la sûreté [M1 5.1] = ‘SEC01xx'</t>
  </si>
  <si>
    <t>The data is mandatory if Legal nature of the mitigant [M1 5.1] = ‘SEC01xx'</t>
  </si>
  <si>
    <t>TPS0713</t>
  </si>
  <si>
    <t>M1 8.7</t>
  </si>
  <si>
    <t xml:space="preserve">Pays d'émission des titres </t>
  </si>
  <si>
    <t xml:space="preserve">Country of issue of securities </t>
  </si>
  <si>
    <t>Pays d'émission des titres</t>
  </si>
  <si>
    <t>Country of issue of securities</t>
  </si>
  <si>
    <t>cdPaysTitre</t>
  </si>
  <si>
    <t>NSFR</t>
  </si>
  <si>
    <t>M1 8.8</t>
  </si>
  <si>
    <t>Identifiant local de l'émetteur des titres</t>
  </si>
  <si>
    <t>Local ID of issuer of securities</t>
  </si>
  <si>
    <t>Identifiant de l'émetteur des titres dans le système de gestion de l'opération</t>
  </si>
  <si>
    <t>ID of the issuer of securities in the operation management system</t>
  </si>
  <si>
    <t>idLocalEmetTitre</t>
  </si>
  <si>
    <t>Vérification présence d'un enregistrement de type C1 avec même identifiant dans le lot</t>
  </si>
  <si>
    <t>Check that there is a C1 record with the same identifier in the batch</t>
  </si>
  <si>
    <t>AER, DEI, GRR</t>
  </si>
  <si>
    <t>M1 8.9</t>
  </si>
  <si>
    <t>Identifiant central de l'émetteur des titres</t>
  </si>
  <si>
    <t>Central ID of issuer of securities</t>
  </si>
  <si>
    <t>Identifiant de l'émetteur des titres dans le système central DRG</t>
  </si>
  <si>
    <t>ID of the issuer of securities in the Group Risk Management Division IT system</t>
  </si>
  <si>
    <t>cdCentralEmetTitre</t>
  </si>
  <si>
    <t xml:space="preserve"> NB : Facultatif pour le type de risque INS</t>
  </si>
  <si>
    <t xml:space="preserve"> N.B. Optional for the INS risk type</t>
  </si>
  <si>
    <t>AER, ASTRE, DEI, GRR</t>
  </si>
  <si>
    <t>S'il est renseigné, l'identifiant doit correspondre à un enregistrement dans l'objet associé, indépendamment de l'entité
---
Le tiers doit exister (présence du tiers dans TIGRE)
---
Le couple identifiant local / central (M1 8.8 et M1 8.9) doit exister dans TIGRE</t>
  </si>
  <si>
    <t>If it is filled in, the identifier must correspond to a record in the associated object, regardless of the entity
---
The third-party must exist (presence of the third-party in TIGRE)
---
The local/central identifier pair (M1 8.8 and M1 8.9) must exist in TIGRE</t>
  </si>
  <si>
    <t>M1 8.10</t>
  </si>
  <si>
    <t>Nationalité de l'émetteur</t>
  </si>
  <si>
    <t>Nationality of issuer</t>
  </si>
  <si>
    <t>Nationalité de la société émettrice des titres</t>
  </si>
  <si>
    <t>Nationality of the company issuing securities</t>
  </si>
  <si>
    <t>cdPaysEmet</t>
  </si>
  <si>
    <t>M1 8.37</t>
  </si>
  <si>
    <t>Donnée Bâle</t>
  </si>
  <si>
    <t>Basel data</t>
  </si>
  <si>
    <t>M1 8.38</t>
  </si>
  <si>
    <t>M1 8.12</t>
  </si>
  <si>
    <t>Pays d'inscription de l'actif incorporel</t>
  </si>
  <si>
    <t>Country of registration of the intangible asset.</t>
  </si>
  <si>
    <t>Country of registration of the intangible asset</t>
  </si>
  <si>
    <t>cdPaysInscriptActifIncompl</t>
  </si>
  <si>
    <t>IAS</t>
  </si>
  <si>
    <t>M1 8.13</t>
  </si>
  <si>
    <t>Indicateur de marque ou brevet déposé</t>
  </si>
  <si>
    <t>Indicator of brand or patent registered</t>
  </si>
  <si>
    <t>Indicateur permettant de préciser si la marque ou le brevet inscrit au titre de sûreté fait l'objet d'une inscription ou dépôt au registre national des brevets du pays mentionné en M1 8.12</t>
  </si>
  <si>
    <t>Indicator to clarify whether the mark or patent registered as a security right is registered or filed in the national patent register of the country mentioned in M1 8.12</t>
  </si>
  <si>
    <t>indMarqueDepose</t>
  </si>
  <si>
    <t>LC.0481</t>
  </si>
  <si>
    <t>TA Z8IDMOBD</t>
  </si>
  <si>
    <t xml:space="preserve">
IAS
</t>
  </si>
  <si>
    <t>La donnée est obligatoire si la nature juridique de la sûreté [M1 5.1] = ‘IAS0201'</t>
  </si>
  <si>
    <t>The data is mandatory if Legal nature of the mitigant [M1 5.1] = ‘IAS0201'</t>
  </si>
  <si>
    <t>TPS0715</t>
  </si>
  <si>
    <t>M1 8.14</t>
  </si>
  <si>
    <t>Année de tombée dans le domaine public</t>
  </si>
  <si>
    <t>Year of falling into the public domain</t>
  </si>
  <si>
    <t>numAnneeTombPublic</t>
  </si>
  <si>
    <t>M1 8.15</t>
  </si>
  <si>
    <t>Droit applicable à la créance</t>
  </si>
  <si>
    <t>Law applicable to the claim</t>
  </si>
  <si>
    <t>Détermination du pays dans lequel le tribunal sera compétent pour régler le litige</t>
  </si>
  <si>
    <t>Determination of the country in which the court will have jurisdiction to settle the dispute</t>
  </si>
  <si>
    <t>cdPaysDroitApplic</t>
  </si>
  <si>
    <t>M1 8.16</t>
  </si>
  <si>
    <t>Nationalité du débiteur cédé</t>
  </si>
  <si>
    <t>Nationality of the debtor assigned</t>
  </si>
  <si>
    <t>Correspond à la nationalité du débiteur de la créance cédée comme sûreté</t>
  </si>
  <si>
    <t>Corresponds to the nationality of the debtor of the assigned receivable as security</t>
  </si>
  <si>
    <t>cdPaysDebitCede</t>
  </si>
  <si>
    <t>M1 8.17</t>
  </si>
  <si>
    <t>Indicateur location gérance</t>
  </si>
  <si>
    <t>Indicator lease management</t>
  </si>
  <si>
    <t>Pour nantissement de fonds de commerce, permet de déterminer si le fonds est en location gérance</t>
  </si>
  <si>
    <t>For pledge of business, allows to determine if the fund is leased managed</t>
  </si>
  <si>
    <t>indLocationGerance</t>
  </si>
  <si>
    <t>LC.0207</t>
  </si>
  <si>
    <t>TA KVILG</t>
  </si>
  <si>
    <t>La donnée est obligatoire si la nature juridique de la sûreté [M1 5.1] = ‘IAS0101'</t>
  </si>
  <si>
    <t>The data is mandatory if Legal nature of the mitigant [M1 5.1] = ‘IAS0101'</t>
  </si>
  <si>
    <t>TPS0717</t>
  </si>
  <si>
    <t>M1 8.18</t>
  </si>
  <si>
    <t>Année de mise en service du bien</t>
  </si>
  <si>
    <t>Year of commissioning the property</t>
  </si>
  <si>
    <t>Year asset brought into service</t>
  </si>
  <si>
    <t>dtMisServBien</t>
  </si>
  <si>
    <t>A renseigner obligatoirement pour les avions et navires</t>
  </si>
  <si>
    <t>Must be completed for aircraft and ships</t>
  </si>
  <si>
    <t>CALCULS PRUDENTIELS, LOAN TAPE</t>
  </si>
  <si>
    <t>M1 8.19</t>
  </si>
  <si>
    <t>Année de construction du bien</t>
  </si>
  <si>
    <t>Year asset built</t>
  </si>
  <si>
    <t xml:space="preserve">Year asset built
</t>
  </si>
  <si>
    <t>dtConsBien</t>
  </si>
  <si>
    <t>M1 8.27</t>
  </si>
  <si>
    <t>Méthode de valorisation du bien</t>
  </si>
  <si>
    <t>Asset valuation method.</t>
  </si>
  <si>
    <t>Asset valuation method</t>
  </si>
  <si>
    <t>La donnée est obligatoire si la nature juridique de la sûreté [M1 5.1] = ‘REE01xx' ou ‘TASxxxx'</t>
  </si>
  <si>
    <t>The data is mandatory if Legal nature of the mitigant [M1 5.1] = ‘REE01xx' or ‘TASxxxx'</t>
  </si>
  <si>
    <t>TPS0718</t>
  </si>
  <si>
    <t>M1 8.28</t>
  </si>
  <si>
    <t>Qualité du montage Repossession</t>
  </si>
  <si>
    <t>Quality of structure Repossession</t>
  </si>
  <si>
    <t>indQltMontage</t>
  </si>
  <si>
    <t>LC.0059</t>
  </si>
  <si>
    <t>TA KVQUALIT</t>
  </si>
  <si>
    <t>M1 8.29</t>
  </si>
  <si>
    <t>Qualité de l'actif immobilier</t>
  </si>
  <si>
    <t>Quality of real-estate asset</t>
  </si>
  <si>
    <t>indQltBien</t>
  </si>
  <si>
    <t>LC.0060</t>
  </si>
  <si>
    <t>TA KVACTIF</t>
  </si>
  <si>
    <t>M1 8.34</t>
  </si>
  <si>
    <t>Montant d'hypothèque</t>
  </si>
  <si>
    <t>Mortgage amount</t>
  </si>
  <si>
    <t>Le montant inscrit de l'hypothèque correspond au montant maximum que la Banque pourra récupérer lors de la réalisation de la sûreté</t>
  </si>
  <si>
    <t>The amount indicated on the mortgage represents the maximum amount that the Bank could recover upon calling in the mitigant</t>
  </si>
  <si>
    <t>mtHyp</t>
  </si>
  <si>
    <t xml:space="preserve">Obligatoire pour les sûretés immobilières </t>
  </si>
  <si>
    <t xml:space="preserve">Mandatory for real estate collateral </t>
  </si>
  <si>
    <t>La donnée est obligatoire si la nature juridique de la sûreté [M1 5.1] = ‘REE01xx'</t>
  </si>
  <si>
    <t>The data is mandatory if Legal nature of the mitigant [M1 5.1] = ‘REE01xx'</t>
  </si>
  <si>
    <t>TPS0719</t>
  </si>
  <si>
    <t>M1 8.39</t>
  </si>
  <si>
    <t>Indicateur borrowing base </t>
  </si>
  <si>
    <t>Indicator Borrowing base </t>
  </si>
  <si>
    <t>Une Borrowing Base est une méthode de détermination du montant maximal prêté à un client, basée sur la valeur d'une sûreté apportée en garantie. Si cette sûreté comprend cet indicateur alors le montant prêté est plafonné à un pourcentage de la valeur de cette sûreté</t>
  </si>
  <si>
    <t>A Borrowing Base is a method of determining the maximum amount loaned to a customer, based on the value of a guarantee security. If this collateral includes this indicator then the amount lent is capped at a percentage of the value of this collateral</t>
  </si>
  <si>
    <t>indBorrBase</t>
  </si>
  <si>
    <t>LC.0482</t>
  </si>
  <si>
    <t>TA Z8IBBASE</t>
  </si>
  <si>
    <t>Pour le type de risque IAS, obligatoire si la nature juridique de la sûreté (M1 5.1) est égale à IAS0398 (Sûretés sur nantissement de créances )
Pour le type de risque REE-TAS, obligatoire si la nature juridique de la sûreté (M1 5.1) est égale à :
- Nantissement de marchandises et stocks (TAS0401)
- Nantissements de matériel et outillages (TAS0501)
- Gages sur véhicules automobiles (TAS0601)</t>
  </si>
  <si>
    <t>For the IAS risk type, mandatory if the legal nature of the security interest (M1 5.1) is equal to IAS0398 (debts pledge security interests )
For the REE-TAS risk type, mandatory if the legal nature of the security interest (M1 5.1) is equal to:
- Pledge of goods and stocks (TAS0401)
- equipment Pledges and toolings (TAS0501)
- car vehicle assets (TAS0601)</t>
  </si>
  <si>
    <t>IAS
REE-TAS</t>
  </si>
  <si>
    <t>La donnée est obligatoire si la nature juridique de la sûreté [M1 5.1] = ‘TAS0401', ‘TAS0501', ‘TAS0601', ‘IAS0398'</t>
  </si>
  <si>
    <t>The data is mandatory if Legal nature of the mitigant [M1 5.1] = ‘TAS0401', ‘TAS0501', ‘TAS0601', ‘IAS0398'</t>
  </si>
  <si>
    <t>TPS0720</t>
  </si>
  <si>
    <t>M1 8.42</t>
  </si>
  <si>
    <t>Type de bien immobilier</t>
  </si>
  <si>
    <t>Type of property</t>
  </si>
  <si>
    <t>Type de bien immobilier
Il s'agit d'un attribut spécifique à chaque garantie</t>
  </si>
  <si>
    <t>Type of property
This is an attribute specific to each guarantee</t>
  </si>
  <si>
    <t>Cette donnée n'impacte pas la détermination des pondérations du périmètre immobilier : exposition garantie par un bien immobilier</t>
  </si>
  <si>
    <t>This data does not affect the determination of the weightings of the real estate scope: exposure guaranteed by a real estate asset</t>
  </si>
  <si>
    <t>ESG PILIER 3, LOAN TAPE, RISQUE PHYSIQUE</t>
  </si>
  <si>
    <t>La donnée est obligatoire si la nature juridique de la sûreté [M1 5.1] = 'REE*'</t>
  </si>
  <si>
    <t>The data is mandatory if Legal nature of the mitigant [M1 5.1] = 'REE*'</t>
  </si>
  <si>
    <t>TPS0721</t>
  </si>
  <si>
    <t>M1 9.1</t>
  </si>
  <si>
    <t>Pays de localisation du patrimoine du garant</t>
  </si>
  <si>
    <t>Country in which guarantor's assets are located</t>
  </si>
  <si>
    <t>cdPayAct</t>
  </si>
  <si>
    <t>La donnée est obligatoire, si la nature juridique de la sûreté [M1 5.1] commence par ('GUA**')</t>
  </si>
  <si>
    <t>The data is mandatory, if Legal nature of the mitigant [M1 5.1] starts with ('GUA**')</t>
  </si>
  <si>
    <t>TPS0709</t>
  </si>
  <si>
    <t>M1 9.99</t>
  </si>
  <si>
    <t>M1 10.1</t>
  </si>
  <si>
    <t>Pourcentage de couverture du risque politique</t>
  </si>
  <si>
    <t>Percentage of coverage of political risk</t>
  </si>
  <si>
    <t>Pourcentage de couverture du risque politique
Exprimé en %</t>
  </si>
  <si>
    <t>Percentage of coverage of political risk
Expressed as %</t>
  </si>
  <si>
    <t>txCouvRisqPolitique</t>
  </si>
  <si>
    <t>INS</t>
  </si>
  <si>
    <t>Si renseignée ET si la Nature juridique de la sûreté [M1 5.1] commence par ‘INS', ‘NOT', alors la valeur doit être comprise entre 0 et 100</t>
  </si>
  <si>
    <t>If filled AND the Legal nature of the mitigant [M1 5.1] starts with INS', ‘NOT', then the value must be between 0 and 100</t>
  </si>
  <si>
    <t>TVS0747</t>
  </si>
  <si>
    <t>M1 10.2</t>
  </si>
  <si>
    <t>Pourcentage de couverture du risque commercial</t>
  </si>
  <si>
    <t>Business risk coverage percentage</t>
  </si>
  <si>
    <t>Pourcentage de couverture du risque commercial
Exprimé en %</t>
  </si>
  <si>
    <t>Business risk coverage percentage
Expressed as %</t>
  </si>
  <si>
    <t>txCouvRisqCommerc</t>
  </si>
  <si>
    <t>M1 10.99</t>
  </si>
  <si>
    <t>M1 11.1</t>
  </si>
  <si>
    <t>Indicateur contrôle du covenant</t>
  </si>
  <si>
    <t>Indicator covenant check</t>
  </si>
  <si>
    <t>Clause d'un contrat de prêt qui en cas de non-respect des objectifs peut entraîner le remboursement anticipé du prêt
Le covenant permet donc au prêteur d'exiger le remboursement anticipé des prêts dans la mesure où les prévisions financières de l'entreprise ne sont pas tenues et dans la mesure où la structure financière de l'emprunteur se dégrade (non-respect de ratios)</t>
  </si>
  <si>
    <t>Clause in a loan agreement that may lead to the early repayment of the loan where the targets are not respected
The covenant thus allows the lender to demand the early repayment of loans where the company's financial forecasts are not achieved and where the borrower's financial structure deteriorates (failure to respect ratios)</t>
  </si>
  <si>
    <t>indCtrlCovenant</t>
  </si>
  <si>
    <t>LC.0206</t>
  </si>
  <si>
    <t>TA KVICTCOV</t>
  </si>
  <si>
    <t xml:space="preserve">
INS</t>
  </si>
  <si>
    <t>La donnée est obligatoire si la nature juridique de la sûreté [M1 5.1] = ‘NOT03xx'</t>
  </si>
  <si>
    <t>The data is mandatory if Legal nature of the mitigant [M1 5.1] = ‘NOT03xx'</t>
  </si>
  <si>
    <t>TPS0723</t>
  </si>
  <si>
    <t>M1 11.2</t>
  </si>
  <si>
    <t>Date du contrôle</t>
  </si>
  <si>
    <t>Date of check</t>
  </si>
  <si>
    <t>Date à laquelle le dernier contrôle du covenant a été réalisé</t>
  </si>
  <si>
    <t>Date of the most recent covenant check</t>
  </si>
  <si>
    <t>dtCtrl</t>
  </si>
  <si>
    <t>M1 11.3</t>
  </si>
  <si>
    <t>Périodicité du contrôle</t>
  </si>
  <si>
    <t>Periodicity of checks</t>
  </si>
  <si>
    <t>Correspond au nombre de jours définissant la périodicité du contrôle du covenant</t>
  </si>
  <si>
    <t>Represents the number of days specifying the periodicity at which the covenant is checked</t>
  </si>
  <si>
    <t>prdCtrl</t>
  </si>
  <si>
    <t>Obligatoire pour les types de sûretés "NOTxxxx"</t>
  </si>
  <si>
    <t>Mandatory for security interest types "NOTxxxx"</t>
  </si>
  <si>
    <t>M1 8.40</t>
  </si>
  <si>
    <t xml:space="preserve">The data is mandatory if Legal nature of the mitigant [M1 5.1] = ‘COL01xx' </t>
  </si>
  <si>
    <t>M1 8.41</t>
  </si>
  <si>
    <t>La donnée est obligatoire, si Montant minimum de transfert de l'appel de marge [M1 8.40] est renseigné</t>
  </si>
  <si>
    <t>The data is mandatory, if Minimum amount of margin call transfer [M1 8.40] is filled</t>
  </si>
  <si>
    <t>M1 7.15</t>
  </si>
  <si>
    <t>Zone libre (Ex Pays de localisation de l'actif)</t>
  </si>
  <si>
    <t>Free zone (Ex Pays de localisation de l'actif)</t>
  </si>
  <si>
    <t>ZoneLibre7_15</t>
  </si>
  <si>
    <t>M1 7.16</t>
  </si>
  <si>
    <t>Référence unique de la sûreté reçue</t>
  </si>
  <si>
    <t>Unique reference of the received surety</t>
  </si>
  <si>
    <t>Référence unique de la sûreté dans le SI de gestion local de l'entité</t>
  </si>
  <si>
    <t>Unique reference of the received sureties in the local management IT system of the entity</t>
  </si>
  <si>
    <t>ANACREDIT, LIQUIDITE, MREL, NPE, NSFR</t>
  </si>
  <si>
    <t>M1 7.17</t>
  </si>
  <si>
    <t>Référence unique de l'élément de contrat</t>
  </si>
  <si>
    <t>LIQUIDITE, MREL, NPE, NSFR</t>
  </si>
  <si>
    <t>M1 7.18</t>
  </si>
  <si>
    <t>Localisation de l'actif dans la norme NUTS</t>
  </si>
  <si>
    <t>Location of the asset according to the NUTS standard</t>
  </si>
  <si>
    <t>cdLocalisActifNUTS</t>
  </si>
  <si>
    <t>Pour les garanties personnelles, la localisation de l'actif correspondra à la localisation (norme NUTS) du patrimoine du garant
La valeur doit être connue de la nomenclature ‘NUTS3 ‘ table pays régions' pour les sûretés localisées dans un pays de l'Union Européenne et de la table pays pour les sûretés localisées hors UE</t>
  </si>
  <si>
    <t>For personal guarantees, the location of the asset will correspond to the location (NUTS standard) of the guarantor's assets
The value can be found in the nomenclature 'NUTS3' country table regions' for mitigants located in the European Union countries and the country table for mitigants located outside the EU</t>
  </si>
  <si>
    <t>ANACREDIT, ESG PILIER 3, LOAN TAPE</t>
  </si>
  <si>
    <t>M1 8.43</t>
  </si>
  <si>
    <t>Montant nominal du titre reçu en collatéral</t>
  </si>
  <si>
    <t>Nominal amount of collateral received</t>
  </si>
  <si>
    <t>Valeur du capital social divisé par le nombre de titres pour les actions</t>
  </si>
  <si>
    <t>Value of the share capital divided by the number of securities for the equities</t>
  </si>
  <si>
    <t>mtNomTitreGar</t>
  </si>
  <si>
    <t>AER, CONGLOMERATS, MREL, SRB VALUATION</t>
  </si>
  <si>
    <t>The data is mandatory if Legal nature of the mitigant [M1 5.1] = SEC01xx</t>
  </si>
  <si>
    <t>M1 8.44</t>
  </si>
  <si>
    <t>Devise du montant nominal du titre reçu en collatéral</t>
  </si>
  <si>
    <t>Currency of amount of collateral received</t>
  </si>
  <si>
    <t xml:space="preserve">Devise du montant nominal du titre reçu en collatéral </t>
  </si>
  <si>
    <t xml:space="preserve">Currency of nominal amount of collateral received </t>
  </si>
  <si>
    <t>cdDevMtNomTitreGar</t>
  </si>
  <si>
    <t>La donnée est obligatoire, si Montant nominal du titre reçu en collatéral [M1 8.43] est renseigné</t>
  </si>
  <si>
    <t>The data is mandatory, if Nominal amount of collateral received [M1 8.43] is filled</t>
  </si>
  <si>
    <t>M1 8.45</t>
  </si>
  <si>
    <t>Montant des coupons courus non échus du titre reçu en collatéral</t>
  </si>
  <si>
    <t>Amount of accrued coupons of received collateral</t>
  </si>
  <si>
    <t>mtCoupTitreGar</t>
  </si>
  <si>
    <t>The data is mandatory if the legal nature of the collateral [M1 5.1] starts with 'SEC01'</t>
  </si>
  <si>
    <t>M1 8.46</t>
  </si>
  <si>
    <t>Devise du montant des coupons courus non échus du titre reçu en collatéral</t>
  </si>
  <si>
    <t>Currency of amount of accrued coupons of received collateral</t>
  </si>
  <si>
    <t xml:space="preserve">Devise du montant des coupons courus non échus du titre reçu en collatéral </t>
  </si>
  <si>
    <t xml:space="preserve">Currency of amount of accrued coupons of received collateral </t>
  </si>
  <si>
    <t>cdDevMtCoupTitreGar</t>
  </si>
  <si>
    <t>La donnée est obligatoire, si Montant des coupons courus non échus du titre reçu en collatéral [M1 8.45] est renseigné</t>
  </si>
  <si>
    <t>The data is mandatory, if Amount of accrued coupons of received collateral [M1 8.45] is filled</t>
  </si>
  <si>
    <t>M1 6.8</t>
  </si>
  <si>
    <t>Montant initial de la sûreté en euros à la date de signature du contrat</t>
  </si>
  <si>
    <t>Initial amount of the guarantee in euros at the date of signature of contract</t>
  </si>
  <si>
    <t>Montant initial de sûreté en euros à la date de mise en place du contrat (invariable sur la durée du contrat)</t>
  </si>
  <si>
    <t>Initial amount of the guarantee in euros at the start date of the contract (invariable over the duration of the contract)</t>
  </si>
  <si>
    <t>MtIniEuro</t>
  </si>
  <si>
    <t>ANACREDIT, CONGLOMERATS</t>
  </si>
  <si>
    <t>M1 6.9</t>
  </si>
  <si>
    <t>Montant de la sûreté non prioritaire sur la créance</t>
  </si>
  <si>
    <t xml:space="preserve">Amount of non-priority guarantee on the claim </t>
  </si>
  <si>
    <t>Part de la sûreté (en montant ) sur laquelle l'entité n'est pas prioritaire sur cette créance</t>
  </si>
  <si>
    <t>Part of the mitigant (in amount) on which the entity does not have priority on this claim</t>
  </si>
  <si>
    <t>MtIniNonPrio</t>
  </si>
  <si>
    <t>La donnée est obligatoire si la donnée Rang de la sûreté [M1 7.7] est renseignée et différente de '1' et si la garantie couvre un engagement (P1 ou P2) éligible à l'outil ANACREDIT ("Eligibilité outil central ANACREDIT" [P1 ou P2 27.3] = '2') et s'il n'y a pas de motif d'exclusion à la déclaration ANACREDIT ("Motif d'exclusion à la déclaration ANACREDIT" [P1 ou P2 27.4] n'est pas renseignée)</t>
  </si>
  <si>
    <t>The data is mandatory if the data Security Rank [M1 7.7] is filled in and different from '1' and if the guarantee covers a funds in use (P1 or P2) eligible for the ANACREDIT tool ("Eligibility core tool ANACREDIT" [P1 or P2 27.3] = '2') and there is no exclusion reason for the ANACREDIT declaration ("Exclusion reason for ANACREDIT declaration" [P1 or P2 27.4] is not filled in)</t>
  </si>
  <si>
    <t>TP0674</t>
  </si>
  <si>
    <t>M1 6.10</t>
  </si>
  <si>
    <t xml:space="preserve">Devise du montant de la sûreté non prioritaire sur la créance </t>
  </si>
  <si>
    <t xml:space="preserve">Currency of amount of non-priority guarantee on the claim </t>
  </si>
  <si>
    <t>Devise du montant de la sûreté non prioritaire sur la créance</t>
  </si>
  <si>
    <t>Currency of amount of non-priority guarantee on the claim</t>
  </si>
  <si>
    <t>cdDevSurNonPrio</t>
  </si>
  <si>
    <t>La donnée est obligatoire si la donnée Montant de la sûreté non prioritaire sur la créance [M1 6.9] est renseignée</t>
  </si>
  <si>
    <t>The data is mandatory if the data item Amount of non-priority security right in the claim [M1 6.9] is filled</t>
  </si>
  <si>
    <t>M1 1.40</t>
  </si>
  <si>
    <t xml:space="preserve">Code ou nom du système opérationnel de gestion de la sûreté reçue </t>
  </si>
  <si>
    <t xml:space="preserve">Code or name of the operational management system within entity for the security received </t>
  </si>
  <si>
    <t>Codification libre.
Le système de gestion source de la sûreté recue peut-être différent du système de gestion source de l'engagement couvert</t>
  </si>
  <si>
    <t>Free codification
The source management system of the mitigant received may be different from the source management system of the covered commitment</t>
  </si>
  <si>
    <t>M1 12.1</t>
  </si>
  <si>
    <t>Accounting consolidation code of branch responsible of the contract</t>
  </si>
  <si>
    <t>Permet d'indiquer le code consolidation de la succursale qui a fait l'opération/contrat dans le cas où les engagements sont portés par la maison mère</t>
  </si>
  <si>
    <t>Allows to indicate the consolidation code of the branch that made the transaction/contract in the case where the commitments are brought by the main company</t>
  </si>
  <si>
    <t>M1 7.23</t>
  </si>
  <si>
    <t>Référence unique de la sûreté reçue à l'origine</t>
  </si>
  <si>
    <t>Unique reference of the received mitigant at origination</t>
  </si>
  <si>
    <t>Permet de conserver la référence unique de la sûreté reçue à l'origine lorsque l'entité change de système de gestion local</t>
  </si>
  <si>
    <t>Keeps the unique received mitigant reference at origination when the entity changes the local management system</t>
  </si>
  <si>
    <t>M1 7.24</t>
  </si>
  <si>
    <t>Permet de conserver la référence unique de l'élément de contrat à l'origine lorsque l'entié change de système de gestion local</t>
  </si>
  <si>
    <t>M1 7.25</t>
  </si>
  <si>
    <t>Identifiant technique d'échange de la sûreté à l'origine</t>
  </si>
  <si>
    <t>Technical exchange identifier of the mitigant at origination</t>
  </si>
  <si>
    <t>Permet de conserver l'identifiant technique d'échange de la sûreté à l'origine lorsque l'entité change de système de gestion local</t>
  </si>
  <si>
    <t>Keeps the ID of mitigant received at origination when the entity changes the local management system</t>
  </si>
  <si>
    <t>IdSurRecueOri</t>
  </si>
  <si>
    <t>M1 8.53</t>
  </si>
  <si>
    <t>Localisation du bien principal : Numéro et libellé de la voie</t>
  </si>
  <si>
    <t>Location of the principal asset: Number and street name</t>
  </si>
  <si>
    <t>Localisation physique géographique du bien immobilier apporté en garantie, pour déterminer le risque auquel est soumis le bien</t>
  </si>
  <si>
    <t>Physical geographical position of the real estate property received as a guarantee, to determine the risk the property is exposed</t>
  </si>
  <si>
    <t>descAdrBien</t>
  </si>
  <si>
    <t>S'il n'est pas possible de splitter l'adresse du bien sur les champs (M1 8.53, M1 8.54, M1 8.55, M1 8.56, M1 8.57 et M1 8.58), l'adresse complète pourra être renseignée au niveau de ce champ</t>
  </si>
  <si>
    <t>If it is not possible to split the property address over the fields (M1 8.53, M1 8.54, M1 8.55, M1 8.56, M1 8.57 and M1 8.58), the complete address can be entered in this field</t>
  </si>
  <si>
    <t>M1 8.54</t>
  </si>
  <si>
    <t>Localisation du bien principal : Complément d'adresse</t>
  </si>
  <si>
    <t>Location of the principal asset: Additional address</t>
  </si>
  <si>
    <t>Physical geographical position of the real estate property received as a collateral, to determine the risk the property is exposed</t>
  </si>
  <si>
    <t>descAdrCompBien</t>
  </si>
  <si>
    <t>M1 8.55</t>
  </si>
  <si>
    <t>Localisation du bien principal : Lieu-dit / Service particulier de distribution</t>
  </si>
  <si>
    <t xml:space="preserve">Location of the principal asset: Locality / special delivery service </t>
  </si>
  <si>
    <t>descAdrLDBien</t>
  </si>
  <si>
    <t>M1 8.56</t>
  </si>
  <si>
    <t>Localisation du bien principal : Code postal (ou code ZIP)</t>
  </si>
  <si>
    <t>Location of the principal asset: Postcode (or ZIP code)</t>
  </si>
  <si>
    <t>cdCPBien</t>
  </si>
  <si>
    <t>La donnée est obligatoire si la nature de la sûreté juridique [M1 5.1] = 'REE01xx' et si la donnée usage du bien immobilier apporté en garantie [M1 8.42] = '1' ou '2'</t>
  </si>
  <si>
    <t>The data is mandatory if the nature of the legal security [M1 5.1] = 'REE01xx' and if the data use of the immovable property brought into guarantee [M1 8.42] = '1' or '2'</t>
  </si>
  <si>
    <t>TPS0724</t>
  </si>
  <si>
    <t>Si Localisation du bien principal : Pays [M1 8.58] = 'FR', alors la valeur renseignée doit être connue du Langage Commun (colonne RQCDPOST)</t>
  </si>
  <si>
    <t>If Location of the principal asset: Country [M1 8.58] = 'FR', then the value filled must be known to the Common Language (column RQCDPOST)</t>
  </si>
  <si>
    <t>TI0085</t>
  </si>
  <si>
    <t>M1 8.57</t>
  </si>
  <si>
    <t>Localisation du bien principal : Nom de la commune</t>
  </si>
  <si>
    <t>Location of the principal asset: Name of the town</t>
  </si>
  <si>
    <t>descComBien</t>
  </si>
  <si>
    <t>M1 8.58</t>
  </si>
  <si>
    <t>Localisation du bien principal : Pays</t>
  </si>
  <si>
    <t>Location of the principal asset: Country</t>
  </si>
  <si>
    <t>descPay</t>
  </si>
  <si>
    <t>ASTRE, ESG PILIER 3, LOAN TAPE, RISQUE PHYSIQUE</t>
  </si>
  <si>
    <t>M1 8.59</t>
  </si>
  <si>
    <t>Coordonnées GPS - Latitude</t>
  </si>
  <si>
    <t>Coordinates GPS - Latitude</t>
  </si>
  <si>
    <t>cdGPSLat</t>
  </si>
  <si>
    <t>M1 8.60</t>
  </si>
  <si>
    <t>Coordonnées GPS - Longitude</t>
  </si>
  <si>
    <t>Coordinates GPS - Longitude</t>
  </si>
  <si>
    <t>cdGPSLong</t>
  </si>
  <si>
    <t>12 dont signe, separateur et 7 décimales</t>
  </si>
  <si>
    <t>M1 8.49</t>
  </si>
  <si>
    <t>Etat du bien apporté en garantie</t>
  </si>
  <si>
    <t>Status of the real estate provided in guarantee</t>
  </si>
  <si>
    <t>Etat du bien apporté en garantie (Bien achevé, bien en construction)</t>
  </si>
  <si>
    <t>Status of the real estate provided in guarantee (Existing, under development)</t>
  </si>
  <si>
    <t>cdEtatBien</t>
  </si>
  <si>
    <t>La donnée est obligatoire si la donnée Type de bien immobilier [M1 8.42] = '1' ou '2'</t>
  </si>
  <si>
    <t>The data is mandatory if the data Type of property [M1 8.42] = '1' or '2'</t>
  </si>
  <si>
    <t>TPS0725</t>
  </si>
  <si>
    <t>M1 8.50</t>
  </si>
  <si>
    <t>Catégorie énergétique du bien immobilier</t>
  </si>
  <si>
    <t>Energy classification of real estate</t>
  </si>
  <si>
    <t>Catégorie énergétique du bien immobilier apporté en garantie</t>
  </si>
  <si>
    <t>Energy classification of real estate provided in guarantee</t>
  </si>
  <si>
    <t>cdClassNrjBien</t>
  </si>
  <si>
    <t>ESG PILIER 3, LOAN TAPE</t>
  </si>
  <si>
    <t>M1 8.51</t>
  </si>
  <si>
    <t>Indicateur permis de construire</t>
  </si>
  <si>
    <t>Building permit indicator</t>
  </si>
  <si>
    <t>Terrains apportés en garantie avec / sans permis de construire</t>
  </si>
  <si>
    <t>Land provided as collateral with / without building permit</t>
  </si>
  <si>
    <t>La donnée est obligatoire si la donnée état du bien apporté en garantie [M1 8.49] = '2'</t>
  </si>
  <si>
    <t>The data is mandatory if the data is for the goods brought in guarantee [M1 8.49] = '2'</t>
  </si>
  <si>
    <t>TPS0726</t>
  </si>
  <si>
    <t>M1 8.52</t>
  </si>
  <si>
    <t>Zone libre (ex Nature des terrains apportés en garantie)</t>
  </si>
  <si>
    <t>Free zone (Ex Nature of land provided in guarantee)</t>
  </si>
  <si>
    <t>ZoneLibre8_52</t>
  </si>
  <si>
    <t>M1 7.22</t>
  </si>
  <si>
    <t>Description de la protection</t>
  </si>
  <si>
    <t>Description of protection</t>
  </si>
  <si>
    <t>Ce champ permet de décrire le bien apporté en garantie du financement, exemple : indiquer le nom du bâtiment ou le nom du projet immobilier</t>
  </si>
  <si>
    <t>This field allows to describe the property provided as guarantee for the credit, for example : indicate the name of the building or the name of the real estate project</t>
  </si>
  <si>
    <t>descProtec</t>
  </si>
  <si>
    <t>La donnée est obligatoire si la donnée méthodologie de notation [C1 4.3] du tiers en risque = 'M1 ', 'M2', 'M41', 'M43' ou 'M44'</t>
  </si>
  <si>
    <t>The data is mandatory if the rating methodology data [C1 4.3] of the third party in risk = 'M1 ', 'M2', 'M41', 'M43' or 'M44'</t>
  </si>
  <si>
    <t>TP0675</t>
  </si>
  <si>
    <t>M1 8.61</t>
  </si>
  <si>
    <t>Indicateur litige sur marge à échanger</t>
  </si>
  <si>
    <t>Dispute indicator on margin to be exchanged</t>
  </si>
  <si>
    <t>Indique s'il y a litige lorsque les deux entités ne sont pas d'accord sur le montant de marge à échanger</t>
  </si>
  <si>
    <t>Indicates a dispute arises when the two entities do not agree on the amount of margin to be exchanged</t>
  </si>
  <si>
    <t>indLitigeMarg</t>
  </si>
  <si>
    <t>LC.0367</t>
  </si>
  <si>
    <t>TA Z8ILSMAE</t>
  </si>
  <si>
    <t>La donnée est obligatoire si la nature juridique de la sûreté [M1 5.1] = 'COL0101'</t>
  </si>
  <si>
    <t>The data is mandatory if legal nature of security [M1 5.1] = 'COL0101'</t>
  </si>
  <si>
    <t>TPS0727</t>
  </si>
  <si>
    <t>M1 12.99</t>
  </si>
  <si>
    <t>ZoneLibre12</t>
  </si>
  <si>
    <t>M1 50.1</t>
  </si>
  <si>
    <t>Package currency of the entity</t>
  </si>
  <si>
    <t xml:space="preserve">Devise de liasse comptable de l'entité porteuse de risque à la date d'arrêté </t>
  </si>
  <si>
    <t>M1 50.2</t>
  </si>
  <si>
    <t>cdPCCOVP1</t>
  </si>
  <si>
    <t>M1 50.3</t>
  </si>
  <si>
    <t>La donnée est obligatoire si la donnée PCCO - Montant du principal 1 [M1 50.2] est renseignée</t>
  </si>
  <si>
    <t>The data is mandatory if the PCCO - Amount of principal 1 [M1 50.2] data is filled</t>
  </si>
  <si>
    <t>TPS0728</t>
  </si>
  <si>
    <t>M1 18.1</t>
  </si>
  <si>
    <t>Perte en cas de défaut (LGD) associée au garant</t>
  </si>
  <si>
    <t xml:space="preserve">Loss Given Default (LGD) </t>
  </si>
  <si>
    <t>LGD Exprimée en pourcentage calculée par l'entité</t>
  </si>
  <si>
    <t>LGD in percentage calculated by the entity</t>
  </si>
  <si>
    <t>txLGDgar</t>
  </si>
  <si>
    <t>Donnée utilisée par le moteur IRB A et utilisée pour les engagements de certaines activités du groupe.
'il s'agit de la LGD du modèle IRBA pour le garant</t>
  </si>
  <si>
    <t>Data used by the IRB A engine and used for the commitments of some group activities.
It is the LGD of the IRBA model for the guarantor</t>
  </si>
  <si>
    <t xml:space="preserve">La donnée est obligatoire, si la méthodologie bâloise du garant [M1 13.13] = ‘IRB A' </t>
  </si>
  <si>
    <t>The data is mandatory, if Guarantor Basel methodology [M1 13.13] = ‘IRB A'</t>
  </si>
  <si>
    <t>TPS0729</t>
  </si>
  <si>
    <t>M1 13.11</t>
  </si>
  <si>
    <t>Indicateur d'utilisation de la sûreté réelle dans le modèle LGD</t>
  </si>
  <si>
    <t>indicator Use of security in the LGD model</t>
  </si>
  <si>
    <t>Indique si la sûreté réelle est utilisée dans le modèle pour obtenir la LGD IRBA de la part couverte de l'encours</t>
  </si>
  <si>
    <t>Indicates if the security is used in the model to obtain the LGD IRBA of the secured part of the outstanding</t>
  </si>
  <si>
    <t>indSurLGD</t>
  </si>
  <si>
    <t>LC.0510</t>
  </si>
  <si>
    <t>TA Z8IUSLGD</t>
  </si>
  <si>
    <t>Donnée utilisée par le moteur IRB A dans le cas d'utilisation de sûretés réelles dans le modèle LGD</t>
  </si>
  <si>
    <t>Data used by IRB A engine for use of security interest in LGD model</t>
  </si>
  <si>
    <t>SEC-CAS-COL
IAS
CDE
REE-TAS</t>
  </si>
  <si>
    <t>La donnée est obligatoire si la nature juridique de la sûreté [M1 5.1] est différente de NOT*, INS*, GUA*, CDE0101, CDE0201, CAS* et si la méthodologie bâloise [F2 2.17] de l'autorisation associée est égale à 'IRB A'
---
La donnée est obligatoire si la nature juridique de la sûreté [M1 5.1] = CAS* et le lieu de dépôt de la sûreté réelle [M1 8.11] = '2' et si la méthodologie bâloise [F2 2.17] de l'autorisation associée est égale à 'IRB A'</t>
  </si>
  <si>
    <t>The data is mandatory if the legal nature of the mitigant [M1 5.1] is different from NOT*, INS*, GUA*, CDE0101, CDE0201, CAS* and if the basel 2 methodology [F2 2.17] of the associated facility line is 'IRB A'
---
The data is mandatory if the legal nature of the mitigant [M1 5.1] = CAS* and the place of deposit of real security [M1 8.11] = '2' and if the basel 2 methodology [F2 2.17] of the associated facility line is 'IRB A'</t>
  </si>
  <si>
    <t>TP0830
TP0831</t>
  </si>
  <si>
    <t>M1 13.12</t>
  </si>
  <si>
    <t>Eligibilité de la garantie personnelle au modèle IRBA</t>
  </si>
  <si>
    <t>Guarantee eligibility for IRBA model</t>
  </si>
  <si>
    <t>Précise si la garantie personnelle est éligible tout le temps, éligible uniquement pour un encours sain ou non éligible dans le cadre des modèles Corporate IRBA</t>
  </si>
  <si>
    <t>Indicates whether the personal guarantee is eligible all the time, eligible only for non defaulted outstanding or not eligible under the Corporate IRBA models</t>
  </si>
  <si>
    <t>EligGarPersoIRBA</t>
  </si>
  <si>
    <t>LC.0484</t>
  </si>
  <si>
    <t>TA Z8EGPIRB</t>
  </si>
  <si>
    <t>Donnée utilisée par le moteur IRB A dans le cas d'utilisation de garantie personnelle dans le modèle Coprorate</t>
  </si>
  <si>
    <t>The data used by the IRB A engine when using personal guarantee in the Corporate template</t>
  </si>
  <si>
    <t>INS
GUA
CDE0101
CDE0201
CDE9998
CAS</t>
  </si>
  <si>
    <t>La donnée est obligatoire si la nature juridique de la sûreté [M1 5.1] = (INS*, GUA*, CDE0101, CDE0201, CDE9998) ET (lorsque la méthodologie bâloise du garant [M1 13.13] = ‘IRB A' OU la méthodologie bâloise du garant pour le calcul en simulation [M1 13.14] = ‘IRB A')
---
La donnée est obligatoire si la nature juridique de la sûreté [M1 5.1] = CAS* ET le lieu de dépôt de la sûreté réelle [M1 8.11] = '0' ou ‘1' ET (lorsque la méthodologie bâloise du garant [M1 13.13] = ‘IRB A' OU la méthodologie bâloise du garant pour le calcul en simulation [M1 13.14] = ‘IRB A')</t>
  </si>
  <si>
    <t>The data is mandatory if the legal nature of the mitigant [M1 5.1] = (INS*, GUA*, CDE0101, CDE0201, CDE9998) AND (when the Guarantor Basel methodology [M1 13.13] = ‘IRB A' OR the Guarantor Basel methodology for calculation in simulation [M1 13.14] = ‘IRB A')
---
The data is mandatory if the legal nature of the mitigant [M1 5.1] = CAS* AND the place of deposit of real security [M1 8.11] = '0' or ‘1' AND (when the Guarantor Basel methodology [M1 13.13] = ‘IRB A' OR the Guarantor Basel methodology for calculation in simulation [M1 13.14] = ‘IRB A')</t>
  </si>
  <si>
    <t>TPS0730
TPS0731</t>
  </si>
  <si>
    <t>M1 13.13</t>
  </si>
  <si>
    <t>Méthodologie Bâloise du garant</t>
  </si>
  <si>
    <t>Guarantor Basel methodology</t>
  </si>
  <si>
    <t>Correspond à la méthode de calcul des risques pondérés dans Bâle pour le garant</t>
  </si>
  <si>
    <t>Corresponds to the weighted risk calculation method in Basel for the guarantor</t>
  </si>
  <si>
    <t>cdMethBalGar</t>
  </si>
  <si>
    <t xml:space="preserve">A alimenter pour les garanties personnelles </t>
  </si>
  <si>
    <t xml:space="preserve">To be filled for personal guarantees </t>
  </si>
  <si>
    <t>INS (hors INS0903)
GUA
CDE0101
CDE0201
CDE9998
CAS</t>
  </si>
  <si>
    <t>La donnée est obligatoire si la nature juridique de la sûreté [M1 5.1] = (INS* (hors INS0903), GUA*, CDE0101, CDE0201, CDE9998)
---
La donnée est obligatoire si la nature juridique de la sûreté [M1 5.1] = CAS* et le lieu de dépôt de la sûreté réelle [M1 8.11] = '0' ou ‘1'</t>
  </si>
  <si>
    <t>The data is mandatory if the legal nature of the mitigant [M1 5.1] = (INS* (except INS0903), GUA*, CDE0101, CDE0201, CDE9998)
---
The data is mandatory if the legal nature of the mitigant [M1 5.1] = CAS* and the place of deposit of real security [M1 8.11] = '0' ou ‘1'</t>
  </si>
  <si>
    <t>TPS0732
TPS0733</t>
  </si>
  <si>
    <t>M1 13.14</t>
  </si>
  <si>
    <t>Méthodologie Bâloise du garant pour le calcul en simulation</t>
  </si>
  <si>
    <t>Guarantor Basel methodology for calculation in simulation</t>
  </si>
  <si>
    <t>Correspond à la méthode de calcul des risques pondérés dans Bâle pour le garant à utiliser pour le calcul lancé en simulation</t>
  </si>
  <si>
    <t>Corresponds to the weighted risk calculation method in Basel for the guarantor to be used for the calculation launched in simulation</t>
  </si>
  <si>
    <t>cdMethBalGarSimul</t>
  </si>
  <si>
    <t>A alimenter pour les garanties personnelles.
Champ lié au code traitement moteur déclaré sur l'encours associé</t>
  </si>
  <si>
    <t xml:space="preserve">To be filled for personal guarantees.
Field linked to the engine processing code declared on the associated outstanding
</t>
  </si>
  <si>
    <t>M1 21.73</t>
  </si>
  <si>
    <t>Localisation du bien apporté en garantie : Extension</t>
  </si>
  <si>
    <t>Location of the real estate provided in guarantee: Extension</t>
  </si>
  <si>
    <t>Localisation du bien apporté en garantie : extension (bis, ter…)</t>
  </si>
  <si>
    <t>ExtNumBienGar</t>
  </si>
  <si>
    <t>REE</t>
  </si>
  <si>
    <t>M1 21.75</t>
  </si>
  <si>
    <t>Localisation du bien apporté en garantie : libellé de la voie</t>
  </si>
  <si>
    <t>Location of the real estate provided in guarantee: road name</t>
  </si>
  <si>
    <t>LibVoieBienGar</t>
  </si>
  <si>
    <t>M1 202</t>
  </si>
  <si>
    <t>Code produit local</t>
  </si>
  <si>
    <t>Local product code</t>
  </si>
  <si>
    <t>Nom du produit dans le référentiel local de l'entité</t>
  </si>
  <si>
    <t>Product name in the entity's local referential</t>
  </si>
  <si>
    <t>CdProdLoc</t>
  </si>
  <si>
    <t xml:space="preserve">NA </t>
  </si>
  <si>
    <t>M1 500</t>
  </si>
  <si>
    <t>Plan Produit Liquidité</t>
  </si>
  <si>
    <t xml:space="preserve">Liquidity product plan </t>
  </si>
  <si>
    <t>Code produit exploité pour la construction du bilan de Liquidité</t>
  </si>
  <si>
    <t>Product code used for the construction of the liquidity balancesheet</t>
  </si>
  <si>
    <t>cdPlanProdLiq</t>
  </si>
  <si>
    <t>LC.0550</t>
  </si>
  <si>
    <t>RB Z8COPRLQ</t>
  </si>
  <si>
    <t>LIQUIDITE</t>
  </si>
  <si>
    <t>M1 4.44</t>
  </si>
  <si>
    <t>Ligne Produit</t>
  </si>
  <si>
    <t>Product Line</t>
  </si>
  <si>
    <t>Code Ligne de Produit dans la codification locale - donnée réservée CACIB</t>
  </si>
  <si>
    <t>Product line code in local codification - data reserved for CACIB</t>
  </si>
  <si>
    <t>M1 512</t>
  </si>
  <si>
    <t>Segment de Clientèle au sens de la liquidité</t>
  </si>
  <si>
    <t>Customer segment in terms of liquidity</t>
  </si>
  <si>
    <t>Classification permettant d'identifier le segment de clientèle auquel est rattachée l'opération pour la construction du bilan de Liquidité (Marché ou Clientèle)</t>
  </si>
  <si>
    <t>SegCliLiq</t>
  </si>
  <si>
    <t>LC.0562</t>
  </si>
  <si>
    <t>RB Z8SEGCLI</t>
  </si>
  <si>
    <t>M1 149</t>
  </si>
  <si>
    <t>Sous entité</t>
  </si>
  <si>
    <t>Sub-entity</t>
  </si>
  <si>
    <t>Indique la segmentation des entités en filières ALM, Trésorerie, Back to Back et autres</t>
  </si>
  <si>
    <t>Indicates the segmentation of entities into ALM, Treasury, Back to Back and other streams</t>
  </si>
  <si>
    <t>cdssentity</t>
  </si>
  <si>
    <t>LC.0530</t>
  </si>
  <si>
    <t>RB XPSOUENT</t>
  </si>
  <si>
    <t>LIQUIDITE, MREL, PALMA</t>
  </si>
  <si>
    <t>M1 522</t>
  </si>
  <si>
    <t>Indicateur Collateral réutilisable</t>
  </si>
  <si>
    <t>Indicator Collateral reusable</t>
  </si>
  <si>
    <t>Indicateur permettant de préciser si le collatéral titre reçu dans le cadre d'une opération peut être réutilisé par le bénéficiaire, notamment via des opérations telles que la vente ou la mise en pension (repo)</t>
  </si>
  <si>
    <t>Indicator specifying whether the securities collateral received as part of a transaction can be reused by the beneficiary, in particular through operations such as sale or repurchase agreement (repo)</t>
  </si>
  <si>
    <t>LC.0570</t>
  </si>
  <si>
    <t>RB Z8INDCOR</t>
  </si>
  <si>
    <t>SEC CAS COL</t>
  </si>
  <si>
    <t>M1 636</t>
  </si>
  <si>
    <t>Valeur prudente initiale</t>
  </si>
  <si>
    <t>Initial conservative value</t>
  </si>
  <si>
    <t xml:space="preserve">Valeur de la sûreté immobilière à la date d’octroi du financement (date de transaction) évaluée de façon prudente (Art. 229.1) :
Les anticipations d’appréciation future ne sont pas prises en compte
L’estimation est ajustée pour tenir compte du fait que la valeur de marché courante peut être sensiblement supérieure à ce que serait la valeur durable du bien jusqu’à l’échéance du prêt
Pour les Caisses régionales, la valeur prudente d’une sûreté immobilière à usage résidentiel correspond au champ Valeur prudente initiale disponible dans Green (alimenté à partir du champ Fourchette basse disponible dans Khôme)
</t>
  </si>
  <si>
    <t>Value of the security right at the date of grant of the financing (transaction date) conservatively assessed (Art. 229.1):
Expectations of future appreciation are not taken into account
The estimate is adjusted to take account of the fact that the current market value may be significantly higher than the durable value of the asset until the maturity of the loan
For the Regional Banks, the prudent value of a residential real estate security right corresponds to the Initial prudent value field available in Green (populated from the Low range field available in Khôme)</t>
  </si>
  <si>
    <t>mtPrudInit</t>
  </si>
  <si>
    <t>La donnée est obligatoire si la nature juridique de la sûreté [M1 5.1] = 'REE*' ET si Type de bien immobilier [M1 8.42] = '1 ou 2'</t>
  </si>
  <si>
    <t>The data is mandatory if Legal nature of the mitigant [M1 5.1] = 'REE*' AND if Type of property [M1 8.42] = '1 or 2'</t>
  </si>
  <si>
    <t>M1 636.1</t>
  </si>
  <si>
    <t>Devise de la valeur prudente initiale</t>
  </si>
  <si>
    <t>Currency of initial conservative value</t>
  </si>
  <si>
    <t>cdDevmtPrudInit</t>
  </si>
  <si>
    <t>La donnée est obligatoire si Valeur prudente initiale [M1 636] est renseignée</t>
  </si>
  <si>
    <t>The data is mandatory if Initial conservative value [M1 636] data is filled</t>
  </si>
  <si>
    <t>M1 637</t>
  </si>
  <si>
    <t>Valeur prudente revalorisée</t>
  </si>
  <si>
    <t>Prudent Value Revalued</t>
  </si>
  <si>
    <t>Valeur de la sûreté immobilière à la date d’arrêté évaluée de façon prudente
Pour les Caisses régionales, la valeur prudente revalorisée (cf. champ Green Valeur prudente revalorisée) d’une sûreté immobilière à usage résidentiel correspond à la valeur prudente initiale à laquelle est appliquée une revalorisation indicielle (par ex : PERVAL)</t>
  </si>
  <si>
    <t>Value of the security right at the reporting date conservatively assessed
For the Regional Banks, the revalued prudent value (see the Green Revalued Prudent Value field) of a residential real estate security right corresponds to the initial prudent value to which an index revaluation is applied (e.g. PERVAL)</t>
  </si>
  <si>
    <t>mtPrudReval</t>
  </si>
  <si>
    <t>M1 637.1</t>
  </si>
  <si>
    <t>Devise de la valeur prudente revalorisée</t>
  </si>
  <si>
    <t>Currency of prudent Value Revalued</t>
  </si>
  <si>
    <t>cdDevmtPrudReval</t>
  </si>
  <si>
    <t>La donnée est obligatoire si Valeur prudente revalorisée [M1 637] est renseignée</t>
  </si>
  <si>
    <t>The data is mandatory if Prudent value revalued [M1 637] data is filled</t>
  </si>
  <si>
    <t>M1 638</t>
  </si>
  <si>
    <t>Valeur moyenne de long terme</t>
  </si>
  <si>
    <t>Long-term average value</t>
  </si>
  <si>
    <t>Valeur moyenne à la date d’arrêté d’une sûreté immobilière, ou d’un bien comparable, observée au cours des six dernières années pour un bien immobilier résidentiel ou des huit dernières années pour un bien immobilier commercial
La moyenne est calculée à partir de valeurs de biens observées à intervalles égaux ; la période de référence comprend au moins trois points de données.
Pour les Caisses régionales, le montant moyen long terme d’une sûreté immobilière correspond au champ Valeur moyenne long terme disponible dans Green</t>
  </si>
  <si>
    <t>Average value at the cut-off date of a security right in immovable property, or a comparable asset, observed over the last six years for residential immovable property or over the last eight years for commercial immovable property
The average shall be calculated from values of goods observed at equal intervals; the reference period shall comprise at least three data points.
For the Regional Banks, the average long-term amount of a security right corresponds to the field "Average long-term value available in Green</t>
  </si>
  <si>
    <t>mtMoyLT</t>
  </si>
  <si>
    <t>M1 638.1</t>
  </si>
  <si>
    <t>Devise de la valeur moyenne de long terme</t>
  </si>
  <si>
    <t>Currency of long-term average value</t>
  </si>
  <si>
    <t>cdDevmtMoyLT</t>
  </si>
  <si>
    <t>La donnée est obligatoire si Valeur moyenne de long terme [M1 638] est renseignée</t>
  </si>
  <si>
    <t>The data is mandatory if Long-term average value [M1 638] data is filled</t>
  </si>
  <si>
    <t>M1 99.99</t>
  </si>
  <si>
    <t>P9</t>
  </si>
  <si>
    <t>0.1 (P9)</t>
  </si>
  <si>
    <t>0.2 (P9)</t>
  </si>
  <si>
    <t>0.3 (P9)</t>
  </si>
  <si>
    <t>0.4 (P9)</t>
  </si>
  <si>
    <t>0.5 (P9)</t>
  </si>
  <si>
    <t>0.6 (P9)</t>
  </si>
  <si>
    <t>Valeur admise : 'P9' (Domaine Provisions Décotes)</t>
  </si>
  <si>
    <t>Permitted value: 'P9' (Provisions Haircuts Section)</t>
  </si>
  <si>
    <t>Si renseignée, la donnée doit être égale à 'P9'</t>
  </si>
  <si>
    <t>If filled in, the data must be equal to 'P9'</t>
  </si>
  <si>
    <t>0.7 (P9)</t>
  </si>
  <si>
    <t>0.8 (P9)</t>
  </si>
  <si>
    <t>0.9 (P9)</t>
  </si>
  <si>
    <t>La donnée est obligatoire si le Type d'enregistrement [0.6 (P9)] est différent de 'C1' et de 'Z9', et que, dans la table START "TA 0990 KVAPPBK", KVBAPPID commence par 'CACI' pour le KVAPPBK valant la concaténation "Entité porteuse de risque" [0.2 (P9)] et "Application source" [0.3 (P9)]</t>
  </si>
  <si>
    <t>The data is mandatory if the record type [0.6 (P9)] is different from 'C1' and 'Z9', and in the START table "TA 0990 KVAPPBK", KVBAPPID starts with 'CACI' for the KVAPPBK with the concatenation 'Risk taker entity' [0.2 (P9)]and 'Source application' [0.3 (P9)]</t>
  </si>
  <si>
    <t>Si renseignée, et si le type d'enregistrement [0.6 (P9] est différent de 'C1' et de 'Z9' :
1/ Si dans la table START "TA 0990 KVAPPBK", KVBAPPID commence par 'CACI' pour le KVAPPBK valant la concaténation "Entité porteuse de risque" [0.2 (P9)] et "Application source" [0.3 (P9)], alors, dans la table START "TA TMTAKOBU", la concaténation 'CA-CIB' + un blanc + [0.9 (P9)] + "_" + [0.2 (P9)] doit être présente dans le champ TMNOMOBU.
2/ Sinon, dans la table START "TA TMTAKOBU", la concaténation des 9 premiers caractères du BAPPID + '_' + 0.9 (P9)] doit être présente dans le champ TMNOMOBU.</t>
  </si>
  <si>
    <t>If filled in, and the type of record [0.6 (P9] is different from 'C1' and 'Z9':
1/ If in the START table "TA 0990 KVAPPBK", KVBAPPID starts with "CACI" for the KVAPPBK with the concatenation "risk carrying Entity" [0.2 (P9)] and "Source application" [0.3 (P9)], then in the START table "TA TMTAKOBU", the concatenation 'CA-CIB' + a blank + [0.9 (P9)] + "_" + [0.2 (P9)] must be present in the TMNOMOBU field.
2/ Otherwise, in the START table "TA TMTAKOBU", the concatenation of the first 9 characters of the BAPPID + '_' + [0.9 (P9)] must be present in the TMNOMOBU field.</t>
  </si>
  <si>
    <t>0.99 (P9)</t>
  </si>
  <si>
    <t>1.1 (P9)</t>
  </si>
  <si>
    <t>A check is carried out to ensure that the external counterparty is unique within the batch</t>
  </si>
  <si>
    <t>La donnée est obligatoire, si Périmètre d'affectation de la dépréciation [P9 2.1] = ‘T'</t>
  </si>
  <si>
    <t>The data is mandatory, if Scope of allocation of depreciation [P9 2.1] = ‘T'</t>
  </si>
  <si>
    <t>TPS1780</t>
  </si>
  <si>
    <t>1.2 (P9)</t>
  </si>
  <si>
    <t>Obligatoire pour entité émettrice de flux FTCA, ne remontant pas de Flux Tiers (C1)
Si renseigné et s'il s'agit d'une provision de niveau tiers ([P90201] = ‘T') et qu'il n'existe pas, dans le lot, d'enregistrement de type C1 de même ‘Identifiant local du tiers en risque', vérification qu'identifiant central et identifiant local du tiers en risque correspondent au même tiers dans le système central</t>
  </si>
  <si>
    <t>Mandatory for entity issuing FTCA flows, not reporting External Counterparty Flows (C1)
If filled in and where it relates to an external counterparty level provision ([P90201] = ‘T') and where, within the batch, there is no C1 type record with the same ‘Local Id of external counterparty at-risk', check that the central ID and local ID of the external counterparty at-risk match the same external counterparty in central system</t>
  </si>
  <si>
    <t>Le couple identifiant local / central (1.1 (P9) et (1.2) P9) doit exister dans TIGRE</t>
  </si>
  <si>
    <t>The local/central identifier pair (1.1 (P9) and (1.2) P9) must exist in TIGRE</t>
  </si>
  <si>
    <t>TIG0004</t>
  </si>
  <si>
    <t>1.4 (P9)</t>
  </si>
  <si>
    <t>Correspond à la référence de l'Autorisation Mise En Place associée</t>
  </si>
  <si>
    <t>1.6 (P9)</t>
  </si>
  <si>
    <t>Correspond à la référence de la ligne d'Autorisation Mise En Place associée</t>
  </si>
  <si>
    <t>NA pour les provisions de niveau tiers (P9 2.1 = ‘T')
Obligatoire pour les autres provisions décotes de niveau Engagement (P9 2.1 = ‘P'), liées à une autorisation et donc à une ligne de détail</t>
  </si>
  <si>
    <t>NA for external counterparty level provisions (P9 2.1 = ‘T')
Mandatory for the other Commitment level provisions haircuts (P9 2.1 = ‘P'), associated with an facility and hence with a line</t>
  </si>
  <si>
    <t>1.8 (P9)</t>
  </si>
  <si>
    <t>1.11 (P9)</t>
  </si>
  <si>
    <t>Identifiant unique de l'engagement provisionné</t>
  </si>
  <si>
    <t>Unique ID of commitment with funded provisions</t>
  </si>
  <si>
    <t>NA pour les provisions de niveau tiers (P9 2.1 = ‘T').
Obligatoire pour les provisions décotes de niveau Engagement (P9 2.1 = ‘P').
L'engagement peut-être un P1 ou et un P2.
Non applicable pour les provisions de niveau tiers (P9 2.1 = ‘T'), laisser à vide</t>
  </si>
  <si>
    <t>NA for external counterparty level provisions (P9 2.1 = ‘T').
Mandatory for Commitment level provisions haircuts (P9 2.1 = ‘P').
The commitment may be a P1 and or a P2</t>
  </si>
  <si>
    <t>La donnée est obligatoire si le Périmètre d'affectation de la provision/décote [P9 2.1] = ‘P'</t>
  </si>
  <si>
    <t>The data is mandatory if the Scope of allocation of provision/haircut [P9 2.1] = ‘P'</t>
  </si>
  <si>
    <t xml:space="preserve">Si la référence de la provision sur tiers [1.16 (P9)] est renseignée alors la donnée ne doit pas être renseignée
</t>
  </si>
  <si>
    <t xml:space="preserve">If the reference for the counterparty provision [1.16 (P9)] is filled, then the data must be not filled
</t>
  </si>
  <si>
    <t>TCS0762</t>
  </si>
  <si>
    <t>S'il est renseigné, un enregistrement P1 ou P2 portant l'identifiant de l'engagement doit exister dans le lot</t>
  </si>
  <si>
    <t>If filled in, a P1 or P2 record with the funds in use ID must exist in the batch</t>
  </si>
  <si>
    <t>TC0727</t>
  </si>
  <si>
    <t>1.16 (P9)</t>
  </si>
  <si>
    <t>Référence unique de la provision de niveau Tiers</t>
  </si>
  <si>
    <t>Represents the unique reference code of the External Counterparty level provision</t>
  </si>
  <si>
    <t>Pour un lot déterminé, la référence de la provision doit être unique</t>
  </si>
  <si>
    <t>For a given batch, the reference code of the provision must be unique</t>
  </si>
  <si>
    <t>La donnée est obligatoire, si Périmètre d'affectation de la provision décote [P9 2.1] = ‘T'</t>
  </si>
  <si>
    <t>The data is mandatory, if Scope of allocation of provision haircut [P9 2.1] = ‘T'</t>
  </si>
  <si>
    <t>Vérification de l'unicité absolue de la donnée au sein du lot
---
Unicité absolue de la donnée au sein du lot</t>
  </si>
  <si>
    <t>Verification of the absolute uniqueness of the data within the batch
---
The data must be unique within the batch</t>
  </si>
  <si>
    <t>TU0006
TU0007</t>
  </si>
  <si>
    <t>1.99 (P9)</t>
  </si>
  <si>
    <t>1.98 (P9)</t>
  </si>
  <si>
    <t>1.97 (P9)</t>
  </si>
  <si>
    <t>P9 2.3</t>
  </si>
  <si>
    <t>Nature de la dépréciation</t>
  </si>
  <si>
    <t>Nature of impairment</t>
  </si>
  <si>
    <t>Permet de distinguer les provisions et les décotes</t>
  </si>
  <si>
    <t>Makes it possible to distinguish between provisions and haircuts</t>
  </si>
  <si>
    <t>natDep</t>
  </si>
  <si>
    <t>LC.0168</t>
  </si>
  <si>
    <t>TA KVNDEPRE</t>
  </si>
  <si>
    <t>La Nature de la dépréciation indique la nature du montant de provision déclaré (Décote, Provisions sur encours sains non dégradés (Bucket 1), Provisions sur encours sains dégradés (Bucket 2), Provisions sur encours douteux (Bucket 3)</t>
  </si>
  <si>
    <t>The Nature of the depreciation indicates the nature of the amount of the provision declared (Haircut, Provision on healthy undegraded outstandings (Bucket 1), Provision on healthy degraded outstandings (Bucket 2), Provisions on doubtful outstandings (Bucket 3))</t>
  </si>
  <si>
    <t>ANACREDIT, ASTRE, CALCULS PRUDENTIELS, DEI, ESG PILIER 3, GRR, LOAN TAPE, OMP</t>
  </si>
  <si>
    <t>Unicité au sein de l'entité porteuse de risque
---
Si l'encours déprécié est une PNU (type d'enregistrement P2), alors la nature de la dépréciation doit être différente de 'D' (décote)</t>
  </si>
  <si>
    <t>Uniqueness within the entity bearing the risk
---
If the impaired outstanding is a PNU (P2 record type), then the nature of the impairment must be different from 'D' (discount)</t>
  </si>
  <si>
    <t>TU0001
TC0197</t>
  </si>
  <si>
    <t>Si la donnée est égale à D, l'encours déprécié est de type ISSxxx ou TRExxx sauf (TRE203, TRE205, TRE206, TRE207, TRE5xx)
---
Si la combinaison de donnée n'est pas trouvée dans la matrice des règles de gestion C32, le contrôle doit se lever</t>
  </si>
  <si>
    <t>If the data is equal to D, the impaired outstanding is of type ISSxxx or TRExxx except (TRE203, TRE205, TRE206, TRE207, TRE5xx)
---
If the data combinaison is not found in the C32 business rules matrix, the control must trigger</t>
  </si>
  <si>
    <t>TC0C22
TC0C32</t>
  </si>
  <si>
    <t>P9 2.1</t>
  </si>
  <si>
    <t>Périmètre d'affectation de la dépréciation</t>
  </si>
  <si>
    <t>Scope of allocation of depreciation</t>
  </si>
  <si>
    <t>cdprov</t>
  </si>
  <si>
    <t>LC.0167</t>
  </si>
  <si>
    <t>TA KVAFFPRO</t>
  </si>
  <si>
    <t>ANACREDIT, CALCULS PRUDENTIELS, DEI, GRR, LOAN TAPE</t>
  </si>
  <si>
    <t>Si renseignée et si la Nature de la dépréciation [P9 2.3] = ‘D' ou ‘A' ou ‘E', alors la donnée doit être différente de ‘T'</t>
  </si>
  <si>
    <t>If filled and if Nature of impairment [P9 2.3] = ‘D' or ‘A' or ‘E', then the data must be different from ‘T'</t>
  </si>
  <si>
    <t>TVS0748</t>
  </si>
  <si>
    <t>P9 2.2</t>
  </si>
  <si>
    <t>ZoneResDRG</t>
  </si>
  <si>
    <t>P9 2.4</t>
  </si>
  <si>
    <t>Origine du calcul de la provision</t>
  </si>
  <si>
    <t>Source of the calculation of the provision</t>
  </si>
  <si>
    <t>Permet d'indiquer si la provision sur encours sain déclarée est issue d'un calcul local ou de l'outil mutualisé de provisionnement (OMP)</t>
  </si>
  <si>
    <t>Allows to indicate if the declared provision on healthy outstanding comes from a local calculation or from the mutualized provisioning tool (MPT)</t>
  </si>
  <si>
    <t>origCalcProv</t>
  </si>
  <si>
    <t>LC.0294</t>
  </si>
  <si>
    <t>TA KVORCAPR</t>
  </si>
  <si>
    <t>P9 2.5</t>
  </si>
  <si>
    <t>P9 2.99</t>
  </si>
  <si>
    <t>P9 3.2</t>
  </si>
  <si>
    <t>Montant de la dépréciation</t>
  </si>
  <si>
    <t>Amount of depreciation</t>
  </si>
  <si>
    <t>mtProv</t>
  </si>
  <si>
    <t>- Si la dépréciation est une décote (cas de restructuration de créance), le montant de cette décote doit être renseignée.
- Pour une provision, il s'agit du stock de provision de l'arrêté comptable en cours</t>
  </si>
  <si>
    <t>- If the impairment represents a haircut (case of debt restructuring), the amount of this haircut must be input
- For a provision, this is the cumulative provision for the current accounting reporting period, namely the best estimate of the amount for the current reporting period</t>
  </si>
  <si>
    <t>AER, CALCULS PRUDENTIELS, DEI, ESG PILIER 3, GRR, LOAN TAPE</t>
  </si>
  <si>
    <t>P9 3.3</t>
  </si>
  <si>
    <t>Montant de la provision - arrêté comptable trimestriel précédent</t>
  </si>
  <si>
    <t>Amount of the provision – previous accounting quarter</t>
  </si>
  <si>
    <t>mtProvArrTrimPrec</t>
  </si>
  <si>
    <t>Obligatoire si [P9 3.2] Montant de la provision décote n'est pas renseigné
Il s'agit du stock de provision du trimestre précédent conforme au COREP produit</t>
  </si>
  <si>
    <t>Mandatory where [P9 3.2} Amount of provision haircut is not filled in
This is the cumulative provision (principal + accrued outstanding interest) in the prior quarter as per the COREP output</t>
  </si>
  <si>
    <t>P9 3.1</t>
  </si>
  <si>
    <t>Devise du montant de la dépréciation</t>
  </si>
  <si>
    <t>Currency of amount of depreciation</t>
  </si>
  <si>
    <t>cdDevProv</t>
  </si>
  <si>
    <t>Ce champ correspond à la devise d'expression de tous les montants définis au sein de l'enregistrement</t>
  </si>
  <si>
    <t>This field represents the currency in which all the amounts defined within the record are denominated</t>
  </si>
  <si>
    <t>AER, DEI, ESG PILIER 3, GRR, LOAN TAPE</t>
  </si>
  <si>
    <t>P9 3.15</t>
  </si>
  <si>
    <t>Zone libre (Ex PCCO - Provision Décote)</t>
  </si>
  <si>
    <t>Free zone (PCCO - Provision Haircut)</t>
  </si>
  <si>
    <t>P9 1.20</t>
  </si>
  <si>
    <t>Code ou nom du système opérationnel de gestion de la provision décote de l'entité</t>
  </si>
  <si>
    <t>Code or name of the operational management system within entity for the provision discount</t>
  </si>
  <si>
    <t>CdSourceSyst</t>
  </si>
  <si>
    <t>Codification libre.
Le système de gestion source de la provision décote peut-être différent du système de gestion source de l'engagement couvert</t>
  </si>
  <si>
    <t>Free codification
The source management system of the provision discount may be different from the source management system of the covered commitment</t>
  </si>
  <si>
    <t>ESG PILIER 3</t>
  </si>
  <si>
    <t>P9 4.1</t>
  </si>
  <si>
    <t>Code consolidation de la succursale qui a fait l'opération contrat dans le cas où les engagements sont portés par la maison mère</t>
  </si>
  <si>
    <t>Consolidation code of the branch which carried out the operation contract in the event that the commitments are made by the parent company</t>
  </si>
  <si>
    <t>P9 4.99</t>
  </si>
  <si>
    <t>P9 50.1</t>
  </si>
  <si>
    <t>P9 50.10</t>
  </si>
  <si>
    <t>PCCO - Montant des dépréciations</t>
  </si>
  <si>
    <t>PCCO - Amount of impairments</t>
  </si>
  <si>
    <t>Code du compte dans le plan de comptes consolidé prudentiel
Le compte "PCCO - Montant des dépréciations" correspond au compte comptabilisant les provisions sur encours sains non dégradés (Bucket 1), les provisions sur encours sains dégradés (Bucket 2) ou les provisions sur encours douteux (Bucket 3)</t>
  </si>
  <si>
    <t>Account code in the prudential consolidated chart of accounts
The "PCCO - Amount of impairments" account corresponds to the account recording the provisions on healthy undegraded outstandings (Bucket 1), the provisions on healthy degraded outstandings (Bucket 2) or the provisions on doubtful outstandings (Bucket 3))</t>
  </si>
  <si>
    <t>cdPCCOProvDep</t>
  </si>
  <si>
    <t>P9 50.11</t>
  </si>
  <si>
    <t xml:space="preserve">Montant des Dépréciations </t>
  </si>
  <si>
    <t xml:space="preserve">Amount of impairments </t>
  </si>
  <si>
    <t>Il s'agit du solde du compte déclaré dans le champ "PCCO - Montant des dépréciations" en devise de liasse comptable de l'entité porteuse de risques, à la date d'arrêté</t>
  </si>
  <si>
    <t>This is the account balance declared in the "PCCO - Amount of impairments" field, in the accounting package currency of the risk-bearing entity, on the closing date</t>
  </si>
  <si>
    <t>mtProvDep</t>
  </si>
  <si>
    <t>P9 50.12</t>
  </si>
  <si>
    <t>PCCO - Montant des surcotes Décotes</t>
  </si>
  <si>
    <t>PCCO - Amount of premiums discounts</t>
  </si>
  <si>
    <t>Code du compte dans le plan de comptes consolidé prudentiel
Le compte "PCCO - Montant des surcotes décotes" correspond au compte comptabilisant au bilan les décotes enregistrées lors de la restructuration de créances</t>
  </si>
  <si>
    <t>Account code in the prudential consolidated chart of accounts
The "PCCO - Amount of premiums discounts" account corresponds of the account of haircuts recorded as part of debts restructuring</t>
  </si>
  <si>
    <t>cdPCCOProvSurDec</t>
  </si>
  <si>
    <t>P9 50.13</t>
  </si>
  <si>
    <t xml:space="preserve">Montant des surcotes décotes </t>
  </si>
  <si>
    <t>Amount of premiums discounts</t>
  </si>
  <si>
    <t>Il s'agit du solde du compte déclaré dans le champ "PCCO - Montant des surcotes Décotes" en devise de liasse comptable de l'entité porteuse de risques, à la date d'arrêté</t>
  </si>
  <si>
    <t>This is the account balance declared in the "PCCO - Amount of premiums discounts" field, in the accounting package currency of the risk-bearing entity, on the closing date</t>
  </si>
  <si>
    <t>mtProvSurDec</t>
  </si>
  <si>
    <t>P9 99.99</t>
  </si>
  <si>
    <t>Z9</t>
  </si>
  <si>
    <t>0.1 (Z9)</t>
  </si>
  <si>
    <t>0.2 (Z9)</t>
  </si>
  <si>
    <t>0.3 (Z9)</t>
  </si>
  <si>
    <t>0.4 (Z9)</t>
  </si>
  <si>
    <t>0.5 (Z9)</t>
  </si>
  <si>
    <t>0.6 (Z9)</t>
  </si>
  <si>
    <t>Si renseignée, la donnée doit être égale à ‘Z9'</t>
  </si>
  <si>
    <t>If filled in, the data must be equal to 'Z9'</t>
  </si>
  <si>
    <t>0.99 (Z9)</t>
  </si>
  <si>
    <t>Z9 1.1</t>
  </si>
  <si>
    <t>Nombre d'enregistrements du fichier</t>
  </si>
  <si>
    <t>Number of records in the file</t>
  </si>
  <si>
    <t>Nombre d'enregistrements tous types confondus hors enregistrement de type Z9, en-tête et en-queue</t>
  </si>
  <si>
    <t>Number of records (all types combined) excluding ‘Z9', header and footer records</t>
  </si>
  <si>
    <t xml:space="preserve">Si le PACT est vide, alors le Nombre d'enregistrements du fichier [Z9 1.1] doit être égal à 0
Si le PACT est valorisé, alors le Nombre d'enregistrements du fichier [Z9 1.1] doit être égal au nombre d'enregistrements du PACT (hors Z9, en-tête, en-queue) </t>
  </si>
  <si>
    <t xml:space="preserve">If PACT is empty, then Number of records in the file [Z9 1.1] must be equal to 0
If PACT has values, then Number of records in the file [Z9 1.1] must be equal to the number of records in the file (excluding Z9, header, footer) </t>
  </si>
  <si>
    <t>Z9 99.99</t>
  </si>
  <si>
    <t>99 - En-queue du flux</t>
  </si>
  <si>
    <t>99 - File footer</t>
  </si>
  <si>
    <t>CRRC F.ENREG</t>
  </si>
  <si>
    <t>Type d'enregistrement correspondant au bloc En-queue</t>
  </si>
  <si>
    <t>Type of record corresponding to footer block</t>
  </si>
  <si>
    <t>A alimenter à "99"</t>
  </si>
  <si>
    <t>To be filled with "99"</t>
  </si>
  <si>
    <t>CRRC F.QCECENRE</t>
  </si>
  <si>
    <t>Nombre d'enregistrements</t>
  </si>
  <si>
    <t>Number of records</t>
  </si>
  <si>
    <t>Nombre total d'enregistrements du fichier y compris l'en-tête et l'en-queue</t>
  </si>
  <si>
    <t>Total number of records included in the file, including the header and footer</t>
  </si>
  <si>
    <t>QCECENRE</t>
  </si>
  <si>
    <t>CRRC F.FILLER</t>
  </si>
  <si>
    <t>Contrôles de cohérence</t>
  </si>
  <si>
    <t>Consistency controls</t>
  </si>
  <si>
    <r>
      <rPr>
        <b/>
        <sz val="12"/>
        <rFont val="Calibri"/>
        <family val="2"/>
        <scheme val="minor"/>
      </rPr>
      <t>Principe :</t>
    </r>
    <r>
      <rPr>
        <sz val="11"/>
        <rFont val="Calibri"/>
        <family val="2"/>
        <scheme val="minor"/>
      </rPr>
      <t xml:space="preserve">
Ces contrôles consistent à vérifier que la valeur portée par une donnée pivot est cohérente avec des données associées.
Un contrôle de cohérence peut porter sur :
· Une ou plusieurs données d’un même objet de collecte
· Plusieurs données de plusieurs objets de collecte</t>
    </r>
  </si>
  <si>
    <r>
      <rPr>
        <b/>
        <sz val="12"/>
        <rFont val="Calibri"/>
        <family val="2"/>
        <scheme val="minor"/>
      </rPr>
      <t>Principle:</t>
    </r>
    <r>
      <rPr>
        <sz val="11"/>
        <rFont val="Calibri"/>
        <family val="2"/>
        <scheme val="minor"/>
      </rPr>
      <t xml:space="preserve">
These controls are to ensure that the value of a pivot data is consistent with associated data.
A consistency check may cover:
・ One or more data from the same data collection object
・ Several data from several data collection objects</t>
    </r>
  </si>
  <si>
    <r>
      <rPr>
        <b/>
        <sz val="12"/>
        <rFont val="Calibri"/>
        <family val="2"/>
        <scheme val="minor"/>
      </rPr>
      <t>Périmètre d'application :</t>
    </r>
    <r>
      <rPr>
        <sz val="11"/>
        <rFont val="Calibri"/>
        <family val="2"/>
        <scheme val="minor"/>
      </rPr>
      <t xml:space="preserve">
- CRR Corporate
- CRR Retail Agrégé
- CRR Adapté</t>
    </r>
  </si>
  <si>
    <r>
      <rPr>
        <b/>
        <sz val="12"/>
        <rFont val="Calibri"/>
        <family val="2"/>
        <scheme val="minor"/>
      </rPr>
      <t>Scope of application:</t>
    </r>
    <r>
      <rPr>
        <sz val="11"/>
        <rFont val="Calibri"/>
        <family val="2"/>
        <scheme val="minor"/>
      </rPr>
      <t xml:space="preserve">
- CRR Corporate
- CRR Aggregated Retail
- Adapted CRR</t>
    </r>
  </si>
  <si>
    <r>
      <rPr>
        <b/>
        <sz val="12"/>
        <color theme="1"/>
        <rFont val="Calibri"/>
        <family val="2"/>
        <scheme val="minor"/>
      </rPr>
      <t xml:space="preserve">Fonctionnement :
</t>
    </r>
    <r>
      <rPr>
        <sz val="11"/>
        <rFont val="Calibri"/>
        <family val="2"/>
        <scheme val="minor"/>
      </rPr>
      <t xml:space="preserve">- Contrôles exécutés en étape E4.4 des traitements ZP (après mise au modèle)
- Contrôles paramétrés en score 6TA (non bloquant)
- Les combinaisons de valeurs conformes sont précisées ci-dessous pour chaque contrôle </t>
    </r>
    <r>
      <rPr>
        <b/>
        <u/>
        <sz val="11"/>
        <rFont val="Calibri"/>
        <family val="2"/>
        <scheme val="minor"/>
      </rPr>
      <t>sauf</t>
    </r>
    <r>
      <rPr>
        <sz val="11"/>
        <rFont val="Calibri"/>
        <family val="2"/>
        <scheme val="minor"/>
      </rPr>
      <t xml:space="preserve"> contrôle TC0C03 pour lequel sont précisées les combinaisons en anomalie. En dehors des combinaisons conformes, la Zone de Partage recensera une anomalie.</t>
    </r>
  </si>
  <si>
    <r>
      <rPr>
        <b/>
        <sz val="12"/>
        <color theme="1"/>
        <rFont val="Calibri"/>
        <family val="2"/>
        <scheme val="minor"/>
      </rPr>
      <t xml:space="preserve">Functions:
</t>
    </r>
    <r>
      <rPr>
        <sz val="11"/>
        <rFont val="Calibri"/>
        <family val="2"/>
        <scheme val="minor"/>
      </rPr>
      <t xml:space="preserve">- Checks performed in step E4.4 of ZP treatments (after the model has been set)
- Controls configured in scoring 6TA (non-blocking)
- The combinations of conforming values are specified below for each control </t>
    </r>
    <r>
      <rPr>
        <b/>
        <u/>
        <sz val="11"/>
        <rFont val="Calibri"/>
        <family val="2"/>
        <scheme val="minor"/>
      </rPr>
      <t xml:space="preserve">except </t>
    </r>
    <r>
      <rPr>
        <sz val="11"/>
        <rFont val="Calibri"/>
        <family val="2"/>
        <scheme val="minor"/>
      </rPr>
      <t>control TC0C03 for which the combinations in anomaly are specified. Apart from the compliant combinations, the Sharing Zone will identify an anomaly.</t>
    </r>
  </si>
  <si>
    <t>Légende :</t>
  </si>
  <si>
    <t>Legend:</t>
  </si>
  <si>
    <t xml:space="preserve">* : Quelle que soit la valeur </t>
  </si>
  <si>
    <t xml:space="preserve">* Whatever the value </t>
  </si>
  <si>
    <t>Donnée pivot</t>
  </si>
  <si>
    <t>Pivot data</t>
  </si>
  <si>
    <t>Donnée complémentaire</t>
  </si>
  <si>
    <t>Additional data</t>
  </si>
  <si>
    <t>Contrôle TC0C01 : Cohérence Tiers en défaut/Engagement douteux</t>
  </si>
  <si>
    <t>Control TC0C01 : Third party consistency in default/doubtful Funds in use</t>
  </si>
  <si>
    <t>Description du contrôle</t>
  </si>
  <si>
    <t>Périmètre</t>
  </si>
  <si>
    <t>Description of control</t>
  </si>
  <si>
    <t>Scope</t>
  </si>
  <si>
    <t>Ce contrôle consiste à vérifier la convergence entre les douteux (de niveau engagement) et les défauts (de niveau client)</t>
  </si>
  <si>
    <r>
      <t>Grande Clientèle et Clientèle de détail en</t>
    </r>
    <r>
      <rPr>
        <b/>
        <u/>
        <sz val="11"/>
        <color theme="1"/>
        <rFont val="Calibri"/>
        <family val="2"/>
        <scheme val="minor"/>
      </rPr>
      <t xml:space="preserve"> méthode IRB</t>
    </r>
  </si>
  <si>
    <t>This control consists in checking the convergence between doubtful (funds in use-level) and flawed (customer-level) assets</t>
  </si>
  <si>
    <r>
      <t xml:space="preserve">Corporate customers and Retail customers in </t>
    </r>
    <r>
      <rPr>
        <b/>
        <u/>
        <sz val="11"/>
        <color theme="1"/>
        <rFont val="Calibri"/>
        <family val="2"/>
        <scheme val="minor"/>
      </rPr>
      <t>IRB method</t>
    </r>
  </si>
  <si>
    <t>P1/P2</t>
  </si>
  <si>
    <t>control entry point</t>
  </si>
  <si>
    <t>Identifiant de l'engagement 
(1.11 (P1), 1.11 (P2))</t>
  </si>
  <si>
    <t>Méthodologie Bâloise
(P1 1.1, P2 1.1)</t>
  </si>
  <si>
    <t>Note Interne Retenue 
(C1 4.1)</t>
  </si>
  <si>
    <t>Date d'entrée en défaut 
(C1 4.15)</t>
  </si>
  <si>
    <t>Indicateur 'Engagement Douteux' 
(P1 5.2, P2 5.2)</t>
  </si>
  <si>
    <t>Date de passage en 'Engagement douteux' 
(P1 5.3, P2 5.3)</t>
  </si>
  <si>
    <t>Commitment ID
(1.11 (P1), 1.11 (P2))</t>
  </si>
  <si>
    <t>Basel Methodology
(P1 1.1, P2 1.1)</t>
  </si>
  <si>
    <t>Internal Rating Assigned
(C1 4.1)</t>
  </si>
  <si>
    <t>Default Entry Date
(C1 4.15)</t>
  </si>
  <si>
    <t>Doubtful Commitment' Indicator
(P1 5.2, P2 5.2)</t>
  </si>
  <si>
    <t>Date of Transfer to 'Doubtful Commitment' 
(P1 5.3, P2 5.3)</t>
  </si>
  <si>
    <t>*</t>
  </si>
  <si>
    <t>'IRB A' or 'IRB F'</t>
  </si>
  <si>
    <t>F or Z</t>
  </si>
  <si>
    <r>
      <t>&lt; Date d'arrêté -</t>
    </r>
    <r>
      <rPr>
        <b/>
        <sz val="10"/>
        <rFont val="Calibri"/>
        <family val="2"/>
        <scheme val="minor"/>
      </rPr>
      <t xml:space="preserve"> </t>
    </r>
    <r>
      <rPr>
        <b/>
        <sz val="10"/>
        <color theme="5" tint="-0.249977111117893"/>
        <rFont val="Calibri"/>
        <family val="2"/>
        <scheme val="minor"/>
      </rPr>
      <t>1 mois</t>
    </r>
  </si>
  <si>
    <t>Y</t>
  </si>
  <si>
    <t>(non vide)</t>
  </si>
  <si>
    <t>Contrôle TC0C03 : Cohérence Données de détermination de la CAP</t>
  </si>
  <si>
    <t>Control TC0C03 : Consistency CAP determination data</t>
  </si>
  <si>
    <t>Le contrôle consiste à vérifier la cohérence entre les données qui permettent de déterminer la Classe d’Actifs de Pondération (CAP)</t>
  </si>
  <si>
    <t>Grande Clientèle et Clientèle de détail</t>
  </si>
  <si>
    <t>The control consists in checking the consistency between the data used to determine the Risk Weighting Asset Class ()</t>
  </si>
  <si>
    <t>Corporate customers and Retail customers</t>
  </si>
  <si>
    <t>Portefeuille Bâle Opération
(P1 2.18, P2 2.18)</t>
  </si>
  <si>
    <t>Portefeuille Bâle Tiers 
(C1 4.7)</t>
  </si>
  <si>
    <t>Catégorie de contrepartie 
(C1 4.6)</t>
  </si>
  <si>
    <t>Méthodologie Bâloise 
(P1 1.1, P2 1.1)</t>
  </si>
  <si>
    <t>Basel Portfolio Operation
(P1 2.18, P2 2.18)</t>
  </si>
  <si>
    <t>Basel Portfolio Counterparty
(C1 4.7)</t>
  </si>
  <si>
    <t>Counterparty Category
(C1 4.6)</t>
  </si>
  <si>
    <r>
      <t xml:space="preserve">061, 062, 063, 064 , 065, 070, </t>
    </r>
    <r>
      <rPr>
        <sz val="10"/>
        <color theme="5" tint="-0.249977111117893"/>
        <rFont val="Calibri"/>
        <family val="2"/>
        <scheme val="minor"/>
      </rPr>
      <t>077 or 090</t>
    </r>
  </si>
  <si>
    <t>022, 030 or 050</t>
  </si>
  <si>
    <t>* 
except PCG10, PC21, PCG22, PCG23, PCG24</t>
  </si>
  <si>
    <t>IRB A, IRB F or STD</t>
  </si>
  <si>
    <r>
      <t>061, 062, 063, 064 , 065,</t>
    </r>
    <r>
      <rPr>
        <sz val="10"/>
        <color theme="5" tint="-0.249977111117893"/>
        <rFont val="Calibri"/>
        <family val="2"/>
        <scheme val="minor"/>
      </rPr>
      <t xml:space="preserve"> 070, 077 or 090</t>
    </r>
  </si>
  <si>
    <t>040</t>
  </si>
  <si>
    <t xml:space="preserve"> IRB F or STD</t>
  </si>
  <si>
    <t>080 or 081</t>
  </si>
  <si>
    <t>022, 030, 040 or 050</t>
  </si>
  <si>
    <t>STD</t>
  </si>
  <si>
    <t>900</t>
  </si>
  <si>
    <r>
      <rPr>
        <sz val="10"/>
        <color theme="5" tint="-0.249977111117893"/>
        <rFont val="Calibri"/>
        <family val="2"/>
        <scheme val="minor"/>
      </rPr>
      <t>ACG12, ACG13, ACG20,</t>
    </r>
    <r>
      <rPr>
        <sz val="10"/>
        <color theme="1"/>
        <rFont val="Calibri"/>
        <family val="2"/>
        <scheme val="minor"/>
      </rPr>
      <t xml:space="preserve"> ACG31, ACG32, ACG42, BCG23, BCG24, BCG25, BCG26, BCG27, BCG28, BCG29, FCG11, FCG12, FCG13, FCG21 , FCG24 </t>
    </r>
    <r>
      <rPr>
        <sz val="10"/>
        <color theme="5" tint="-0.249977111117893"/>
        <rFont val="Calibri"/>
        <family val="2"/>
        <scheme val="minor"/>
      </rPr>
      <t>or SCG10</t>
    </r>
  </si>
  <si>
    <t>050</t>
  </si>
  <si>
    <t>ACG11, ACG12, ACG13, ACG20, SCG10, SCG11 or BCG10</t>
  </si>
  <si>
    <t>030</t>
  </si>
  <si>
    <t>SCG20, ECG11, ECG13, ECG21, ECG31, ECG41, FCG22, FCG23, FCG31, FCG32, FCG33, ICG11, ICG12, ICG21, ICG22, ICG23, ICG30, MCG11, MCG12, MCG21, MCG22, MCG31, MCG32, MCG33, MCG34, MCG35, MCG36, MCG41, MCG42, MCG43, MCG44 or MCG60</t>
  </si>
  <si>
    <t>022</t>
  </si>
  <si>
    <t>ECG12, ECG32 or ECG42</t>
  </si>
  <si>
    <t>Contrôle TC0C11 : Cohérence NATO/Domaine CRR</t>
  </si>
  <si>
    <t>Control TC0C11 : NATO/CRR domain consistency</t>
  </si>
  <si>
    <t>Ce contrôle consiste à vérifier l’utilisation de la NATO avec les domaines du CRR pour chacun des flux CRR transmis</t>
  </si>
  <si>
    <t>Grande Clientèle, Clientèle de détail et Alimentation adaptée</t>
  </si>
  <si>
    <t>This control consists in checking the use of the NATO with the CRR domains for each of the CRR flows transmitted</t>
  </si>
  <si>
    <t>Corporate customers, Retail customers and Adapted food</t>
  </si>
  <si>
    <t>P1/P2/M1</t>
  </si>
  <si>
    <t>Nature d'Opération
(P1 2.29, P2 2.29, M1 2.3)</t>
  </si>
  <si>
    <t>Objet de collecte</t>
  </si>
  <si>
    <t>NATure of funds in use transaction 
(P1 2.29, P2 2.29, M1 2.3)</t>
  </si>
  <si>
    <t>Business object</t>
  </si>
  <si>
    <t>NA010, NA011, NA012, NA020, NA021, NA022, NA300, NA311, NA312, NA321, NA322, NA323, NA330, NA341, NA342, NA343, NA344, NA350, NA361, NA362, NA363, NA364, NA365, NA366, NA367, NA368, NA369, NA370, NA371, NAT41, NAT42, NAT43, NAT44, NAT06, NAT07, NA100, NA101, NA102</t>
  </si>
  <si>
    <t>NAT06, NAT07</t>
  </si>
  <si>
    <t>NAT81, NAT82, NAT83, NAT84, NAT85</t>
  </si>
  <si>
    <t>Contrôle TC0C14 : Cohérence Portefeuille Bâle Tiers / Domaine CRRC</t>
  </si>
  <si>
    <t>Control TC0C14 : Third Parties Basel Portfolio / CRRC perimeter consistency</t>
  </si>
  <si>
    <t>Le contrôle consiste à vérifier la cohérence de l'utilisation du Portefeuille Bâle Tiers vis-à-vis des domaines du CRR</t>
  </si>
  <si>
    <t>The control consists in checking that the Basel Portfolio of Third Parties is consistent with the CRR fields</t>
  </si>
  <si>
    <r>
      <rPr>
        <b/>
        <sz val="10"/>
        <color theme="0"/>
        <rFont val="Calibri"/>
        <family val="2"/>
        <scheme val="minor"/>
      </rPr>
      <t xml:space="preserve">Identifiant de l'objet
</t>
    </r>
    <r>
      <rPr>
        <sz val="10"/>
        <color theme="0"/>
        <rFont val="Calibri"/>
        <family val="2"/>
        <scheme val="minor"/>
      </rPr>
      <t>(1.11 (P1), 1.11 (P2), 1.8 (M1))</t>
    </r>
  </si>
  <si>
    <r>
      <rPr>
        <b/>
        <sz val="10"/>
        <color theme="0"/>
        <rFont val="Calibri"/>
        <family val="2"/>
        <scheme val="minor"/>
      </rPr>
      <t>Portefeuille Bâle Tiers</t>
    </r>
    <r>
      <rPr>
        <sz val="10"/>
        <color theme="0"/>
        <rFont val="Calibri"/>
        <family val="2"/>
        <scheme val="minor"/>
      </rPr>
      <t xml:space="preserve">
(C1 4.7)</t>
    </r>
  </si>
  <si>
    <r>
      <rPr>
        <b/>
        <sz val="10"/>
        <color theme="0"/>
        <rFont val="Calibri"/>
        <family val="2"/>
        <scheme val="minor"/>
      </rPr>
      <t xml:space="preserve">Funds in use ID
</t>
    </r>
    <r>
      <rPr>
        <sz val="10"/>
        <color theme="0"/>
        <rFont val="Calibri"/>
        <family val="2"/>
        <scheme val="minor"/>
      </rPr>
      <t>(1.11 (P1), 1.11 (P2), 1.8 (M1))</t>
    </r>
  </si>
  <si>
    <r>
      <rPr>
        <b/>
        <sz val="10"/>
        <color theme="0"/>
        <rFont val="Calibri"/>
        <family val="2"/>
        <scheme val="minor"/>
      </rPr>
      <t>Basel Portfolio of Third Parties</t>
    </r>
    <r>
      <rPr>
        <sz val="10"/>
        <color theme="0"/>
        <rFont val="Calibri"/>
        <family val="2"/>
        <scheme val="minor"/>
      </rPr>
      <t xml:space="preserve">
(C1 4.7)</t>
    </r>
  </si>
  <si>
    <t>P1, P2, M1</t>
  </si>
  <si>
    <t>022, 030, 040, 050</t>
  </si>
  <si>
    <t>Contrôle TC0C16 : Cohérence Crédit-bail</t>
  </si>
  <si>
    <t>Control TC0C16 : Credit-lease consistency</t>
  </si>
  <si>
    <t>Le contrôle consiste à s’assurer que la saisie de certains champs a bien été effectuée pour les expositions
du portefeuille CREDIT BAIL</t>
  </si>
  <si>
    <t>Grande Clientèle, Clientèle de détail et Standard en Alimentation adaptée</t>
  </si>
  <si>
    <t>The control consists in ensuring that certain fields have been entered for exposures
of the CREDIT BAIL portfolio</t>
  </si>
  <si>
    <t>Corporate customers, Retail Customers and Standard in Adapted Feeding</t>
  </si>
  <si>
    <t>Achat en fin de contrat du bien loué
(P1 3.45)</t>
  </si>
  <si>
    <t>Type de risque
(P1 2.0)</t>
  </si>
  <si>
    <t>Usage du bien immobilier financé
(P1 8.13)</t>
  </si>
  <si>
    <t>Valeur estimée en fin de période du bien loué
(P1 5.19)</t>
  </si>
  <si>
    <t>Devise de la valeur estimée en fin de période du bien loué
(P1 5.20)</t>
  </si>
  <si>
    <t>Valeur hypothécaire du bien immobilier loué à la date d'évaluation
(P1 3.42)</t>
  </si>
  <si>
    <t>Devise de la valeur hypothécaire du bien immobilier loué à la date d'évaluation 
(P1 3.43)</t>
  </si>
  <si>
    <t>Valeur de marché du bien immobilier loué à la dernière date d'évaluation
(P1 3.40)</t>
  </si>
  <si>
    <t>Devise de la valeur de marché du bien immobilier loué à la date d'évaluation
(P1 3.41)</t>
  </si>
  <si>
    <t>Purchase at the end of the lease of the leased property (P1 3.45)</t>
  </si>
  <si>
    <t>Risk type (P1 2.0)</t>
  </si>
  <si>
    <t>Use of real estate (P1 8.13)</t>
  </si>
  <si>
    <t>Estimated value at the end of the period of the leased property (P1 5.19)</t>
  </si>
  <si>
    <t>Currency of the estimated value at the end of the period of the leased property (P1 5.20)</t>
  </si>
  <si>
    <t>Mortgage value of leased real estate at valuation date (P1 3.42)</t>
  </si>
  <si>
    <t>Currency of the mortgage value of the leased property on the valuation date (P1 3.43)</t>
  </si>
  <si>
    <t>Market value|fair value of leased real estate at the latest valuation date (P1 3.40)</t>
  </si>
  <si>
    <t>Currency of the market value|fair value of leased real estate at valuation date (P1 3.41)</t>
  </si>
  <si>
    <t>TRE502</t>
  </si>
  <si>
    <t>≠ 0</t>
  </si>
  <si>
    <t>(Non vide)</t>
  </si>
  <si>
    <t>TRE501, TRE503, TRE509</t>
  </si>
  <si>
    <t>Contrôle TC0C17 : Cohérence Type de risque et données liées</t>
  </si>
  <si>
    <t>Control TC0C17 : Consistency risk type and related data</t>
  </si>
  <si>
    <t>Ce contrôle consiste à vérifier la cohérence entre la donnée Type de risque et l'utilisation de certaines données
risque pour chacun des flux CRR transmis</t>
  </si>
  <si>
    <t>This control consists in checking the consistency between the risk Type data and the use of certain data
risk for each CRR flow transmitted</t>
  </si>
  <si>
    <r>
      <rPr>
        <b/>
        <sz val="10"/>
        <color theme="0"/>
        <rFont val="Calibri"/>
        <family val="2"/>
        <scheme val="minor"/>
      </rPr>
      <t>Portefeuille Bâle Opération</t>
    </r>
    <r>
      <rPr>
        <sz val="10"/>
        <color theme="0"/>
        <rFont val="Calibri"/>
        <family val="2"/>
        <scheme val="minor"/>
      </rPr>
      <t xml:space="preserve">
(P1 2.18, P2 2.18)</t>
    </r>
  </si>
  <si>
    <r>
      <rPr>
        <b/>
        <sz val="10"/>
        <color theme="0"/>
        <rFont val="Calibri"/>
        <family val="2"/>
        <scheme val="minor"/>
      </rPr>
      <t>Type de risque</t>
    </r>
    <r>
      <rPr>
        <sz val="10"/>
        <color theme="0"/>
        <rFont val="Calibri"/>
        <family val="2"/>
        <scheme val="minor"/>
      </rPr>
      <t xml:space="preserve">
(P1 2.0, P2 2.0)</t>
    </r>
  </si>
  <si>
    <r>
      <rPr>
        <b/>
        <sz val="10"/>
        <color theme="0"/>
        <rFont val="Calibri"/>
        <family val="2"/>
        <scheme val="minor"/>
      </rPr>
      <t>Méthodologie Bâloise</t>
    </r>
    <r>
      <rPr>
        <sz val="10"/>
        <color theme="0"/>
        <rFont val="Calibri"/>
        <family val="2"/>
        <scheme val="minor"/>
      </rPr>
      <t xml:space="preserve">
(P1 1.1, P2 1.1)</t>
    </r>
  </si>
  <si>
    <r>
      <rPr>
        <b/>
        <sz val="10"/>
        <color theme="0"/>
        <rFont val="Calibri"/>
        <family val="2"/>
        <scheme val="minor"/>
      </rPr>
      <t>Portefeuille de booking / Intention de Gestion</t>
    </r>
    <r>
      <rPr>
        <sz val="10"/>
        <color theme="0"/>
        <rFont val="Calibri"/>
        <family val="2"/>
        <scheme val="minor"/>
      </rPr>
      <t xml:space="preserve">
(P1 2.4, P2 2.4)</t>
    </r>
  </si>
  <si>
    <r>
      <rPr>
        <b/>
        <sz val="10"/>
        <color theme="0"/>
        <rFont val="Calibri"/>
        <family val="2"/>
        <scheme val="minor"/>
      </rPr>
      <t>NATure d'Opération</t>
    </r>
    <r>
      <rPr>
        <sz val="10"/>
        <color theme="0"/>
        <rFont val="Calibri"/>
        <family val="2"/>
        <scheme val="minor"/>
      </rPr>
      <t xml:space="preserve">
(P1 2.29, P2 2.29)</t>
    </r>
  </si>
  <si>
    <r>
      <rPr>
        <b/>
        <sz val="10"/>
        <color theme="0"/>
        <rFont val="Calibri"/>
        <family val="2"/>
        <scheme val="minor"/>
      </rPr>
      <t>Nature du Sous Jacent</t>
    </r>
    <r>
      <rPr>
        <sz val="10"/>
        <color theme="0"/>
        <rFont val="Calibri"/>
        <family val="2"/>
        <scheme val="minor"/>
      </rPr>
      <t xml:space="preserve">
(P1 12.1)</t>
    </r>
  </si>
  <si>
    <t>Risk type 
(P1 2.0, P2 2.0)</t>
  </si>
  <si>
    <t>Basel methodology 
(P1 1.1, P2 1.1)</t>
  </si>
  <si>
    <t>Booking portfolio / Management intention 
(P1 2.4, P2 2.4)</t>
  </si>
  <si>
    <t>NATure of funds in use transaction 
(P1 2.29, P2 2.29)</t>
  </si>
  <si>
    <t>Nature of the Underlying
 (P1 12.1)</t>
  </si>
  <si>
    <t>080</t>
  </si>
  <si>
    <t>EQU101</t>
  </si>
  <si>
    <t>B</t>
  </si>
  <si>
    <t>NA300, NA311, NA312, NA321, NA322, NA323, NA341, NA342, NA343, NA344, NA350</t>
  </si>
  <si>
    <t>01, 02, 03 ou 98</t>
  </si>
  <si>
    <t>RM</t>
  </si>
  <si>
    <t>T</t>
  </si>
  <si>
    <t>01</t>
  </si>
  <si>
    <t>NA323, NA350</t>
  </si>
  <si>
    <t>TRE100</t>
  </si>
  <si>
    <t>NA011 ou NA012</t>
  </si>
  <si>
    <t>IRB F</t>
  </si>
  <si>
    <t>NA010</t>
  </si>
  <si>
    <t>IRB F ou STD</t>
  </si>
  <si>
    <t>NAT07</t>
  </si>
  <si>
    <t>TRE405 ou TRE406</t>
  </si>
  <si>
    <t>NA361, NA363, NA364, NA365, NA367, NA368, NA369, NA370, NA371</t>
  </si>
  <si>
    <t>900, 070 ou 06*</t>
  </si>
  <si>
    <t>TRE2*, TRE3* ou TRE4*</t>
  </si>
  <si>
    <t>IRB A ou IRB F</t>
  </si>
  <si>
    <t>NA010 ou NA020</t>
  </si>
  <si>
    <t>NA011 ou NA012 ou NA021 ou NA022</t>
  </si>
  <si>
    <t>IRB A ou IRB F ou STD</t>
  </si>
  <si>
    <t>900 ou 06*</t>
  </si>
  <si>
    <t>TRE5*</t>
  </si>
  <si>
    <t>SIG101, SIG102, SIG103 ou SIG104</t>
  </si>
  <si>
    <t>SIG105, SIG106 ou SIG107</t>
  </si>
  <si>
    <t>NAT06</t>
  </si>
  <si>
    <t>SIG2* ou SIG3*</t>
  </si>
  <si>
    <t>SIG105, SIG106, SIG107</t>
  </si>
  <si>
    <t>NAT06 ou NAT07</t>
  </si>
  <si>
    <t>VAR* hors VAR105 et VAR302</t>
  </si>
  <si>
    <t>B ou T</t>
  </si>
  <si>
    <t>NA100</t>
  </si>
  <si>
    <t>NA101 ou NA102</t>
  </si>
  <si>
    <t>VAR105 ou VAR302</t>
  </si>
  <si>
    <t>NAT4*</t>
  </si>
  <si>
    <t>INT*</t>
  </si>
  <si>
    <t>NA3*, NAT4*</t>
  </si>
  <si>
    <t>ISS100</t>
  </si>
  <si>
    <t>NA300, NA330, NA350, NA361, NA363, NA364, NA365, NA367, NA368, NA369, NA370, NA371</t>
  </si>
  <si>
    <t>06, 07, 08, 09, 10, 11,18, 22, 32 ou 98</t>
  </si>
  <si>
    <t>ISS200 ou ISS300</t>
  </si>
  <si>
    <t>06, 07, 08, 10, 11 ou 98</t>
  </si>
  <si>
    <t>070</t>
  </si>
  <si>
    <t>NA300, NA350, NA369</t>
  </si>
  <si>
    <t>077</t>
  </si>
  <si>
    <t>NA300, NA350</t>
  </si>
  <si>
    <t>09</t>
  </si>
  <si>
    <t>081</t>
  </si>
  <si>
    <t>NA330</t>
  </si>
  <si>
    <t>12, 13, 14, 15, 16 ou 17</t>
  </si>
  <si>
    <t>Contrôle TC0C22 : Cohérence Nature de la dépréciation/Type de risque</t>
  </si>
  <si>
    <t>Control TC0C22 : Consistency Type of impairment/Type of risk</t>
  </si>
  <si>
    <t>Le contrôle consiste à vérifier que si la nature de la dépréciation est une décote alors l’exposition associée
est une opération de trésorerie (hors opérations de crédit-bail) ou un titre de créance durablement déprécié</t>
  </si>
  <si>
    <t>Grande Clientèle et et Clientèle de détail</t>
  </si>
  <si>
    <t>The control consists in checking that if the nature of the impairment is a discount then the associated exposure
is a cash flow transaction (excl. credit-lease transactions) or a sustainably impaired debt instrument</t>
  </si>
  <si>
    <t>LARGE CUSTOMERS and Retail customers</t>
  </si>
  <si>
    <t>Nature de la dépréciation
(P9 2.3)</t>
  </si>
  <si>
    <t>Nature of impairment (P9 2.3)</t>
  </si>
  <si>
    <t>D</t>
  </si>
  <si>
    <t>TRE* sauf TRE5*/TRE203/TRE205/TRE206/TRE207, ISS200 ou ISS300</t>
  </si>
  <si>
    <t>Contrôle TC0C25 : Cohérence Portefeuille Bâle Tiers sur NOSTRI &amp; LORI</t>
  </si>
  <si>
    <t>Control TC0C25 : Basel Portfolio compliance of Third Parties on NOSTRI &amp; LORI</t>
  </si>
  <si>
    <t>Le contrôle consiste à vérifier que pour les opérations de NOSTRI et LORI, le tiers en risque soit bien un
établissement, ou un souverain</t>
  </si>
  <si>
    <t>Grande Clientèle</t>
  </si>
  <si>
    <t>The control consists in checking that for NOSTRI and LORI operations, the third party in risk is a
institution, or a sovereign</t>
  </si>
  <si>
    <t>LARGE CUSTOMERS</t>
  </si>
  <si>
    <t>Type de risque (P1 2.0)</t>
  </si>
  <si>
    <t>Portefeuille Bâle Tiers (C1 4.7)</t>
  </si>
  <si>
    <t>Basel Portfolio of Third Parties (C1 4.7)</t>
  </si>
  <si>
    <t>040 ou 050</t>
  </si>
  <si>
    <t>040 or 050</t>
  </si>
  <si>
    <t>Contrôle TC0C26 : Cohérence NATO/Engagement douteux en STD</t>
  </si>
  <si>
    <t>Control TC0C26 : NATO/doubtful Funds in use consistency in STD</t>
  </si>
  <si>
    <t>Le contrôle consiste à vérifier que la NATure d’Opération dans laquelle l’encours a été classé est cohérente
avec le caractère douteux/non douteux de l’encours traité en méthode Standard STD</t>
  </si>
  <si>
    <r>
      <t xml:space="preserve">Grande Clientèle, Clientèle de détail et Alimentation
adaptée, en </t>
    </r>
    <r>
      <rPr>
        <b/>
        <u/>
        <sz val="11"/>
        <color theme="1"/>
        <rFont val="Calibri"/>
        <family val="2"/>
        <scheme val="minor"/>
      </rPr>
      <t>méthode Standard</t>
    </r>
  </si>
  <si>
    <t>The control consists in checking that the NATure of the operation in which the  outstanding has been classified is consistent
with the doubtful/undoubted nature of the  outstanding treated in the STD standard method</t>
  </si>
  <si>
    <r>
      <t xml:space="preserve">Corporate customers, Retail customers and appropriate food, using the </t>
    </r>
    <r>
      <rPr>
        <b/>
        <u/>
        <sz val="11"/>
        <color theme="1"/>
        <rFont val="Calibri"/>
        <family val="2"/>
        <scheme val="minor"/>
      </rPr>
      <t>Standard method</t>
    </r>
  </si>
  <si>
    <t>NATure d'Opération de l'engagement (P1 2.29, P2 2.29)</t>
  </si>
  <si>
    <t>Indicateur 'Engagement Douteux' (P1 5.2, P2 5.2)</t>
  </si>
  <si>
    <t>NATure of funds in use transaction (P1 2.29, P2 2.29)</t>
  </si>
  <si>
    <t>Doubtful Funds in use' indicator (P1 5.2, P2 5.2)</t>
  </si>
  <si>
    <t>NA011, NA021, NA101</t>
  </si>
  <si>
    <t>NA012, NA022, NA102</t>
  </si>
  <si>
    <t>Contrôle TC0C27 : Cohérence Forbeance/indicateur créance performante</t>
  </si>
  <si>
    <t>Control TC0C27 : Forbeance consistency/performing debt indicator</t>
  </si>
  <si>
    <t>Le contrôle consiste à vérifier la cohérence des données forbearance, de l’indicateur de performance de la
créance et de l’indicateur engagement douteux</t>
  </si>
  <si>
    <t>The control consists in checking the consistency of the forbearance data, of the performance indicator of the
doubtful loan and funds in use indicator</t>
  </si>
  <si>
    <t>Statut du crédit (P1 21.5, P2 21.5)</t>
  </si>
  <si>
    <t>Indicateur créance performante (P1 21.6, P2 21.6)</t>
  </si>
  <si>
    <t>Nature contextuelle évènement de crédit (P1 21.4, P2 21.4)</t>
  </si>
  <si>
    <t>Credit status (P1 21.5, P2 21.5)</t>
  </si>
  <si>
    <t>Performance debt indicator (P1 21.6, P2 21.6)</t>
  </si>
  <si>
    <t>Contextual nature of credit event (P1 21.4, P2 21.4)</t>
  </si>
  <si>
    <t>NP</t>
  </si>
  <si>
    <t>1, 2, 3 ou 5</t>
  </si>
  <si>
    <t>1, 2, 3 or 5</t>
  </si>
  <si>
    <t>PE</t>
  </si>
  <si>
    <t>4 ou 5</t>
  </si>
  <si>
    <t>4 or 5</t>
  </si>
  <si>
    <t>Contrôle TC0C28 : Cohérence NATO - Portefeuille Bâle Tiers (dérivé de TC0C13 qui est abandonné en l'état)</t>
  </si>
  <si>
    <t>TC0C28 Control: NATO Consistency - Basel Tiers Portfolio (derived from TC0C13,  which is abandoned)</t>
  </si>
  <si>
    <t>Contrôle de cohérence entre NATO et PTF Bâle Tiers sur les périlètres Corporate et Retail</t>
  </si>
  <si>
    <t>Consistency check between NATO and PTF Basel Tier on Corporate and Retail perimeters</t>
  </si>
  <si>
    <t>Couple définissant le périmètre du contrôle</t>
  </si>
  <si>
    <t>Couple defining the scope of control</t>
  </si>
  <si>
    <r>
      <rPr>
        <b/>
        <sz val="10"/>
        <color theme="0"/>
        <rFont val="Calibri"/>
        <family val="2"/>
        <scheme val="minor"/>
      </rPr>
      <t>NATure d'Opération</t>
    </r>
    <r>
      <rPr>
        <sz val="10"/>
        <color theme="0"/>
        <rFont val="Calibri"/>
        <family val="2"/>
        <scheme val="minor"/>
      </rPr>
      <t xml:space="preserve">
(P1 2.29, P2 2.29, M1 2.3)</t>
    </r>
  </si>
  <si>
    <r>
      <t xml:space="preserve">Portefeuille Bâle Tiers
</t>
    </r>
    <r>
      <rPr>
        <sz val="10"/>
        <color theme="0"/>
        <rFont val="Calibri"/>
        <family val="2"/>
        <scheme val="minor"/>
      </rPr>
      <t>(C1 4.7)</t>
    </r>
  </si>
  <si>
    <r>
      <rPr>
        <b/>
        <sz val="10"/>
        <color theme="0"/>
        <rFont val="Calibri"/>
        <family val="2"/>
        <scheme val="minor"/>
      </rPr>
      <t xml:space="preserve">NATure of funds in use transaction </t>
    </r>
    <r>
      <rPr>
        <sz val="10"/>
        <color theme="0"/>
        <rFont val="Calibri"/>
        <family val="2"/>
        <scheme val="minor"/>
      </rPr>
      <t xml:space="preserve">
(P1 2.29, P2 2.29, M1 2.3)</t>
    </r>
  </si>
  <si>
    <r>
      <t xml:space="preserve">Basel Portfolio Counterparty
</t>
    </r>
    <r>
      <rPr>
        <sz val="10"/>
        <color theme="0"/>
        <rFont val="Calibri"/>
        <family val="2"/>
        <scheme val="minor"/>
      </rPr>
      <t>(C1 4.7)</t>
    </r>
  </si>
  <si>
    <t>NA010, NA011, NA012</t>
  </si>
  <si>
    <t>P1 ou P2</t>
  </si>
  <si>
    <t>NA020, NA021, NA022, NA100, NA101, NA102, NA300, NA311, NA312, NA321, NA322, NA323, NA330, NA341, NA342, NA343, NA344, NA350, NA361, NA362, NA363, NA364, NA365, NA366, NA367, NA368, NA369, NA370, NA371, NAT41, NAT42, NAT43, NAT44, NAT06, NAT07</t>
  </si>
  <si>
    <t>022, 030, 040 ou 050</t>
  </si>
  <si>
    <t>NAT81, NAT83, NAT84, NAT85</t>
  </si>
  <si>
    <t>NAT82</t>
  </si>
  <si>
    <t>030, 040</t>
  </si>
  <si>
    <t>Contrôle TC0C29 :  Respect de la périodicité de revalorisation des sûretés reçues (refonte de l'actuel TC0C23 qui est abandonné en l'état)</t>
  </si>
  <si>
    <t>Control TC0C29: Compliance with the periodicity of revaluation of received collateral (redesign of the current TC0C23, which is abandoned)</t>
  </si>
  <si>
    <t>Contrôle du respect de la périodicité de (re)valorisation des sûretés</t>
  </si>
  <si>
    <t>Monitoring compliance with the frequency of (re)valuation of collateral</t>
  </si>
  <si>
    <t>Triplet définissant le périmètre du contrôle</t>
  </si>
  <si>
    <t>Nature juridique de la sûreté
(M1 5.1)</t>
  </si>
  <si>
    <t>Eligibilité de la sûreté
(M1 7.5)</t>
  </si>
  <si>
    <t>Type de bien immobilier
(M1 8.42)</t>
  </si>
  <si>
    <t>Périodicité de la revalorisation de la sûreté
(M1 8.26)</t>
  </si>
  <si>
    <t>Legal nature of security
(M1 5.1)</t>
  </si>
  <si>
    <t>Eligibility of the security
(M1 7.5)</t>
  </si>
  <si>
    <t>Type of property
(M1 8.42)</t>
  </si>
  <si>
    <t>Frequency of the security revaluation
(M1 8.26)</t>
  </si>
  <si>
    <t>REE*</t>
  </si>
  <si>
    <t>Y ou N</t>
  </si>
  <si>
    <t>&lt;= 1095</t>
  </si>
  <si>
    <t>&lt;= 365</t>
  </si>
  <si>
    <t>TAS0402</t>
  </si>
  <si>
    <t>&lt;= 185</t>
  </si>
  <si>
    <t>CAS*, SEC*, COL0101, CDE0301, INS0903</t>
  </si>
  <si>
    <t>(vide)</t>
  </si>
  <si>
    <t>Contrôle TC0C30 : Cohérence entre instrument financier, nature de sous-jacent et type de produit bancaire</t>
  </si>
  <si>
    <t>TC0C30 Control: Consistency between financial instrument, underlying asset type, and banking product type</t>
  </si>
  <si>
    <t>Contrôle de cohérence entre Instrument financier, Nature du sous-jacent et Types de produit bancaire</t>
  </si>
  <si>
    <t>Consistency check between Financial Instrument, Underlying Asset Type, and Banking Product Types</t>
  </si>
  <si>
    <r>
      <rPr>
        <b/>
        <sz val="10"/>
        <color theme="0"/>
        <rFont val="Calibri"/>
        <family val="2"/>
        <scheme val="minor"/>
      </rPr>
      <t>Instrument financier</t>
    </r>
    <r>
      <rPr>
        <sz val="10"/>
        <color theme="0"/>
        <rFont val="Calibri"/>
        <family val="2"/>
        <scheme val="minor"/>
      </rPr>
      <t xml:space="preserve">
(P1 3.75)</t>
    </r>
  </si>
  <si>
    <r>
      <t xml:space="preserve">Type de produit bancaire
</t>
    </r>
    <r>
      <rPr>
        <sz val="10"/>
        <color theme="0"/>
        <rFont val="Calibri"/>
        <family val="2"/>
        <scheme val="minor"/>
      </rPr>
      <t>(P1 4.42)</t>
    </r>
  </si>
  <si>
    <r>
      <rPr>
        <b/>
        <sz val="10"/>
        <color theme="0"/>
        <rFont val="Calibri"/>
        <family val="2"/>
        <scheme val="minor"/>
      </rPr>
      <t>Nature de sous-jacent</t>
    </r>
    <r>
      <rPr>
        <sz val="10"/>
        <color theme="0"/>
        <rFont val="Calibri"/>
        <family val="2"/>
        <scheme val="minor"/>
      </rPr>
      <t xml:space="preserve">
(P1 12.1)</t>
    </r>
  </si>
  <si>
    <r>
      <rPr>
        <b/>
        <sz val="10"/>
        <color theme="0"/>
        <rFont val="Calibri"/>
        <family val="2"/>
        <scheme val="minor"/>
      </rPr>
      <t>Financial instrument</t>
    </r>
    <r>
      <rPr>
        <sz val="10"/>
        <color theme="0"/>
        <rFont val="Calibri"/>
        <family val="2"/>
        <scheme val="minor"/>
      </rPr>
      <t xml:space="preserve">
(P1 3.75)</t>
    </r>
  </si>
  <si>
    <r>
      <t xml:space="preserve">Type of banking product
</t>
    </r>
    <r>
      <rPr>
        <sz val="10"/>
        <color theme="0"/>
        <rFont val="Calibri"/>
        <family val="2"/>
        <scheme val="minor"/>
      </rPr>
      <t>(P1 4.42)</t>
    </r>
  </si>
  <si>
    <r>
      <rPr>
        <b/>
        <sz val="10"/>
        <color theme="0"/>
        <rFont val="Calibri"/>
        <family val="2"/>
        <scheme val="minor"/>
      </rPr>
      <t>Nature of the Underlying</t>
    </r>
    <r>
      <rPr>
        <sz val="10"/>
        <color theme="0"/>
        <rFont val="Calibri"/>
        <family val="2"/>
        <scheme val="minor"/>
      </rPr>
      <t xml:space="preserve">
(P1 12.1)</t>
    </r>
  </si>
  <si>
    <t>A1</t>
  </si>
  <si>
    <t>TDETA1</t>
  </si>
  <si>
    <t>01, 02, 03, 04, 98</t>
  </si>
  <si>
    <t>A2, A3</t>
  </si>
  <si>
    <t>01, 98</t>
  </si>
  <si>
    <t>A4</t>
  </si>
  <si>
    <t>02, 98</t>
  </si>
  <si>
    <t>B1</t>
  </si>
  <si>
    <t>TDETB1</t>
  </si>
  <si>
    <t>06, 08,11</t>
  </si>
  <si>
    <t>B2</t>
  </si>
  <si>
    <t>TDETB1, TDETB2</t>
  </si>
  <si>
    <t>07</t>
  </si>
  <si>
    <t>B3</t>
  </si>
  <si>
    <t>TDETB1, TDETB3</t>
  </si>
  <si>
    <t>B4</t>
  </si>
  <si>
    <t>TDETB1, TDETB4</t>
  </si>
  <si>
    <t>04, 32</t>
  </si>
  <si>
    <t>B5</t>
  </si>
  <si>
    <t>TDETB5</t>
  </si>
  <si>
    <t>11</t>
  </si>
  <si>
    <t>B6</t>
  </si>
  <si>
    <t>TDETB6</t>
  </si>
  <si>
    <t>10</t>
  </si>
  <si>
    <t>B7</t>
  </si>
  <si>
    <t>TDETB7</t>
  </si>
  <si>
    <t>TDETC1</t>
  </si>
  <si>
    <t>12, 13, 14, 15, 16, 30, 31, 34, 98</t>
  </si>
  <si>
    <t>C2</t>
  </si>
  <si>
    <t>TDETC2</t>
  </si>
  <si>
    <t>13, 14, 34, 98</t>
  </si>
  <si>
    <t>C3</t>
  </si>
  <si>
    <t>TDETC3</t>
  </si>
  <si>
    <t>C4</t>
  </si>
  <si>
    <t>TDETC4</t>
  </si>
  <si>
    <t>17</t>
  </si>
  <si>
    <t>C5</t>
  </si>
  <si>
    <t>TDETC5</t>
  </si>
  <si>
    <t>32</t>
  </si>
  <si>
    <t>DERI01, DERI06</t>
  </si>
  <si>
    <t>33, 98</t>
  </si>
  <si>
    <t>02, 21, 53, 71, 83</t>
  </si>
  <si>
    <t>DERI02, DERI06</t>
  </si>
  <si>
    <t>03, 04, 22, 54</t>
  </si>
  <si>
    <t>DERI04, DERI06</t>
  </si>
  <si>
    <t>05, 07, 23, 24, 27, 55, 56, 58, 73, 75, 86</t>
  </si>
  <si>
    <t>DERI03, DERI06</t>
  </si>
  <si>
    <t>18</t>
  </si>
  <si>
    <t>06, 25, 26, 57</t>
  </si>
  <si>
    <t>DERI05, DERI06</t>
  </si>
  <si>
    <t>41</t>
  </si>
  <si>
    <t>REPO01, RREP01</t>
  </si>
  <si>
    <t>06, 07, 08, 09, 10, 11, 32, 98</t>
  </si>
  <si>
    <t>42</t>
  </si>
  <si>
    <t>PRTI01, EMTI01</t>
  </si>
  <si>
    <t>51</t>
  </si>
  <si>
    <t>52</t>
  </si>
  <si>
    <t>72</t>
  </si>
  <si>
    <t>23, 24, 26, 27, 28, 98</t>
  </si>
  <si>
    <t>74</t>
  </si>
  <si>
    <t>81, 82</t>
  </si>
  <si>
    <t>DERI06</t>
  </si>
  <si>
    <t>22</t>
  </si>
  <si>
    <t>84, 85</t>
  </si>
  <si>
    <t>Contrôle TC0C31 :  Contrôle de cohérence sur encours du portefeuille immobilier</t>
  </si>
  <si>
    <t>TC0C31 Control: Consistency check on real estate portfolio outstanding</t>
  </si>
  <si>
    <t>Contrôle de cohérence Type de produit bancaire-Usage du bien immobilier apporté en garantie-PTF Bâle Opération-Objet financé</t>
  </si>
  <si>
    <t>Consistency check Banking product type - Use of real estate provided as collateral - Basel portfolio Transaction - Financed object</t>
  </si>
  <si>
    <r>
      <rPr>
        <b/>
        <sz val="10"/>
        <color theme="0"/>
        <rFont val="Calibri"/>
        <family val="2"/>
        <scheme val="minor"/>
      </rPr>
      <t>Type de produit bancaire</t>
    </r>
    <r>
      <rPr>
        <sz val="10"/>
        <color theme="0"/>
        <rFont val="Calibri"/>
        <family val="2"/>
        <scheme val="minor"/>
      </rPr>
      <t xml:space="preserve">
(P1 4.42, P2 4.42)</t>
    </r>
  </si>
  <si>
    <r>
      <rPr>
        <b/>
        <sz val="10"/>
        <color theme="0"/>
        <rFont val="Calibri"/>
        <family val="2"/>
        <scheme val="minor"/>
      </rPr>
      <t>Usage du bien immobilier apporté en garantie</t>
    </r>
    <r>
      <rPr>
        <sz val="10"/>
        <color theme="0"/>
        <rFont val="Calibri"/>
        <family val="2"/>
        <scheme val="minor"/>
      </rPr>
      <t xml:space="preserve">
(P1 3.46, P2 3.46)</t>
    </r>
  </si>
  <si>
    <r>
      <rPr>
        <b/>
        <sz val="10"/>
        <color theme="0"/>
        <rFont val="Calibri"/>
        <family val="2"/>
        <scheme val="minor"/>
      </rPr>
      <t>Objet du financement</t>
    </r>
    <r>
      <rPr>
        <sz val="10"/>
        <color theme="0"/>
        <rFont val="Calibri"/>
        <family val="2"/>
        <scheme val="minor"/>
      </rPr>
      <t xml:space="preserve">
(P1 22.7, P2 22.7)</t>
    </r>
  </si>
  <si>
    <r>
      <rPr>
        <b/>
        <sz val="10"/>
        <color theme="0"/>
        <rFont val="Calibri"/>
        <family val="2"/>
        <scheme val="minor"/>
      </rPr>
      <t>Type of banking product</t>
    </r>
    <r>
      <rPr>
        <sz val="10"/>
        <color theme="0"/>
        <rFont val="Calibri"/>
        <family val="2"/>
        <scheme val="minor"/>
      </rPr>
      <t xml:space="preserve">
(P1 4.42, P2 4.42)</t>
    </r>
  </si>
  <si>
    <r>
      <rPr>
        <b/>
        <sz val="10"/>
        <color theme="0"/>
        <rFont val="Calibri"/>
        <family val="2"/>
        <scheme val="minor"/>
      </rPr>
      <t>Use of the property provided as collateral</t>
    </r>
    <r>
      <rPr>
        <sz val="10"/>
        <color theme="0"/>
        <rFont val="Calibri"/>
        <family val="2"/>
        <scheme val="minor"/>
      </rPr>
      <t xml:space="preserve">
(P1 3.46, P2 3.46)</t>
    </r>
  </si>
  <si>
    <r>
      <rPr>
        <b/>
        <sz val="10"/>
        <color theme="0"/>
        <rFont val="Calibri"/>
        <family val="2"/>
        <scheme val="minor"/>
      </rPr>
      <t>Basel Portfolio Operation</t>
    </r>
    <r>
      <rPr>
        <sz val="10"/>
        <color theme="0"/>
        <rFont val="Calibri"/>
        <family val="2"/>
        <scheme val="minor"/>
      </rPr>
      <t xml:space="preserve">
(P1 2.18, P2 2.18)</t>
    </r>
  </si>
  <si>
    <r>
      <rPr>
        <b/>
        <sz val="10"/>
        <color theme="0"/>
        <rFont val="Calibri"/>
        <family val="2"/>
        <scheme val="minor"/>
      </rPr>
      <t>Purpose of the funding</t>
    </r>
    <r>
      <rPr>
        <sz val="10"/>
        <color theme="0"/>
        <rFont val="Calibri"/>
        <family val="2"/>
        <scheme val="minor"/>
      </rPr>
      <t xml:space="preserve">
(P1 22.7, P2 22.7)</t>
    </r>
  </si>
  <si>
    <t>CRED02</t>
  </si>
  <si>
    <t>1</t>
  </si>
  <si>
    <t>061, 062, 064, 065, 900</t>
  </si>
  <si>
    <t>01 ou 02</t>
  </si>
  <si>
    <t>2</t>
  </si>
  <si>
    <t>03, 04 ou 05</t>
  </si>
  <si>
    <r>
      <rPr>
        <b/>
        <sz val="10"/>
        <color theme="0"/>
        <rFont val="Calibri"/>
        <family val="2"/>
        <scheme val="minor"/>
      </rPr>
      <t>Risk type</t>
    </r>
    <r>
      <rPr>
        <sz val="10"/>
        <color theme="0"/>
        <rFont val="Calibri"/>
        <family val="2"/>
        <scheme val="minor"/>
      </rPr>
      <t xml:space="preserve">
(P1 2.0, P2 2.0)</t>
    </r>
  </si>
  <si>
    <t>04 ou 05</t>
  </si>
  <si>
    <t>Contrôle TC0C32 :  Cohérence entre provision et encours provisionné</t>
  </si>
  <si>
    <t>Control TC0C32: Consistency between provision and provisioned outstanding amount</t>
  </si>
  <si>
    <t>Contrôle de cohérence entre provision et encours provisionné</t>
  </si>
  <si>
    <t>Consistency check between provision and provisioned outstanding balance</t>
  </si>
  <si>
    <t>P7/P9</t>
  </si>
  <si>
    <r>
      <t xml:space="preserve">Nature de la dépréciation
</t>
    </r>
    <r>
      <rPr>
        <sz val="10"/>
        <color theme="0"/>
        <rFont val="Calibri"/>
        <family val="2"/>
        <scheme val="minor"/>
      </rPr>
      <t>(P9 2.3)</t>
    </r>
  </si>
  <si>
    <r>
      <t xml:space="preserve">Bucket IFRS9
</t>
    </r>
    <r>
      <rPr>
        <sz val="10"/>
        <color theme="0"/>
        <rFont val="Calibri"/>
        <family val="2"/>
        <scheme val="minor"/>
      </rPr>
      <t>(P1 22.72, P2 22.72)</t>
    </r>
  </si>
  <si>
    <r>
      <t xml:space="preserve">Indicateur Engagement douteux
</t>
    </r>
    <r>
      <rPr>
        <sz val="10"/>
        <color theme="0"/>
        <rFont val="Calibri"/>
        <family val="2"/>
        <scheme val="minor"/>
      </rPr>
      <t>(P1 5.2, P2 5.2)</t>
    </r>
  </si>
  <si>
    <r>
      <t xml:space="preserve">Nature of the depreciation
</t>
    </r>
    <r>
      <rPr>
        <sz val="10"/>
        <color theme="0"/>
        <rFont val="Calibri"/>
        <family val="2"/>
        <scheme val="minor"/>
      </rPr>
      <t>(P7 2.3, P9 2.3)</t>
    </r>
  </si>
  <si>
    <r>
      <t xml:space="preserve">Bucket IFRS9
</t>
    </r>
    <r>
      <rPr>
        <sz val="10"/>
        <color theme="0"/>
        <rFont val="Calibri"/>
        <family val="2"/>
        <scheme val="minor"/>
      </rPr>
      <t>(P1 22.72, P2 22.72, P3C 22.72, P3D 22.72, P3S 22.72)</t>
    </r>
  </si>
  <si>
    <r>
      <t xml:space="preserve">Doubtful Commitment' Indicator
</t>
    </r>
    <r>
      <rPr>
        <sz val="10"/>
        <color theme="0"/>
        <rFont val="Calibri"/>
        <family val="2"/>
        <scheme val="minor"/>
      </rPr>
      <t>(P1 5.2, P2 5.2, P3C 9.14, P3S 9.14)</t>
    </r>
  </si>
  <si>
    <t>A</t>
  </si>
  <si>
    <t>P1, P2, P3C, P3S</t>
  </si>
  <si>
    <t>P3D</t>
  </si>
  <si>
    <t>E</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</si>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</sst>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43" formatCode="_-* #,##0.00_-;\-* #,##0.00_-;_-* &quot;-&quot;??_-;_-@_-"/>
  </numFmts>
  <fonts count="71"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sz val="10"/>
      <name val="Arial"/>
      <family val="2"/>
    </font>
    <font>
      <sz val="11"/>
      <name val="Calibri"/>
      <family val="2"/>
    </font>
    <font>
      <sz val="11"/>
      <name val="Calibri"/>
      <family val="2"/>
      <scheme val="minor"/>
    </font>
    <font>
      <i/>
      <sz val="11"/>
      <color theme="1"/>
      <name val="Calibri"/>
      <family val="2"/>
      <scheme val="minor"/>
    </font>
    <font>
      <sz val="11"/>
      <color theme="1"/>
      <name val="Calibri"/>
      <family val="2"/>
    </font>
    <font>
      <b/>
      <sz val="11"/>
      <color rgb="FF0070C0"/>
      <name val="Calibri"/>
      <family val="2"/>
      <scheme val="minor"/>
    </font>
    <font>
      <sz val="11"/>
      <color rgb="FF0070C0"/>
      <name val="Calibri"/>
      <family val="2"/>
      <scheme val="minor"/>
    </font>
    <font>
      <sz val="11"/>
      <color rgb="FFFF0000"/>
      <name val="Calibri"/>
      <family val="2"/>
      <scheme val="minor"/>
    </font>
    <font>
      <i/>
      <sz val="11"/>
      <color theme="0" tint="-0.499984740745262"/>
      <name val="Calibri"/>
      <family val="2"/>
      <scheme val="minor"/>
    </font>
    <font>
      <b/>
      <sz val="11"/>
      <color theme="0"/>
      <name val="Calibri"/>
      <family val="2"/>
      <scheme val="minor"/>
    </font>
    <font>
      <b/>
      <sz val="11"/>
      <color theme="1"/>
      <name val="Calibri"/>
      <family val="2"/>
      <scheme val="minor"/>
    </font>
    <font>
      <u/>
      <sz val="11"/>
      <name val="Calibri"/>
      <family val="2"/>
      <scheme val="minor"/>
    </font>
    <font>
      <b/>
      <sz val="11"/>
      <name val="Calibri"/>
      <family val="2"/>
      <scheme val="minor"/>
    </font>
    <font>
      <sz val="11"/>
      <color rgb="FF000000"/>
      <name val="Calibri"/>
      <family val="2"/>
      <scheme val="minor"/>
    </font>
    <font>
      <i/>
      <sz val="11"/>
      <name val="Calibri"/>
      <family val="2"/>
      <scheme val="minor"/>
    </font>
    <font>
      <sz val="11"/>
      <color indexed="8"/>
      <name val="Calibri"/>
      <family val="2"/>
      <scheme val="minor"/>
    </font>
    <font>
      <i/>
      <sz val="11"/>
      <color rgb="FF0070C0"/>
      <name val="Calibri"/>
      <family val="2"/>
      <scheme val="minor"/>
    </font>
    <font>
      <sz val="11"/>
      <color theme="0"/>
      <name val="Calibri"/>
      <family val="2"/>
      <scheme val="minor"/>
    </font>
    <font>
      <b/>
      <sz val="11"/>
      <color rgb="FF000000"/>
      <name val="Calibri"/>
      <family val="2"/>
      <scheme val="minor"/>
    </font>
    <font>
      <b/>
      <sz val="11"/>
      <color rgb="FFFFFFFF"/>
      <name val="Calibri"/>
      <family val="2"/>
      <scheme val="minor"/>
    </font>
    <font>
      <u/>
      <sz val="11"/>
      <color rgb="FF0070C0"/>
      <name val="Calibri"/>
      <family val="2"/>
      <scheme val="minor"/>
    </font>
    <font>
      <sz val="11"/>
      <color indexed="8"/>
      <name val="Calibri"/>
      <family val="2"/>
    </font>
    <font>
      <strike/>
      <sz val="11"/>
      <color rgb="FF0070C0"/>
      <name val="Calibri"/>
      <family val="2"/>
      <scheme val="minor"/>
    </font>
    <font>
      <strike/>
      <sz val="11"/>
      <color theme="1"/>
      <name val="Calibri"/>
      <family val="2"/>
      <scheme val="minor"/>
    </font>
    <font>
      <strike/>
      <sz val="11"/>
      <name val="Calibri"/>
      <family val="2"/>
      <scheme val="minor"/>
    </font>
    <font>
      <b/>
      <i/>
      <sz val="11"/>
      <color theme="0" tint="-0.499984740745262"/>
      <name val="Calibri"/>
      <family val="2"/>
      <scheme val="minor"/>
    </font>
    <font>
      <b/>
      <sz val="12"/>
      <color theme="1"/>
      <name val="Calibri"/>
      <family val="2"/>
      <scheme val="minor"/>
    </font>
    <font>
      <b/>
      <u/>
      <sz val="11"/>
      <color theme="1"/>
      <name val="Calibri"/>
      <family val="2"/>
      <scheme val="minor"/>
    </font>
    <font>
      <sz val="10"/>
      <color theme="1"/>
      <name val="Calibri"/>
      <family val="2"/>
      <scheme val="minor"/>
    </font>
    <font>
      <sz val="10"/>
      <name val="Calibri"/>
      <family val="2"/>
      <scheme val="minor"/>
    </font>
    <font>
      <b/>
      <sz val="20"/>
      <name val="Calibri"/>
      <family val="2"/>
      <scheme val="minor"/>
    </font>
    <font>
      <b/>
      <sz val="12"/>
      <name val="Calibri"/>
      <family val="2"/>
      <scheme val="minor"/>
    </font>
    <font>
      <sz val="10"/>
      <name val="Calibri"/>
      <family val="2"/>
    </font>
    <font>
      <i/>
      <strike/>
      <sz val="11"/>
      <color theme="0" tint="-0.499984740745262"/>
      <name val="Calibri"/>
      <family val="2"/>
      <scheme val="minor"/>
    </font>
    <font>
      <b/>
      <i/>
      <sz val="11"/>
      <color theme="2" tint="-0.749992370372631"/>
      <name val="Calibri"/>
      <family val="2"/>
      <scheme val="minor"/>
    </font>
    <font>
      <b/>
      <sz val="10"/>
      <name val="Calibri"/>
      <family val="2"/>
      <scheme val="minor"/>
    </font>
    <font>
      <b/>
      <sz val="10"/>
      <color theme="1"/>
      <name val="Calibri"/>
      <family val="2"/>
      <scheme val="minor"/>
    </font>
    <font>
      <i/>
      <sz val="10"/>
      <color theme="1"/>
      <name val="Calibri"/>
      <family val="2"/>
      <scheme val="minor"/>
    </font>
    <font>
      <b/>
      <u/>
      <sz val="11"/>
      <name val="Calibri"/>
      <family val="2"/>
      <scheme val="minor"/>
    </font>
    <font>
      <sz val="10"/>
      <color theme="0"/>
      <name val="Calibri"/>
      <family val="2"/>
      <scheme val="minor"/>
    </font>
    <font>
      <sz val="10"/>
      <color theme="5" tint="-0.249977111117893"/>
      <name val="Calibri"/>
      <family val="2"/>
      <scheme val="minor"/>
    </font>
    <font>
      <b/>
      <sz val="10"/>
      <color theme="5" tint="-0.249977111117893"/>
      <name val="Calibri"/>
      <family val="2"/>
      <scheme val="minor"/>
    </font>
    <font>
      <sz val="11"/>
      <color theme="5" tint="-0.249977111117893"/>
      <name val="Calibri"/>
      <family val="2"/>
      <scheme val="minor"/>
    </font>
    <font>
      <b/>
      <sz val="10"/>
      <color theme="0"/>
      <name val="Calibri"/>
      <family val="2"/>
      <scheme val="minor"/>
    </font>
    <font>
      <b/>
      <sz val="10"/>
      <color theme="1"/>
      <name val="Arial"/>
      <family val="2"/>
    </font>
    <font>
      <b/>
      <sz val="10"/>
      <color theme="1"/>
      <name val="Calibri"/>
      <family val="2"/>
    </font>
    <font>
      <sz val="8"/>
      <name val="Arial"/>
      <family val="2"/>
    </font>
  </fonts>
  <fills count="28">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indexed="46"/>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2"/>
        <bgColor indexed="64"/>
      </patternFill>
    </fill>
    <fill>
      <patternFill patternType="solid">
        <fgColor theme="9" tint="0.79998168889431442"/>
        <bgColor indexed="64"/>
      </patternFill>
    </fill>
    <fill>
      <patternFill patternType="solid">
        <fgColor indexed="42"/>
      </patternFill>
    </fill>
    <fill>
      <patternFill patternType="solid">
        <fgColor rgb="FF92CDDC"/>
        <bgColor indexed="64"/>
      </patternFill>
    </fill>
    <fill>
      <patternFill patternType="solid">
        <fgColor theme="6" tint="0.79998168889431442"/>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rgb="FFFFCCFF"/>
        <bgColor indexed="64"/>
      </patternFill>
    </fill>
    <fill>
      <patternFill patternType="solid">
        <fgColor theme="8" tint="0.39997558519241921"/>
        <bgColor indexed="64"/>
      </patternFill>
    </fill>
    <fill>
      <patternFill patternType="solid">
        <fgColor rgb="FFEBF1DE"/>
        <bgColor indexed="64"/>
      </patternFill>
    </fill>
    <fill>
      <patternFill patternType="solid">
        <fgColor theme="7" tint="0.79998168889431442"/>
        <bgColor indexed="64"/>
      </patternFill>
    </fill>
    <fill>
      <patternFill patternType="solid">
        <fgColor rgb="FFFFFFCC"/>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style="double">
        <color auto="1"/>
      </top>
      <bottom/>
      <diagonal/>
    </border>
    <border>
      <left/>
      <right style="double">
        <color auto="1"/>
      </right>
      <top style="double">
        <color auto="1"/>
      </top>
      <bottom/>
      <diagonal/>
    </border>
    <border>
      <left/>
      <right style="double">
        <color auto="1"/>
      </right>
      <top/>
      <bottom/>
      <diagonal/>
    </border>
    <border>
      <left/>
      <right/>
      <top/>
      <bottom style="double">
        <color auto="1"/>
      </bottom>
      <diagonal/>
    </border>
    <border>
      <left/>
      <right style="double">
        <color auto="1"/>
      </right>
      <top/>
      <bottom style="double">
        <color auto="1"/>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double">
        <color auto="1"/>
      </left>
      <right/>
      <top style="double">
        <color auto="1"/>
      </top>
      <bottom/>
      <diagonal/>
    </border>
    <border>
      <left style="double">
        <color auto="1"/>
      </left>
      <right/>
      <top/>
      <bottom/>
      <diagonal/>
    </border>
    <border>
      <left style="double">
        <color auto="1"/>
      </left>
      <right/>
      <top/>
      <bottom style="double">
        <color auto="1"/>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diagonal/>
    </border>
    <border>
      <left style="medium">
        <color indexed="64"/>
      </left>
      <right/>
      <top style="medium">
        <color indexed="64"/>
      </top>
      <bottom style="thin">
        <color auto="1"/>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auto="1"/>
      </top>
      <bottom style="medium">
        <color indexed="64"/>
      </bottom>
      <diagonal/>
    </border>
    <border>
      <left style="thin">
        <color theme="0"/>
      </left>
      <right style="thin">
        <color theme="0"/>
      </right>
      <top style="thin">
        <color theme="0"/>
      </top>
      <bottom style="thin">
        <color theme="0"/>
      </bottom>
      <diagonal/>
    </border>
    <border>
      <left/>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34998626667073579"/>
      </top>
      <bottom style="thin">
        <color theme="0" tint="-0.24994659260841701"/>
      </bottom>
      <diagonal/>
    </border>
    <border>
      <left style="thin">
        <color theme="0" tint="-0.24994659260841701"/>
      </left>
      <right style="thin">
        <color theme="0" tint="-0.34998626667073579"/>
      </right>
      <top style="thin">
        <color theme="0" tint="-0.34998626667073579"/>
      </top>
      <bottom style="thin">
        <color theme="0" tint="-0.24994659260841701"/>
      </bottom>
      <diagonal/>
    </border>
    <border>
      <left style="thin">
        <color theme="0" tint="-0.24994659260841701"/>
      </left>
      <right style="thin">
        <color theme="0" tint="-0.34998626667073579"/>
      </right>
      <top style="thin">
        <color theme="0" tint="-0.24994659260841701"/>
      </top>
      <bottom style="thin">
        <color theme="0" tint="-0.24994659260841701"/>
      </bottom>
      <diagonal/>
    </border>
    <border>
      <left/>
      <right/>
      <top/>
      <bottom style="thin">
        <color indexed="64"/>
      </bottom>
      <diagonal/>
    </border>
    <border>
      <left style="thin">
        <color indexed="64"/>
      </left>
      <right/>
      <top style="thin">
        <color indexed="64"/>
      </top>
      <bottom/>
      <diagonal/>
    </border>
    <border>
      <left style="dotted">
        <color theme="0" tint="-0.34998626667073579"/>
      </left>
      <right style="dotted">
        <color theme="0" tint="-0.34998626667073579"/>
      </right>
      <top style="thin">
        <color indexed="64"/>
      </top>
      <bottom style="thin">
        <color indexed="64"/>
      </bottom>
      <diagonal/>
    </border>
    <border>
      <left style="medium">
        <color indexed="64"/>
      </left>
      <right style="dotted">
        <color theme="0" tint="-0.34998626667073579"/>
      </right>
      <top style="thin">
        <color indexed="64"/>
      </top>
      <bottom style="thin">
        <color indexed="64"/>
      </bottom>
      <diagonal/>
    </border>
  </borders>
  <cellStyleXfs count="42">
    <xf numFmtId="0" fontId="0" fillId="0" borderId="0"/>
    <xf numFmtId="44" fontId="22" fillId="0" borderId="0" applyFont="0" applyFill="0" applyBorder="0" applyAlignment="0" applyProtection="0"/>
    <xf numFmtId="0" fontId="23" fillId="0" borderId="0" applyNumberFormat="0" applyFill="0" applyBorder="0" applyAlignment="0" applyProtection="0">
      <alignment vertical="top"/>
      <protection locked="0"/>
    </xf>
    <xf numFmtId="0" fontId="24" fillId="0" borderId="0"/>
    <xf numFmtId="0" fontId="24" fillId="0" borderId="0"/>
    <xf numFmtId="0" fontId="21" fillId="0" borderId="0"/>
    <xf numFmtId="0" fontId="20" fillId="0" borderId="0"/>
    <xf numFmtId="0" fontId="20" fillId="0" borderId="0"/>
    <xf numFmtId="0" fontId="22" fillId="0" borderId="0"/>
    <xf numFmtId="0" fontId="19" fillId="0" borderId="0"/>
    <xf numFmtId="0" fontId="18" fillId="0" borderId="0"/>
    <xf numFmtId="0" fontId="22" fillId="0" borderId="0"/>
    <xf numFmtId="0" fontId="17" fillId="0" borderId="0"/>
    <xf numFmtId="0" fontId="22" fillId="0" borderId="0"/>
    <xf numFmtId="0" fontId="22" fillId="0" borderId="0"/>
    <xf numFmtId="0" fontId="22" fillId="0" borderId="0"/>
    <xf numFmtId="9" fontId="17" fillId="0" borderId="0" applyFont="0" applyFill="0" applyBorder="0" applyAlignment="0" applyProtection="0"/>
    <xf numFmtId="0" fontId="17" fillId="0" borderId="0"/>
    <xf numFmtId="0" fontId="22" fillId="0" borderId="0"/>
    <xf numFmtId="0" fontId="17" fillId="0" borderId="0"/>
    <xf numFmtId="0" fontId="16" fillId="0" borderId="0"/>
    <xf numFmtId="0" fontId="39" fillId="0" borderId="0"/>
    <xf numFmtId="0" fontId="45" fillId="8" borderId="0" applyNumberFormat="0" applyBorder="0" applyAlignment="0" applyProtection="0"/>
    <xf numFmtId="0" fontId="15" fillId="0" borderId="0"/>
    <xf numFmtId="0" fontId="14" fillId="0" borderId="0"/>
    <xf numFmtId="0" fontId="14" fillId="0" borderId="0"/>
    <xf numFmtId="0" fontId="14" fillId="0" borderId="0"/>
    <xf numFmtId="0" fontId="14" fillId="0" borderId="0"/>
    <xf numFmtId="43" fontId="22" fillId="0" borderId="0" applyFont="0" applyFill="0" applyBorder="0" applyAlignment="0" applyProtection="0"/>
    <xf numFmtId="0" fontId="13" fillId="0" borderId="0"/>
    <xf numFmtId="0" fontId="12" fillId="0" borderId="0"/>
    <xf numFmtId="0" fontId="45" fillId="14" borderId="0" applyNumberFormat="0" applyBorder="0" applyAlignment="0" applyProtection="0"/>
    <xf numFmtId="0" fontId="11" fillId="0" borderId="0"/>
    <xf numFmtId="0" fontId="22" fillId="0" borderId="0"/>
    <xf numFmtId="0" fontId="10" fillId="0" borderId="0"/>
    <xf numFmtId="0" fontId="8" fillId="0" borderId="0"/>
    <xf numFmtId="0" fontId="7" fillId="0" borderId="0"/>
    <xf numFmtId="0" fontId="6" fillId="0" borderId="0"/>
    <xf numFmtId="0" fontId="6" fillId="0" borderId="0"/>
    <xf numFmtId="0" fontId="5" fillId="0" borderId="0"/>
    <xf numFmtId="0" fontId="5" fillId="0" borderId="0"/>
    <xf numFmtId="0" fontId="22" fillId="0" borderId="0"/>
  </cellStyleXfs>
  <cellXfs count="1012">
    <xf numFmtId="0" fontId="0" fillId="0" borderId="0" xfId="0"/>
    <xf numFmtId="0" fontId="33" fillId="7" borderId="22" xfId="13" applyFont="1" applyFill="1" applyBorder="1" applyAlignment="1">
      <alignment horizontal="center" vertical="center" wrapText="1"/>
    </xf>
    <xf numFmtId="0" fontId="29" fillId="7" borderId="21" xfId="13" applyFont="1" applyFill="1" applyBorder="1" applyAlignment="1" applyProtection="1">
      <alignment horizontal="center" vertical="center" wrapText="1"/>
      <protection locked="0"/>
    </xf>
    <xf numFmtId="0" fontId="33" fillId="7" borderId="21" xfId="13" applyFont="1" applyFill="1" applyBorder="1" applyAlignment="1" applyProtection="1">
      <alignment horizontal="center" vertical="center" wrapText="1"/>
      <protection locked="0"/>
    </xf>
    <xf numFmtId="0" fontId="33" fillId="7" borderId="23" xfId="13" applyFont="1" applyFill="1" applyBorder="1" applyAlignment="1" applyProtection="1">
      <alignment horizontal="center" vertical="center" wrapText="1"/>
      <protection locked="0"/>
    </xf>
    <xf numFmtId="0" fontId="26" fillId="4" borderId="15" xfId="8" applyFont="1" applyFill="1" applyBorder="1" applyAlignment="1">
      <alignment horizontal="left" vertical="center"/>
    </xf>
    <xf numFmtId="0" fontId="26" fillId="4" borderId="6" xfId="8" applyFont="1" applyFill="1" applyBorder="1" applyAlignment="1">
      <alignment horizontal="left" vertical="center"/>
    </xf>
    <xf numFmtId="0" fontId="26" fillId="4" borderId="1" xfId="8" applyFont="1" applyFill="1" applyBorder="1" applyAlignment="1">
      <alignment horizontal="center" vertical="center"/>
    </xf>
    <xf numFmtId="0" fontId="26" fillId="4" borderId="16" xfId="8" applyFont="1" applyFill="1" applyBorder="1" applyAlignment="1">
      <alignment horizontal="center" vertical="center"/>
    </xf>
    <xf numFmtId="0" fontId="30" fillId="4" borderId="6" xfId="8" applyFont="1" applyFill="1" applyBorder="1" applyAlignment="1">
      <alignment horizontal="left" vertical="center"/>
    </xf>
    <xf numFmtId="0" fontId="26" fillId="0" borderId="1" xfId="13" applyFont="1" applyBorder="1" applyAlignment="1">
      <alignment horizontal="center" vertical="center" wrapText="1"/>
    </xf>
    <xf numFmtId="0" fontId="30" fillId="0" borderId="1" xfId="13" applyFont="1" applyBorder="1" applyAlignment="1">
      <alignment horizontal="center" vertical="center" wrapText="1"/>
    </xf>
    <xf numFmtId="0" fontId="26" fillId="0" borderId="1" xfId="13" applyFont="1" applyBorder="1" applyAlignment="1">
      <alignment horizontal="left" vertical="center" wrapText="1"/>
    </xf>
    <xf numFmtId="0" fontId="30" fillId="0" borderId="11" xfId="13" applyFont="1" applyBorder="1" applyAlignment="1">
      <alignment horizontal="center" vertical="center"/>
    </xf>
    <xf numFmtId="0" fontId="26" fillId="0" borderId="11" xfId="13" applyFont="1" applyBorder="1" applyAlignment="1">
      <alignment horizontal="center" vertical="center" wrapText="1"/>
    </xf>
    <xf numFmtId="0" fontId="26" fillId="0" borderId="11" xfId="13" applyFont="1" applyBorder="1" applyAlignment="1">
      <alignment horizontal="left" vertical="center" wrapText="1"/>
    </xf>
    <xf numFmtId="0" fontId="30" fillId="0" borderId="11" xfId="13" applyFont="1" applyBorder="1" applyAlignment="1">
      <alignment horizontal="left" vertical="center" wrapText="1"/>
    </xf>
    <xf numFmtId="0" fontId="30" fillId="0" borderId="11" xfId="13" applyFont="1" applyBorder="1" applyAlignment="1">
      <alignment horizontal="center" vertical="center" wrapText="1"/>
    </xf>
    <xf numFmtId="0" fontId="26" fillId="0" borderId="14" xfId="13" applyFont="1" applyBorder="1" applyAlignment="1">
      <alignment horizontal="center" vertical="center" wrapText="1"/>
    </xf>
    <xf numFmtId="0" fontId="30" fillId="0" borderId="1" xfId="13" applyFont="1" applyBorder="1" applyAlignment="1">
      <alignment horizontal="center" vertical="center"/>
    </xf>
    <xf numFmtId="0" fontId="30" fillId="0" borderId="1" xfId="13" applyFont="1" applyBorder="1" applyAlignment="1">
      <alignment horizontal="left" vertical="center" wrapText="1"/>
    </xf>
    <xf numFmtId="0" fontId="26" fillId="0" borderId="16" xfId="13" applyFont="1" applyBorder="1" applyAlignment="1">
      <alignment horizontal="center" vertical="center" wrapText="1"/>
    </xf>
    <xf numFmtId="0" fontId="26" fillId="4" borderId="17" xfId="13" applyFont="1" applyFill="1" applyBorder="1" applyAlignment="1">
      <alignment horizontal="center" vertical="center"/>
    </xf>
    <xf numFmtId="0" fontId="30" fillId="4" borderId="17" xfId="13" applyFont="1" applyFill="1" applyBorder="1" applyAlignment="1">
      <alignment horizontal="center" vertical="center"/>
    </xf>
    <xf numFmtId="0" fontId="26" fillId="4" borderId="17" xfId="13" applyFont="1" applyFill="1" applyBorder="1" applyAlignment="1">
      <alignment horizontal="left" vertical="center" wrapText="1"/>
    </xf>
    <xf numFmtId="0" fontId="30" fillId="4" borderId="17" xfId="13" applyFont="1" applyFill="1" applyBorder="1" applyAlignment="1">
      <alignment horizontal="left" vertical="center" wrapText="1"/>
    </xf>
    <xf numFmtId="0" fontId="26" fillId="4" borderId="17" xfId="13" applyFont="1" applyFill="1" applyBorder="1" applyAlignment="1">
      <alignment horizontal="center" vertical="center" wrapText="1"/>
    </xf>
    <xf numFmtId="0" fontId="30" fillId="4" borderId="17" xfId="13" applyFont="1" applyFill="1" applyBorder="1" applyAlignment="1">
      <alignment horizontal="center" vertical="center" wrapText="1"/>
    </xf>
    <xf numFmtId="0" fontId="26" fillId="4" borderId="18" xfId="13" applyFont="1" applyFill="1" applyBorder="1" applyAlignment="1">
      <alignment horizontal="center" vertical="center" wrapText="1"/>
    </xf>
    <xf numFmtId="0" fontId="30" fillId="4" borderId="17" xfId="24" applyFont="1" applyFill="1" applyBorder="1" applyAlignment="1">
      <alignment horizontal="left" vertical="center"/>
    </xf>
    <xf numFmtId="0" fontId="30" fillId="4" borderId="17" xfId="24" applyFont="1" applyFill="1" applyBorder="1" applyAlignment="1">
      <alignment horizontal="center" vertical="center"/>
    </xf>
    <xf numFmtId="0" fontId="33" fillId="11" borderId="22" xfId="13" applyFont="1" applyFill="1" applyBorder="1" applyAlignment="1">
      <alignment horizontal="center" vertical="center" wrapText="1"/>
    </xf>
    <xf numFmtId="0" fontId="29" fillId="11" borderId="21" xfId="13" applyFont="1" applyFill="1" applyBorder="1" applyAlignment="1" applyProtection="1">
      <alignment horizontal="center" vertical="center" wrapText="1"/>
      <protection locked="0"/>
    </xf>
    <xf numFmtId="0" fontId="33" fillId="11" borderId="21" xfId="13" applyFont="1" applyFill="1" applyBorder="1" applyAlignment="1" applyProtection="1">
      <alignment horizontal="center" vertical="center" wrapText="1"/>
      <protection locked="0"/>
    </xf>
    <xf numFmtId="0" fontId="33" fillId="11" borderId="23" xfId="13" applyFont="1" applyFill="1" applyBorder="1" applyAlignment="1" applyProtection="1">
      <alignment horizontal="center" vertical="center" wrapText="1"/>
      <protection locked="0"/>
    </xf>
    <xf numFmtId="0" fontId="33" fillId="3" borderId="13" xfId="0" applyFont="1" applyFill="1" applyBorder="1" applyAlignment="1">
      <alignment horizontal="center" vertical="center" wrapText="1"/>
    </xf>
    <xf numFmtId="0" fontId="36" fillId="3" borderId="11" xfId="0" applyFont="1" applyFill="1" applyBorder="1" applyAlignment="1">
      <alignment horizontal="center" vertical="center" wrapText="1"/>
    </xf>
    <xf numFmtId="0" fontId="33" fillId="3" borderId="11" xfId="0" applyFont="1" applyFill="1" applyBorder="1" applyAlignment="1">
      <alignment horizontal="center" vertical="center" wrapText="1"/>
    </xf>
    <xf numFmtId="0" fontId="29" fillId="3" borderId="11" xfId="0" applyFont="1" applyFill="1" applyBorder="1" applyAlignment="1">
      <alignment horizontal="center" vertical="center" wrapText="1"/>
    </xf>
    <xf numFmtId="0" fontId="36" fillId="3" borderId="14" xfId="0" applyFont="1" applyFill="1" applyBorder="1" applyAlignment="1">
      <alignment horizontal="center" vertical="center" wrapText="1"/>
    </xf>
    <xf numFmtId="0" fontId="33" fillId="5" borderId="12" xfId="13" applyFont="1" applyFill="1" applyBorder="1" applyAlignment="1" applyProtection="1">
      <alignment horizontal="center" vertical="center" wrapText="1"/>
      <protection locked="0"/>
    </xf>
    <xf numFmtId="0" fontId="29" fillId="5" borderId="19" xfId="13" applyFont="1" applyFill="1" applyBorder="1" applyAlignment="1" applyProtection="1">
      <alignment horizontal="center" vertical="center" wrapText="1"/>
      <protection locked="0"/>
    </xf>
    <xf numFmtId="0" fontId="33" fillId="5" borderId="17" xfId="13" applyFont="1" applyFill="1" applyBorder="1" applyAlignment="1" applyProtection="1">
      <alignment horizontal="center" vertical="center" wrapText="1"/>
      <protection locked="0"/>
    </xf>
    <xf numFmtId="0" fontId="33" fillId="5" borderId="18" xfId="13" applyFont="1" applyFill="1" applyBorder="1" applyAlignment="1" applyProtection="1">
      <alignment horizontal="center" vertical="center" wrapText="1"/>
      <protection locked="0"/>
    </xf>
    <xf numFmtId="0" fontId="33" fillId="5" borderId="19" xfId="13" applyFont="1" applyFill="1" applyBorder="1" applyAlignment="1">
      <alignment horizontal="center" vertical="center" wrapText="1"/>
    </xf>
    <xf numFmtId="0" fontId="29" fillId="5" borderId="19" xfId="13" applyFont="1" applyFill="1" applyBorder="1" applyAlignment="1">
      <alignment horizontal="center" vertical="center" wrapText="1"/>
    </xf>
    <xf numFmtId="0" fontId="33" fillId="5" borderId="12" xfId="13" applyFont="1" applyFill="1" applyBorder="1" applyAlignment="1">
      <alignment horizontal="center" vertical="center" wrapText="1"/>
    </xf>
    <xf numFmtId="0" fontId="29" fillId="5" borderId="17" xfId="13" applyFont="1" applyFill="1" applyBorder="1" applyAlignment="1" applyProtection="1">
      <alignment horizontal="center" vertical="center" wrapText="1"/>
      <protection locked="0"/>
    </xf>
    <xf numFmtId="0" fontId="26" fillId="2" borderId="0" xfId="8" applyFont="1" applyFill="1" applyAlignment="1">
      <alignment horizontal="center"/>
    </xf>
    <xf numFmtId="0" fontId="26" fillId="2" borderId="0" xfId="8" applyFont="1" applyFill="1"/>
    <xf numFmtId="0" fontId="26" fillId="2" borderId="0" xfId="8" applyFont="1" applyFill="1" applyAlignment="1">
      <alignment vertical="center"/>
    </xf>
    <xf numFmtId="0" fontId="26" fillId="2" borderId="0" xfId="8" applyFont="1" applyFill="1" applyAlignment="1">
      <alignment vertical="center" wrapText="1"/>
    </xf>
    <xf numFmtId="0" fontId="26" fillId="2" borderId="0" xfId="13" applyFont="1" applyFill="1" applyAlignment="1">
      <alignment horizontal="center"/>
    </xf>
    <xf numFmtId="0" fontId="26" fillId="2" borderId="0" xfId="8" applyFont="1" applyFill="1" applyAlignment="1">
      <alignment horizontal="center" vertical="center"/>
    </xf>
    <xf numFmtId="0" fontId="32" fillId="2" borderId="0" xfId="8" applyFont="1" applyFill="1"/>
    <xf numFmtId="0" fontId="32" fillId="2" borderId="0" xfId="24" applyFont="1" applyFill="1"/>
    <xf numFmtId="0" fontId="32" fillId="2" borderId="0" xfId="26" applyFont="1" applyFill="1"/>
    <xf numFmtId="0" fontId="32" fillId="2" borderId="0" xfId="24" applyFont="1" applyFill="1" applyAlignment="1">
      <alignment vertical="center"/>
    </xf>
    <xf numFmtId="0" fontId="32" fillId="2" borderId="0" xfId="26" applyFont="1" applyFill="1" applyAlignment="1">
      <alignment vertical="center"/>
    </xf>
    <xf numFmtId="0" fontId="27" fillId="2" borderId="0" xfId="24" applyFont="1" applyFill="1"/>
    <xf numFmtId="0" fontId="26" fillId="2" borderId="0" xfId="24" applyFont="1" applyFill="1"/>
    <xf numFmtId="0" fontId="42" fillId="2" borderId="0" xfId="0" applyFont="1" applyFill="1" applyAlignment="1">
      <alignment vertical="center"/>
    </xf>
    <xf numFmtId="0" fontId="26" fillId="2" borderId="0" xfId="0" applyFont="1" applyFill="1"/>
    <xf numFmtId="0" fontId="26" fillId="2" borderId="0" xfId="0" quotePrefix="1" applyFont="1" applyFill="1" applyAlignment="1">
      <alignment horizontal="left"/>
    </xf>
    <xf numFmtId="0" fontId="26" fillId="2" borderId="0" xfId="10" applyFont="1" applyFill="1"/>
    <xf numFmtId="0" fontId="26" fillId="2" borderId="0" xfId="10" applyFont="1" applyFill="1" applyAlignment="1">
      <alignment horizontal="left" vertical="center"/>
    </xf>
    <xf numFmtId="0" fontId="43" fillId="3" borderId="42" xfId="0" applyFont="1" applyFill="1" applyBorder="1" applyAlignment="1">
      <alignment vertical="center" wrapText="1"/>
    </xf>
    <xf numFmtId="0" fontId="43" fillId="3" borderId="43" xfId="0" applyFont="1" applyFill="1" applyBorder="1" applyAlignment="1">
      <alignment vertical="center" wrapText="1"/>
    </xf>
    <xf numFmtId="0" fontId="43" fillId="3" borderId="44" xfId="0" applyFont="1" applyFill="1" applyBorder="1" applyAlignment="1">
      <alignment vertical="center" wrapText="1"/>
    </xf>
    <xf numFmtId="0" fontId="37" fillId="0" borderId="8" xfId="0" applyFont="1" applyBorder="1" applyAlignment="1">
      <alignment vertical="center"/>
    </xf>
    <xf numFmtId="0" fontId="26" fillId="0" borderId="42" xfId="2" applyFont="1" applyBorder="1" applyAlignment="1" applyProtection="1">
      <alignment vertical="center" wrapText="1"/>
    </xf>
    <xf numFmtId="0" fontId="30" fillId="0" borderId="44" xfId="0" applyFont="1" applyBorder="1" applyAlignment="1">
      <alignment vertical="center" wrapText="1"/>
    </xf>
    <xf numFmtId="0" fontId="37" fillId="0" borderId="44" xfId="0" applyFont="1" applyBorder="1" applyAlignment="1">
      <alignment vertical="center"/>
    </xf>
    <xf numFmtId="0" fontId="37" fillId="0" borderId="43" xfId="0" applyFont="1" applyBorder="1" applyAlignment="1">
      <alignment vertical="center" wrapText="1"/>
    </xf>
    <xf numFmtId="0" fontId="36" fillId="3" borderId="46" xfId="34" applyFont="1" applyFill="1" applyBorder="1" applyAlignment="1">
      <alignment horizontal="centerContinuous"/>
    </xf>
    <xf numFmtId="0" fontId="36" fillId="3" borderId="47" xfId="34" applyFont="1" applyFill="1" applyBorder="1" applyAlignment="1">
      <alignment horizontal="centerContinuous"/>
    </xf>
    <xf numFmtId="0" fontId="26" fillId="3" borderId="47" xfId="34" applyFont="1" applyFill="1" applyBorder="1" applyAlignment="1">
      <alignment horizontal="centerContinuous"/>
    </xf>
    <xf numFmtId="0" fontId="26" fillId="3" borderId="48" xfId="34" applyFont="1" applyFill="1" applyBorder="1" applyAlignment="1">
      <alignment horizontal="centerContinuous"/>
    </xf>
    <xf numFmtId="0" fontId="26" fillId="2" borderId="41" xfId="34" applyFont="1" applyFill="1" applyBorder="1" applyAlignment="1">
      <alignment horizontal="left" vertical="center" wrapText="1"/>
    </xf>
    <xf numFmtId="0" fontId="26" fillId="2" borderId="27" xfId="34" applyFont="1" applyFill="1" applyBorder="1" applyAlignment="1">
      <alignment horizontal="left" vertical="center" wrapText="1"/>
    </xf>
    <xf numFmtId="0" fontId="26" fillId="2" borderId="49" xfId="34" applyFont="1" applyFill="1" applyBorder="1" applyAlignment="1">
      <alignment horizontal="left" vertical="center" wrapText="1"/>
    </xf>
    <xf numFmtId="0" fontId="33" fillId="3" borderId="13" xfId="0" applyFont="1" applyFill="1" applyBorder="1" applyAlignment="1">
      <alignment horizontal="centerContinuous" vertical="center" wrapText="1"/>
    </xf>
    <xf numFmtId="0" fontId="33" fillId="3" borderId="11" xfId="0" applyFont="1" applyFill="1" applyBorder="1" applyAlignment="1">
      <alignment horizontal="centerContinuous" vertical="center" wrapText="1"/>
    </xf>
    <xf numFmtId="0" fontId="33" fillId="3" borderId="14" xfId="0" applyFont="1" applyFill="1" applyBorder="1" applyAlignment="1">
      <alignment horizontal="centerContinuous" vertical="center" wrapText="1"/>
    </xf>
    <xf numFmtId="0" fontId="43" fillId="3" borderId="10" xfId="0" applyFont="1" applyFill="1" applyBorder="1" applyAlignment="1">
      <alignment vertical="center" wrapText="1"/>
    </xf>
    <xf numFmtId="0" fontId="26" fillId="2" borderId="19" xfId="34" applyFont="1" applyFill="1" applyBorder="1" applyAlignment="1">
      <alignment horizontal="left" vertical="center" wrapText="1"/>
    </xf>
    <xf numFmtId="0" fontId="9" fillId="2" borderId="0" xfId="25" applyFont="1" applyFill="1"/>
    <xf numFmtId="0" fontId="9" fillId="2" borderId="0" xfId="24" applyFont="1" applyFill="1"/>
    <xf numFmtId="0" fontId="9" fillId="2" borderId="0" xfId="24" applyFont="1" applyFill="1" applyAlignment="1">
      <alignment vertical="center"/>
    </xf>
    <xf numFmtId="0" fontId="9" fillId="2" borderId="0" xfId="26" applyFont="1" applyFill="1" applyAlignment="1">
      <alignment vertical="center"/>
    </xf>
    <xf numFmtId="43" fontId="9" fillId="2" borderId="0" xfId="28" applyFont="1" applyFill="1" applyAlignment="1">
      <alignment vertical="center"/>
    </xf>
    <xf numFmtId="0" fontId="9" fillId="2" borderId="0" xfId="26" applyFont="1" applyFill="1"/>
    <xf numFmtId="43" fontId="9" fillId="2" borderId="0" xfId="28" applyFont="1" applyFill="1"/>
    <xf numFmtId="0" fontId="33" fillId="3" borderId="21" xfId="8" applyFont="1" applyFill="1" applyBorder="1" applyAlignment="1">
      <alignment horizontal="center" vertical="center" wrapText="1"/>
    </xf>
    <xf numFmtId="0" fontId="38" fillId="5" borderId="24" xfId="0" applyFont="1" applyFill="1" applyBorder="1" applyAlignment="1">
      <alignment horizontal="left" vertical="top" wrapText="1"/>
    </xf>
    <xf numFmtId="0" fontId="38" fillId="5" borderId="25" xfId="0" applyFont="1" applyFill="1" applyBorder="1" applyAlignment="1">
      <alignment horizontal="left" vertical="top" wrapText="1"/>
    </xf>
    <xf numFmtId="0" fontId="40" fillId="5" borderId="25" xfId="0" applyFont="1" applyFill="1" applyBorder="1" applyAlignment="1">
      <alignment horizontal="left" vertical="top" wrapText="1"/>
    </xf>
    <xf numFmtId="0" fontId="38" fillId="5" borderId="25" xfId="0" applyFont="1" applyFill="1" applyBorder="1" applyAlignment="1" applyProtection="1">
      <alignment horizontal="left" vertical="top" wrapText="1"/>
      <protection locked="0"/>
    </xf>
    <xf numFmtId="0" fontId="38" fillId="5" borderId="25" xfId="0" quotePrefix="1" applyFont="1" applyFill="1" applyBorder="1" applyAlignment="1">
      <alignment horizontal="left" vertical="top" wrapText="1"/>
    </xf>
    <xf numFmtId="0" fontId="30" fillId="4" borderId="25" xfId="13" applyFont="1" applyFill="1" applyBorder="1" applyAlignment="1">
      <alignment horizontal="center" vertical="center"/>
    </xf>
    <xf numFmtId="0" fontId="26" fillId="4" borderId="25" xfId="13" applyFont="1" applyFill="1" applyBorder="1" applyAlignment="1">
      <alignment horizontal="left" vertical="center" wrapText="1"/>
    </xf>
    <xf numFmtId="0" fontId="30" fillId="4" borderId="25" xfId="13" applyFont="1" applyFill="1" applyBorder="1" applyAlignment="1">
      <alignment horizontal="left" vertical="center" wrapText="1"/>
    </xf>
    <xf numFmtId="0" fontId="26" fillId="4" borderId="25" xfId="13" applyFont="1" applyFill="1" applyBorder="1" applyAlignment="1">
      <alignment horizontal="center" vertical="center" wrapText="1"/>
    </xf>
    <xf numFmtId="0" fontId="30" fillId="4" borderId="25" xfId="13" applyFont="1" applyFill="1" applyBorder="1" applyAlignment="1">
      <alignment horizontal="center" vertical="center" wrapText="1"/>
    </xf>
    <xf numFmtId="0" fontId="26" fillId="4" borderId="26" xfId="13" applyFont="1" applyFill="1" applyBorder="1" applyAlignment="1">
      <alignment horizontal="center" vertical="center" wrapText="1"/>
    </xf>
    <xf numFmtId="0" fontId="28" fillId="0" borderId="1" xfId="13" applyFont="1" applyBorder="1" applyAlignment="1">
      <alignment horizontal="center" vertical="center"/>
    </xf>
    <xf numFmtId="0" fontId="25" fillId="0" borderId="1" xfId="13" applyFont="1" applyBorder="1" applyAlignment="1">
      <alignment horizontal="center" vertical="center" wrapText="1"/>
    </xf>
    <xf numFmtId="0" fontId="26" fillId="4" borderId="12" xfId="13" applyFont="1" applyFill="1" applyBorder="1" applyAlignment="1">
      <alignment horizontal="center" vertical="center"/>
    </xf>
    <xf numFmtId="0" fontId="26" fillId="2" borderId="6" xfId="34" applyFont="1" applyFill="1" applyBorder="1" applyAlignment="1">
      <alignment horizontal="left" vertical="center" wrapText="1"/>
    </xf>
    <xf numFmtId="0" fontId="26" fillId="2" borderId="40" xfId="34" applyFont="1" applyFill="1" applyBorder="1" applyAlignment="1">
      <alignment horizontal="left" vertical="center" wrapText="1"/>
    </xf>
    <xf numFmtId="0" fontId="58" fillId="2" borderId="0" xfId="0" applyFont="1" applyFill="1"/>
    <xf numFmtId="0" fontId="29" fillId="3" borderId="50" xfId="10" applyFont="1" applyFill="1" applyBorder="1" applyAlignment="1">
      <alignment horizontal="centerContinuous" vertical="center" wrapText="1"/>
    </xf>
    <xf numFmtId="0" fontId="30" fillId="16" borderId="0" xfId="0" applyFont="1" applyFill="1" applyAlignment="1">
      <alignment vertical="center"/>
    </xf>
    <xf numFmtId="0" fontId="36" fillId="2" borderId="0" xfId="0" applyFont="1" applyFill="1"/>
    <xf numFmtId="0" fontId="26" fillId="2" borderId="0" xfId="24" applyFont="1" applyFill="1" applyAlignment="1">
      <alignment vertical="center"/>
    </xf>
    <xf numFmtId="49" fontId="26" fillId="2" borderId="0" xfId="8" applyNumberFormat="1" applyFont="1" applyFill="1" applyAlignment="1">
      <alignment vertical="center"/>
    </xf>
    <xf numFmtId="49" fontId="33" fillId="3" borderId="11" xfId="0" applyNumberFormat="1" applyFont="1" applyFill="1" applyBorder="1" applyAlignment="1">
      <alignment horizontal="center" vertical="center" wrapText="1"/>
    </xf>
    <xf numFmtId="49" fontId="29" fillId="3" borderId="11" xfId="0" applyNumberFormat="1" applyFont="1" applyFill="1" applyBorder="1" applyAlignment="1">
      <alignment horizontal="center" vertical="center" wrapText="1"/>
    </xf>
    <xf numFmtId="49" fontId="38" fillId="5" borderId="25" xfId="0" applyNumberFormat="1" applyFont="1" applyFill="1" applyBorder="1" applyAlignment="1">
      <alignment horizontal="left" vertical="top" wrapText="1"/>
    </xf>
    <xf numFmtId="49" fontId="40" fillId="5" borderId="25" xfId="0" applyNumberFormat="1" applyFont="1" applyFill="1" applyBorder="1" applyAlignment="1">
      <alignment horizontal="left" vertical="top" wrapText="1"/>
    </xf>
    <xf numFmtId="49" fontId="26" fillId="0" borderId="11" xfId="13" applyNumberFormat="1" applyFont="1" applyBorder="1" applyAlignment="1">
      <alignment horizontal="center" vertical="center" wrapText="1"/>
    </xf>
    <xf numFmtId="49" fontId="30" fillId="0" borderId="11" xfId="13" applyNumberFormat="1" applyFont="1" applyBorder="1" applyAlignment="1">
      <alignment horizontal="center" vertical="center" wrapText="1"/>
    </xf>
    <xf numFmtId="49" fontId="25" fillId="0" borderId="1" xfId="13" applyNumberFormat="1" applyFont="1" applyBorder="1" applyAlignment="1">
      <alignment horizontal="center" vertical="center" wrapText="1"/>
    </xf>
    <xf numFmtId="49" fontId="26" fillId="0" borderId="1" xfId="13" applyNumberFormat="1" applyFont="1" applyBorder="1" applyAlignment="1">
      <alignment horizontal="center" vertical="center" wrapText="1"/>
    </xf>
    <xf numFmtId="49" fontId="30" fillId="0" borderId="1" xfId="13" applyNumberFormat="1" applyFont="1" applyBorder="1" applyAlignment="1">
      <alignment horizontal="center" vertical="center" wrapText="1"/>
    </xf>
    <xf numFmtId="49" fontId="26" fillId="4" borderId="25" xfId="13" applyNumberFormat="1" applyFont="1" applyFill="1" applyBorder="1" applyAlignment="1">
      <alignment horizontal="center" vertical="center" wrapText="1"/>
    </xf>
    <xf numFmtId="49" fontId="30" fillId="4" borderId="25" xfId="13" applyNumberFormat="1" applyFont="1" applyFill="1" applyBorder="1" applyAlignment="1">
      <alignment horizontal="center" vertical="center" wrapText="1"/>
    </xf>
    <xf numFmtId="49" fontId="26" fillId="4" borderId="17" xfId="13" applyNumberFormat="1" applyFont="1" applyFill="1" applyBorder="1" applyAlignment="1">
      <alignment horizontal="center" vertical="center" wrapText="1"/>
    </xf>
    <xf numFmtId="49" fontId="30" fillId="4" borderId="17" xfId="13" applyNumberFormat="1" applyFont="1" applyFill="1" applyBorder="1" applyAlignment="1">
      <alignment horizontal="center" vertical="center" wrapText="1"/>
    </xf>
    <xf numFmtId="49" fontId="26" fillId="2" borderId="0" xfId="8" applyNumberFormat="1" applyFont="1" applyFill="1" applyAlignment="1">
      <alignment vertical="center" wrapText="1"/>
    </xf>
    <xf numFmtId="49" fontId="36" fillId="3" borderId="11" xfId="0" applyNumberFormat="1" applyFont="1" applyFill="1" applyBorder="1" applyAlignment="1">
      <alignment horizontal="center" vertical="center" wrapText="1"/>
    </xf>
    <xf numFmtId="49" fontId="26" fillId="0" borderId="1" xfId="13" quotePrefix="1" applyNumberFormat="1" applyFont="1" applyBorder="1" applyAlignment="1">
      <alignment horizontal="center" vertical="center" wrapText="1"/>
    </xf>
    <xf numFmtId="49" fontId="26" fillId="4" borderId="25" xfId="13" quotePrefix="1" applyNumberFormat="1" applyFont="1" applyFill="1" applyBorder="1" applyAlignment="1">
      <alignment horizontal="center" vertical="center" wrapText="1"/>
    </xf>
    <xf numFmtId="49" fontId="26" fillId="4" borderId="17" xfId="13" quotePrefix="1" applyNumberFormat="1" applyFont="1" applyFill="1" applyBorder="1" applyAlignment="1">
      <alignment horizontal="center" vertical="center" wrapText="1"/>
    </xf>
    <xf numFmtId="0" fontId="26" fillId="2" borderId="15" xfId="0" applyFont="1" applyFill="1" applyBorder="1" applyAlignment="1">
      <alignment horizontal="left" vertical="center" wrapText="1"/>
    </xf>
    <xf numFmtId="0" fontId="30" fillId="2" borderId="1" xfId="0" applyFont="1" applyFill="1" applyBorder="1" applyAlignment="1">
      <alignment horizontal="left" vertical="center" wrapText="1"/>
    </xf>
    <xf numFmtId="0" fontId="26" fillId="0" borderId="0" xfId="8" applyFont="1"/>
    <xf numFmtId="0" fontId="26" fillId="0" borderId="0" xfId="8" applyFont="1" applyAlignment="1">
      <alignment horizontal="center" vertical="center"/>
    </xf>
    <xf numFmtId="0" fontId="26" fillId="0" borderId="0" xfId="8" applyFont="1" applyAlignment="1">
      <alignment wrapText="1"/>
    </xf>
    <xf numFmtId="0" fontId="26" fillId="0" borderId="0" xfId="8" applyFont="1" applyAlignment="1">
      <alignment horizontal="center"/>
    </xf>
    <xf numFmtId="0" fontId="26" fillId="0" borderId="0" xfId="8" applyFont="1" applyAlignment="1">
      <alignment vertical="center"/>
    </xf>
    <xf numFmtId="0" fontId="26" fillId="0" borderId="0" xfId="8" applyFont="1" applyAlignment="1">
      <alignment vertical="center" wrapText="1"/>
    </xf>
    <xf numFmtId="20" fontId="26" fillId="0" borderId="0" xfId="8" applyNumberFormat="1" applyFont="1" applyAlignment="1">
      <alignment vertical="center" wrapText="1"/>
    </xf>
    <xf numFmtId="0" fontId="26" fillId="0" borderId="0" xfId="13" applyFont="1" applyAlignment="1">
      <alignment horizontal="center"/>
    </xf>
    <xf numFmtId="49" fontId="26" fillId="0" borderId="0" xfId="8" applyNumberFormat="1" applyFont="1" applyAlignment="1">
      <alignment vertical="center" wrapText="1"/>
    </xf>
    <xf numFmtId="49" fontId="26" fillId="0" borderId="0" xfId="8" applyNumberFormat="1" applyFont="1"/>
    <xf numFmtId="0" fontId="33" fillId="17" borderId="15" xfId="0" applyFont="1" applyFill="1" applyBorder="1" applyAlignment="1" applyProtection="1">
      <alignment horizontal="center" vertical="center" wrapText="1"/>
      <protection locked="0"/>
    </xf>
    <xf numFmtId="0" fontId="29" fillId="17" borderId="1" xfId="0" applyFont="1" applyFill="1" applyBorder="1" applyAlignment="1" applyProtection="1">
      <alignment horizontal="center" vertical="center" wrapText="1"/>
      <protection locked="0"/>
    </xf>
    <xf numFmtId="0" fontId="33" fillId="17" borderId="1" xfId="0" applyFont="1" applyFill="1" applyBorder="1" applyAlignment="1" applyProtection="1">
      <alignment horizontal="center" vertical="center" wrapText="1"/>
      <protection locked="0"/>
    </xf>
    <xf numFmtId="0" fontId="33" fillId="17" borderId="16" xfId="0" applyFont="1" applyFill="1" applyBorder="1" applyAlignment="1" applyProtection="1">
      <alignment horizontal="center" vertical="center" wrapText="1"/>
      <protection locked="0"/>
    </xf>
    <xf numFmtId="0" fontId="33" fillId="18" borderId="15" xfId="0" applyFont="1" applyFill="1" applyBorder="1" applyAlignment="1">
      <alignment horizontal="center" vertical="center" wrapText="1"/>
    </xf>
    <xf numFmtId="0" fontId="29" fillId="18" borderId="1" xfId="0" applyFont="1" applyFill="1" applyBorder="1" applyAlignment="1">
      <alignment horizontal="center" vertical="center" wrapText="1"/>
    </xf>
    <xf numFmtId="0" fontId="33" fillId="18" borderId="1" xfId="0" applyFont="1" applyFill="1" applyBorder="1" applyAlignment="1" applyProtection="1">
      <alignment horizontal="center" vertical="center" wrapText="1"/>
      <protection locked="0"/>
    </xf>
    <xf numFmtId="0" fontId="33" fillId="18" borderId="16" xfId="0" applyFont="1" applyFill="1" applyBorder="1" applyAlignment="1" applyProtection="1">
      <alignment horizontal="center" vertical="center" wrapText="1"/>
      <protection locked="0"/>
    </xf>
    <xf numFmtId="0" fontId="33" fillId="19" borderId="15" xfId="0" applyFont="1" applyFill="1" applyBorder="1" applyAlignment="1" applyProtection="1">
      <alignment horizontal="center" vertical="center" wrapText="1"/>
      <protection locked="0"/>
    </xf>
    <xf numFmtId="0" fontId="29" fillId="19" borderId="1" xfId="0" applyFont="1" applyFill="1" applyBorder="1" applyAlignment="1" applyProtection="1">
      <alignment horizontal="center" vertical="center" wrapText="1"/>
      <protection locked="0"/>
    </xf>
    <xf numFmtId="0" fontId="33" fillId="19" borderId="1" xfId="0" applyFont="1" applyFill="1" applyBorder="1" applyAlignment="1" applyProtection="1">
      <alignment horizontal="center" vertical="center" wrapText="1"/>
      <protection locked="0"/>
    </xf>
    <xf numFmtId="0" fontId="33" fillId="19" borderId="16" xfId="0" applyFont="1" applyFill="1" applyBorder="1" applyAlignment="1" applyProtection="1">
      <alignment horizontal="center" vertical="center" wrapText="1"/>
      <protection locked="0"/>
    </xf>
    <xf numFmtId="0" fontId="33" fillId="20" borderId="15" xfId="0" applyFont="1" applyFill="1" applyBorder="1" applyAlignment="1">
      <alignment horizontal="center" vertical="center" wrapText="1"/>
    </xf>
    <xf numFmtId="0" fontId="29" fillId="20" borderId="1" xfId="0" applyFont="1" applyFill="1" applyBorder="1" applyAlignment="1" applyProtection="1">
      <alignment horizontal="center" vertical="center" wrapText="1"/>
      <protection locked="0"/>
    </xf>
    <xf numFmtId="0" fontId="33" fillId="20" borderId="1" xfId="0" applyFont="1" applyFill="1" applyBorder="1" applyAlignment="1" applyProtection="1">
      <alignment horizontal="center" vertical="center" wrapText="1"/>
      <protection locked="0"/>
    </xf>
    <xf numFmtId="0" fontId="33" fillId="20" borderId="16" xfId="0" applyFont="1" applyFill="1" applyBorder="1" applyAlignment="1" applyProtection="1">
      <alignment horizontal="center" vertical="center" wrapText="1"/>
      <protection locked="0"/>
    </xf>
    <xf numFmtId="0" fontId="30" fillId="13" borderId="1" xfId="13" applyFont="1" applyFill="1" applyBorder="1" applyAlignment="1">
      <alignment horizontal="left" vertical="center" wrapText="1"/>
    </xf>
    <xf numFmtId="0" fontId="26" fillId="4" borderId="6" xfId="8" applyFont="1" applyFill="1" applyBorder="1" applyAlignment="1">
      <alignment horizontal="center" vertical="center"/>
    </xf>
    <xf numFmtId="0" fontId="30" fillId="4" borderId="6" xfId="8" applyFont="1" applyFill="1" applyBorder="1" applyAlignment="1">
      <alignment horizontal="center" vertical="center"/>
    </xf>
    <xf numFmtId="0" fontId="26" fillId="4" borderId="6" xfId="8" applyFont="1" applyFill="1" applyBorder="1" applyAlignment="1">
      <alignment horizontal="left" vertical="center" wrapText="1"/>
    </xf>
    <xf numFmtId="0" fontId="30" fillId="4" borderId="6" xfId="8" applyFont="1" applyFill="1" applyBorder="1" applyAlignment="1">
      <alignment horizontal="left" vertical="center" wrapText="1"/>
    </xf>
    <xf numFmtId="0" fontId="26" fillId="4" borderId="16" xfId="8" applyFont="1" applyFill="1" applyBorder="1" applyAlignment="1">
      <alignment horizontal="center" vertical="center" wrapText="1"/>
    </xf>
    <xf numFmtId="0" fontId="26" fillId="2" borderId="34" xfId="8" applyFont="1" applyFill="1" applyBorder="1" applyAlignment="1">
      <alignment horizontal="left" vertical="center"/>
    </xf>
    <xf numFmtId="0" fontId="26" fillId="2" borderId="35" xfId="8" applyFont="1" applyFill="1" applyBorder="1" applyAlignment="1">
      <alignment horizontal="left" vertical="center"/>
    </xf>
    <xf numFmtId="0" fontId="26" fillId="2" borderId="5" xfId="8" applyFont="1" applyFill="1" applyBorder="1" applyAlignment="1">
      <alignment horizontal="center" vertical="center"/>
    </xf>
    <xf numFmtId="0" fontId="26" fillId="2" borderId="14" xfId="8" applyFont="1" applyFill="1" applyBorder="1" applyAlignment="1">
      <alignment horizontal="center" vertical="center"/>
    </xf>
    <xf numFmtId="0" fontId="26" fillId="2" borderId="35" xfId="8" applyFont="1" applyFill="1" applyBorder="1" applyAlignment="1">
      <alignment horizontal="center" vertical="center"/>
    </xf>
    <xf numFmtId="0" fontId="30" fillId="2" borderId="35" xfId="8" applyFont="1" applyFill="1" applyBorder="1" applyAlignment="1">
      <alignment horizontal="center" vertical="center"/>
    </xf>
    <xf numFmtId="0" fontId="26" fillId="2" borderId="35" xfId="8" applyFont="1" applyFill="1" applyBorder="1" applyAlignment="1">
      <alignment horizontal="left" vertical="center" wrapText="1"/>
    </xf>
    <xf numFmtId="0" fontId="30" fillId="2" borderId="35" xfId="8" applyFont="1" applyFill="1" applyBorder="1" applyAlignment="1">
      <alignment horizontal="left" vertical="center" wrapText="1"/>
    </xf>
    <xf numFmtId="0" fontId="26" fillId="2" borderId="14" xfId="8" applyFont="1" applyFill="1" applyBorder="1" applyAlignment="1">
      <alignment horizontal="center" vertical="center" wrapText="1"/>
    </xf>
    <xf numFmtId="0" fontId="30" fillId="2" borderId="35" xfId="8" applyFont="1" applyFill="1" applyBorder="1" applyAlignment="1">
      <alignment horizontal="left" vertical="center"/>
    </xf>
    <xf numFmtId="0" fontId="26" fillId="2" borderId="36" xfId="8" applyFont="1" applyFill="1" applyBorder="1" applyAlignment="1">
      <alignment horizontal="center" vertical="center"/>
    </xf>
    <xf numFmtId="0" fontId="26" fillId="2" borderId="15" xfId="8" applyFont="1" applyFill="1" applyBorder="1" applyAlignment="1">
      <alignment horizontal="left" vertical="center"/>
    </xf>
    <xf numFmtId="0" fontId="26" fillId="2" borderId="6" xfId="8" applyFont="1" applyFill="1" applyBorder="1" applyAlignment="1">
      <alignment horizontal="left" vertical="center"/>
    </xf>
    <xf numFmtId="0" fontId="26" fillId="2" borderId="1" xfId="8" applyFont="1" applyFill="1" applyBorder="1" applyAlignment="1">
      <alignment horizontal="center" vertical="center"/>
    </xf>
    <xf numFmtId="0" fontId="26" fillId="2" borderId="16" xfId="8" applyFont="1" applyFill="1" applyBorder="1" applyAlignment="1">
      <alignment horizontal="center" vertical="center"/>
    </xf>
    <xf numFmtId="0" fontId="26" fillId="2" borderId="6" xfId="8" applyFont="1" applyFill="1" applyBorder="1" applyAlignment="1">
      <alignment horizontal="center" vertical="center"/>
    </xf>
    <xf numFmtId="0" fontId="30" fillId="2" borderId="6" xfId="8" applyFont="1" applyFill="1" applyBorder="1" applyAlignment="1">
      <alignment horizontal="center" vertical="center"/>
    </xf>
    <xf numFmtId="0" fontId="26" fillId="2" borderId="6" xfId="8" applyFont="1" applyFill="1" applyBorder="1" applyAlignment="1">
      <alignment horizontal="left" vertical="center" wrapText="1"/>
    </xf>
    <xf numFmtId="0" fontId="30" fillId="2" borderId="6" xfId="8" applyFont="1" applyFill="1" applyBorder="1" applyAlignment="1">
      <alignment horizontal="left" vertical="center" wrapText="1"/>
    </xf>
    <xf numFmtId="0" fontId="26" fillId="2" borderId="16" xfId="8" applyFont="1" applyFill="1" applyBorder="1" applyAlignment="1">
      <alignment horizontal="center" vertical="center" wrapText="1"/>
    </xf>
    <xf numFmtId="0" fontId="30" fillId="2" borderId="6" xfId="8" applyFont="1" applyFill="1" applyBorder="1" applyAlignment="1">
      <alignment horizontal="left" vertical="center"/>
    </xf>
    <xf numFmtId="0" fontId="26" fillId="2" borderId="13" xfId="8" applyFont="1" applyFill="1" applyBorder="1" applyAlignment="1">
      <alignment horizontal="center" vertical="center" wrapText="1"/>
    </xf>
    <xf numFmtId="0" fontId="26" fillId="2" borderId="11" xfId="8" applyFont="1" applyFill="1" applyBorder="1" applyAlignment="1">
      <alignment horizontal="center" vertical="center" wrapText="1"/>
    </xf>
    <xf numFmtId="0" fontId="30" fillId="2" borderId="11" xfId="24" applyFont="1" applyFill="1" applyBorder="1" applyAlignment="1">
      <alignment horizontal="left" vertical="center" wrapText="1"/>
    </xf>
    <xf numFmtId="0" fontId="26" fillId="2" borderId="11" xfId="8" applyFont="1" applyFill="1" applyBorder="1" applyAlignment="1">
      <alignment horizontal="center" vertical="center"/>
    </xf>
    <xf numFmtId="0" fontId="26" fillId="2" borderId="11" xfId="8" applyFont="1" applyFill="1" applyBorder="1" applyAlignment="1">
      <alignment horizontal="left" vertical="center" wrapText="1"/>
    </xf>
    <xf numFmtId="0" fontId="30" fillId="2" borderId="11" xfId="8" applyFont="1" applyFill="1" applyBorder="1" applyAlignment="1">
      <alignment horizontal="left" vertical="center" wrapText="1"/>
    </xf>
    <xf numFmtId="0" fontId="30" fillId="2" borderId="11" xfId="8" applyFont="1" applyFill="1" applyBorder="1" applyAlignment="1">
      <alignment horizontal="center" vertical="center" wrapText="1"/>
    </xf>
    <xf numFmtId="49" fontId="26" fillId="2" borderId="11" xfId="24" applyNumberFormat="1" applyFont="1" applyFill="1" applyBorder="1" applyAlignment="1">
      <alignment horizontal="center" vertical="center" wrapText="1"/>
    </xf>
    <xf numFmtId="49" fontId="30" fillId="2" borderId="11" xfId="24" applyNumberFormat="1" applyFont="1" applyFill="1" applyBorder="1" applyAlignment="1">
      <alignment horizontal="center" vertical="center" wrapText="1"/>
    </xf>
    <xf numFmtId="49" fontId="26" fillId="2" borderId="11" xfId="8" applyNumberFormat="1" applyFont="1" applyFill="1" applyBorder="1" applyAlignment="1">
      <alignment horizontal="center" vertical="center" wrapText="1"/>
    </xf>
    <xf numFmtId="0" fontId="26" fillId="2" borderId="13" xfId="8" applyFont="1" applyFill="1" applyBorder="1" applyAlignment="1">
      <alignment horizontal="left" vertical="center" wrapText="1"/>
    </xf>
    <xf numFmtId="0" fontId="30" fillId="2" borderId="20" xfId="8" applyFont="1" applyFill="1" applyBorder="1" applyAlignment="1">
      <alignment horizontal="left" vertical="center"/>
    </xf>
    <xf numFmtId="0" fontId="26" fillId="2" borderId="20" xfId="8" applyFont="1" applyFill="1" applyBorder="1" applyAlignment="1">
      <alignment horizontal="left" vertical="center"/>
    </xf>
    <xf numFmtId="0" fontId="26" fillId="2" borderId="20" xfId="8" applyFont="1" applyFill="1" applyBorder="1" applyAlignment="1">
      <alignment horizontal="left" vertical="center" wrapText="1"/>
    </xf>
    <xf numFmtId="0" fontId="30" fillId="2" borderId="20" xfId="8" applyFont="1" applyFill="1" applyBorder="1" applyAlignment="1">
      <alignment horizontal="left" vertical="center" wrapText="1"/>
    </xf>
    <xf numFmtId="0" fontId="26" fillId="2" borderId="13" xfId="8" applyFont="1" applyFill="1" applyBorder="1" applyAlignment="1">
      <alignment horizontal="left" vertical="center"/>
    </xf>
    <xf numFmtId="0" fontId="26" fillId="2" borderId="15" xfId="8" applyFont="1" applyFill="1" applyBorder="1" applyAlignment="1">
      <alignment horizontal="center" vertical="center" wrapText="1"/>
    </xf>
    <xf numFmtId="0" fontId="26" fillId="2" borderId="1" xfId="8" applyFont="1" applyFill="1" applyBorder="1" applyAlignment="1">
      <alignment horizontal="center" vertical="center" wrapText="1"/>
    </xf>
    <xf numFmtId="0" fontId="26" fillId="2" borderId="1" xfId="24" applyFont="1" applyFill="1" applyBorder="1" applyAlignment="1">
      <alignment horizontal="left" vertical="center" wrapText="1"/>
    </xf>
    <xf numFmtId="0" fontId="30" fillId="2" borderId="1" xfId="24" applyFont="1" applyFill="1" applyBorder="1" applyAlignment="1">
      <alignment horizontal="left" vertical="center" wrapText="1"/>
    </xf>
    <xf numFmtId="0" fontId="26" fillId="2" borderId="1" xfId="8" applyFont="1" applyFill="1" applyBorder="1" applyAlignment="1">
      <alignment horizontal="left" vertical="center" wrapText="1"/>
    </xf>
    <xf numFmtId="0" fontId="30" fillId="2" borderId="1" xfId="8" applyFont="1" applyFill="1" applyBorder="1" applyAlignment="1">
      <alignment horizontal="left" vertical="center" wrapText="1"/>
    </xf>
    <xf numFmtId="0" fontId="30" fillId="2" borderId="1" xfId="8" applyFont="1" applyFill="1" applyBorder="1" applyAlignment="1">
      <alignment horizontal="center" vertical="center" wrapText="1"/>
    </xf>
    <xf numFmtId="49" fontId="26" fillId="2" borderId="1" xfId="24" applyNumberFormat="1" applyFont="1" applyFill="1" applyBorder="1" applyAlignment="1">
      <alignment horizontal="center" vertical="center" wrapText="1"/>
    </xf>
    <xf numFmtId="49" fontId="30" fillId="2" borderId="1" xfId="24" applyNumberFormat="1" applyFont="1" applyFill="1" applyBorder="1" applyAlignment="1">
      <alignment horizontal="center" vertical="center" wrapText="1"/>
    </xf>
    <xf numFmtId="49" fontId="26" fillId="2" borderId="1" xfId="8" applyNumberFormat="1" applyFont="1" applyFill="1" applyBorder="1" applyAlignment="1">
      <alignment horizontal="center" vertical="center" wrapText="1"/>
    </xf>
    <xf numFmtId="0" fontId="26" fillId="2" borderId="15" xfId="8" applyFont="1" applyFill="1" applyBorder="1" applyAlignment="1">
      <alignment horizontal="left" vertical="center" wrapText="1"/>
    </xf>
    <xf numFmtId="0" fontId="32" fillId="2" borderId="15" xfId="8" applyFont="1" applyFill="1" applyBorder="1" applyAlignment="1">
      <alignment horizontal="center" vertical="center" wrapText="1"/>
    </xf>
    <xf numFmtId="0" fontId="32" fillId="2" borderId="1" xfId="8" applyFont="1" applyFill="1" applyBorder="1" applyAlignment="1">
      <alignment horizontal="center" vertical="center" wrapText="1"/>
    </xf>
    <xf numFmtId="0" fontId="32" fillId="2" borderId="1" xfId="24" applyFont="1" applyFill="1" applyBorder="1" applyAlignment="1">
      <alignment horizontal="left" vertical="center" wrapText="1"/>
    </xf>
    <xf numFmtId="0" fontId="32" fillId="2" borderId="1" xfId="8" applyFont="1" applyFill="1" applyBorder="1" applyAlignment="1">
      <alignment horizontal="center" vertical="center"/>
    </xf>
    <xf numFmtId="0" fontId="32" fillId="2" borderId="1" xfId="8" applyFont="1" applyFill="1" applyBorder="1" applyAlignment="1">
      <alignment horizontal="left" vertical="center" wrapText="1"/>
    </xf>
    <xf numFmtId="49" fontId="32" fillId="2" borderId="1" xfId="24" applyNumberFormat="1" applyFont="1" applyFill="1" applyBorder="1" applyAlignment="1">
      <alignment horizontal="center" vertical="center" wrapText="1"/>
    </xf>
    <xf numFmtId="49" fontId="32" fillId="2" borderId="1" xfId="8" applyNumberFormat="1" applyFont="1" applyFill="1" applyBorder="1" applyAlignment="1">
      <alignment horizontal="center" vertical="center" wrapText="1"/>
    </xf>
    <xf numFmtId="0" fontId="32" fillId="2" borderId="16" xfId="8" applyFont="1" applyFill="1" applyBorder="1" applyAlignment="1">
      <alignment horizontal="center" vertical="center" wrapText="1"/>
    </xf>
    <xf numFmtId="0" fontId="32" fillId="2" borderId="15" xfId="8" applyFont="1" applyFill="1" applyBorder="1" applyAlignment="1">
      <alignment horizontal="left" vertical="center"/>
    </xf>
    <xf numFmtId="0" fontId="32" fillId="2" borderId="6" xfId="8" applyFont="1" applyFill="1" applyBorder="1" applyAlignment="1">
      <alignment horizontal="left" vertical="center"/>
    </xf>
    <xf numFmtId="0" fontId="32" fillId="2" borderId="16" xfId="8" applyFont="1" applyFill="1" applyBorder="1" applyAlignment="1">
      <alignment horizontal="center" vertical="center"/>
    </xf>
    <xf numFmtId="0" fontId="32" fillId="2" borderId="6" xfId="8" applyFont="1" applyFill="1" applyBorder="1" applyAlignment="1">
      <alignment horizontal="left" vertical="center" wrapText="1"/>
    </xf>
    <xf numFmtId="0" fontId="32" fillId="2" borderId="1" xfId="8" applyFont="1" applyFill="1" applyBorder="1" applyAlignment="1">
      <alignment horizontal="left" vertical="center"/>
    </xf>
    <xf numFmtId="49" fontId="32" fillId="2" borderId="1" xfId="26" applyNumberFormat="1" applyFont="1" applyFill="1" applyBorder="1" applyAlignment="1">
      <alignment horizontal="center" vertical="center" wrapText="1"/>
    </xf>
    <xf numFmtId="49" fontId="26" fillId="2" borderId="1" xfId="26" applyNumberFormat="1" applyFont="1" applyFill="1" applyBorder="1" applyAlignment="1">
      <alignment horizontal="center" vertical="center" wrapText="1"/>
    </xf>
    <xf numFmtId="49" fontId="30" fillId="2" borderId="1" xfId="26" applyNumberFormat="1" applyFont="1" applyFill="1" applyBorder="1" applyAlignment="1">
      <alignment horizontal="center" vertical="center" wrapText="1"/>
    </xf>
    <xf numFmtId="49" fontId="30" fillId="2" borderId="1" xfId="8" applyNumberFormat="1" applyFont="1" applyFill="1" applyBorder="1" applyAlignment="1">
      <alignment horizontal="left" vertical="center"/>
    </xf>
    <xf numFmtId="49" fontId="30" fillId="2" borderId="1" xfId="8" applyNumberFormat="1" applyFont="1" applyFill="1" applyBorder="1" applyAlignment="1">
      <alignment horizontal="left" vertical="center" wrapText="1"/>
    </xf>
    <xf numFmtId="49" fontId="30" fillId="2" borderId="1" xfId="8" applyNumberFormat="1" applyFont="1" applyFill="1" applyBorder="1" applyAlignment="1">
      <alignment horizontal="center" vertical="center" wrapText="1"/>
    </xf>
    <xf numFmtId="49" fontId="26" fillId="2" borderId="1" xfId="13" applyNumberFormat="1" applyFont="1" applyFill="1" applyBorder="1" applyAlignment="1">
      <alignment horizontal="center" vertical="center" wrapText="1"/>
    </xf>
    <xf numFmtId="49" fontId="30" fillId="2" borderId="1" xfId="13" applyNumberFormat="1" applyFont="1" applyFill="1" applyBorder="1" applyAlignment="1">
      <alignment horizontal="center" vertical="center" wrapText="1"/>
    </xf>
    <xf numFmtId="49" fontId="32" fillId="2" borderId="1" xfId="13" applyNumberFormat="1" applyFont="1" applyFill="1" applyBorder="1" applyAlignment="1">
      <alignment horizontal="center" vertical="center" wrapText="1"/>
    </xf>
    <xf numFmtId="0" fontId="26" fillId="2" borderId="1" xfId="8" applyFont="1" applyFill="1" applyBorder="1" applyAlignment="1">
      <alignment horizontal="left" vertical="center"/>
    </xf>
    <xf numFmtId="0" fontId="39" fillId="2" borderId="1" xfId="8" applyFont="1" applyFill="1" applyBorder="1" applyAlignment="1">
      <alignment horizontal="left" vertical="center" wrapText="1"/>
    </xf>
    <xf numFmtId="0" fontId="26" fillId="2" borderId="1" xfId="24" applyFont="1" applyFill="1" applyBorder="1" applyAlignment="1">
      <alignment horizontal="center" vertical="center" wrapText="1"/>
    </xf>
    <xf numFmtId="49" fontId="26" fillId="2" borderId="1" xfId="8" quotePrefix="1" applyNumberFormat="1" applyFont="1" applyFill="1" applyBorder="1" applyAlignment="1">
      <alignment horizontal="center" vertical="center" wrapText="1"/>
    </xf>
    <xf numFmtId="0" fontId="26" fillId="2" borderId="24" xfId="8" applyFont="1" applyFill="1" applyBorder="1" applyAlignment="1">
      <alignment horizontal="left" vertical="center"/>
    </xf>
    <xf numFmtId="0" fontId="30" fillId="2" borderId="27" xfId="8" applyFont="1" applyFill="1" applyBorder="1" applyAlignment="1">
      <alignment horizontal="left" vertical="center"/>
    </xf>
    <xf numFmtId="0" fontId="26" fillId="2" borderId="25" xfId="8" applyFont="1" applyFill="1" applyBorder="1" applyAlignment="1">
      <alignment horizontal="center" vertical="center"/>
    </xf>
    <xf numFmtId="0" fontId="26" fillId="2" borderId="26" xfId="8" applyFont="1" applyFill="1" applyBorder="1" applyAlignment="1">
      <alignment horizontal="center" vertical="center"/>
    </xf>
    <xf numFmtId="0" fontId="26" fillId="2" borderId="27" xfId="8" applyFont="1" applyFill="1" applyBorder="1" applyAlignment="1">
      <alignment horizontal="left" vertical="center"/>
    </xf>
    <xf numFmtId="0" fontId="26" fillId="2" borderId="27" xfId="8" applyFont="1" applyFill="1" applyBorder="1" applyAlignment="1">
      <alignment horizontal="left" vertical="center" wrapText="1"/>
    </xf>
    <xf numFmtId="0" fontId="30" fillId="2" borderId="27" xfId="8" applyFont="1" applyFill="1" applyBorder="1" applyAlignment="1">
      <alignment horizontal="left" vertical="center" wrapText="1"/>
    </xf>
    <xf numFmtId="0" fontId="26" fillId="2" borderId="1" xfId="0" applyFont="1" applyFill="1" applyBorder="1" applyAlignment="1">
      <alignment horizontal="left" vertical="center" wrapText="1"/>
    </xf>
    <xf numFmtId="49" fontId="32" fillId="2" borderId="1" xfId="8" quotePrefix="1" applyNumberFormat="1" applyFont="1" applyFill="1" applyBorder="1" applyAlignment="1">
      <alignment horizontal="center" vertical="center" wrapText="1"/>
    </xf>
    <xf numFmtId="0" fontId="26" fillId="2" borderId="25" xfId="0" applyFont="1" applyFill="1" applyBorder="1" applyAlignment="1">
      <alignment horizontal="left" vertical="center" wrapText="1"/>
    </xf>
    <xf numFmtId="49" fontId="26" fillId="2" borderId="1" xfId="24" quotePrefix="1" applyNumberFormat="1" applyFont="1" applyFill="1" applyBorder="1" applyAlignment="1">
      <alignment horizontal="center" vertical="center" wrapText="1"/>
    </xf>
    <xf numFmtId="0" fontId="32" fillId="2" borderId="1" xfId="24" applyFont="1" applyFill="1" applyBorder="1" applyAlignment="1">
      <alignment horizontal="center" vertical="center" wrapText="1"/>
    </xf>
    <xf numFmtId="0" fontId="32" fillId="2" borderId="16" xfId="24" applyFont="1" applyFill="1" applyBorder="1" applyAlignment="1">
      <alignment horizontal="center" vertical="center" wrapText="1"/>
    </xf>
    <xf numFmtId="0" fontId="26" fillId="2" borderId="34" xfId="24" applyFont="1" applyFill="1" applyBorder="1" applyAlignment="1">
      <alignment horizontal="center" vertical="center" wrapText="1"/>
    </xf>
    <xf numFmtId="0" fontId="26" fillId="2" borderId="5" xfId="24" applyFont="1" applyFill="1" applyBorder="1" applyAlignment="1">
      <alignment horizontal="center" vertical="center"/>
    </xf>
    <xf numFmtId="15" fontId="30" fillId="2" borderId="5" xfId="24" applyNumberFormat="1" applyFont="1" applyFill="1" applyBorder="1" applyAlignment="1">
      <alignment horizontal="left" vertical="center" wrapText="1"/>
    </xf>
    <xf numFmtId="0" fontId="26" fillId="2" borderId="5" xfId="8" applyFont="1" applyFill="1" applyBorder="1" applyAlignment="1">
      <alignment horizontal="left" vertical="center" wrapText="1"/>
    </xf>
    <xf numFmtId="0" fontId="30" fillId="2" borderId="5" xfId="8" applyFont="1" applyFill="1" applyBorder="1" applyAlignment="1">
      <alignment horizontal="left" vertical="center" wrapText="1"/>
    </xf>
    <xf numFmtId="0" fontId="26" fillId="2" borderId="5" xfId="24" applyFont="1" applyFill="1" applyBorder="1" applyAlignment="1">
      <alignment horizontal="center" vertical="center" wrapText="1"/>
    </xf>
    <xf numFmtId="0" fontId="30" fillId="2" borderId="5" xfId="24" applyFont="1" applyFill="1" applyBorder="1" applyAlignment="1">
      <alignment horizontal="center" vertical="center" wrapText="1"/>
    </xf>
    <xf numFmtId="0" fontId="26" fillId="2" borderId="5" xfId="8" applyFont="1" applyFill="1" applyBorder="1" applyAlignment="1">
      <alignment horizontal="center" vertical="center" wrapText="1"/>
    </xf>
    <xf numFmtId="0" fontId="30" fillId="2" borderId="5" xfId="8" applyFont="1" applyFill="1" applyBorder="1" applyAlignment="1">
      <alignment horizontal="center" vertical="center" wrapText="1"/>
    </xf>
    <xf numFmtId="49" fontId="26" fillId="2" borderId="5" xfId="24" applyNumberFormat="1" applyFont="1" applyFill="1" applyBorder="1" applyAlignment="1">
      <alignment horizontal="center" vertical="center" wrapText="1"/>
    </xf>
    <xf numFmtId="49" fontId="30" fillId="2" borderId="5" xfId="24" applyNumberFormat="1" applyFont="1" applyFill="1" applyBorder="1" applyAlignment="1">
      <alignment horizontal="center" vertical="center" wrapText="1"/>
    </xf>
    <xf numFmtId="0" fontId="30" fillId="2" borderId="20" xfId="24" applyFont="1" applyFill="1" applyBorder="1" applyAlignment="1">
      <alignment horizontal="left" vertical="center" wrapText="1"/>
    </xf>
    <xf numFmtId="0" fontId="26" fillId="2" borderId="15" xfId="24" applyFont="1" applyFill="1" applyBorder="1" applyAlignment="1">
      <alignment horizontal="center" vertical="center" wrapText="1"/>
    </xf>
    <xf numFmtId="0" fontId="26" fillId="2" borderId="1" xfId="24" applyFont="1" applyFill="1" applyBorder="1" applyAlignment="1">
      <alignment horizontal="center" vertical="center"/>
    </xf>
    <xf numFmtId="15" fontId="30" fillId="2" borderId="1" xfId="24" applyNumberFormat="1" applyFont="1" applyFill="1" applyBorder="1" applyAlignment="1">
      <alignment horizontal="left" vertical="center" wrapText="1"/>
    </xf>
    <xf numFmtId="0" fontId="30" fillId="2" borderId="1" xfId="24" applyFont="1" applyFill="1" applyBorder="1" applyAlignment="1">
      <alignment horizontal="center" vertical="center" wrapText="1"/>
    </xf>
    <xf numFmtId="0" fontId="30" fillId="2" borderId="1" xfId="26" applyFont="1" applyFill="1" applyBorder="1" applyAlignment="1">
      <alignment horizontal="left" vertical="center" wrapText="1"/>
    </xf>
    <xf numFmtId="0" fontId="26" fillId="2" borderId="1" xfId="26" applyFont="1" applyFill="1" applyBorder="1" applyAlignment="1">
      <alignment horizontal="left" vertical="center" wrapText="1"/>
    </xf>
    <xf numFmtId="0" fontId="30" fillId="2" borderId="6" xfId="24" applyFont="1" applyFill="1" applyBorder="1" applyAlignment="1">
      <alignment horizontal="left" vertical="center" wrapText="1"/>
    </xf>
    <xf numFmtId="0" fontId="30" fillId="2" borderId="6" xfId="24" applyFont="1" applyFill="1" applyBorder="1" applyAlignment="1">
      <alignment horizontal="left" vertical="center"/>
    </xf>
    <xf numFmtId="0" fontId="32" fillId="2" borderId="15" xfId="24" applyFont="1" applyFill="1" applyBorder="1" applyAlignment="1">
      <alignment horizontal="center" vertical="center" wrapText="1"/>
    </xf>
    <xf numFmtId="0" fontId="32" fillId="2" borderId="1" xfId="24" applyFont="1" applyFill="1" applyBorder="1" applyAlignment="1">
      <alignment horizontal="center" vertical="center"/>
    </xf>
    <xf numFmtId="15" fontId="32" fillId="2" borderId="1" xfId="24" applyNumberFormat="1" applyFont="1" applyFill="1" applyBorder="1" applyAlignment="1">
      <alignment horizontal="left" vertical="center" wrapText="1"/>
    </xf>
    <xf numFmtId="0" fontId="32" fillId="2" borderId="1" xfId="26" applyFont="1" applyFill="1" applyBorder="1" applyAlignment="1">
      <alignment horizontal="center" vertical="center" wrapText="1"/>
    </xf>
    <xf numFmtId="0" fontId="32" fillId="2" borderId="1" xfId="26" applyFont="1" applyFill="1" applyBorder="1" applyAlignment="1">
      <alignment horizontal="left" vertical="center" wrapText="1"/>
    </xf>
    <xf numFmtId="0" fontId="32" fillId="2" borderId="15" xfId="24" applyFont="1" applyFill="1" applyBorder="1" applyAlignment="1">
      <alignment horizontal="left" vertical="center" wrapText="1"/>
    </xf>
    <xf numFmtId="0" fontId="32" fillId="2" borderId="6" xfId="24" applyFont="1" applyFill="1" applyBorder="1" applyAlignment="1">
      <alignment horizontal="left" vertical="center" wrapText="1"/>
    </xf>
    <xf numFmtId="0" fontId="32" fillId="2" borderId="1" xfId="26" applyFont="1" applyFill="1" applyBorder="1" applyAlignment="1">
      <alignment horizontal="center" vertical="center"/>
    </xf>
    <xf numFmtId="0" fontId="32" fillId="2" borderId="16" xfId="26" applyFont="1" applyFill="1" applyBorder="1" applyAlignment="1">
      <alignment horizontal="center" vertical="center" wrapText="1"/>
    </xf>
    <xf numFmtId="0" fontId="14" fillId="2" borderId="6" xfId="24" applyFill="1" applyBorder="1" applyAlignment="1">
      <alignment horizontal="left" vertical="center" wrapText="1"/>
    </xf>
    <xf numFmtId="0" fontId="14" fillId="2" borderId="1" xfId="24" applyFill="1" applyBorder="1" applyAlignment="1">
      <alignment horizontal="center" vertical="center" wrapText="1"/>
    </xf>
    <xf numFmtId="0" fontId="14" fillId="2" borderId="16" xfId="24" applyFill="1" applyBorder="1" applyAlignment="1">
      <alignment horizontal="center" vertical="center" wrapText="1"/>
    </xf>
    <xf numFmtId="0" fontId="47" fillId="2" borderId="6" xfId="24" quotePrefix="1" applyFont="1" applyFill="1" applyBorder="1" applyAlignment="1">
      <alignment horizontal="left" vertical="center" wrapText="1"/>
    </xf>
    <xf numFmtId="0" fontId="46" fillId="2" borderId="6" xfId="24" quotePrefix="1" applyFont="1" applyFill="1" applyBorder="1" applyAlignment="1">
      <alignment horizontal="left" vertical="center" wrapText="1"/>
    </xf>
    <xf numFmtId="0" fontId="47" fillId="2" borderId="1" xfId="24" applyFont="1" applyFill="1" applyBorder="1" applyAlignment="1">
      <alignment horizontal="center" vertical="center" wrapText="1"/>
    </xf>
    <xf numFmtId="0" fontId="48" fillId="2" borderId="26" xfId="0" applyFont="1" applyFill="1" applyBorder="1" applyAlignment="1">
      <alignment horizontal="center" vertical="center" wrapText="1"/>
    </xf>
    <xf numFmtId="0" fontId="26" fillId="2" borderId="15" xfId="24" applyFont="1" applyFill="1" applyBorder="1" applyAlignment="1">
      <alignment horizontal="left" vertical="center" wrapText="1"/>
    </xf>
    <xf numFmtId="0" fontId="26" fillId="2" borderId="6" xfId="24" applyFont="1" applyFill="1" applyBorder="1" applyAlignment="1">
      <alignment horizontal="left" vertical="center" wrapText="1"/>
    </xf>
    <xf numFmtId="0" fontId="26" fillId="2" borderId="26" xfId="0" applyFont="1" applyFill="1" applyBorder="1" applyAlignment="1">
      <alignment horizontal="center" vertical="center" wrapText="1"/>
    </xf>
    <xf numFmtId="15" fontId="30" fillId="2" borderId="1" xfId="24" quotePrefix="1" applyNumberFormat="1" applyFont="1" applyFill="1" applyBorder="1" applyAlignment="1">
      <alignment horizontal="left" vertical="center" wrapText="1"/>
    </xf>
    <xf numFmtId="0" fontId="26" fillId="2" borderId="16" xfId="24" applyFont="1" applyFill="1" applyBorder="1" applyAlignment="1">
      <alignment horizontal="center" vertical="center" wrapText="1"/>
    </xf>
    <xf numFmtId="15" fontId="26" fillId="2" borderId="1" xfId="24" applyNumberFormat="1" applyFont="1" applyFill="1" applyBorder="1" applyAlignment="1">
      <alignment horizontal="center" vertical="center" wrapText="1"/>
    </xf>
    <xf numFmtId="15" fontId="30" fillId="2" borderId="1" xfId="24" applyNumberFormat="1" applyFont="1" applyFill="1" applyBorder="1" applyAlignment="1">
      <alignment horizontal="center" vertical="center" wrapText="1"/>
    </xf>
    <xf numFmtId="0" fontId="26" fillId="2" borderId="1" xfId="26" applyFont="1" applyFill="1" applyBorder="1" applyAlignment="1">
      <alignment horizontal="center" vertical="center"/>
    </xf>
    <xf numFmtId="15" fontId="26" fillId="2" borderId="1" xfId="24" applyNumberFormat="1" applyFont="1" applyFill="1" applyBorder="1" applyAlignment="1">
      <alignment horizontal="left" vertical="center" wrapText="1"/>
    </xf>
    <xf numFmtId="0" fontId="26" fillId="2" borderId="6" xfId="24" quotePrefix="1" applyFont="1" applyFill="1" applyBorder="1" applyAlignment="1">
      <alignment horizontal="left" vertical="center" wrapText="1"/>
    </xf>
    <xf numFmtId="0" fontId="30" fillId="2" borderId="6" xfId="24" quotePrefix="1" applyFont="1" applyFill="1" applyBorder="1" applyAlignment="1">
      <alignment horizontal="left" vertical="center" wrapText="1"/>
    </xf>
    <xf numFmtId="15" fontId="32" fillId="2" borderId="1" xfId="24" applyNumberFormat="1" applyFont="1" applyFill="1" applyBorder="1" applyAlignment="1">
      <alignment horizontal="center" vertical="center" wrapText="1"/>
    </xf>
    <xf numFmtId="0" fontId="26" fillId="2" borderId="40" xfId="0" applyFont="1" applyFill="1" applyBorder="1" applyAlignment="1" applyProtection="1">
      <alignment vertical="center" wrapText="1"/>
      <protection locked="0"/>
    </xf>
    <xf numFmtId="0" fontId="30" fillId="2" borderId="1" xfId="0" applyFont="1" applyFill="1" applyBorder="1" applyAlignment="1" applyProtection="1">
      <alignment vertical="center" wrapText="1"/>
      <protection locked="0"/>
    </xf>
    <xf numFmtId="0" fontId="26" fillId="2" borderId="1" xfId="0" applyFont="1" applyFill="1" applyBorder="1" applyAlignment="1" applyProtection="1">
      <alignment horizontal="center" vertical="center" wrapText="1"/>
      <protection locked="0"/>
    </xf>
    <xf numFmtId="0" fontId="26" fillId="2" borderId="16" xfId="0" applyFont="1" applyFill="1" applyBorder="1" applyAlignment="1">
      <alignment horizontal="center" vertical="center" wrapText="1"/>
    </xf>
    <xf numFmtId="0" fontId="37" fillId="2" borderId="1" xfId="24" applyFont="1" applyFill="1" applyBorder="1" applyAlignment="1">
      <alignment horizontal="center" vertical="center" wrapText="1"/>
    </xf>
    <xf numFmtId="15" fontId="26" fillId="2" borderId="5" xfId="24" applyNumberFormat="1" applyFont="1" applyFill="1" applyBorder="1" applyAlignment="1">
      <alignment horizontal="center" vertical="center" wrapText="1"/>
    </xf>
    <xf numFmtId="15" fontId="30" fillId="2" borderId="5" xfId="24" applyNumberFormat="1" applyFont="1" applyFill="1" applyBorder="1" applyAlignment="1">
      <alignment horizontal="center" vertical="center" wrapText="1"/>
    </xf>
    <xf numFmtId="0" fontId="30" fillId="2" borderId="20" xfId="24" quotePrefix="1" applyFont="1" applyFill="1" applyBorder="1" applyAlignment="1">
      <alignment horizontal="left" vertical="center" wrapText="1"/>
    </xf>
    <xf numFmtId="0" fontId="32" fillId="2" borderId="1" xfId="24" quotePrefix="1" applyFont="1" applyFill="1" applyBorder="1" applyAlignment="1">
      <alignment horizontal="left" vertical="center" wrapText="1"/>
    </xf>
    <xf numFmtId="0" fontId="47" fillId="2" borderId="6" xfId="24" applyFont="1" applyFill="1" applyBorder="1" applyAlignment="1">
      <alignment horizontal="left" vertical="center" wrapText="1"/>
    </xf>
    <xf numFmtId="0" fontId="46" fillId="2" borderId="6" xfId="24" applyFont="1" applyFill="1" applyBorder="1" applyAlignment="1">
      <alignment horizontal="left" vertical="center" wrapText="1"/>
    </xf>
    <xf numFmtId="0" fontId="47" fillId="2" borderId="16" xfId="24" applyFont="1" applyFill="1" applyBorder="1" applyAlignment="1">
      <alignment horizontal="center" vertical="center" wrapText="1"/>
    </xf>
    <xf numFmtId="0" fontId="30" fillId="2" borderId="27" xfId="24" applyFont="1" applyFill="1" applyBorder="1" applyAlignment="1">
      <alignment horizontal="left" vertical="center" wrapText="1"/>
    </xf>
    <xf numFmtId="0" fontId="26" fillId="2" borderId="15" xfId="0" applyFont="1" applyFill="1" applyBorder="1" applyAlignment="1">
      <alignment horizontal="left" vertical="top" wrapText="1"/>
    </xf>
    <xf numFmtId="0" fontId="30" fillId="2" borderId="1" xfId="0" applyFont="1" applyFill="1" applyBorder="1" applyAlignment="1">
      <alignment horizontal="left" vertical="top" wrapText="1"/>
    </xf>
    <xf numFmtId="0" fontId="30" fillId="2" borderId="1" xfId="13" applyFont="1" applyFill="1" applyBorder="1" applyAlignment="1">
      <alignment horizontal="left" vertical="center" wrapText="1"/>
    </xf>
    <xf numFmtId="0" fontId="26" fillId="2" borderId="1" xfId="0" applyFont="1" applyFill="1" applyBorder="1" applyAlignment="1">
      <alignment horizontal="center" vertical="center" wrapText="1"/>
    </xf>
    <xf numFmtId="0" fontId="57" fillId="2" borderId="15" xfId="24" applyFont="1" applyFill="1" applyBorder="1" applyAlignment="1">
      <alignment horizontal="left" vertical="center" wrapText="1"/>
    </xf>
    <xf numFmtId="0" fontId="57" fillId="2" borderId="6" xfId="24" applyFont="1" applyFill="1" applyBorder="1" applyAlignment="1">
      <alignment horizontal="left" vertical="center" wrapText="1"/>
    </xf>
    <xf numFmtId="0" fontId="57" fillId="2" borderId="1" xfId="24" applyFont="1" applyFill="1" applyBorder="1" applyAlignment="1">
      <alignment horizontal="center" vertical="center" wrapText="1"/>
    </xf>
    <xf numFmtId="0" fontId="57" fillId="2" borderId="16" xfId="24" applyFont="1" applyFill="1" applyBorder="1" applyAlignment="1">
      <alignment horizontal="center" vertical="center" wrapText="1"/>
    </xf>
    <xf numFmtId="0" fontId="57" fillId="2" borderId="6" xfId="24" quotePrefix="1" applyFont="1" applyFill="1" applyBorder="1" applyAlignment="1">
      <alignment horizontal="left" vertical="center" wrapText="1"/>
    </xf>
    <xf numFmtId="15" fontId="26" fillId="2" borderId="1" xfId="24" quotePrefix="1" applyNumberFormat="1" applyFont="1" applyFill="1" applyBorder="1" applyAlignment="1">
      <alignment horizontal="center" vertical="center" wrapText="1"/>
    </xf>
    <xf numFmtId="15" fontId="30" fillId="2" borderId="1" xfId="24" quotePrefix="1" applyNumberFormat="1" applyFont="1" applyFill="1" applyBorder="1" applyAlignment="1">
      <alignment horizontal="center" vertical="center" wrapText="1"/>
    </xf>
    <xf numFmtId="0" fontId="38" fillId="2" borderId="1" xfId="24" applyFont="1" applyFill="1" applyBorder="1" applyAlignment="1">
      <alignment horizontal="center" vertical="center"/>
    </xf>
    <xf numFmtId="0" fontId="26" fillId="2" borderId="1" xfId="0" applyFont="1" applyFill="1" applyBorder="1" applyAlignment="1">
      <alignment vertical="center" wrapText="1"/>
    </xf>
    <xf numFmtId="0" fontId="30" fillId="2" borderId="1" xfId="0" applyFont="1" applyFill="1" applyBorder="1" applyAlignment="1">
      <alignment vertical="center" wrapText="1"/>
    </xf>
    <xf numFmtId="0" fontId="32" fillId="2" borderId="15" xfId="24" applyFont="1" applyFill="1" applyBorder="1" applyAlignment="1">
      <alignment vertical="center"/>
    </xf>
    <xf numFmtId="15" fontId="30" fillId="2" borderId="1" xfId="26" applyNumberFormat="1" applyFont="1" applyFill="1" applyBorder="1" applyAlignment="1">
      <alignment horizontal="left" vertical="center" wrapText="1"/>
    </xf>
    <xf numFmtId="0" fontId="26" fillId="2" borderId="27" xfId="0" applyFont="1" applyFill="1" applyBorder="1" applyAlignment="1">
      <alignment vertical="center" wrapText="1"/>
    </xf>
    <xf numFmtId="0" fontId="30" fillId="2" borderId="1" xfId="33" applyFont="1" applyFill="1" applyBorder="1" applyAlignment="1">
      <alignment horizontal="left" vertical="center" wrapText="1"/>
    </xf>
    <xf numFmtId="0" fontId="30" fillId="2" borderId="25" xfId="8" applyFont="1" applyFill="1" applyBorder="1" applyAlignment="1">
      <alignment horizontal="center" vertical="center" wrapText="1"/>
    </xf>
    <xf numFmtId="0" fontId="0" fillId="2" borderId="1" xfId="0" applyFill="1" applyBorder="1" applyAlignment="1">
      <alignment horizontal="left" vertical="center" wrapText="1"/>
    </xf>
    <xf numFmtId="0" fontId="30" fillId="2" borderId="1" xfId="0" quotePrefix="1" applyFont="1" applyFill="1" applyBorder="1" applyAlignment="1">
      <alignment horizontal="left" vertical="center" wrapText="1"/>
    </xf>
    <xf numFmtId="0" fontId="26" fillId="2" borderId="6" xfId="24" applyFont="1" applyFill="1" applyBorder="1" applyAlignment="1">
      <alignment horizontal="center" vertical="center" wrapText="1"/>
    </xf>
    <xf numFmtId="0" fontId="26" fillId="2" borderId="6" xfId="0" applyFont="1" applyFill="1" applyBorder="1" applyAlignment="1">
      <alignment horizontal="left" vertical="center" wrapText="1"/>
    </xf>
    <xf numFmtId="0" fontId="47" fillId="2" borderId="15" xfId="24" applyFont="1" applyFill="1" applyBorder="1" applyAlignment="1">
      <alignment horizontal="left" vertical="center" wrapText="1"/>
    </xf>
    <xf numFmtId="0" fontId="48" fillId="2" borderId="15" xfId="24" applyFont="1" applyFill="1" applyBorder="1" applyAlignment="1">
      <alignment horizontal="left" vertical="center" wrapText="1"/>
    </xf>
    <xf numFmtId="0" fontId="48" fillId="2" borderId="1" xfId="24" applyFont="1" applyFill="1" applyBorder="1" applyAlignment="1">
      <alignment horizontal="center" vertical="center" wrapText="1"/>
    </xf>
    <xf numFmtId="0" fontId="30" fillId="2" borderId="1" xfId="24" quotePrefix="1" applyFont="1" applyFill="1" applyBorder="1" applyAlignment="1">
      <alignment horizontal="left" vertical="center" wrapText="1"/>
    </xf>
    <xf numFmtId="0" fontId="26" fillId="2" borderId="1" xfId="26" applyFont="1" applyFill="1" applyBorder="1" applyAlignment="1">
      <alignment horizontal="center" vertical="center" wrapText="1"/>
    </xf>
    <xf numFmtId="0" fontId="26" fillId="2" borderId="1" xfId="24" quotePrefix="1" applyFont="1" applyFill="1" applyBorder="1" applyAlignment="1">
      <alignment horizontal="center" vertical="center" wrapText="1"/>
    </xf>
    <xf numFmtId="0" fontId="37" fillId="2" borderId="1" xfId="24" applyFont="1" applyFill="1" applyBorder="1" applyAlignment="1">
      <alignment horizontal="left" vertical="center" wrapText="1"/>
    </xf>
    <xf numFmtId="49" fontId="38" fillId="2" borderId="1" xfId="24" applyNumberFormat="1" applyFont="1" applyFill="1" applyBorder="1" applyAlignment="1">
      <alignment horizontal="center" vertical="center" wrapText="1"/>
    </xf>
    <xf numFmtId="49" fontId="40" fillId="2" borderId="1" xfId="24" applyNumberFormat="1" applyFont="1" applyFill="1" applyBorder="1" applyAlignment="1">
      <alignment horizontal="center" vertical="center" wrapText="1"/>
    </xf>
    <xf numFmtId="0" fontId="27" fillId="2" borderId="1" xfId="24" applyFont="1" applyFill="1" applyBorder="1" applyAlignment="1">
      <alignment horizontal="center" vertical="center" wrapText="1"/>
    </xf>
    <xf numFmtId="0" fontId="26" fillId="2" borderId="1" xfId="13" applyFont="1" applyFill="1" applyBorder="1" applyAlignment="1">
      <alignment horizontal="center" vertical="center" wrapText="1"/>
    </xf>
    <xf numFmtId="0" fontId="26" fillId="2" borderId="16" xfId="13" applyFont="1" applyFill="1" applyBorder="1" applyAlignment="1">
      <alignment horizontal="center" vertical="center" wrapText="1"/>
    </xf>
    <xf numFmtId="0" fontId="26" fillId="2" borderId="1" xfId="13" applyFont="1" applyFill="1" applyBorder="1" applyAlignment="1">
      <alignment horizontal="left" vertical="center" wrapText="1"/>
    </xf>
    <xf numFmtId="0" fontId="30" fillId="2" borderId="1" xfId="24" quotePrefix="1" applyFont="1" applyFill="1" applyBorder="1" applyAlignment="1">
      <alignment horizontal="center" vertical="center" wrapText="1"/>
    </xf>
    <xf numFmtId="43" fontId="30" fillId="2" borderId="1" xfId="28" applyFont="1" applyFill="1" applyBorder="1" applyAlignment="1">
      <alignment horizontal="left" vertical="center" wrapText="1"/>
    </xf>
    <xf numFmtId="43" fontId="26" fillId="2" borderId="1" xfId="28" applyFont="1" applyFill="1" applyBorder="1" applyAlignment="1">
      <alignment horizontal="center" vertical="center" wrapText="1"/>
    </xf>
    <xf numFmtId="43" fontId="30" fillId="2" borderId="1" xfId="28" applyFont="1" applyFill="1" applyBorder="1" applyAlignment="1">
      <alignment horizontal="center" vertical="center" wrapText="1"/>
    </xf>
    <xf numFmtId="0" fontId="32" fillId="2" borderId="24" xfId="24" applyFont="1" applyFill="1" applyBorder="1" applyAlignment="1">
      <alignment horizontal="left" vertical="center" wrapText="1"/>
    </xf>
    <xf numFmtId="0" fontId="32" fillId="2" borderId="27" xfId="24" applyFont="1" applyFill="1" applyBorder="1" applyAlignment="1">
      <alignment horizontal="left" vertical="center" wrapText="1"/>
    </xf>
    <xf numFmtId="0" fontId="32" fillId="2" borderId="25" xfId="24" applyFont="1" applyFill="1" applyBorder="1" applyAlignment="1">
      <alignment horizontal="center" vertical="center" wrapText="1"/>
    </xf>
    <xf numFmtId="0" fontId="32" fillId="2" borderId="26" xfId="24" applyFont="1" applyFill="1" applyBorder="1" applyAlignment="1">
      <alignment horizontal="center" vertical="center" wrapText="1"/>
    </xf>
    <xf numFmtId="0" fontId="26" fillId="2" borderId="24" xfId="24" applyFont="1" applyFill="1" applyBorder="1" applyAlignment="1">
      <alignment horizontal="left" vertical="center" wrapText="1"/>
    </xf>
    <xf numFmtId="0" fontId="26" fillId="2" borderId="24" xfId="0" applyFont="1" applyFill="1" applyBorder="1" applyAlignment="1">
      <alignment horizontal="left" vertical="center" wrapText="1"/>
    </xf>
    <xf numFmtId="0" fontId="26" fillId="2" borderId="15" xfId="0" applyFont="1" applyFill="1" applyBorder="1" applyAlignment="1">
      <alignment horizontal="center" vertical="center" wrapText="1" readingOrder="1"/>
    </xf>
    <xf numFmtId="0" fontId="26" fillId="2" borderId="1" xfId="0" applyFont="1" applyFill="1" applyBorder="1" applyAlignment="1">
      <alignment horizontal="center" vertical="center" wrapText="1" readingOrder="1"/>
    </xf>
    <xf numFmtId="0" fontId="30" fillId="2" borderId="1" xfId="0" applyFont="1" applyFill="1" applyBorder="1" applyAlignment="1">
      <alignment horizontal="center" vertical="center" wrapText="1" readingOrder="1"/>
    </xf>
    <xf numFmtId="0" fontId="26" fillId="2" borderId="1" xfId="0" applyFont="1" applyFill="1" applyBorder="1" applyAlignment="1">
      <alignment horizontal="center" vertical="center"/>
    </xf>
    <xf numFmtId="49" fontId="26" fillId="2" borderId="1" xfId="0" applyNumberFormat="1" applyFont="1" applyFill="1" applyBorder="1" applyAlignment="1">
      <alignment horizontal="center" vertical="center" wrapText="1" readingOrder="1"/>
    </xf>
    <xf numFmtId="49" fontId="30" fillId="2" borderId="1" xfId="0" applyNumberFormat="1" applyFont="1" applyFill="1" applyBorder="1" applyAlignment="1">
      <alignment horizontal="center" vertical="center" wrapText="1" readingOrder="1"/>
    </xf>
    <xf numFmtId="0" fontId="26" fillId="2" borderId="1" xfId="0" quotePrefix="1" applyFont="1" applyFill="1" applyBorder="1" applyAlignment="1">
      <alignment horizontal="center" vertical="center" wrapText="1" readingOrder="1"/>
    </xf>
    <xf numFmtId="49" fontId="26" fillId="2" borderId="1" xfId="0" quotePrefix="1" applyNumberFormat="1" applyFont="1" applyFill="1" applyBorder="1" applyAlignment="1">
      <alignment horizontal="center" vertical="center" wrapText="1" readingOrder="1"/>
    </xf>
    <xf numFmtId="0" fontId="26" fillId="2" borderId="25" xfId="0" applyFont="1" applyFill="1" applyBorder="1" applyAlignment="1">
      <alignment horizontal="center" vertical="center" wrapText="1"/>
    </xf>
    <xf numFmtId="0" fontId="30" fillId="2" borderId="25" xfId="0" applyFont="1" applyFill="1" applyBorder="1" applyAlignment="1">
      <alignment horizontal="left" vertical="center" wrapText="1"/>
    </xf>
    <xf numFmtId="0" fontId="26" fillId="2" borderId="26" xfId="0" applyFont="1" applyFill="1" applyBorder="1" applyAlignment="1">
      <alignment horizontal="left" vertical="center" wrapText="1"/>
    </xf>
    <xf numFmtId="0" fontId="26" fillId="2" borderId="26" xfId="0" applyFont="1" applyFill="1" applyBorder="1" applyAlignment="1">
      <alignment horizontal="justify" vertical="center" wrapText="1"/>
    </xf>
    <xf numFmtId="49" fontId="32" fillId="2" borderId="1" xfId="24" quotePrefix="1" applyNumberFormat="1" applyFont="1" applyFill="1" applyBorder="1" applyAlignment="1">
      <alignment horizontal="center" vertical="center" wrapText="1"/>
    </xf>
    <xf numFmtId="0" fontId="37" fillId="2" borderId="1" xfId="24" applyFont="1" applyFill="1" applyBorder="1" applyAlignment="1">
      <alignment horizontal="center" vertical="center"/>
    </xf>
    <xf numFmtId="0" fontId="30" fillId="2" borderId="1" xfId="7" applyFont="1" applyFill="1" applyBorder="1" applyAlignment="1">
      <alignment vertical="top" wrapText="1"/>
    </xf>
    <xf numFmtId="0" fontId="49" fillId="2" borderId="1" xfId="24" applyFont="1" applyFill="1" applyBorder="1" applyAlignment="1">
      <alignment horizontal="left" vertical="center" wrapText="1"/>
    </xf>
    <xf numFmtId="0" fontId="57" fillId="2" borderId="27" xfId="24" applyFont="1" applyFill="1" applyBorder="1" applyAlignment="1">
      <alignment horizontal="left" vertical="center" wrapText="1"/>
    </xf>
    <xf numFmtId="0" fontId="57" fillId="2" borderId="25" xfId="24" applyFont="1" applyFill="1" applyBorder="1" applyAlignment="1">
      <alignment horizontal="center" vertical="center" wrapText="1"/>
    </xf>
    <xf numFmtId="0" fontId="57" fillId="2" borderId="26" xfId="24" applyFont="1" applyFill="1" applyBorder="1" applyAlignment="1">
      <alignment horizontal="center" vertical="center" wrapText="1"/>
    </xf>
    <xf numFmtId="0" fontId="26" fillId="2" borderId="15" xfId="13" applyFont="1" applyFill="1" applyBorder="1" applyAlignment="1">
      <alignment horizontal="left" vertical="center" wrapText="1"/>
    </xf>
    <xf numFmtId="0" fontId="40" fillId="2" borderId="6" xfId="24" applyFont="1" applyFill="1" applyBorder="1" applyAlignment="1">
      <alignment horizontal="left" vertical="center" wrapText="1"/>
    </xf>
    <xf numFmtId="0" fontId="48" fillId="2" borderId="16" xfId="0" applyFont="1" applyFill="1" applyBorder="1" applyAlignment="1">
      <alignment horizontal="center" vertical="center"/>
    </xf>
    <xf numFmtId="0" fontId="30" fillId="2" borderId="11" xfId="24" applyFont="1" applyFill="1" applyBorder="1" applyAlignment="1">
      <alignment horizontal="left" vertical="center"/>
    </xf>
    <xf numFmtId="0" fontId="30" fillId="2" borderId="1" xfId="24" applyFont="1" applyFill="1" applyBorder="1" applyAlignment="1">
      <alignment horizontal="left" vertical="center"/>
    </xf>
    <xf numFmtId="0" fontId="32" fillId="2" borderId="15" xfId="24" applyFont="1" applyFill="1" applyBorder="1" applyAlignment="1">
      <alignment horizontal="left" vertical="center"/>
    </xf>
    <xf numFmtId="0" fontId="32" fillId="2" borderId="1" xfId="24" applyFont="1" applyFill="1" applyBorder="1" applyAlignment="1">
      <alignment horizontal="left" vertical="center"/>
    </xf>
    <xf numFmtId="0" fontId="32" fillId="2" borderId="16" xfId="24" applyFont="1" applyFill="1" applyBorder="1" applyAlignment="1">
      <alignment horizontal="center" vertical="center"/>
    </xf>
    <xf numFmtId="0" fontId="32" fillId="2" borderId="6" xfId="24" applyFont="1" applyFill="1" applyBorder="1" applyAlignment="1">
      <alignment horizontal="left" vertical="center"/>
    </xf>
    <xf numFmtId="0" fontId="26" fillId="2" borderId="1" xfId="13" applyFont="1" applyFill="1" applyBorder="1" applyAlignment="1">
      <alignment horizontal="center" vertical="center"/>
    </xf>
    <xf numFmtId="0" fontId="26" fillId="2" borderId="34" xfId="13" applyFont="1" applyFill="1" applyBorder="1" applyAlignment="1">
      <alignment horizontal="center" vertical="center"/>
    </xf>
    <xf numFmtId="0" fontId="26" fillId="2" borderId="5" xfId="13" applyFont="1" applyFill="1" applyBorder="1" applyAlignment="1">
      <alignment horizontal="center" vertical="center"/>
    </xf>
    <xf numFmtId="0" fontId="30" fillId="2" borderId="5" xfId="13" applyFont="1" applyFill="1" applyBorder="1" applyAlignment="1">
      <alignment horizontal="center" vertical="center"/>
    </xf>
    <xf numFmtId="0" fontId="26" fillId="2" borderId="5" xfId="13" applyFont="1" applyFill="1" applyBorder="1" applyAlignment="1">
      <alignment horizontal="center" vertical="center" wrapText="1"/>
    </xf>
    <xf numFmtId="0" fontId="26" fillId="2" borderId="5" xfId="13" applyFont="1" applyFill="1" applyBorder="1" applyAlignment="1">
      <alignment horizontal="left" vertical="center" wrapText="1"/>
    </xf>
    <xf numFmtId="0" fontId="30" fillId="2" borderId="5" xfId="13" applyFont="1" applyFill="1" applyBorder="1" applyAlignment="1">
      <alignment horizontal="left" vertical="center" wrapText="1"/>
    </xf>
    <xf numFmtId="0" fontId="30" fillId="2" borderId="5" xfId="13" applyFont="1" applyFill="1" applyBorder="1" applyAlignment="1">
      <alignment horizontal="center" vertical="center" wrapText="1"/>
    </xf>
    <xf numFmtId="49" fontId="26" fillId="2" borderId="5" xfId="13" applyNumberFormat="1" applyFont="1" applyFill="1" applyBorder="1" applyAlignment="1">
      <alignment horizontal="center" vertical="center" wrapText="1"/>
    </xf>
    <xf numFmtId="49" fontId="30" fillId="2" borderId="5" xfId="13" applyNumberFormat="1" applyFont="1" applyFill="1" applyBorder="1" applyAlignment="1">
      <alignment horizontal="center" vertical="center" wrapText="1"/>
    </xf>
    <xf numFmtId="0" fontId="26" fillId="2" borderId="36" xfId="13" applyFont="1" applyFill="1" applyBorder="1" applyAlignment="1">
      <alignment horizontal="center" vertical="center" wrapText="1"/>
    </xf>
    <xf numFmtId="0" fontId="30" fillId="2" borderId="11" xfId="24" applyFont="1" applyFill="1" applyBorder="1" applyAlignment="1">
      <alignment horizontal="center" vertical="center"/>
    </xf>
    <xf numFmtId="0" fontId="30" fillId="2" borderId="1" xfId="13" applyFont="1" applyFill="1" applyBorder="1" applyAlignment="1">
      <alignment horizontal="center" vertical="center"/>
    </xf>
    <xf numFmtId="0" fontId="30" fillId="2" borderId="1" xfId="13" applyFont="1" applyFill="1" applyBorder="1" applyAlignment="1">
      <alignment horizontal="center" vertical="center" wrapText="1"/>
    </xf>
    <xf numFmtId="0" fontId="26" fillId="2" borderId="15" xfId="13" applyFont="1" applyFill="1" applyBorder="1" applyAlignment="1">
      <alignment horizontal="center" vertical="center"/>
    </xf>
    <xf numFmtId="0" fontId="30" fillId="2" borderId="1" xfId="24" applyFont="1" applyFill="1" applyBorder="1" applyAlignment="1">
      <alignment horizontal="center" vertical="center"/>
    </xf>
    <xf numFmtId="0" fontId="30" fillId="13" borderId="6" xfId="24" applyFont="1" applyFill="1" applyBorder="1" applyAlignment="1">
      <alignment horizontal="left" vertical="center" wrapText="1"/>
    </xf>
    <xf numFmtId="0" fontId="26" fillId="13" borderId="1" xfId="24" applyFont="1" applyFill="1" applyBorder="1" applyAlignment="1">
      <alignment horizontal="center" vertical="center" wrapText="1"/>
    </xf>
    <xf numFmtId="14" fontId="26" fillId="0" borderId="12" xfId="0" applyNumberFormat="1" applyFont="1" applyBorder="1" applyAlignment="1">
      <alignment horizontal="center" vertical="center" wrapText="1"/>
    </xf>
    <xf numFmtId="14" fontId="26" fillId="0" borderId="17" xfId="0" applyNumberFormat="1" applyFont="1" applyBorder="1" applyAlignment="1">
      <alignment horizontal="center" vertical="center" wrapText="1"/>
    </xf>
    <xf numFmtId="0" fontId="30" fillId="0" borderId="6" xfId="24" applyFont="1" applyBorder="1" applyAlignment="1">
      <alignment horizontal="left" vertical="center" wrapText="1"/>
    </xf>
    <xf numFmtId="0" fontId="38" fillId="5" borderId="25" xfId="0" applyFont="1" applyFill="1" applyBorder="1" applyAlignment="1">
      <alignment horizontal="center" vertical="top" wrapText="1"/>
    </xf>
    <xf numFmtId="14" fontId="26" fillId="2" borderId="1" xfId="8" applyNumberFormat="1" applyFont="1" applyFill="1" applyBorder="1" applyAlignment="1">
      <alignment horizontal="center" vertical="center" wrapText="1"/>
    </xf>
    <xf numFmtId="14" fontId="32" fillId="2" borderId="1" xfId="8" applyNumberFormat="1" applyFont="1" applyFill="1" applyBorder="1" applyAlignment="1">
      <alignment horizontal="center" vertical="center" wrapText="1"/>
    </xf>
    <xf numFmtId="0" fontId="26" fillId="0" borderId="11" xfId="8" applyFont="1" applyBorder="1" applyAlignment="1">
      <alignment horizontal="center" vertical="center" wrapText="1"/>
    </xf>
    <xf numFmtId="0" fontId="26" fillId="0" borderId="1" xfId="8" applyFont="1" applyBorder="1" applyAlignment="1">
      <alignment horizontal="center" vertical="center" wrapText="1"/>
    </xf>
    <xf numFmtId="0" fontId="26" fillId="2" borderId="0" xfId="8" applyFont="1" applyFill="1" applyAlignment="1">
      <alignment horizontal="center" vertical="center" wrapText="1"/>
    </xf>
    <xf numFmtId="0" fontId="38" fillId="5" borderId="25" xfId="0" applyFont="1" applyFill="1" applyBorder="1" applyAlignment="1">
      <alignment horizontal="center" vertical="center" wrapText="1"/>
    </xf>
    <xf numFmtId="0" fontId="26" fillId="0" borderId="0" xfId="8" applyFont="1" applyAlignment="1">
      <alignment horizontal="center" vertical="center" wrapText="1"/>
    </xf>
    <xf numFmtId="0" fontId="38" fillId="5" borderId="26" xfId="0" applyFont="1" applyFill="1" applyBorder="1" applyAlignment="1">
      <alignment horizontal="center" vertical="top" wrapText="1"/>
    </xf>
    <xf numFmtId="0" fontId="32" fillId="13" borderId="15" xfId="24" applyFont="1" applyFill="1" applyBorder="1" applyAlignment="1">
      <alignment horizontal="left" vertical="center" wrapText="1"/>
    </xf>
    <xf numFmtId="0" fontId="32" fillId="13" borderId="6" xfId="24" applyFont="1" applyFill="1" applyBorder="1" applyAlignment="1">
      <alignment horizontal="left" vertical="center" wrapText="1"/>
    </xf>
    <xf numFmtId="0" fontId="32" fillId="13" borderId="1" xfId="24" applyFont="1" applyFill="1" applyBorder="1" applyAlignment="1">
      <alignment horizontal="center" vertical="center" wrapText="1"/>
    </xf>
    <xf numFmtId="0" fontId="32" fillId="13" borderId="16" xfId="24" applyFont="1" applyFill="1" applyBorder="1" applyAlignment="1">
      <alignment horizontal="center" vertical="center" wrapText="1"/>
    </xf>
    <xf numFmtId="0" fontId="32" fillId="13" borderId="16" xfId="8" applyFont="1" applyFill="1" applyBorder="1" applyAlignment="1">
      <alignment horizontal="center" vertical="center" wrapText="1"/>
    </xf>
    <xf numFmtId="0" fontId="26" fillId="13" borderId="15" xfId="0" applyFont="1" applyFill="1" applyBorder="1" applyAlignment="1">
      <alignment horizontal="left" vertical="center" wrapText="1"/>
    </xf>
    <xf numFmtId="0" fontId="30" fillId="13" borderId="1" xfId="0" applyFont="1" applyFill="1" applyBorder="1" applyAlignment="1">
      <alignment horizontal="left" vertical="center" wrapText="1"/>
    </xf>
    <xf numFmtId="0" fontId="26" fillId="13" borderId="1" xfId="0" applyFont="1" applyFill="1" applyBorder="1" applyAlignment="1">
      <alignment horizontal="center" vertical="center" wrapText="1"/>
    </xf>
    <xf numFmtId="0" fontId="30" fillId="13" borderId="1" xfId="0" quotePrefix="1" applyFont="1" applyFill="1" applyBorder="1" applyAlignment="1">
      <alignment horizontal="left" vertical="center" wrapText="1"/>
    </xf>
    <xf numFmtId="0" fontId="26" fillId="13" borderId="1" xfId="0" applyFont="1" applyFill="1" applyBorder="1" applyAlignment="1">
      <alignment horizontal="left" vertical="center" wrapText="1"/>
    </xf>
    <xf numFmtId="15" fontId="30" fillId="13" borderId="1" xfId="24" applyNumberFormat="1" applyFont="1" applyFill="1" applyBorder="1" applyAlignment="1">
      <alignment horizontal="left" vertical="center" wrapText="1"/>
    </xf>
    <xf numFmtId="0" fontId="30" fillId="13" borderId="6" xfId="24" quotePrefix="1" applyFont="1" applyFill="1" applyBorder="1" applyAlignment="1">
      <alignment horizontal="left" vertical="center" wrapText="1"/>
    </xf>
    <xf numFmtId="0" fontId="32" fillId="0" borderId="1" xfId="24" applyFont="1" applyBorder="1" applyAlignment="1">
      <alignment horizontal="center" vertical="center" wrapText="1"/>
    </xf>
    <xf numFmtId="49" fontId="26" fillId="0" borderId="1" xfId="8" quotePrefix="1" applyNumberFormat="1" applyFont="1" applyBorder="1" applyAlignment="1">
      <alignment horizontal="center" vertical="center" wrapText="1"/>
    </xf>
    <xf numFmtId="0" fontId="26" fillId="13" borderId="1" xfId="0" quotePrefix="1" applyFont="1" applyFill="1" applyBorder="1" applyAlignment="1">
      <alignment horizontal="center" vertical="center" wrapText="1"/>
    </xf>
    <xf numFmtId="15" fontId="30" fillId="13" borderId="1" xfId="24" applyNumberFormat="1" applyFont="1" applyFill="1" applyBorder="1" applyAlignment="1">
      <alignment horizontal="center" vertical="center" wrapText="1"/>
    </xf>
    <xf numFmtId="0" fontId="26" fillId="0" borderId="15" xfId="24" applyFont="1" applyBorder="1" applyAlignment="1">
      <alignment horizontal="left" vertical="center" wrapText="1"/>
    </xf>
    <xf numFmtId="0" fontId="26" fillId="0" borderId="1" xfId="24" applyFont="1" applyBorder="1" applyAlignment="1">
      <alignment horizontal="center" vertical="center" wrapText="1"/>
    </xf>
    <xf numFmtId="14" fontId="32" fillId="0" borderId="1" xfId="8" applyNumberFormat="1" applyFont="1" applyBorder="1" applyAlignment="1">
      <alignment horizontal="center" vertical="center" wrapText="1"/>
    </xf>
    <xf numFmtId="0" fontId="30" fillId="13" borderId="1" xfId="24" applyFont="1" applyFill="1" applyBorder="1" applyAlignment="1">
      <alignment horizontal="center" vertical="center" wrapText="1"/>
    </xf>
    <xf numFmtId="0" fontId="30" fillId="13" borderId="27" xfId="24" applyFont="1" applyFill="1" applyBorder="1" applyAlignment="1">
      <alignment horizontal="left" vertical="center" wrapText="1"/>
    </xf>
    <xf numFmtId="0" fontId="26" fillId="13" borderId="16" xfId="8" applyFont="1" applyFill="1" applyBorder="1" applyAlignment="1">
      <alignment horizontal="center" vertical="center" wrapText="1"/>
    </xf>
    <xf numFmtId="0" fontId="32" fillId="13" borderId="6" xfId="24" quotePrefix="1" applyFont="1" applyFill="1" applyBorder="1" applyAlignment="1">
      <alignment horizontal="left" vertical="center" wrapText="1"/>
    </xf>
    <xf numFmtId="0" fontId="30" fillId="13" borderId="1" xfId="8" applyFont="1" applyFill="1" applyBorder="1" applyAlignment="1">
      <alignment horizontal="center" vertical="center" wrapText="1"/>
    </xf>
    <xf numFmtId="0" fontId="26" fillId="13" borderId="1" xfId="8" applyFont="1" applyFill="1" applyBorder="1" applyAlignment="1">
      <alignment horizontal="center" vertical="center" wrapText="1"/>
    </xf>
    <xf numFmtId="0" fontId="30" fillId="13" borderId="1" xfId="24" applyFont="1" applyFill="1" applyBorder="1" applyAlignment="1">
      <alignment horizontal="left" vertical="center" wrapText="1"/>
    </xf>
    <xf numFmtId="0" fontId="26" fillId="0" borderId="1" xfId="13" quotePrefix="1" applyFont="1" applyBorder="1" applyAlignment="1">
      <alignment horizontal="left" vertical="center" wrapText="1"/>
    </xf>
    <xf numFmtId="0" fontId="30" fillId="0" borderId="1" xfId="13" quotePrefix="1" applyFont="1" applyBorder="1" applyAlignment="1">
      <alignment horizontal="left" vertical="center" wrapText="1"/>
    </xf>
    <xf numFmtId="0" fontId="26" fillId="13" borderId="1" xfId="13" applyFont="1" applyFill="1" applyBorder="1" applyAlignment="1">
      <alignment horizontal="left" vertical="center" wrapText="1"/>
    </xf>
    <xf numFmtId="0" fontId="26" fillId="0" borderId="1" xfId="8" applyFont="1" applyBorder="1" applyAlignment="1">
      <alignment horizontal="center" vertical="center"/>
    </xf>
    <xf numFmtId="49" fontId="26" fillId="0" borderId="1" xfId="24" applyNumberFormat="1" applyFont="1" applyBorder="1" applyAlignment="1">
      <alignment horizontal="center" vertical="center" wrapText="1"/>
    </xf>
    <xf numFmtId="49" fontId="26" fillId="0" borderId="1" xfId="24" quotePrefix="1" applyNumberFormat="1" applyFont="1" applyBorder="1" applyAlignment="1">
      <alignment horizontal="center" vertical="center" wrapText="1"/>
    </xf>
    <xf numFmtId="49" fontId="26" fillId="0" borderId="1" xfId="8" applyNumberFormat="1" applyFont="1" applyBorder="1" applyAlignment="1">
      <alignment horizontal="center" vertical="center" wrapText="1"/>
    </xf>
    <xf numFmtId="0" fontId="32" fillId="0" borderId="15" xfId="24" applyFont="1" applyBorder="1" applyAlignment="1">
      <alignment horizontal="left" vertical="center" wrapText="1"/>
    </xf>
    <xf numFmtId="0" fontId="32" fillId="0" borderId="6" xfId="24" applyFont="1" applyBorder="1" applyAlignment="1">
      <alignment horizontal="left" vertical="center" wrapText="1"/>
    </xf>
    <xf numFmtId="0" fontId="32" fillId="0" borderId="16" xfId="24" applyFont="1" applyBorder="1" applyAlignment="1">
      <alignment horizontal="center" vertical="center" wrapText="1"/>
    </xf>
    <xf numFmtId="0" fontId="32" fillId="0" borderId="16" xfId="8" applyFont="1" applyBorder="1" applyAlignment="1">
      <alignment horizontal="center" vertical="center" wrapText="1"/>
    </xf>
    <xf numFmtId="15" fontId="26" fillId="13" borderId="1" xfId="24" applyNumberFormat="1" applyFont="1" applyFill="1" applyBorder="1" applyAlignment="1">
      <alignment horizontal="left" vertical="center" wrapText="1"/>
    </xf>
    <xf numFmtId="0" fontId="26" fillId="13" borderId="1" xfId="24" applyFont="1" applyFill="1" applyBorder="1" applyAlignment="1">
      <alignment horizontal="left" vertical="center" wrapText="1"/>
    </xf>
    <xf numFmtId="0" fontId="26" fillId="13" borderId="6" xfId="8" applyFont="1" applyFill="1" applyBorder="1" applyAlignment="1">
      <alignment horizontal="left" vertical="center" wrapText="1"/>
    </xf>
    <xf numFmtId="0" fontId="30" fillId="13" borderId="6" xfId="8" applyFont="1" applyFill="1" applyBorder="1" applyAlignment="1">
      <alignment horizontal="left" vertical="center" wrapText="1"/>
    </xf>
    <xf numFmtId="0" fontId="26" fillId="13" borderId="1" xfId="8" applyFont="1" applyFill="1" applyBorder="1" applyAlignment="1">
      <alignment horizontal="center" vertical="center"/>
    </xf>
    <xf numFmtId="0" fontId="30" fillId="13" borderId="6" xfId="6" applyFont="1" applyFill="1" applyBorder="1" applyAlignment="1">
      <alignment horizontal="left" vertical="center" wrapText="1"/>
    </xf>
    <xf numFmtId="0" fontId="26" fillId="13" borderId="15" xfId="24" applyFont="1" applyFill="1" applyBorder="1" applyAlignment="1">
      <alignment horizontal="left" vertical="center" wrapText="1"/>
    </xf>
    <xf numFmtId="0" fontId="26" fillId="0" borderId="17" xfId="0" applyFont="1" applyBorder="1" applyAlignment="1">
      <alignment horizontal="justify" vertical="center" wrapText="1"/>
    </xf>
    <xf numFmtId="0" fontId="54" fillId="0" borderId="0" xfId="39" applyFont="1"/>
    <xf numFmtId="0" fontId="5" fillId="0" borderId="0" xfId="39"/>
    <xf numFmtId="0" fontId="31" fillId="0" borderId="0" xfId="39" applyFont="1"/>
    <xf numFmtId="0" fontId="31" fillId="0" borderId="0" xfId="39" applyFont="1" applyAlignment="1">
      <alignment wrapText="1"/>
    </xf>
    <xf numFmtId="0" fontId="31" fillId="0" borderId="38" xfId="39" applyFont="1" applyBorder="1" applyAlignment="1">
      <alignment horizontal="left" wrapText="1"/>
    </xf>
    <xf numFmtId="0" fontId="31" fillId="0" borderId="0" xfId="39" applyFont="1" applyAlignment="1">
      <alignment horizontal="left" wrapText="1"/>
    </xf>
    <xf numFmtId="0" fontId="31" fillId="0" borderId="31" xfId="39" applyFont="1" applyBorder="1" applyAlignment="1">
      <alignment horizontal="left" wrapText="1"/>
    </xf>
    <xf numFmtId="0" fontId="31" fillId="0" borderId="38" xfId="39" applyFont="1" applyBorder="1"/>
    <xf numFmtId="0" fontId="5" fillId="0" borderId="31" xfId="39" applyBorder="1"/>
    <xf numFmtId="0" fontId="5" fillId="0" borderId="38" xfId="39" applyBorder="1"/>
    <xf numFmtId="0" fontId="50" fillId="0" borderId="38" xfId="39" applyFont="1" applyBorder="1"/>
    <xf numFmtId="0" fontId="41" fillId="21" borderId="38" xfId="39" applyFont="1" applyFill="1" applyBorder="1" applyAlignment="1">
      <alignment vertical="top" wrapText="1"/>
    </xf>
    <xf numFmtId="0" fontId="41" fillId="22" borderId="38" xfId="39" applyFont="1" applyFill="1" applyBorder="1" applyAlignment="1">
      <alignment vertical="top" wrapText="1"/>
    </xf>
    <xf numFmtId="0" fontId="41" fillId="0" borderId="39" xfId="39" applyFont="1" applyBorder="1"/>
    <xf numFmtId="0" fontId="5" fillId="0" borderId="32" xfId="39" applyBorder="1"/>
    <xf numFmtId="0" fontId="5" fillId="0" borderId="33" xfId="39" applyBorder="1"/>
    <xf numFmtId="0" fontId="5" fillId="0" borderId="39" xfId="39" applyBorder="1"/>
    <xf numFmtId="0" fontId="5" fillId="0" borderId="0" xfId="39" applyAlignment="1">
      <alignment vertical="center"/>
    </xf>
    <xf numFmtId="0" fontId="51" fillId="0" borderId="0" xfId="39" applyFont="1"/>
    <xf numFmtId="0" fontId="52" fillId="0" borderId="51" xfId="39" applyFont="1" applyBorder="1" applyAlignment="1">
      <alignment vertical="center"/>
    </xf>
    <xf numFmtId="0" fontId="52" fillId="0" borderId="0" xfId="39" applyFont="1"/>
    <xf numFmtId="0" fontId="63" fillId="21" borderId="52" xfId="39" applyFont="1" applyFill="1" applyBorder="1" applyAlignment="1">
      <alignment horizontal="center" vertical="center" wrapText="1"/>
    </xf>
    <xf numFmtId="0" fontId="63" fillId="22" borderId="52" xfId="39" applyFont="1" applyFill="1" applyBorder="1" applyAlignment="1">
      <alignment horizontal="center" vertical="center" wrapText="1"/>
    </xf>
    <xf numFmtId="0" fontId="63" fillId="22" borderId="53" xfId="39" applyFont="1" applyFill="1" applyBorder="1" applyAlignment="1">
      <alignment horizontal="center" vertical="center" wrapText="1"/>
    </xf>
    <xf numFmtId="0" fontId="63" fillId="22" borderId="54" xfId="39" applyFont="1" applyFill="1" applyBorder="1" applyAlignment="1">
      <alignment horizontal="center" vertical="center" wrapText="1"/>
    </xf>
    <xf numFmtId="0" fontId="63" fillId="22" borderId="53" xfId="39" quotePrefix="1" applyFont="1" applyFill="1" applyBorder="1" applyAlignment="1">
      <alignment horizontal="center" vertical="center" wrapText="1"/>
    </xf>
    <xf numFmtId="49" fontId="53" fillId="0" borderId="28" xfId="39" applyNumberFormat="1" applyFont="1" applyBorder="1" applyAlignment="1">
      <alignment horizontal="center" vertical="center"/>
    </xf>
    <xf numFmtId="0" fontId="64" fillId="0" borderId="28" xfId="39" quotePrefix="1" applyFont="1" applyBorder="1" applyAlignment="1">
      <alignment horizontal="center" vertical="center"/>
    </xf>
    <xf numFmtId="49" fontId="53" fillId="0" borderId="28" xfId="39" quotePrefix="1" applyNumberFormat="1" applyFont="1" applyBorder="1" applyAlignment="1">
      <alignment horizontal="center" vertical="center"/>
    </xf>
    <xf numFmtId="49" fontId="53" fillId="0" borderId="55" xfId="39" quotePrefix="1" applyNumberFormat="1" applyFont="1" applyBorder="1" applyAlignment="1">
      <alignment horizontal="center" vertical="center"/>
    </xf>
    <xf numFmtId="49" fontId="53" fillId="0" borderId="0" xfId="39" applyNumberFormat="1" applyFont="1" applyAlignment="1">
      <alignment horizontal="center" vertical="center"/>
    </xf>
    <xf numFmtId="0" fontId="64" fillId="0" borderId="0" xfId="39" quotePrefix="1" applyFont="1" applyAlignment="1">
      <alignment horizontal="center" vertical="center"/>
    </xf>
    <xf numFmtId="49" fontId="53" fillId="0" borderId="0" xfId="39" quotePrefix="1" applyNumberFormat="1" applyFont="1" applyAlignment="1">
      <alignment horizontal="center" vertical="center"/>
    </xf>
    <xf numFmtId="0" fontId="63" fillId="21" borderId="28" xfId="39" applyFont="1" applyFill="1" applyBorder="1" applyAlignment="1">
      <alignment horizontal="center" vertical="center" wrapText="1"/>
    </xf>
    <xf numFmtId="0" fontId="63" fillId="22" borderId="28" xfId="39" applyFont="1" applyFill="1" applyBorder="1" applyAlignment="1">
      <alignment horizontal="center" vertical="center" wrapText="1"/>
    </xf>
    <xf numFmtId="0" fontId="63" fillId="21" borderId="28" xfId="39" quotePrefix="1" applyFont="1" applyFill="1" applyBorder="1" applyAlignment="1">
      <alignment horizontal="center" vertical="center" wrapText="1"/>
    </xf>
    <xf numFmtId="0" fontId="26" fillId="0" borderId="28" xfId="39" applyFont="1" applyBorder="1" applyAlignment="1">
      <alignment horizontal="center"/>
    </xf>
    <xf numFmtId="0" fontId="66" fillId="0" borderId="28" xfId="39" quotePrefix="1" applyFont="1" applyBorder="1" applyAlignment="1">
      <alignment horizontal="center"/>
    </xf>
    <xf numFmtId="49" fontId="26" fillId="0" borderId="28" xfId="39" quotePrefix="1" applyNumberFormat="1" applyFont="1" applyBorder="1" applyAlignment="1">
      <alignment horizontal="center"/>
    </xf>
    <xf numFmtId="49" fontId="64" fillId="0" borderId="0" xfId="39" quotePrefix="1" applyNumberFormat="1" applyFont="1" applyAlignment="1">
      <alignment horizontal="center" vertical="center" wrapText="1"/>
    </xf>
    <xf numFmtId="0" fontId="52" fillId="0" borderId="28" xfId="39" applyFont="1" applyBorder="1" applyAlignment="1">
      <alignment horizontal="center" vertical="center" wrapText="1"/>
    </xf>
    <xf numFmtId="49" fontId="64" fillId="0" borderId="28" xfId="39" quotePrefix="1" applyNumberFormat="1" applyFont="1" applyBorder="1" applyAlignment="1">
      <alignment horizontal="center" vertical="center" wrapText="1"/>
    </xf>
    <xf numFmtId="0" fontId="52" fillId="0" borderId="28" xfId="39" quotePrefix="1" applyFont="1" applyBorder="1" applyAlignment="1">
      <alignment horizontal="center" vertical="center" wrapText="1"/>
    </xf>
    <xf numFmtId="0" fontId="64" fillId="0" borderId="28" xfId="39" quotePrefix="1" applyFont="1" applyBorder="1" applyAlignment="1">
      <alignment horizontal="center" vertical="center" wrapText="1"/>
    </xf>
    <xf numFmtId="49" fontId="52" fillId="0" borderId="28" xfId="39" quotePrefix="1" applyNumberFormat="1" applyFont="1" applyBorder="1" applyAlignment="1">
      <alignment horizontal="center" vertical="center" wrapText="1"/>
    </xf>
    <xf numFmtId="0" fontId="52" fillId="0" borderId="28" xfId="39" applyFont="1" applyBorder="1" applyAlignment="1">
      <alignment horizontal="center" vertical="center"/>
    </xf>
    <xf numFmtId="0" fontId="64" fillId="0" borderId="0" xfId="39" applyFont="1" applyAlignment="1">
      <alignment horizontal="center" vertical="center" wrapText="1"/>
    </xf>
    <xf numFmtId="49" fontId="53" fillId="0" borderId="0" xfId="39" quotePrefix="1" applyNumberFormat="1" applyFont="1" applyAlignment="1">
      <alignment horizontal="center" vertical="top" wrapText="1"/>
    </xf>
    <xf numFmtId="0" fontId="53" fillId="0" borderId="0" xfId="39" applyFont="1" applyAlignment="1">
      <alignment horizontal="center" vertical="center"/>
    </xf>
    <xf numFmtId="0" fontId="53" fillId="0" borderId="0" xfId="39" quotePrefix="1" applyFont="1" applyAlignment="1">
      <alignment horizontal="center" vertical="top"/>
    </xf>
    <xf numFmtId="0" fontId="52" fillId="0" borderId="0" xfId="39" applyFont="1" applyAlignment="1">
      <alignment horizontal="center" vertical="center"/>
    </xf>
    <xf numFmtId="0" fontId="52" fillId="0" borderId="1" xfId="39" applyFont="1" applyBorder="1" applyAlignment="1">
      <alignment vertical="top"/>
    </xf>
    <xf numFmtId="0" fontId="53" fillId="0" borderId="1" xfId="40" applyFont="1" applyBorder="1" applyAlignment="1">
      <alignment vertical="center" wrapText="1"/>
    </xf>
    <xf numFmtId="0" fontId="52" fillId="0" borderId="1" xfId="39" applyFont="1" applyBorder="1" applyAlignment="1">
      <alignment horizontal="center" vertical="center"/>
    </xf>
    <xf numFmtId="0" fontId="52" fillId="0" borderId="1" xfId="39" applyFont="1" applyBorder="1" applyAlignment="1">
      <alignment vertical="center"/>
    </xf>
    <xf numFmtId="0" fontId="52" fillId="0" borderId="1" xfId="40" applyFont="1" applyBorder="1" applyAlignment="1">
      <alignment vertical="center" wrapText="1"/>
    </xf>
    <xf numFmtId="0" fontId="53" fillId="0" borderId="1" xfId="39" applyFont="1" applyBorder="1" applyAlignment="1">
      <alignment horizontal="center" vertical="center"/>
    </xf>
    <xf numFmtId="0" fontId="53" fillId="0" borderId="0" xfId="39" applyFont="1" applyAlignment="1">
      <alignment horizontal="center"/>
    </xf>
    <xf numFmtId="49" fontId="53" fillId="0" borderId="0" xfId="39" applyNumberFormat="1" applyFont="1" applyAlignment="1">
      <alignment horizontal="center"/>
    </xf>
    <xf numFmtId="0" fontId="63" fillId="21" borderId="0" xfId="39" applyFont="1" applyFill="1" applyAlignment="1">
      <alignment vertical="top" wrapText="1"/>
    </xf>
    <xf numFmtId="0" fontId="63" fillId="22" borderId="0" xfId="39" applyFont="1" applyFill="1" applyAlignment="1">
      <alignment vertical="top" wrapText="1"/>
    </xf>
    <xf numFmtId="49" fontId="53" fillId="0" borderId="1" xfId="40" applyNumberFormat="1" applyFont="1" applyBorder="1" applyAlignment="1">
      <alignment horizontal="center" vertical="center"/>
    </xf>
    <xf numFmtId="0" fontId="53" fillId="0" borderId="1" xfId="40" applyFont="1" applyBorder="1" applyAlignment="1">
      <alignment horizontal="center" vertical="center"/>
    </xf>
    <xf numFmtId="0" fontId="52" fillId="0" borderId="28" xfId="39" applyFont="1" applyBorder="1" applyAlignment="1">
      <alignment horizontal="center" vertical="top"/>
    </xf>
    <xf numFmtId="0" fontId="5" fillId="0" borderId="0" xfId="39" applyAlignment="1">
      <alignment vertical="top"/>
    </xf>
    <xf numFmtId="0" fontId="53" fillId="0" borderId="28" xfId="39" applyFont="1" applyBorder="1" applyAlignment="1">
      <alignment horizontal="center" vertical="top"/>
    </xf>
    <xf numFmtId="0" fontId="5" fillId="0" borderId="0" xfId="39" applyAlignment="1">
      <alignment horizontal="center" vertical="top"/>
    </xf>
    <xf numFmtId="0" fontId="51" fillId="0" borderId="0" xfId="39" applyFont="1" applyAlignment="1">
      <alignment horizontal="left" vertical="center"/>
    </xf>
    <xf numFmtId="0" fontId="53" fillId="0" borderId="0" xfId="39" applyFont="1" applyAlignment="1">
      <alignment horizontal="center" vertical="top"/>
    </xf>
    <xf numFmtId="0" fontId="26" fillId="0" borderId="0" xfId="39" applyFont="1" applyAlignment="1">
      <alignment vertical="top"/>
    </xf>
    <xf numFmtId="0" fontId="41" fillId="21" borderId="0" xfId="39" applyFont="1" applyFill="1" applyAlignment="1">
      <alignment vertical="top" wrapText="1"/>
    </xf>
    <xf numFmtId="0" fontId="41" fillId="22" borderId="0" xfId="39" applyFont="1" applyFill="1" applyAlignment="1">
      <alignment vertical="top" wrapText="1"/>
    </xf>
    <xf numFmtId="0" fontId="53" fillId="0" borderId="1" xfId="40" quotePrefix="1" applyFont="1" applyBorder="1" applyAlignment="1">
      <alignment horizontal="center" vertical="center"/>
    </xf>
    <xf numFmtId="0" fontId="53" fillId="0" borderId="1" xfId="40" quotePrefix="1" applyFont="1" applyBorder="1" applyAlignment="1">
      <alignment horizontal="center" vertical="center" wrapText="1"/>
    </xf>
    <xf numFmtId="49" fontId="53" fillId="0" borderId="1" xfId="40" quotePrefix="1" applyNumberFormat="1" applyFont="1" applyBorder="1" applyAlignment="1">
      <alignment horizontal="center" vertical="center" wrapText="1"/>
    </xf>
    <xf numFmtId="49" fontId="53" fillId="0" borderId="1" xfId="40" quotePrefix="1" applyNumberFormat="1" applyFont="1" applyBorder="1" applyAlignment="1">
      <alignment horizontal="center" vertical="center"/>
    </xf>
    <xf numFmtId="0" fontId="52" fillId="0" borderId="1" xfId="40" quotePrefix="1" applyFont="1" applyBorder="1" applyAlignment="1">
      <alignment horizontal="center" vertical="center"/>
    </xf>
    <xf numFmtId="49" fontId="52" fillId="0" borderId="1" xfId="40" applyNumberFormat="1" applyFont="1" applyBorder="1" applyAlignment="1">
      <alignment horizontal="center" vertical="center"/>
    </xf>
    <xf numFmtId="0" fontId="52" fillId="0" borderId="1" xfId="40" applyFont="1" applyBorder="1" applyAlignment="1">
      <alignment horizontal="center" vertical="center"/>
    </xf>
    <xf numFmtId="49" fontId="52" fillId="0" borderId="1" xfId="40" quotePrefix="1" applyNumberFormat="1" applyFont="1" applyBorder="1" applyAlignment="1">
      <alignment horizontal="center" vertical="center"/>
    </xf>
    <xf numFmtId="0" fontId="52" fillId="0" borderId="1" xfId="40" quotePrefix="1" applyFont="1" applyBorder="1" applyAlignment="1">
      <alignment horizontal="center" vertical="center" wrapText="1"/>
    </xf>
    <xf numFmtId="49" fontId="52" fillId="0" borderId="1" xfId="40" quotePrefix="1" applyNumberFormat="1" applyFont="1" applyBorder="1" applyAlignment="1">
      <alignment horizontal="center" vertical="center" wrapText="1"/>
    </xf>
    <xf numFmtId="49" fontId="56" fillId="0" borderId="1" xfId="40" quotePrefix="1" applyNumberFormat="1" applyFont="1" applyBorder="1" applyAlignment="1">
      <alignment horizontal="center" vertical="center" wrapText="1"/>
    </xf>
    <xf numFmtId="0" fontId="0" fillId="0" borderId="28" xfId="39" quotePrefix="1" applyFont="1" applyBorder="1" applyAlignment="1">
      <alignment horizontal="center" vertical="center"/>
    </xf>
    <xf numFmtId="49" fontId="0" fillId="0" borderId="28" xfId="39" quotePrefix="1" applyNumberFormat="1" applyFont="1" applyBorder="1" applyAlignment="1">
      <alignment horizontal="left" vertical="top" wrapText="1"/>
    </xf>
    <xf numFmtId="0" fontId="0" fillId="0" borderId="0" xfId="39" quotePrefix="1" applyFont="1" applyAlignment="1">
      <alignment horizontal="center" vertical="center"/>
    </xf>
    <xf numFmtId="49" fontId="0" fillId="0" borderId="0" xfId="39" quotePrefix="1" applyNumberFormat="1" applyFont="1" applyAlignment="1">
      <alignment horizontal="left" vertical="top" wrapText="1"/>
    </xf>
    <xf numFmtId="0" fontId="5" fillId="0" borderId="28" xfId="39" quotePrefix="1" applyBorder="1" applyAlignment="1">
      <alignment horizontal="center" vertical="top"/>
    </xf>
    <xf numFmtId="49" fontId="0" fillId="0" borderId="28" xfId="39" quotePrefix="1" applyNumberFormat="1" applyFont="1" applyBorder="1" applyAlignment="1">
      <alignment horizontal="center" vertical="top" wrapText="1"/>
    </xf>
    <xf numFmtId="49" fontId="5" fillId="0" borderId="28" xfId="39" quotePrefix="1" applyNumberFormat="1" applyBorder="1" applyAlignment="1">
      <alignment horizontal="center" vertical="top" wrapText="1"/>
    </xf>
    <xf numFmtId="0" fontId="41" fillId="22" borderId="0" xfId="39" quotePrefix="1" applyFont="1" applyFill="1" applyAlignment="1">
      <alignment vertical="top" wrapText="1"/>
    </xf>
    <xf numFmtId="0" fontId="5" fillId="0" borderId="0" xfId="39" quotePrefix="1" applyAlignment="1">
      <alignment horizontal="center" vertical="top"/>
    </xf>
    <xf numFmtId="49" fontId="5" fillId="0" borderId="0" xfId="39" quotePrefix="1" applyNumberFormat="1" applyAlignment="1">
      <alignment horizontal="center" vertical="top" wrapText="1"/>
    </xf>
    <xf numFmtId="0" fontId="5" fillId="0" borderId="28" xfId="39" applyBorder="1" applyAlignment="1">
      <alignment horizontal="center"/>
    </xf>
    <xf numFmtId="0" fontId="5" fillId="0" borderId="28" xfId="39" quotePrefix="1" applyBorder="1" applyAlignment="1">
      <alignment horizontal="center"/>
    </xf>
    <xf numFmtId="49" fontId="5" fillId="0" borderId="28" xfId="39" applyNumberFormat="1" applyBorder="1" applyAlignment="1">
      <alignment horizontal="center"/>
    </xf>
    <xf numFmtId="0" fontId="5" fillId="0" borderId="28" xfId="39" applyBorder="1" applyAlignment="1">
      <alignment horizontal="center" wrapText="1"/>
    </xf>
    <xf numFmtId="0" fontId="52" fillId="0" borderId="1" xfId="39" applyFont="1" applyBorder="1" applyAlignment="1">
      <alignment vertical="center" wrapText="1"/>
    </xf>
    <xf numFmtId="0" fontId="53" fillId="0" borderId="1" xfId="39" applyFont="1" applyBorder="1" applyAlignment="1">
      <alignment vertical="center" wrapText="1"/>
    </xf>
    <xf numFmtId="0" fontId="53" fillId="0" borderId="1" xfId="39" applyFont="1" applyBorder="1" applyAlignment="1">
      <alignment vertical="center"/>
    </xf>
    <xf numFmtId="0" fontId="52" fillId="0" borderId="1" xfId="40" quotePrefix="1" applyFont="1" applyBorder="1" applyAlignment="1">
      <alignment horizontal="center" vertical="top"/>
    </xf>
    <xf numFmtId="49" fontId="52" fillId="0" borderId="1" xfId="40" quotePrefix="1" applyNumberFormat="1" applyFont="1" applyBorder="1" applyAlignment="1">
      <alignment horizontal="center" vertical="top"/>
    </xf>
    <xf numFmtId="0" fontId="52" fillId="0" borderId="1" xfId="40" quotePrefix="1" applyFont="1" applyBorder="1" applyAlignment="1">
      <alignment horizontal="center" vertical="top" wrapText="1"/>
    </xf>
    <xf numFmtId="0" fontId="52" fillId="0" borderId="1" xfId="40" applyFont="1" applyBorder="1" applyAlignment="1">
      <alignment horizontal="center" vertical="top" wrapText="1"/>
    </xf>
    <xf numFmtId="0" fontId="61" fillId="0" borderId="1" xfId="40" applyFont="1" applyBorder="1" applyAlignment="1">
      <alignment horizontal="center" vertical="top" wrapText="1"/>
    </xf>
    <xf numFmtId="49" fontId="52" fillId="0" borderId="1" xfId="39" applyNumberFormat="1" applyFont="1" applyBorder="1" applyAlignment="1">
      <alignment horizontal="center" vertical="center" wrapText="1"/>
    </xf>
    <xf numFmtId="49" fontId="53" fillId="0" borderId="1" xfId="39" applyNumberFormat="1" applyFont="1" applyBorder="1" applyAlignment="1">
      <alignment horizontal="center" vertical="center" wrapText="1"/>
    </xf>
    <xf numFmtId="49" fontId="52" fillId="0" borderId="1" xfId="39" applyNumberFormat="1" applyFont="1" applyBorder="1" applyAlignment="1">
      <alignment horizontal="center" vertical="center"/>
    </xf>
    <xf numFmtId="0" fontId="61" fillId="0" borderId="1" xfId="39" applyFont="1" applyBorder="1" applyAlignment="1">
      <alignment horizontal="center" vertical="center"/>
    </xf>
    <xf numFmtId="0" fontId="26" fillId="13" borderId="1" xfId="0" applyFont="1" applyFill="1" applyBorder="1" applyAlignment="1" applyProtection="1">
      <alignment horizontal="left" vertical="center" wrapText="1"/>
      <protection locked="0"/>
    </xf>
    <xf numFmtId="0" fontId="26" fillId="4" borderId="12" xfId="8" applyFont="1" applyFill="1" applyBorder="1" applyAlignment="1">
      <alignment horizontal="center" vertical="center" wrapText="1"/>
    </xf>
    <xf numFmtId="0" fontId="26" fillId="4" borderId="17" xfId="8" applyFont="1" applyFill="1" applyBorder="1" applyAlignment="1">
      <alignment horizontal="center" vertical="center" wrapText="1"/>
    </xf>
    <xf numFmtId="0" fontId="26" fillId="4" borderId="17" xfId="8" applyFont="1" applyFill="1" applyBorder="1" applyAlignment="1">
      <alignment horizontal="left" vertical="center" wrapText="1"/>
    </xf>
    <xf numFmtId="0" fontId="26" fillId="4" borderId="17" xfId="8" applyFont="1" applyFill="1" applyBorder="1" applyAlignment="1">
      <alignment horizontal="center" vertical="center"/>
    </xf>
    <xf numFmtId="49" fontId="26" fillId="4" borderId="17" xfId="24" applyNumberFormat="1" applyFont="1" applyFill="1" applyBorder="1" applyAlignment="1">
      <alignment horizontal="center" vertical="center" wrapText="1"/>
    </xf>
    <xf numFmtId="49" fontId="26" fillId="4" borderId="17" xfId="8" applyNumberFormat="1" applyFont="1" applyFill="1" applyBorder="1" applyAlignment="1">
      <alignment horizontal="center" vertical="center" wrapText="1"/>
    </xf>
    <xf numFmtId="49" fontId="26" fillId="4" borderId="17" xfId="8" quotePrefix="1" applyNumberFormat="1" applyFont="1" applyFill="1" applyBorder="1" applyAlignment="1">
      <alignment horizontal="center" vertical="center" wrapText="1"/>
    </xf>
    <xf numFmtId="0" fontId="26" fillId="4" borderId="18" xfId="8" applyFont="1" applyFill="1" applyBorder="1" applyAlignment="1">
      <alignment horizontal="center" vertical="center" wrapText="1"/>
    </xf>
    <xf numFmtId="0" fontId="26" fillId="4" borderId="12" xfId="8" applyFont="1" applyFill="1" applyBorder="1" applyAlignment="1">
      <alignment horizontal="left" vertical="center"/>
    </xf>
    <xf numFmtId="0" fontId="26" fillId="4" borderId="19" xfId="8" applyFont="1" applyFill="1" applyBorder="1" applyAlignment="1">
      <alignment horizontal="left" vertical="center"/>
    </xf>
    <xf numFmtId="0" fontId="26" fillId="4" borderId="18" xfId="8" applyFont="1" applyFill="1" applyBorder="1" applyAlignment="1">
      <alignment horizontal="center" vertical="center"/>
    </xf>
    <xf numFmtId="0" fontId="26" fillId="4" borderId="19" xfId="8" applyFont="1" applyFill="1" applyBorder="1" applyAlignment="1">
      <alignment horizontal="left" vertical="center" wrapText="1"/>
    </xf>
    <xf numFmtId="0" fontId="26" fillId="4" borderId="12" xfId="24" applyFont="1" applyFill="1" applyBorder="1" applyAlignment="1">
      <alignment horizontal="center" vertical="center" wrapText="1"/>
    </xf>
    <xf numFmtId="0" fontId="26" fillId="4" borderId="17" xfId="24" applyFont="1" applyFill="1" applyBorder="1" applyAlignment="1">
      <alignment horizontal="center" vertical="center"/>
    </xf>
    <xf numFmtId="15" fontId="26" fillId="4" borderId="17" xfId="24" applyNumberFormat="1" applyFont="1" applyFill="1" applyBorder="1" applyAlignment="1">
      <alignment horizontal="left" vertical="center" wrapText="1"/>
    </xf>
    <xf numFmtId="15" fontId="26" fillId="4" borderId="17" xfId="24" applyNumberFormat="1" applyFont="1" applyFill="1" applyBorder="1" applyAlignment="1">
      <alignment horizontal="center" vertical="center" wrapText="1"/>
    </xf>
    <xf numFmtId="0" fontId="26" fillId="4" borderId="17" xfId="26" applyFont="1" applyFill="1" applyBorder="1" applyAlignment="1">
      <alignment horizontal="center" vertical="center" wrapText="1"/>
    </xf>
    <xf numFmtId="0" fontId="26" fillId="4" borderId="17" xfId="24" applyFont="1" applyFill="1" applyBorder="1" applyAlignment="1">
      <alignment horizontal="center" vertical="center" wrapText="1"/>
    </xf>
    <xf numFmtId="15" fontId="26" fillId="4" borderId="17" xfId="24" applyNumberFormat="1" applyFont="1" applyFill="1" applyBorder="1" applyAlignment="1">
      <alignment horizontal="center" vertical="center"/>
    </xf>
    <xf numFmtId="0" fontId="26" fillId="4" borderId="18" xfId="24" applyFont="1" applyFill="1" applyBorder="1" applyAlignment="1">
      <alignment horizontal="center" vertical="center" wrapText="1"/>
    </xf>
    <xf numFmtId="0" fontId="26" fillId="4" borderId="12" xfId="24" applyFont="1" applyFill="1" applyBorder="1" applyAlignment="1">
      <alignment horizontal="left" vertical="center" wrapText="1"/>
    </xf>
    <xf numFmtId="0" fontId="26" fillId="4" borderId="19" xfId="24" applyFont="1" applyFill="1" applyBorder="1" applyAlignment="1">
      <alignment horizontal="left" vertical="center" wrapText="1"/>
    </xf>
    <xf numFmtId="0" fontId="26" fillId="4" borderId="17" xfId="24" applyFont="1" applyFill="1" applyBorder="1" applyAlignment="1">
      <alignment horizontal="left" vertical="center" wrapText="1"/>
    </xf>
    <xf numFmtId="0" fontId="26" fillId="4" borderId="24" xfId="24" applyFont="1" applyFill="1" applyBorder="1" applyAlignment="1">
      <alignment horizontal="left" vertical="center" wrapText="1"/>
    </xf>
    <xf numFmtId="0" fontId="26" fillId="4" borderId="27" xfId="24" applyFont="1" applyFill="1" applyBorder="1" applyAlignment="1">
      <alignment horizontal="left" vertical="center" wrapText="1"/>
    </xf>
    <xf numFmtId="0" fontId="26" fillId="4" borderId="25" xfId="24" applyFont="1" applyFill="1" applyBorder="1" applyAlignment="1">
      <alignment horizontal="center" vertical="center" wrapText="1"/>
    </xf>
    <xf numFmtId="0" fontId="26" fillId="4" borderId="26" xfId="24" applyFont="1" applyFill="1" applyBorder="1" applyAlignment="1">
      <alignment horizontal="center" vertical="center" wrapText="1"/>
    </xf>
    <xf numFmtId="0" fontId="26" fillId="4" borderId="12" xfId="24" applyFont="1" applyFill="1" applyBorder="1" applyAlignment="1">
      <alignment horizontal="left" vertical="center"/>
    </xf>
    <xf numFmtId="0" fontId="26" fillId="4" borderId="17" xfId="24" applyFont="1" applyFill="1" applyBorder="1" applyAlignment="1">
      <alignment horizontal="left" vertical="center"/>
    </xf>
    <xf numFmtId="0" fontId="26" fillId="4" borderId="18" xfId="24" applyFont="1" applyFill="1" applyBorder="1" applyAlignment="1">
      <alignment horizontal="center" vertical="center"/>
    </xf>
    <xf numFmtId="0" fontId="26" fillId="4" borderId="19" xfId="24" applyFont="1" applyFill="1" applyBorder="1" applyAlignment="1">
      <alignment horizontal="left" vertical="center"/>
    </xf>
    <xf numFmtId="0" fontId="26" fillId="13" borderId="17" xfId="8" applyFont="1" applyFill="1" applyBorder="1" applyAlignment="1">
      <alignment horizontal="center" vertical="center" wrapText="1"/>
    </xf>
    <xf numFmtId="0" fontId="26" fillId="13" borderId="17" xfId="24" applyFont="1" applyFill="1" applyBorder="1" applyAlignment="1">
      <alignment horizontal="center" vertical="center" wrapText="1"/>
    </xf>
    <xf numFmtId="0" fontId="30" fillId="13" borderId="6" xfId="6" quotePrefix="1" applyFont="1" applyFill="1" applyBorder="1" applyAlignment="1">
      <alignment horizontal="left" vertical="center" wrapText="1"/>
    </xf>
    <xf numFmtId="0" fontId="26" fillId="13" borderId="15" xfId="0" applyFont="1" applyFill="1" applyBorder="1" applyAlignment="1" applyProtection="1">
      <alignment horizontal="left" vertical="center" wrapText="1"/>
      <protection locked="0"/>
    </xf>
    <xf numFmtId="0" fontId="30" fillId="13" borderId="1" xfId="0" applyFont="1" applyFill="1" applyBorder="1" applyAlignment="1" applyProtection="1">
      <alignment horizontal="left" vertical="center" wrapText="1"/>
      <protection locked="0"/>
    </xf>
    <xf numFmtId="0" fontId="26" fillId="2" borderId="1" xfId="0" applyFont="1" applyFill="1" applyBorder="1" applyAlignment="1">
      <alignment horizontal="left" vertical="top" wrapText="1"/>
    </xf>
    <xf numFmtId="0" fontId="0" fillId="2" borderId="25" xfId="0" applyFill="1" applyBorder="1" applyAlignment="1">
      <alignment horizontal="left" vertical="center" wrapText="1"/>
    </xf>
    <xf numFmtId="20" fontId="30" fillId="13" borderId="1" xfId="0" applyNumberFormat="1" applyFont="1" applyFill="1" applyBorder="1" applyAlignment="1">
      <alignment vertical="center" wrapText="1"/>
    </xf>
    <xf numFmtId="0" fontId="26" fillId="0" borderId="27" xfId="8" applyFont="1" applyBorder="1" applyAlignment="1">
      <alignment horizontal="left" vertical="center"/>
    </xf>
    <xf numFmtId="14" fontId="26" fillId="0" borderId="1" xfId="8" applyNumberFormat="1" applyFont="1" applyBorder="1" applyAlignment="1">
      <alignment horizontal="center" vertical="center" wrapText="1"/>
    </xf>
    <xf numFmtId="0" fontId="26" fillId="0" borderId="1" xfId="26" applyFont="1" applyBorder="1" applyAlignment="1">
      <alignment horizontal="center" vertical="center" wrapText="1"/>
    </xf>
    <xf numFmtId="0" fontId="26" fillId="0" borderId="5" xfId="24" applyFont="1" applyBorder="1" applyAlignment="1">
      <alignment horizontal="center" vertical="center" wrapText="1"/>
    </xf>
    <xf numFmtId="0" fontId="26" fillId="0" borderId="5" xfId="13" applyFont="1" applyBorder="1" applyAlignment="1">
      <alignment horizontal="center" vertical="center" wrapText="1"/>
    </xf>
    <xf numFmtId="0" fontId="26" fillId="24" borderId="1" xfId="0" applyFont="1" applyFill="1" applyBorder="1" applyAlignment="1">
      <alignment horizontal="center" vertical="center"/>
    </xf>
    <xf numFmtId="0" fontId="26" fillId="24" borderId="1" xfId="0" applyFont="1" applyFill="1" applyBorder="1" applyAlignment="1">
      <alignment horizontal="center" vertical="center" wrapText="1"/>
    </xf>
    <xf numFmtId="0" fontId="30" fillId="24" borderId="1" xfId="0" applyFont="1" applyFill="1" applyBorder="1" applyAlignment="1">
      <alignment horizontal="center" vertical="center" wrapText="1"/>
    </xf>
    <xf numFmtId="0" fontId="26" fillId="24" borderId="1" xfId="0" applyFont="1" applyFill="1" applyBorder="1" applyAlignment="1">
      <alignment vertical="center" wrapText="1"/>
    </xf>
    <xf numFmtId="0" fontId="30" fillId="24" borderId="1" xfId="0" applyFont="1" applyFill="1" applyBorder="1" applyAlignment="1">
      <alignment vertical="center" wrapText="1"/>
    </xf>
    <xf numFmtId="0" fontId="30" fillId="24" borderId="1" xfId="0" applyFont="1" applyFill="1" applyBorder="1" applyAlignment="1">
      <alignment horizontal="center" vertical="center"/>
    </xf>
    <xf numFmtId="14" fontId="26" fillId="24" borderId="1" xfId="0" quotePrefix="1" applyNumberFormat="1" applyFont="1" applyFill="1" applyBorder="1" applyAlignment="1">
      <alignment horizontal="center" vertical="center"/>
    </xf>
    <xf numFmtId="0" fontId="26" fillId="24" borderId="16" xfId="0" applyFont="1" applyFill="1" applyBorder="1" applyAlignment="1">
      <alignment horizontal="center" vertical="center"/>
    </xf>
    <xf numFmtId="0" fontId="26" fillId="15" borderId="15" xfId="0" applyFont="1" applyFill="1" applyBorder="1" applyAlignment="1">
      <alignment vertical="center" wrapText="1"/>
    </xf>
    <xf numFmtId="0" fontId="26" fillId="24" borderId="16" xfId="0" applyFont="1" applyFill="1" applyBorder="1" applyAlignment="1">
      <alignment vertical="center"/>
    </xf>
    <xf numFmtId="0" fontId="26" fillId="24" borderId="15" xfId="0" applyFont="1" applyFill="1" applyBorder="1" applyAlignment="1">
      <alignment vertical="center" wrapText="1"/>
    </xf>
    <xf numFmtId="0" fontId="26" fillId="15" borderId="15" xfId="0" applyFont="1" applyFill="1" applyBorder="1" applyAlignment="1">
      <alignment horizontal="left" vertical="center" wrapText="1"/>
    </xf>
    <xf numFmtId="0" fontId="30" fillId="15" borderId="1" xfId="0" applyFont="1" applyFill="1" applyBorder="1" applyAlignment="1">
      <alignment horizontal="left" vertical="center" wrapText="1"/>
    </xf>
    <xf numFmtId="0" fontId="26" fillId="15" borderId="1" xfId="0" applyFont="1" applyFill="1" applyBorder="1" applyAlignment="1">
      <alignment horizontal="center" vertical="center" wrapText="1"/>
    </xf>
    <xf numFmtId="0" fontId="26" fillId="15" borderId="16" xfId="0" applyFont="1" applyFill="1" applyBorder="1" applyAlignment="1">
      <alignment horizontal="left" vertical="center" wrapText="1"/>
    </xf>
    <xf numFmtId="0" fontId="26" fillId="15" borderId="15" xfId="0" applyFont="1" applyFill="1" applyBorder="1" applyAlignment="1">
      <alignment horizontal="center" vertical="center" wrapText="1"/>
    </xf>
    <xf numFmtId="0" fontId="30" fillId="15" borderId="1" xfId="0" applyFont="1" applyFill="1" applyBorder="1" applyAlignment="1">
      <alignment vertical="center" wrapText="1"/>
    </xf>
    <xf numFmtId="0" fontId="26" fillId="15" borderId="1" xfId="0" applyFont="1" applyFill="1" applyBorder="1" applyAlignment="1">
      <alignment horizontal="left" vertical="center" wrapText="1"/>
    </xf>
    <xf numFmtId="0" fontId="26" fillId="15" borderId="1" xfId="0" applyFont="1" applyFill="1" applyBorder="1" applyAlignment="1">
      <alignment vertical="center" wrapText="1"/>
    </xf>
    <xf numFmtId="0" fontId="30" fillId="15" borderId="1" xfId="0" applyFont="1" applyFill="1" applyBorder="1" applyAlignment="1">
      <alignment horizontal="center" vertical="center" wrapText="1"/>
    </xf>
    <xf numFmtId="0" fontId="30" fillId="15" borderId="1" xfId="0" quotePrefix="1" applyFont="1" applyFill="1" applyBorder="1" applyAlignment="1">
      <alignment horizontal="left" vertical="center" wrapText="1"/>
    </xf>
    <xf numFmtId="0" fontId="26" fillId="15" borderId="1" xfId="0" applyFont="1" applyFill="1" applyBorder="1" applyAlignment="1">
      <alignment horizontal="center" vertical="center"/>
    </xf>
    <xf numFmtId="0" fontId="26" fillId="15" borderId="1" xfId="0" applyFont="1" applyFill="1" applyBorder="1" applyAlignment="1">
      <alignment horizontal="center" vertical="center" wrapText="1" readingOrder="1"/>
    </xf>
    <xf numFmtId="0" fontId="30" fillId="15" borderId="1" xfId="0" applyFont="1" applyFill="1" applyBorder="1" applyAlignment="1">
      <alignment horizontal="center" vertical="center" wrapText="1" readingOrder="1"/>
    </xf>
    <xf numFmtId="0" fontId="26" fillId="15" borderId="1" xfId="0" quotePrefix="1" applyFont="1" applyFill="1" applyBorder="1" applyAlignment="1">
      <alignment horizontal="center" vertical="center" wrapText="1" readingOrder="1"/>
    </xf>
    <xf numFmtId="0" fontId="26" fillId="15" borderId="1" xfId="0" quotePrefix="1" applyFont="1" applyFill="1" applyBorder="1" applyAlignment="1">
      <alignment horizontal="center" vertical="center" wrapText="1"/>
    </xf>
    <xf numFmtId="0" fontId="26" fillId="15" borderId="16" xfId="0" applyFont="1" applyFill="1" applyBorder="1" applyAlignment="1">
      <alignment horizontal="center" vertical="center" wrapText="1"/>
    </xf>
    <xf numFmtId="0" fontId="26" fillId="15" borderId="15" xfId="0" applyFont="1" applyFill="1" applyBorder="1" applyAlignment="1">
      <alignment horizontal="center" vertical="center"/>
    </xf>
    <xf numFmtId="0" fontId="30" fillId="15" borderId="1" xfId="0" applyFont="1" applyFill="1" applyBorder="1" applyAlignment="1">
      <alignment horizontal="center" vertical="center"/>
    </xf>
    <xf numFmtId="0" fontId="26" fillId="15" borderId="16" xfId="0" applyFont="1" applyFill="1" applyBorder="1" applyAlignment="1">
      <alignment horizontal="center" vertical="center"/>
    </xf>
    <xf numFmtId="0" fontId="26" fillId="15" borderId="1" xfId="8" applyFont="1" applyFill="1" applyBorder="1" applyAlignment="1">
      <alignment horizontal="center" vertical="center" wrapText="1"/>
    </xf>
    <xf numFmtId="0" fontId="26" fillId="15" borderId="6" xfId="8" applyFont="1" applyFill="1" applyBorder="1" applyAlignment="1">
      <alignment horizontal="left" vertical="center" wrapText="1"/>
    </xf>
    <xf numFmtId="0" fontId="30" fillId="15" borderId="6" xfId="8" applyFont="1" applyFill="1" applyBorder="1" applyAlignment="1">
      <alignment horizontal="left" vertical="center" wrapText="1"/>
    </xf>
    <xf numFmtId="0" fontId="26" fillId="15" borderId="1" xfId="0" applyFont="1" applyFill="1" applyBorder="1" applyAlignment="1" applyProtection="1">
      <alignment horizontal="center" vertical="center" wrapText="1"/>
      <protection locked="0"/>
    </xf>
    <xf numFmtId="0" fontId="26" fillId="15" borderId="16" xfId="8" applyFont="1" applyFill="1" applyBorder="1" applyAlignment="1">
      <alignment horizontal="center" vertical="center" wrapText="1"/>
    </xf>
    <xf numFmtId="0" fontId="26" fillId="24" borderId="15" xfId="0" applyFont="1" applyFill="1" applyBorder="1" applyAlignment="1">
      <alignment vertical="center"/>
    </xf>
    <xf numFmtId="0" fontId="26" fillId="24" borderId="1" xfId="0" applyFont="1" applyFill="1" applyBorder="1" applyAlignment="1">
      <alignment vertical="center"/>
    </xf>
    <xf numFmtId="0" fontId="30" fillId="24" borderId="1" xfId="0" applyFont="1" applyFill="1" applyBorder="1" applyAlignment="1">
      <alignment vertical="center"/>
    </xf>
    <xf numFmtId="0" fontId="30" fillId="15" borderId="25" xfId="13" applyFont="1" applyFill="1" applyBorder="1" applyAlignment="1">
      <alignment horizontal="center" vertical="center" wrapText="1"/>
    </xf>
    <xf numFmtId="0" fontId="26" fillId="15" borderId="25" xfId="0" applyFont="1" applyFill="1" applyBorder="1" applyAlignment="1">
      <alignment horizontal="center" vertical="center" wrapText="1"/>
    </xf>
    <xf numFmtId="0" fontId="26" fillId="15" borderId="25" xfId="0" applyFont="1" applyFill="1" applyBorder="1" applyAlignment="1">
      <alignment vertical="center" wrapText="1"/>
    </xf>
    <xf numFmtId="0" fontId="30" fillId="15" borderId="25" xfId="0" applyFont="1" applyFill="1" applyBorder="1" applyAlignment="1">
      <alignment vertical="center" wrapText="1"/>
    </xf>
    <xf numFmtId="0" fontId="26" fillId="15" borderId="25" xfId="13" applyFont="1" applyFill="1" applyBorder="1" applyAlignment="1">
      <alignment horizontal="center" vertical="center" wrapText="1"/>
    </xf>
    <xf numFmtId="0" fontId="30" fillId="15" borderId="1" xfId="24" applyFont="1" applyFill="1" applyBorder="1" applyAlignment="1">
      <alignment horizontal="left" vertical="center" wrapText="1"/>
    </xf>
    <xf numFmtId="0" fontId="26" fillId="15" borderId="25" xfId="0" applyFont="1" applyFill="1" applyBorder="1" applyAlignment="1">
      <alignment horizontal="center" vertical="center"/>
    </xf>
    <xf numFmtId="0" fontId="30" fillId="15" borderId="25" xfId="0" applyFont="1" applyFill="1" applyBorder="1" applyAlignment="1">
      <alignment horizontal="center" vertical="center"/>
    </xf>
    <xf numFmtId="0" fontId="26" fillId="15" borderId="25" xfId="13" quotePrefix="1" applyFont="1" applyFill="1" applyBorder="1" applyAlignment="1">
      <alignment horizontal="center" vertical="center" wrapText="1"/>
    </xf>
    <xf numFmtId="0" fontId="26" fillId="15" borderId="26" xfId="13" applyFont="1" applyFill="1" applyBorder="1" applyAlignment="1">
      <alignment horizontal="center" vertical="center" wrapText="1"/>
    </xf>
    <xf numFmtId="0" fontId="26" fillId="15" borderId="15" xfId="8" applyFont="1" applyFill="1" applyBorder="1" applyAlignment="1">
      <alignment horizontal="left" vertical="center" wrapText="1"/>
    </xf>
    <xf numFmtId="0" fontId="30" fillId="15" borderId="1" xfId="8" applyFont="1" applyFill="1" applyBorder="1" applyAlignment="1">
      <alignment horizontal="left" vertical="center" wrapText="1"/>
    </xf>
    <xf numFmtId="0" fontId="26" fillId="15" borderId="1" xfId="8" applyFont="1" applyFill="1" applyBorder="1" applyAlignment="1">
      <alignment horizontal="center" vertical="center"/>
    </xf>
    <xf numFmtId="0" fontId="26" fillId="15" borderId="26" xfId="8" applyFont="1" applyFill="1" applyBorder="1" applyAlignment="1">
      <alignment horizontal="center" vertical="center" wrapText="1"/>
    </xf>
    <xf numFmtId="0" fontId="30" fillId="15" borderId="6" xfId="24" applyFont="1" applyFill="1" applyBorder="1" applyAlignment="1">
      <alignment horizontal="left" vertical="center" wrapText="1"/>
    </xf>
    <xf numFmtId="0" fontId="30" fillId="15" borderId="1" xfId="8" applyFont="1" applyFill="1" applyBorder="1" applyAlignment="1">
      <alignment horizontal="left" vertical="top" wrapText="1"/>
    </xf>
    <xf numFmtId="0" fontId="32" fillId="15" borderId="1" xfId="8" applyFont="1" applyFill="1" applyBorder="1" applyAlignment="1">
      <alignment horizontal="left" vertical="center"/>
    </xf>
    <xf numFmtId="0" fontId="4" fillId="2" borderId="0" xfId="25" applyFont="1" applyFill="1"/>
    <xf numFmtId="0" fontId="26" fillId="15" borderId="57" xfId="0" applyFont="1" applyFill="1" applyBorder="1" applyAlignment="1">
      <alignment vertical="center" wrapText="1"/>
    </xf>
    <xf numFmtId="0" fontId="30" fillId="15" borderId="25" xfId="0" applyFont="1" applyFill="1" applyBorder="1" applyAlignment="1">
      <alignment horizontal="center" vertical="center" wrapText="1"/>
    </xf>
    <xf numFmtId="0" fontId="26" fillId="15" borderId="1" xfId="24" applyFont="1" applyFill="1" applyBorder="1" applyAlignment="1">
      <alignment horizontal="center" vertical="center" wrapText="1"/>
    </xf>
    <xf numFmtId="0" fontId="26" fillId="15" borderId="25" xfId="0" applyFont="1" applyFill="1" applyBorder="1" applyAlignment="1">
      <alignment vertical="top" wrapText="1"/>
    </xf>
    <xf numFmtId="0" fontId="30" fillId="15" borderId="25" xfId="0" applyFont="1" applyFill="1" applyBorder="1" applyAlignment="1">
      <alignment vertical="top" wrapText="1"/>
    </xf>
    <xf numFmtId="0" fontId="26" fillId="2" borderId="0" xfId="25" applyFont="1" applyFill="1"/>
    <xf numFmtId="0" fontId="32" fillId="2" borderId="0" xfId="25" applyFont="1" applyFill="1"/>
    <xf numFmtId="0" fontId="26" fillId="15" borderId="1" xfId="13" quotePrefix="1" applyFont="1" applyFill="1" applyBorder="1" applyAlignment="1">
      <alignment horizontal="left" vertical="center" wrapText="1"/>
    </xf>
    <xf numFmtId="0" fontId="30" fillId="15" borderId="1" xfId="13" applyFont="1" applyFill="1" applyBorder="1" applyAlignment="1">
      <alignment horizontal="left" vertical="center" wrapText="1"/>
    </xf>
    <xf numFmtId="0" fontId="26" fillId="15" borderId="1" xfId="13" applyFont="1" applyFill="1" applyBorder="1" applyAlignment="1">
      <alignment horizontal="left" vertical="center" wrapText="1"/>
    </xf>
    <xf numFmtId="0" fontId="30" fillId="15" borderId="1" xfId="41" applyFont="1" applyFill="1" applyBorder="1" applyAlignment="1">
      <alignment horizontal="center" vertical="center"/>
    </xf>
    <xf numFmtId="0" fontId="26" fillId="15" borderId="1" xfId="13" applyFont="1" applyFill="1" applyBorder="1" applyAlignment="1">
      <alignment horizontal="center" vertical="center" wrapText="1"/>
    </xf>
    <xf numFmtId="49" fontId="26" fillId="15" borderId="1" xfId="13" applyNumberFormat="1" applyFont="1" applyFill="1" applyBorder="1" applyAlignment="1">
      <alignment horizontal="center" vertical="center" wrapText="1"/>
    </xf>
    <xf numFmtId="49" fontId="30" fillId="15" borderId="1" xfId="13" applyNumberFormat="1" applyFont="1" applyFill="1" applyBorder="1" applyAlignment="1">
      <alignment horizontal="center" vertical="center" wrapText="1"/>
    </xf>
    <xf numFmtId="0" fontId="0" fillId="15" borderId="1" xfId="0" applyFill="1" applyBorder="1" applyAlignment="1">
      <alignment horizontal="center" vertical="center"/>
    </xf>
    <xf numFmtId="0" fontId="0" fillId="2" borderId="0" xfId="0" applyFill="1"/>
    <xf numFmtId="0" fontId="26" fillId="15" borderId="15" xfId="0" applyFont="1" applyFill="1" applyBorder="1" applyAlignment="1" applyProtection="1">
      <alignment vertical="top" wrapText="1"/>
      <protection locked="0"/>
    </xf>
    <xf numFmtId="0" fontId="30" fillId="15" borderId="1" xfId="0" applyFont="1" applyFill="1" applyBorder="1" applyAlignment="1" applyProtection="1">
      <alignment horizontal="left" vertical="top" wrapText="1"/>
      <protection locked="0"/>
    </xf>
    <xf numFmtId="0" fontId="0" fillId="15" borderId="40" xfId="0" quotePrefix="1" applyFill="1" applyBorder="1" applyAlignment="1">
      <alignment horizontal="left" vertical="center"/>
    </xf>
    <xf numFmtId="0" fontId="30" fillId="15" borderId="1" xfId="0" quotePrefix="1" applyFont="1" applyFill="1" applyBorder="1" applyAlignment="1">
      <alignment horizontal="left" vertical="center"/>
    </xf>
    <xf numFmtId="0" fontId="0" fillId="15" borderId="1" xfId="0" applyFill="1" applyBorder="1" applyAlignment="1">
      <alignment horizontal="left" vertical="center"/>
    </xf>
    <xf numFmtId="0" fontId="0" fillId="15" borderId="16" xfId="0" applyFill="1" applyBorder="1" applyAlignment="1">
      <alignment horizontal="left" vertical="center"/>
    </xf>
    <xf numFmtId="0" fontId="26" fillId="15" borderId="58" xfId="0" applyFont="1" applyFill="1" applyBorder="1" applyAlignment="1">
      <alignment horizontal="left" vertical="center" wrapText="1"/>
    </xf>
    <xf numFmtId="0" fontId="0" fillId="15" borderId="5" xfId="0" applyFill="1" applyBorder="1" applyAlignment="1">
      <alignment horizontal="left" vertical="center"/>
    </xf>
    <xf numFmtId="0" fontId="0" fillId="15" borderId="36" xfId="0" applyFill="1" applyBorder="1" applyAlignment="1">
      <alignment horizontal="left" vertical="center"/>
    </xf>
    <xf numFmtId="0" fontId="26" fillId="15" borderId="59" xfId="0" applyFont="1" applyFill="1" applyBorder="1" applyAlignment="1">
      <alignment horizontal="left" vertical="center" wrapText="1"/>
    </xf>
    <xf numFmtId="0" fontId="26" fillId="15" borderId="15" xfId="0" applyFont="1" applyFill="1" applyBorder="1" applyAlignment="1" applyProtection="1">
      <alignment vertical="center" wrapText="1"/>
      <protection locked="0"/>
    </xf>
    <xf numFmtId="0" fontId="30" fillId="15" borderId="1" xfId="0" applyFont="1" applyFill="1" applyBorder="1" applyAlignment="1" applyProtection="1">
      <alignment horizontal="left" vertical="center" wrapText="1"/>
      <protection locked="0"/>
    </xf>
    <xf numFmtId="0" fontId="30" fillId="15" borderId="1" xfId="41" applyFont="1" applyFill="1" applyBorder="1" applyAlignment="1">
      <alignment horizontal="center" vertical="center" wrapText="1"/>
    </xf>
    <xf numFmtId="0" fontId="48" fillId="2" borderId="6" xfId="24" applyFont="1" applyFill="1" applyBorder="1" applyAlignment="1">
      <alignment horizontal="left" vertical="center" wrapText="1"/>
    </xf>
    <xf numFmtId="0" fontId="36" fillId="5" borderId="19" xfId="13" applyFont="1" applyFill="1" applyBorder="1" applyAlignment="1">
      <alignment horizontal="center" vertical="center" wrapText="1"/>
    </xf>
    <xf numFmtId="0" fontId="36" fillId="5" borderId="17" xfId="13" applyFont="1" applyFill="1" applyBorder="1" applyAlignment="1" applyProtection="1">
      <alignment horizontal="center" vertical="center" wrapText="1"/>
      <protection locked="0"/>
    </xf>
    <xf numFmtId="0" fontId="36" fillId="5" borderId="18" xfId="13" applyFont="1" applyFill="1" applyBorder="1" applyAlignment="1" applyProtection="1">
      <alignment horizontal="center" vertical="center" wrapText="1"/>
      <protection locked="0"/>
    </xf>
    <xf numFmtId="0" fontId="32" fillId="2" borderId="1" xfId="8" applyFont="1" applyFill="1" applyBorder="1" applyAlignment="1">
      <alignment vertical="center" wrapText="1"/>
    </xf>
    <xf numFmtId="0" fontId="26" fillId="4" borderId="17" xfId="8" applyFont="1" applyFill="1" applyBorder="1" applyAlignment="1">
      <alignment vertical="center" wrapText="1"/>
    </xf>
    <xf numFmtId="0" fontId="26" fillId="2" borderId="11" xfId="24" applyFont="1" applyFill="1" applyBorder="1" applyAlignment="1">
      <alignment horizontal="center" vertical="center" wrapText="1"/>
    </xf>
    <xf numFmtId="0" fontId="30" fillId="2" borderId="11" xfId="24" applyFont="1" applyFill="1" applyBorder="1" applyAlignment="1">
      <alignment horizontal="center" vertical="center" wrapText="1"/>
    </xf>
    <xf numFmtId="0" fontId="26" fillId="0" borderId="11" xfId="13" applyFont="1" applyBorder="1" applyAlignment="1">
      <alignment vertical="center" wrapText="1"/>
    </xf>
    <xf numFmtId="0" fontId="26" fillId="0" borderId="1" xfId="13" applyFont="1" applyBorder="1" applyAlignment="1">
      <alignment vertical="center" wrapText="1"/>
    </xf>
    <xf numFmtId="49" fontId="26" fillId="0" borderId="1" xfId="13" applyNumberFormat="1" applyFont="1" applyBorder="1" applyAlignment="1">
      <alignment vertical="center" wrapText="1"/>
    </xf>
    <xf numFmtId="0" fontId="26" fillId="4" borderId="25" xfId="13" applyFont="1" applyFill="1" applyBorder="1" applyAlignment="1">
      <alignment vertical="center" wrapText="1"/>
    </xf>
    <xf numFmtId="0" fontId="26" fillId="2" borderId="11" xfId="8" applyFont="1" applyFill="1" applyBorder="1" applyAlignment="1">
      <alignment vertical="center" wrapText="1"/>
    </xf>
    <xf numFmtId="0" fontId="26" fillId="2" borderId="1" xfId="8" applyFont="1" applyFill="1" applyBorder="1" applyAlignment="1">
      <alignment vertical="center" wrapText="1"/>
    </xf>
    <xf numFmtId="15" fontId="32" fillId="2" borderId="1" xfId="24" applyNumberFormat="1" applyFont="1" applyFill="1" applyBorder="1" applyAlignment="1">
      <alignment vertical="center" wrapText="1"/>
    </xf>
    <xf numFmtId="15" fontId="26" fillId="4" borderId="17" xfId="24" applyNumberFormat="1" applyFont="1" applyFill="1" applyBorder="1" applyAlignment="1">
      <alignment vertical="center" wrapText="1"/>
    </xf>
    <xf numFmtId="0" fontId="26" fillId="2" borderId="1" xfId="27" applyFont="1" applyFill="1" applyBorder="1" applyAlignment="1">
      <alignment vertical="center" wrapText="1"/>
    </xf>
    <xf numFmtId="15" fontId="26" fillId="2" borderId="1" xfId="24" applyNumberFormat="1" applyFont="1" applyFill="1" applyBorder="1" applyAlignment="1">
      <alignment vertical="center" wrapText="1"/>
    </xf>
    <xf numFmtId="0" fontId="26" fillId="15" borderId="1" xfId="0" applyFont="1" applyFill="1" applyBorder="1" applyAlignment="1" applyProtection="1">
      <alignment vertical="center" wrapText="1"/>
      <protection locked="0"/>
    </xf>
    <xf numFmtId="0" fontId="26" fillId="2" borderId="5" xfId="13" applyFont="1" applyFill="1" applyBorder="1" applyAlignment="1">
      <alignment vertical="center" wrapText="1"/>
    </xf>
    <xf numFmtId="0" fontId="26" fillId="2" borderId="1" xfId="13" applyFont="1" applyFill="1" applyBorder="1" applyAlignment="1">
      <alignment vertical="center" wrapText="1"/>
    </xf>
    <xf numFmtId="0" fontId="26" fillId="4" borderId="17" xfId="13" applyFont="1" applyFill="1" applyBorder="1" applyAlignment="1">
      <alignment vertical="center" wrapText="1"/>
    </xf>
    <xf numFmtId="0" fontId="30" fillId="16" borderId="6" xfId="24" applyFont="1" applyFill="1" applyBorder="1" applyAlignment="1">
      <alignment horizontal="left" vertical="center" wrapText="1"/>
    </xf>
    <xf numFmtId="0" fontId="26" fillId="23" borderId="25" xfId="0" applyFont="1" applyFill="1" applyBorder="1" applyAlignment="1">
      <alignment vertical="center" wrapText="1"/>
    </xf>
    <xf numFmtId="0" fontId="26" fillId="23" borderId="1" xfId="24" applyFont="1" applyFill="1" applyBorder="1" applyAlignment="1">
      <alignment horizontal="center" vertical="center" wrapText="1"/>
    </xf>
    <xf numFmtId="0" fontId="30" fillId="0" borderId="6" xfId="24" quotePrefix="1" applyFont="1" applyBorder="1" applyAlignment="1">
      <alignment horizontal="left" vertical="center" wrapText="1"/>
    </xf>
    <xf numFmtId="0" fontId="26" fillId="23" borderId="1" xfId="0" applyFont="1" applyFill="1" applyBorder="1" applyAlignment="1">
      <alignment horizontal="center" vertical="center" wrapText="1"/>
    </xf>
    <xf numFmtId="0" fontId="26" fillId="23" borderId="16" xfId="24" applyFont="1" applyFill="1" applyBorder="1" applyAlignment="1">
      <alignment horizontal="center" vertical="center" wrapText="1"/>
    </xf>
    <xf numFmtId="0" fontId="26" fillId="23" borderId="16" xfId="0" applyFont="1" applyFill="1" applyBorder="1" applyAlignment="1">
      <alignment horizontal="center" vertical="center"/>
    </xf>
    <xf numFmtId="0" fontId="30" fillId="23" borderId="6" xfId="24" applyFont="1" applyFill="1" applyBorder="1" applyAlignment="1">
      <alignment horizontal="left" vertical="center" wrapText="1"/>
    </xf>
    <xf numFmtId="0" fontId="30" fillId="16" borderId="1" xfId="0" applyFont="1" applyFill="1" applyBorder="1" applyAlignment="1">
      <alignment horizontal="left" vertical="center" wrapText="1"/>
    </xf>
    <xf numFmtId="0" fontId="32" fillId="25" borderId="15" xfId="24" applyFont="1" applyFill="1" applyBorder="1" applyAlignment="1">
      <alignment horizontal="center" vertical="center" wrapText="1"/>
    </xf>
    <xf numFmtId="0" fontId="32" fillId="25" borderId="1" xfId="24" applyFont="1" applyFill="1" applyBorder="1" applyAlignment="1">
      <alignment horizontal="center" vertical="center"/>
    </xf>
    <xf numFmtId="0" fontId="32" fillId="25" borderId="1" xfId="24" applyFont="1" applyFill="1" applyBorder="1" applyAlignment="1">
      <alignment horizontal="center" vertical="center" wrapText="1"/>
    </xf>
    <xf numFmtId="0" fontId="32" fillId="25" borderId="1" xfId="8" applyFont="1" applyFill="1" applyBorder="1" applyAlignment="1">
      <alignment horizontal="center" vertical="center" wrapText="1"/>
    </xf>
    <xf numFmtId="15" fontId="32" fillId="25" borderId="1" xfId="24" applyNumberFormat="1" applyFont="1" applyFill="1" applyBorder="1" applyAlignment="1">
      <alignment horizontal="left" vertical="center" wrapText="1"/>
    </xf>
    <xf numFmtId="15" fontId="32" fillId="25" borderId="1" xfId="24" applyNumberFormat="1" applyFont="1" applyFill="1" applyBorder="1" applyAlignment="1">
      <alignment horizontal="center" vertical="center" wrapText="1"/>
    </xf>
    <xf numFmtId="0" fontId="32" fillId="25" borderId="1" xfId="24" applyFont="1" applyFill="1" applyBorder="1" applyAlignment="1">
      <alignment horizontal="left" vertical="center" wrapText="1"/>
    </xf>
    <xf numFmtId="49" fontId="32" fillId="25" borderId="1" xfId="24" applyNumberFormat="1" applyFont="1" applyFill="1" applyBorder="1" applyAlignment="1">
      <alignment horizontal="center" vertical="center" wrapText="1"/>
    </xf>
    <xf numFmtId="49" fontId="32" fillId="25" borderId="1" xfId="24" quotePrefix="1" applyNumberFormat="1" applyFont="1" applyFill="1" applyBorder="1" applyAlignment="1">
      <alignment horizontal="center" vertical="center" wrapText="1"/>
    </xf>
    <xf numFmtId="0" fontId="32" fillId="25" borderId="16" xfId="24" applyFont="1" applyFill="1" applyBorder="1" applyAlignment="1">
      <alignment horizontal="center" vertical="center" wrapText="1"/>
    </xf>
    <xf numFmtId="0" fontId="30" fillId="25" borderId="27" xfId="24" applyFont="1" applyFill="1" applyBorder="1" applyAlignment="1">
      <alignment horizontal="left" vertical="center" wrapText="1"/>
    </xf>
    <xf numFmtId="0" fontId="30" fillId="25" borderId="6" xfId="24" applyFont="1" applyFill="1" applyBorder="1" applyAlignment="1">
      <alignment horizontal="left" vertical="center" wrapText="1"/>
    </xf>
    <xf numFmtId="0" fontId="26" fillId="23" borderId="16" xfId="0" applyFont="1" applyFill="1" applyBorder="1" applyAlignment="1">
      <alignment horizontal="center" vertical="center" wrapText="1"/>
    </xf>
    <xf numFmtId="0" fontId="26" fillId="23" borderId="26" xfId="8" applyFont="1" applyFill="1" applyBorder="1" applyAlignment="1">
      <alignment horizontal="center" vertical="center" wrapText="1"/>
    </xf>
    <xf numFmtId="0" fontId="26" fillId="16" borderId="1" xfId="0" applyFont="1" applyFill="1" applyBorder="1" applyAlignment="1">
      <alignment horizontal="center" vertical="center" wrapText="1"/>
    </xf>
    <xf numFmtId="0" fontId="26" fillId="16" borderId="25" xfId="0" applyFont="1" applyFill="1" applyBorder="1" applyAlignment="1">
      <alignment vertical="center" wrapText="1"/>
    </xf>
    <xf numFmtId="0" fontId="30" fillId="16" borderId="25" xfId="0" applyFont="1" applyFill="1" applyBorder="1" applyAlignment="1">
      <alignment vertical="center" wrapText="1"/>
    </xf>
    <xf numFmtId="0" fontId="26" fillId="16" borderId="25" xfId="0" applyFont="1" applyFill="1" applyBorder="1" applyAlignment="1">
      <alignment vertical="top" wrapText="1"/>
    </xf>
    <xf numFmtId="0" fontId="30" fillId="16" borderId="25" xfId="0" applyFont="1" applyFill="1" applyBorder="1" applyAlignment="1">
      <alignment vertical="top" wrapText="1"/>
    </xf>
    <xf numFmtId="0" fontId="26" fillId="16" borderId="25" xfId="0" applyFont="1" applyFill="1" applyBorder="1" applyAlignment="1">
      <alignment horizontal="left" vertical="center" wrapText="1"/>
    </xf>
    <xf numFmtId="0" fontId="30" fillId="16" borderId="25" xfId="0" applyFont="1" applyFill="1" applyBorder="1" applyAlignment="1">
      <alignment horizontal="left" vertical="center" wrapText="1"/>
    </xf>
    <xf numFmtId="0" fontId="26" fillId="16" borderId="15" xfId="8" applyFont="1" applyFill="1" applyBorder="1" applyAlignment="1">
      <alignment horizontal="left" vertical="center" wrapText="1"/>
    </xf>
    <xf numFmtId="0" fontId="30" fillId="16" borderId="1" xfId="8" applyFont="1" applyFill="1" applyBorder="1" applyAlignment="1">
      <alignment horizontal="left" vertical="center" wrapText="1"/>
    </xf>
    <xf numFmtId="0" fontId="26" fillId="16" borderId="25" xfId="0" applyFont="1" applyFill="1" applyBorder="1" applyAlignment="1">
      <alignment horizontal="center" vertical="center" wrapText="1"/>
    </xf>
    <xf numFmtId="0" fontId="26" fillId="16" borderId="25" xfId="0" applyFont="1" applyFill="1" applyBorder="1" applyAlignment="1">
      <alignment horizontal="center" vertical="center"/>
    </xf>
    <xf numFmtId="0" fontId="30" fillId="16" borderId="25" xfId="13" applyFont="1" applyFill="1" applyBorder="1" applyAlignment="1">
      <alignment horizontal="center" vertical="center" wrapText="1"/>
    </xf>
    <xf numFmtId="0" fontId="26" fillId="16" borderId="25" xfId="13" applyFont="1" applyFill="1" applyBorder="1" applyAlignment="1">
      <alignment horizontal="center" vertical="center" wrapText="1"/>
    </xf>
    <xf numFmtId="0" fontId="30" fillId="16" borderId="25" xfId="0" applyFont="1" applyFill="1" applyBorder="1" applyAlignment="1">
      <alignment horizontal="center" vertical="center" wrapText="1"/>
    </xf>
    <xf numFmtId="0" fontId="26" fillId="16" borderId="25" xfId="13" quotePrefix="1" applyFont="1" applyFill="1" applyBorder="1" applyAlignment="1">
      <alignment horizontal="center" vertical="center" wrapText="1"/>
    </xf>
    <xf numFmtId="0" fontId="26" fillId="16" borderId="26" xfId="13" applyFont="1" applyFill="1" applyBorder="1" applyAlignment="1">
      <alignment horizontal="center" vertical="center" wrapText="1"/>
    </xf>
    <xf numFmtId="0" fontId="30" fillId="16" borderId="27" xfId="8" applyFont="1" applyFill="1" applyBorder="1" applyAlignment="1">
      <alignment horizontal="left" vertical="center" wrapText="1"/>
    </xf>
    <xf numFmtId="0" fontId="26" fillId="16" borderId="25" xfId="8" applyFont="1" applyFill="1" applyBorder="1" applyAlignment="1">
      <alignment horizontal="center" vertical="center"/>
    </xf>
    <xf numFmtId="0" fontId="26" fillId="16" borderId="1" xfId="8" applyFont="1" applyFill="1" applyBorder="1" applyAlignment="1">
      <alignment horizontal="center" vertical="center"/>
    </xf>
    <xf numFmtId="0" fontId="26" fillId="16" borderId="27" xfId="8" applyFont="1" applyFill="1" applyBorder="1" applyAlignment="1">
      <alignment horizontal="left" vertical="center" wrapText="1"/>
    </xf>
    <xf numFmtId="0" fontId="26" fillId="16" borderId="26" xfId="0" applyFont="1" applyFill="1" applyBorder="1" applyAlignment="1">
      <alignment horizontal="center" vertical="center"/>
    </xf>
    <xf numFmtId="0" fontId="26" fillId="16" borderId="25" xfId="8" applyFont="1" applyFill="1" applyBorder="1" applyAlignment="1">
      <alignment horizontal="center" vertical="center" wrapText="1"/>
    </xf>
    <xf numFmtId="0" fontId="26" fillId="16" borderId="26" xfId="8" applyFont="1" applyFill="1" applyBorder="1" applyAlignment="1">
      <alignment horizontal="center" vertical="center" wrapText="1"/>
    </xf>
    <xf numFmtId="0" fontId="30" fillId="16" borderId="27" xfId="8" applyFont="1" applyFill="1" applyBorder="1" applyAlignment="1">
      <alignment horizontal="left" vertical="top" wrapText="1"/>
    </xf>
    <xf numFmtId="0" fontId="32" fillId="16" borderId="27" xfId="8" applyFont="1" applyFill="1" applyBorder="1" applyAlignment="1">
      <alignment horizontal="left" vertical="center"/>
    </xf>
    <xf numFmtId="0" fontId="26" fillId="16" borderId="25" xfId="0" quotePrefix="1" applyFont="1" applyFill="1" applyBorder="1" applyAlignment="1">
      <alignment vertical="center" wrapText="1"/>
    </xf>
    <xf numFmtId="0" fontId="30" fillId="16" borderId="25" xfId="0" quotePrefix="1" applyFont="1" applyFill="1" applyBorder="1" applyAlignment="1">
      <alignment vertical="center" wrapText="1"/>
    </xf>
    <xf numFmtId="0" fontId="26" fillId="23" borderId="1" xfId="8" applyFont="1" applyFill="1" applyBorder="1" applyAlignment="1">
      <alignment horizontal="center" vertical="center"/>
    </xf>
    <xf numFmtId="0" fontId="26" fillId="13" borderId="16" xfId="0" applyFont="1" applyFill="1" applyBorder="1" applyAlignment="1">
      <alignment horizontal="center" vertical="center" wrapText="1"/>
    </xf>
    <xf numFmtId="0" fontId="22" fillId="23" borderId="16" xfId="24" applyFont="1" applyFill="1" applyBorder="1" applyAlignment="1">
      <alignment horizontal="center" vertical="center" wrapText="1"/>
    </xf>
    <xf numFmtId="0" fontId="32" fillId="13" borderId="26" xfId="24" applyFont="1" applyFill="1" applyBorder="1" applyAlignment="1">
      <alignment horizontal="center" vertical="center" wrapText="1"/>
    </xf>
    <xf numFmtId="0" fontId="26" fillId="0" borderId="15" xfId="24" applyFont="1" applyBorder="1" applyAlignment="1">
      <alignment horizontal="center" vertical="center" wrapText="1"/>
    </xf>
    <xf numFmtId="0" fontId="26" fillId="23" borderId="1" xfId="8" applyFont="1" applyFill="1" applyBorder="1" applyAlignment="1">
      <alignment horizontal="left" vertical="center" wrapText="1"/>
    </xf>
    <xf numFmtId="0" fontId="30" fillId="23" borderId="1" xfId="8" applyFont="1" applyFill="1" applyBorder="1" applyAlignment="1">
      <alignment horizontal="left" vertical="center" wrapText="1"/>
    </xf>
    <xf numFmtId="14" fontId="26" fillId="0" borderId="1" xfId="0" applyNumberFormat="1" applyFont="1" applyBorder="1" applyAlignment="1">
      <alignment horizontal="center" vertical="center" wrapText="1"/>
    </xf>
    <xf numFmtId="0" fontId="26" fillId="0" borderId="1" xfId="0" quotePrefix="1" applyFont="1" applyBorder="1" applyAlignment="1">
      <alignment vertical="center" wrapText="1"/>
    </xf>
    <xf numFmtId="0" fontId="26" fillId="0" borderId="1" xfId="0" applyFont="1" applyBorder="1" applyAlignment="1">
      <alignment horizontal="justify" vertical="center" wrapText="1"/>
    </xf>
    <xf numFmtId="14" fontId="26" fillId="0" borderId="15" xfId="0" applyNumberFormat="1" applyFont="1" applyBorder="1" applyAlignment="1">
      <alignment horizontal="center" vertical="center" wrapText="1"/>
    </xf>
    <xf numFmtId="0" fontId="32" fillId="16" borderId="15" xfId="24" applyFont="1" applyFill="1" applyBorder="1" applyAlignment="1">
      <alignment horizontal="center" vertical="center" wrapText="1"/>
    </xf>
    <xf numFmtId="0" fontId="32" fillId="16" borderId="1" xfId="24" applyFont="1" applyFill="1" applyBorder="1" applyAlignment="1">
      <alignment horizontal="center" vertical="center"/>
    </xf>
    <xf numFmtId="0" fontId="32" fillId="16" borderId="1" xfId="24" applyFont="1" applyFill="1" applyBorder="1" applyAlignment="1">
      <alignment horizontal="center" vertical="center" wrapText="1"/>
    </xf>
    <xf numFmtId="0" fontId="32" fillId="16" borderId="1" xfId="8" applyFont="1" applyFill="1" applyBorder="1" applyAlignment="1">
      <alignment horizontal="center" vertical="center" wrapText="1"/>
    </xf>
    <xf numFmtId="15" fontId="32" fillId="16" borderId="1" xfId="24" applyNumberFormat="1" applyFont="1" applyFill="1" applyBorder="1" applyAlignment="1">
      <alignment horizontal="left" vertical="center" wrapText="1"/>
    </xf>
    <xf numFmtId="0" fontId="32" fillId="16" borderId="1" xfId="24" applyFont="1" applyFill="1" applyBorder="1" applyAlignment="1">
      <alignment horizontal="left" vertical="center" wrapText="1"/>
    </xf>
    <xf numFmtId="15" fontId="32" fillId="16" borderId="1" xfId="24" applyNumberFormat="1" applyFont="1" applyFill="1" applyBorder="1" applyAlignment="1">
      <alignment horizontal="center" vertical="center" wrapText="1"/>
    </xf>
    <xf numFmtId="15" fontId="32" fillId="16" borderId="1" xfId="24" applyNumberFormat="1" applyFont="1" applyFill="1" applyBorder="1" applyAlignment="1">
      <alignment vertical="center" wrapText="1"/>
    </xf>
    <xf numFmtId="49" fontId="32" fillId="16" borderId="1" xfId="24" applyNumberFormat="1" applyFont="1" applyFill="1" applyBorder="1" applyAlignment="1">
      <alignment horizontal="center" vertical="center" wrapText="1"/>
    </xf>
    <xf numFmtId="49" fontId="32" fillId="16" borderId="1" xfId="8" quotePrefix="1" applyNumberFormat="1" applyFont="1" applyFill="1" applyBorder="1" applyAlignment="1">
      <alignment horizontal="center" vertical="center" wrapText="1"/>
    </xf>
    <xf numFmtId="14" fontId="32" fillId="16" borderId="1" xfId="8" applyNumberFormat="1" applyFont="1" applyFill="1" applyBorder="1" applyAlignment="1">
      <alignment horizontal="center" vertical="center" wrapText="1"/>
    </xf>
    <xf numFmtId="0" fontId="32" fillId="16" borderId="16" xfId="24" applyFont="1" applyFill="1" applyBorder="1" applyAlignment="1">
      <alignment horizontal="center" vertical="center" wrapText="1"/>
    </xf>
    <xf numFmtId="0" fontId="32" fillId="16" borderId="15" xfId="24" applyFont="1" applyFill="1" applyBorder="1" applyAlignment="1">
      <alignment horizontal="left" vertical="center" wrapText="1"/>
    </xf>
    <xf numFmtId="0" fontId="32" fillId="16" borderId="6" xfId="24" applyFont="1" applyFill="1" applyBorder="1" applyAlignment="1">
      <alignment horizontal="left" vertical="center" wrapText="1"/>
    </xf>
    <xf numFmtId="0" fontId="32" fillId="16" borderId="16" xfId="8" applyFont="1" applyFill="1" applyBorder="1" applyAlignment="1">
      <alignment horizontal="center" vertical="center" wrapText="1"/>
    </xf>
    <xf numFmtId="0" fontId="3" fillId="2" borderId="0" xfId="24" applyFont="1" applyFill="1"/>
    <xf numFmtId="0" fontId="26" fillId="23" borderId="1" xfId="0" applyFont="1" applyFill="1" applyBorder="1" applyAlignment="1">
      <alignment vertical="center"/>
    </xf>
    <xf numFmtId="0" fontId="26" fillId="23" borderId="1" xfId="0" applyFont="1" applyFill="1" applyBorder="1" applyAlignment="1">
      <alignment vertical="center" wrapText="1"/>
    </xf>
    <xf numFmtId="0" fontId="26" fillId="23" borderId="25" xfId="13" applyFont="1" applyFill="1" applyBorder="1" applyAlignment="1">
      <alignment vertical="center" wrapText="1"/>
    </xf>
    <xf numFmtId="0" fontId="26" fillId="16" borderId="15" xfId="24" applyFont="1" applyFill="1" applyBorder="1" applyAlignment="1">
      <alignment horizontal="left" vertical="center" wrapText="1"/>
    </xf>
    <xf numFmtId="0" fontId="26" fillId="26" borderId="25" xfId="0" applyFont="1" applyFill="1" applyBorder="1" applyAlignment="1">
      <alignment vertical="center" wrapText="1"/>
    </xf>
    <xf numFmtId="0" fontId="26" fillId="26" borderId="57" xfId="0" applyFont="1" applyFill="1" applyBorder="1" applyAlignment="1">
      <alignment vertical="center" wrapText="1"/>
    </xf>
    <xf numFmtId="0" fontId="30" fillId="26" borderId="25" xfId="0" applyFont="1" applyFill="1" applyBorder="1" applyAlignment="1">
      <alignment vertical="center" wrapText="1"/>
    </xf>
    <xf numFmtId="0" fontId="26" fillId="26" borderId="25" xfId="0" applyFont="1" applyFill="1" applyBorder="1" applyAlignment="1">
      <alignment vertical="top" wrapText="1"/>
    </xf>
    <xf numFmtId="0" fontId="30" fillId="26" borderId="25" xfId="0" applyFont="1" applyFill="1" applyBorder="1" applyAlignment="1">
      <alignment vertical="top" wrapText="1"/>
    </xf>
    <xf numFmtId="0" fontId="26" fillId="26" borderId="1" xfId="0" applyFont="1" applyFill="1" applyBorder="1" applyAlignment="1">
      <alignment horizontal="center" vertical="center" wrapText="1"/>
    </xf>
    <xf numFmtId="0" fontId="30" fillId="26" borderId="1" xfId="0" applyFont="1" applyFill="1" applyBorder="1" applyAlignment="1">
      <alignment horizontal="center" vertical="center" wrapText="1"/>
    </xf>
    <xf numFmtId="0" fontId="26" fillId="26" borderId="15" xfId="8" applyFont="1" applyFill="1" applyBorder="1" applyAlignment="1">
      <alignment horizontal="left" vertical="center" wrapText="1"/>
    </xf>
    <xf numFmtId="0" fontId="30" fillId="26" borderId="1" xfId="8" applyFont="1" applyFill="1" applyBorder="1" applyAlignment="1">
      <alignment horizontal="left" vertical="center" wrapText="1"/>
    </xf>
    <xf numFmtId="0" fontId="26" fillId="26" borderId="1" xfId="8" applyFont="1" applyFill="1" applyBorder="1" applyAlignment="1">
      <alignment horizontal="center" vertical="center"/>
    </xf>
    <xf numFmtId="0" fontId="26" fillId="26" borderId="26" xfId="8" applyFont="1" applyFill="1" applyBorder="1" applyAlignment="1">
      <alignment horizontal="center" vertical="center" wrapText="1"/>
    </xf>
    <xf numFmtId="0" fontId="26" fillId="26" borderId="25" xfId="13" applyFont="1" applyFill="1" applyBorder="1" applyAlignment="1">
      <alignment vertical="center" wrapText="1"/>
    </xf>
    <xf numFmtId="0" fontId="26" fillId="26" borderId="24" xfId="8" applyFont="1" applyFill="1" applyBorder="1" applyAlignment="1">
      <alignment horizontal="left" vertical="center" wrapText="1"/>
    </xf>
    <xf numFmtId="0" fontId="26" fillId="26" borderId="25" xfId="8" applyFont="1" applyFill="1" applyBorder="1" applyAlignment="1">
      <alignment horizontal="center" vertical="center"/>
    </xf>
    <xf numFmtId="0" fontId="33" fillId="3" borderId="1" xfId="0" applyFont="1" applyFill="1" applyBorder="1" applyAlignment="1">
      <alignment horizontal="center" vertical="center" wrapText="1"/>
    </xf>
    <xf numFmtId="0" fontId="33" fillId="3" borderId="1" xfId="23" applyFont="1" applyFill="1" applyBorder="1" applyAlignment="1">
      <alignment horizontal="center" vertical="center" wrapText="1"/>
    </xf>
    <xf numFmtId="0" fontId="33" fillId="3" borderId="15" xfId="0" applyFont="1" applyFill="1" applyBorder="1" applyAlignment="1">
      <alignment horizontal="center" vertical="center" wrapText="1"/>
    </xf>
    <xf numFmtId="0" fontId="33" fillId="3" borderId="16" xfId="0" applyFont="1" applyFill="1" applyBorder="1" applyAlignment="1">
      <alignment horizontal="centerContinuous" vertical="center" wrapText="1"/>
    </xf>
    <xf numFmtId="0" fontId="26" fillId="16" borderId="16" xfId="0" applyFont="1" applyFill="1" applyBorder="1" applyAlignment="1">
      <alignment horizontal="center" vertical="center" wrapText="1"/>
    </xf>
    <xf numFmtId="0" fontId="26" fillId="27" borderId="1" xfId="24" applyFont="1" applyFill="1" applyBorder="1" applyAlignment="1">
      <alignment horizontal="center" vertical="center" wrapText="1"/>
    </xf>
    <xf numFmtId="0" fontId="26" fillId="27" borderId="18" xfId="0" applyFont="1" applyFill="1" applyBorder="1" applyAlignment="1">
      <alignment horizontal="center" vertical="center" wrapText="1"/>
    </xf>
    <xf numFmtId="0" fontId="26" fillId="26" borderId="16" xfId="0" applyFont="1" applyFill="1" applyBorder="1" applyAlignment="1">
      <alignment horizontal="center" vertical="center" wrapText="1"/>
    </xf>
    <xf numFmtId="0" fontId="30" fillId="26" borderId="24" xfId="8" applyFont="1" applyFill="1" applyBorder="1" applyAlignment="1">
      <alignment horizontal="left" vertical="center" wrapText="1"/>
    </xf>
    <xf numFmtId="0" fontId="26" fillId="26" borderId="25" xfId="13" applyFont="1" applyFill="1" applyBorder="1" applyAlignment="1">
      <alignment horizontal="center" vertical="center" wrapText="1"/>
    </xf>
    <xf numFmtId="0" fontId="30" fillId="26" borderId="6" xfId="24" applyFont="1" applyFill="1" applyBorder="1" applyAlignment="1">
      <alignment horizontal="left" vertical="center" wrapText="1"/>
    </xf>
    <xf numFmtId="0" fontId="2" fillId="27" borderId="1" xfId="24" applyFont="1" applyFill="1" applyBorder="1" applyAlignment="1">
      <alignment horizontal="center" vertical="center" wrapText="1"/>
    </xf>
    <xf numFmtId="0" fontId="2" fillId="2" borderId="0" xfId="0" applyFont="1" applyFill="1"/>
    <xf numFmtId="0" fontId="2" fillId="2" borderId="4" xfId="0" applyFont="1" applyFill="1" applyBorder="1"/>
    <xf numFmtId="0" fontId="2" fillId="0" borderId="13" xfId="13" applyFont="1" applyBorder="1" applyAlignment="1">
      <alignment horizontal="center" vertical="center"/>
    </xf>
    <xf numFmtId="0" fontId="2" fillId="0" borderId="11" xfId="13" applyFont="1" applyBorder="1" applyAlignment="1">
      <alignment horizontal="center" vertical="center"/>
    </xf>
    <xf numFmtId="0" fontId="2" fillId="0" borderId="11" xfId="13" applyFont="1" applyBorder="1" applyAlignment="1">
      <alignment horizontal="center" vertical="center" wrapText="1"/>
    </xf>
    <xf numFmtId="0" fontId="2" fillId="2" borderId="0" xfId="25" applyFont="1" applyFill="1"/>
    <xf numFmtId="0" fontId="2" fillId="0" borderId="15" xfId="13" applyFont="1" applyBorder="1" applyAlignment="1">
      <alignment horizontal="center" vertical="center"/>
    </xf>
    <xf numFmtId="0" fontId="2" fillId="0" borderId="1" xfId="13" applyFont="1" applyBorder="1" applyAlignment="1">
      <alignment horizontal="center" vertical="center"/>
    </xf>
    <xf numFmtId="0" fontId="2" fillId="0" borderId="1" xfId="13" applyFont="1" applyBorder="1" applyAlignment="1">
      <alignment horizontal="center" vertical="center" wrapText="1"/>
    </xf>
    <xf numFmtId="0" fontId="2" fillId="4" borderId="24" xfId="13" applyFont="1" applyFill="1" applyBorder="1" applyAlignment="1">
      <alignment horizontal="center" vertical="center"/>
    </xf>
    <xf numFmtId="0" fontId="2" fillId="4" borderId="25" xfId="13" applyFont="1" applyFill="1" applyBorder="1" applyAlignment="1">
      <alignment horizontal="center" vertical="center"/>
    </xf>
    <xf numFmtId="0" fontId="2" fillId="4" borderId="25" xfId="13" applyFont="1" applyFill="1" applyBorder="1" applyAlignment="1">
      <alignment horizontal="center" vertical="center" wrapText="1"/>
    </xf>
    <xf numFmtId="0" fontId="2" fillId="2" borderId="1" xfId="24" applyFont="1" applyFill="1" applyBorder="1" applyAlignment="1">
      <alignment horizontal="left" vertical="center" wrapText="1"/>
    </xf>
    <xf numFmtId="0" fontId="2" fillId="2" borderId="1" xfId="24" quotePrefix="1" applyFont="1" applyFill="1" applyBorder="1" applyAlignment="1">
      <alignment horizontal="left" vertical="center" wrapText="1"/>
    </xf>
    <xf numFmtId="0" fontId="2" fillId="2" borderId="1" xfId="24" applyFont="1" applyFill="1" applyBorder="1" applyAlignment="1">
      <alignment horizontal="center" vertical="center" wrapText="1"/>
    </xf>
    <xf numFmtId="0" fontId="2" fillId="2" borderId="16" xfId="24" applyFont="1" applyFill="1" applyBorder="1" applyAlignment="1">
      <alignment horizontal="center" vertical="center" wrapText="1"/>
    </xf>
    <xf numFmtId="49" fontId="2" fillId="2" borderId="1" xfId="8" applyNumberFormat="1" applyFont="1" applyFill="1" applyBorder="1" applyAlignment="1">
      <alignment vertical="center"/>
    </xf>
    <xf numFmtId="15" fontId="2" fillId="2" borderId="5" xfId="24" applyNumberFormat="1" applyFont="1" applyFill="1" applyBorder="1" applyAlignment="1">
      <alignment horizontal="left" vertical="center" wrapText="1"/>
    </xf>
    <xf numFmtId="15" fontId="2" fillId="2" borderId="5" xfId="24" applyNumberFormat="1" applyFont="1" applyFill="1" applyBorder="1" applyAlignment="1">
      <alignment vertical="center" wrapText="1"/>
    </xf>
    <xf numFmtId="0" fontId="2" fillId="2" borderId="5" xfId="24" applyFont="1" applyFill="1" applyBorder="1" applyAlignment="1">
      <alignment horizontal="center" vertical="center" wrapText="1"/>
    </xf>
    <xf numFmtId="0" fontId="2" fillId="0" borderId="5" xfId="24" applyFont="1" applyBorder="1" applyAlignment="1">
      <alignment horizontal="center" vertical="center" wrapText="1"/>
    </xf>
    <xf numFmtId="0" fontId="2" fillId="2" borderId="5" xfId="26" applyFont="1" applyFill="1" applyBorder="1" applyAlignment="1">
      <alignment horizontal="center" vertical="center" wrapText="1"/>
    </xf>
    <xf numFmtId="0" fontId="2" fillId="2" borderId="36" xfId="24" applyFont="1" applyFill="1" applyBorder="1" applyAlignment="1">
      <alignment horizontal="center" vertical="center" wrapText="1"/>
    </xf>
    <xf numFmtId="0" fontId="2" fillId="2" borderId="13" xfId="24" applyFont="1" applyFill="1" applyBorder="1" applyAlignment="1">
      <alignment horizontal="left" vertical="center" wrapText="1"/>
    </xf>
    <xf numFmtId="0" fontId="2" fillId="2" borderId="11" xfId="24" applyFont="1" applyFill="1" applyBorder="1" applyAlignment="1">
      <alignment horizontal="center" vertical="center" wrapText="1"/>
    </xf>
    <xf numFmtId="0" fontId="2" fillId="2" borderId="14" xfId="24" applyFont="1" applyFill="1" applyBorder="1" applyAlignment="1">
      <alignment horizontal="center" vertical="center" wrapText="1"/>
    </xf>
    <xf numFmtId="0" fontId="2" fillId="2" borderId="20" xfId="24" applyFont="1" applyFill="1" applyBorder="1" applyAlignment="1">
      <alignment horizontal="left" vertical="center" wrapText="1"/>
    </xf>
    <xf numFmtId="0" fontId="2" fillId="2" borderId="0" xfId="24" applyFont="1" applyFill="1"/>
    <xf numFmtId="15" fontId="2" fillId="2" borderId="1" xfId="24" applyNumberFormat="1" applyFont="1" applyFill="1" applyBorder="1" applyAlignment="1">
      <alignment horizontal="left" vertical="center" wrapText="1"/>
    </xf>
    <xf numFmtId="15" fontId="2" fillId="2" borderId="1" xfId="24" applyNumberFormat="1" applyFont="1" applyFill="1" applyBorder="1" applyAlignment="1">
      <alignment vertical="center" wrapText="1"/>
    </xf>
    <xf numFmtId="0" fontId="2" fillId="2" borderId="1" xfId="26" applyFont="1" applyFill="1" applyBorder="1" applyAlignment="1">
      <alignment horizontal="left" vertical="center" wrapText="1"/>
    </xf>
    <xf numFmtId="0" fontId="2" fillId="2" borderId="1" xfId="24" applyFont="1" applyFill="1" applyBorder="1" applyAlignment="1">
      <alignment horizontal="center" vertical="center"/>
    </xf>
    <xf numFmtId="0" fontId="2" fillId="2" borderId="1" xfId="26" applyFont="1" applyFill="1" applyBorder="1" applyAlignment="1">
      <alignment horizontal="center" vertical="center" wrapText="1"/>
    </xf>
    <xf numFmtId="0" fontId="2" fillId="2" borderId="15" xfId="24" applyFont="1" applyFill="1" applyBorder="1" applyAlignment="1">
      <alignment horizontal="left" vertical="center" wrapText="1"/>
    </xf>
    <xf numFmtId="0" fontId="2" fillId="2" borderId="6" xfId="24" applyFont="1" applyFill="1" applyBorder="1" applyAlignment="1">
      <alignment horizontal="left" vertical="center" wrapText="1"/>
    </xf>
    <xf numFmtId="0" fontId="2" fillId="2" borderId="16" xfId="24" applyFont="1" applyFill="1" applyBorder="1" applyAlignment="1">
      <alignment horizontal="center" vertical="center"/>
    </xf>
    <xf numFmtId="0" fontId="2" fillId="0" borderId="6" xfId="24" applyFont="1" applyBorder="1" applyAlignment="1">
      <alignment horizontal="left" vertical="center" wrapText="1"/>
    </xf>
    <xf numFmtId="0" fontId="2" fillId="0" borderId="1" xfId="24" applyFont="1" applyBorder="1" applyAlignment="1">
      <alignment horizontal="center" vertical="center" wrapText="1"/>
    </xf>
    <xf numFmtId="0" fontId="2" fillId="23" borderId="16" xfId="24" applyFont="1" applyFill="1" applyBorder="1" applyAlignment="1">
      <alignment horizontal="center" vertical="center" wrapText="1"/>
    </xf>
    <xf numFmtId="0" fontId="2" fillId="13" borderId="1" xfId="24" applyFont="1" applyFill="1" applyBorder="1" applyAlignment="1">
      <alignment horizontal="center" vertical="center" wrapText="1"/>
    </xf>
    <xf numFmtId="0" fontId="2" fillId="13" borderId="6" xfId="24" applyFont="1" applyFill="1" applyBorder="1" applyAlignment="1">
      <alignment horizontal="left" vertical="center" wrapText="1"/>
    </xf>
    <xf numFmtId="0" fontId="2" fillId="0" borderId="16" xfId="24" applyFont="1" applyBorder="1" applyAlignment="1">
      <alignment horizontal="center" vertical="center" wrapText="1"/>
    </xf>
    <xf numFmtId="0" fontId="2" fillId="2" borderId="6" xfId="24" quotePrefix="1" applyFont="1" applyFill="1" applyBorder="1" applyAlignment="1">
      <alignment horizontal="left" vertical="center" wrapText="1"/>
    </xf>
    <xf numFmtId="0" fontId="2" fillId="2" borderId="20" xfId="24" quotePrefix="1" applyFont="1" applyFill="1" applyBorder="1" applyAlignment="1">
      <alignment horizontal="left" vertical="center" wrapText="1"/>
    </xf>
    <xf numFmtId="0" fontId="2" fillId="2" borderId="15" xfId="24" quotePrefix="1" applyFont="1" applyFill="1" applyBorder="1" applyAlignment="1">
      <alignment horizontal="left" vertical="center" wrapText="1"/>
    </xf>
    <xf numFmtId="0" fontId="2" fillId="13" borderId="16" xfId="24" applyFont="1" applyFill="1" applyBorder="1" applyAlignment="1">
      <alignment horizontal="center" vertical="center" wrapText="1"/>
    </xf>
    <xf numFmtId="0" fontId="2" fillId="25" borderId="6" xfId="24" applyFont="1" applyFill="1" applyBorder="1" applyAlignment="1">
      <alignment horizontal="left" vertical="center" wrapText="1"/>
    </xf>
    <xf numFmtId="0" fontId="2" fillId="25" borderId="1" xfId="24" applyFont="1" applyFill="1" applyBorder="1" applyAlignment="1">
      <alignment horizontal="center" vertical="center" wrapText="1"/>
    </xf>
    <xf numFmtId="0" fontId="2" fillId="25" borderId="16" xfId="24" applyFont="1" applyFill="1" applyBorder="1" applyAlignment="1">
      <alignment horizontal="center" vertical="center" wrapText="1"/>
    </xf>
    <xf numFmtId="20" fontId="2" fillId="13" borderId="1" xfId="0" applyNumberFormat="1" applyFont="1" applyFill="1" applyBorder="1" applyAlignment="1">
      <alignment vertical="center" wrapText="1"/>
    </xf>
    <xf numFmtId="0" fontId="2" fillId="16" borderId="6" xfId="24" applyFont="1" applyFill="1" applyBorder="1" applyAlignment="1">
      <alignment horizontal="left" vertical="center" wrapText="1"/>
    </xf>
    <xf numFmtId="0" fontId="2" fillId="2" borderId="24" xfId="24" applyFont="1" applyFill="1" applyBorder="1" applyAlignment="1">
      <alignment horizontal="left" vertical="center" wrapText="1"/>
    </xf>
    <xf numFmtId="0" fontId="2" fillId="13" borderId="15" xfId="24" applyFont="1" applyFill="1" applyBorder="1" applyAlignment="1">
      <alignment horizontal="left" vertical="center" wrapText="1"/>
    </xf>
    <xf numFmtId="15" fontId="2" fillId="13" borderId="1" xfId="24" applyNumberFormat="1" applyFont="1" applyFill="1" applyBorder="1" applyAlignment="1">
      <alignment horizontal="left" vertical="center" wrapText="1"/>
    </xf>
    <xf numFmtId="0" fontId="2" fillId="13" borderId="1" xfId="24" applyFont="1" applyFill="1" applyBorder="1" applyAlignment="1">
      <alignment horizontal="left" vertical="center" wrapText="1"/>
    </xf>
    <xf numFmtId="0" fontId="2" fillId="23" borderId="6" xfId="24" applyFont="1" applyFill="1" applyBorder="1" applyAlignment="1">
      <alignment horizontal="left" vertical="center" wrapText="1"/>
    </xf>
    <xf numFmtId="0" fontId="2" fillId="2" borderId="1" xfId="24" quotePrefix="1" applyFont="1" applyFill="1" applyBorder="1" applyAlignment="1">
      <alignment horizontal="center" vertical="center" wrapText="1"/>
    </xf>
    <xf numFmtId="0" fontId="2" fillId="2" borderId="1" xfId="24" applyFont="1" applyFill="1" applyBorder="1" applyAlignment="1">
      <alignment vertical="center"/>
    </xf>
    <xf numFmtId="0" fontId="2" fillId="2" borderId="1" xfId="7" applyFont="1" applyFill="1" applyBorder="1" applyAlignment="1">
      <alignment horizontal="center" vertical="center" wrapText="1"/>
    </xf>
    <xf numFmtId="0" fontId="2" fillId="13" borderId="15" xfId="24" quotePrefix="1" applyFont="1" applyFill="1" applyBorder="1" applyAlignment="1">
      <alignment horizontal="left" vertical="center" wrapText="1"/>
    </xf>
    <xf numFmtId="0" fontId="2" fillId="2" borderId="6" xfId="13" applyFont="1" applyFill="1" applyBorder="1" applyAlignment="1">
      <alignment horizontal="left" vertical="center" wrapText="1"/>
    </xf>
    <xf numFmtId="0" fontId="2" fillId="2" borderId="1" xfId="24" applyFont="1" applyFill="1" applyBorder="1" applyAlignment="1">
      <alignment horizontal="center" vertical="top" wrapText="1"/>
    </xf>
    <xf numFmtId="0" fontId="2" fillId="2" borderId="15" xfId="24" applyFont="1" applyFill="1" applyBorder="1" applyAlignment="1">
      <alignment vertical="center"/>
    </xf>
    <xf numFmtId="15" fontId="2" fillId="2" borderId="1" xfId="26" applyNumberFormat="1" applyFont="1" applyFill="1" applyBorder="1" applyAlignment="1">
      <alignment horizontal="left" vertical="center" wrapText="1"/>
    </xf>
    <xf numFmtId="0" fontId="2" fillId="2" borderId="1" xfId="26" applyFont="1" applyFill="1" applyBorder="1" applyAlignment="1">
      <alignment horizontal="center" vertical="center"/>
    </xf>
    <xf numFmtId="0" fontId="2" fillId="23" borderId="1" xfId="24" applyFont="1" applyFill="1" applyBorder="1" applyAlignment="1">
      <alignment horizontal="center" vertical="center" wrapText="1"/>
    </xf>
    <xf numFmtId="0" fontId="2" fillId="2" borderId="0" xfId="24" applyFont="1" applyFill="1" applyAlignment="1">
      <alignment vertical="center"/>
    </xf>
    <xf numFmtId="0" fontId="2" fillId="2" borderId="2" xfId="24" applyFont="1" applyFill="1" applyBorder="1" applyAlignment="1">
      <alignment horizontal="center" vertical="center" wrapText="1"/>
    </xf>
    <xf numFmtId="0" fontId="2" fillId="2" borderId="40" xfId="13" applyFont="1" applyFill="1" applyBorder="1" applyAlignment="1">
      <alignment horizontal="left" vertical="center" wrapText="1"/>
    </xf>
    <xf numFmtId="0" fontId="2" fillId="2" borderId="1" xfId="13" applyFont="1" applyFill="1" applyBorder="1" applyAlignment="1">
      <alignment horizontal="center" vertical="center" wrapText="1"/>
    </xf>
    <xf numFmtId="0" fontId="2" fillId="2" borderId="25" xfId="24" applyFont="1" applyFill="1" applyBorder="1" applyAlignment="1">
      <alignment horizontal="center" vertical="center" wrapText="1"/>
    </xf>
    <xf numFmtId="0" fontId="2" fillId="25" borderId="15" xfId="24" applyFont="1" applyFill="1" applyBorder="1" applyAlignment="1">
      <alignment horizontal="left" vertical="center" wrapText="1"/>
    </xf>
    <xf numFmtId="0" fontId="2" fillId="16" borderId="15" xfId="24" applyFont="1" applyFill="1" applyBorder="1" applyAlignment="1">
      <alignment horizontal="left" vertical="center" wrapText="1"/>
    </xf>
    <xf numFmtId="0" fontId="2" fillId="16" borderId="16" xfId="24" applyFont="1" applyFill="1" applyBorder="1" applyAlignment="1">
      <alignment horizontal="center" vertical="center" wrapText="1"/>
    </xf>
    <xf numFmtId="0" fontId="2" fillId="13" borderId="15" xfId="6" applyFont="1" applyFill="1" applyBorder="1" applyAlignment="1">
      <alignment horizontal="left" vertical="center" wrapText="1"/>
    </xf>
    <xf numFmtId="0" fontId="2" fillId="13" borderId="1" xfId="6" applyFont="1" applyFill="1" applyBorder="1" applyAlignment="1">
      <alignment horizontal="center" vertical="center" wrapText="1"/>
    </xf>
    <xf numFmtId="0" fontId="2" fillId="26" borderId="1" xfId="24" applyFont="1" applyFill="1" applyBorder="1" applyAlignment="1">
      <alignment horizontal="center" vertical="center" wrapText="1"/>
    </xf>
    <xf numFmtId="0" fontId="2" fillId="26" borderId="15" xfId="24" applyFont="1" applyFill="1" applyBorder="1" applyAlignment="1">
      <alignment horizontal="left" vertical="center" wrapText="1"/>
    </xf>
    <xf numFmtId="0" fontId="2" fillId="13" borderId="15" xfId="6" quotePrefix="1" applyFont="1" applyFill="1" applyBorder="1" applyAlignment="1">
      <alignment horizontal="left" vertical="center" wrapText="1"/>
    </xf>
    <xf numFmtId="0" fontId="2" fillId="2" borderId="15" xfId="13" applyFont="1" applyFill="1" applyBorder="1" applyAlignment="1">
      <alignment horizontal="left" vertical="center" wrapText="1"/>
    </xf>
    <xf numFmtId="15" fontId="2" fillId="2" borderId="1" xfId="24" quotePrefix="1" applyNumberFormat="1" applyFont="1" applyFill="1" applyBorder="1" applyAlignment="1">
      <alignment horizontal="left" vertical="center" wrapText="1"/>
    </xf>
    <xf numFmtId="0" fontId="2" fillId="2" borderId="6" xfId="24" applyFont="1" applyFill="1" applyBorder="1" applyAlignment="1">
      <alignment horizontal="left" vertical="center"/>
    </xf>
    <xf numFmtId="0" fontId="2" fillId="2" borderId="27" xfId="24" applyFont="1" applyFill="1" applyBorder="1" applyAlignment="1">
      <alignment horizontal="left" vertical="center" wrapText="1"/>
    </xf>
    <xf numFmtId="0" fontId="2" fillId="2" borderId="26" xfId="24" applyFont="1" applyFill="1" applyBorder="1" applyAlignment="1">
      <alignment horizontal="center" vertical="center" wrapText="1"/>
    </xf>
    <xf numFmtId="0" fontId="2" fillId="13" borderId="27" xfId="24" applyFont="1" applyFill="1" applyBorder="1" applyAlignment="1">
      <alignment horizontal="left" vertical="center" wrapText="1"/>
    </xf>
    <xf numFmtId="0" fontId="2" fillId="13" borderId="25" xfId="24" applyFont="1" applyFill="1" applyBorder="1" applyAlignment="1">
      <alignment horizontal="center" vertical="center" wrapText="1"/>
    </xf>
    <xf numFmtId="0" fontId="2" fillId="23" borderId="26" xfId="24" applyFont="1" applyFill="1" applyBorder="1" applyAlignment="1">
      <alignment horizontal="center" vertical="center" wrapText="1"/>
    </xf>
    <xf numFmtId="0" fontId="2" fillId="13" borderId="24" xfId="24" applyFont="1" applyFill="1" applyBorder="1" applyAlignment="1">
      <alignment horizontal="left" vertical="center" wrapText="1"/>
    </xf>
    <xf numFmtId="0" fontId="2" fillId="2" borderId="24" xfId="0" applyFont="1" applyFill="1" applyBorder="1" applyAlignment="1">
      <alignment horizontal="left" vertical="center" wrapText="1"/>
    </xf>
    <xf numFmtId="0" fontId="2" fillId="15" borderId="15" xfId="0" applyFont="1" applyFill="1" applyBorder="1" applyAlignment="1">
      <alignment horizontal="left" vertical="center" wrapText="1"/>
    </xf>
    <xf numFmtId="0" fontId="2" fillId="15" borderId="24" xfId="13" applyFont="1" applyFill="1" applyBorder="1" applyAlignment="1">
      <alignment horizontal="center" vertical="center"/>
    </xf>
    <xf numFmtId="0" fontId="2" fillId="15" borderId="25" xfId="13" applyFont="1" applyFill="1" applyBorder="1" applyAlignment="1">
      <alignment horizontal="center" vertical="center" wrapText="1"/>
    </xf>
    <xf numFmtId="0" fontId="2" fillId="15" borderId="1" xfId="24" applyFont="1" applyFill="1" applyBorder="1" applyAlignment="1">
      <alignment horizontal="left" vertical="center" wrapText="1"/>
    </xf>
    <xf numFmtId="0" fontId="2" fillId="15" borderId="6" xfId="24" applyFont="1" applyFill="1" applyBorder="1" applyAlignment="1">
      <alignment horizontal="left" vertical="center" wrapText="1"/>
    </xf>
    <xf numFmtId="0" fontId="2" fillId="15" borderId="1" xfId="24" applyFont="1" applyFill="1" applyBorder="1" applyAlignment="1">
      <alignment horizontal="center" vertical="center" wrapText="1"/>
    </xf>
    <xf numFmtId="0" fontId="2" fillId="15" borderId="24" xfId="13" applyFont="1" applyFill="1" applyBorder="1" applyAlignment="1">
      <alignment horizontal="center" vertical="center" wrapText="1"/>
    </xf>
    <xf numFmtId="0" fontId="2" fillId="16" borderId="24" xfId="13" applyFont="1" applyFill="1" applyBorder="1" applyAlignment="1">
      <alignment horizontal="center" vertical="center"/>
    </xf>
    <xf numFmtId="0" fontId="2" fillId="16" borderId="25" xfId="13" applyFont="1" applyFill="1" applyBorder="1" applyAlignment="1">
      <alignment horizontal="center" vertical="center" wrapText="1"/>
    </xf>
    <xf numFmtId="0" fontId="2" fillId="16" borderId="1" xfId="24" applyFont="1" applyFill="1" applyBorder="1" applyAlignment="1">
      <alignment horizontal="center" vertical="center" wrapText="1"/>
    </xf>
    <xf numFmtId="0" fontId="2" fillId="0" borderId="6" xfId="24" quotePrefix="1" applyFont="1" applyBorder="1" applyAlignment="1">
      <alignment horizontal="left" vertical="center" wrapText="1"/>
    </xf>
    <xf numFmtId="0" fontId="2" fillId="2" borderId="6" xfId="7" applyFont="1" applyFill="1" applyBorder="1" applyAlignment="1">
      <alignment vertical="top" wrapText="1"/>
    </xf>
    <xf numFmtId="49" fontId="2" fillId="2" borderId="1" xfId="24" applyNumberFormat="1" applyFont="1" applyFill="1" applyBorder="1" applyAlignment="1">
      <alignment horizontal="center" vertical="center" wrapText="1"/>
    </xf>
    <xf numFmtId="0" fontId="2" fillId="2" borderId="15" xfId="24" applyFont="1" applyFill="1" applyBorder="1" applyAlignment="1">
      <alignment horizontal="left" vertical="center"/>
    </xf>
    <xf numFmtId="0" fontId="2" fillId="15" borderId="15" xfId="41" applyFont="1" applyFill="1" applyBorder="1" applyAlignment="1">
      <alignment horizontal="center" vertical="center"/>
    </xf>
    <xf numFmtId="0" fontId="2" fillId="15" borderId="1" xfId="41" applyFont="1" applyFill="1" applyBorder="1" applyAlignment="1">
      <alignment horizontal="center" vertical="center" wrapText="1"/>
    </xf>
    <xf numFmtId="0" fontId="2" fillId="15" borderId="1" xfId="41" applyFont="1" applyFill="1" applyBorder="1" applyAlignment="1">
      <alignment horizontal="center" vertical="center"/>
    </xf>
    <xf numFmtId="49" fontId="2" fillId="15" borderId="1" xfId="41" applyNumberFormat="1" applyFont="1" applyFill="1" applyBorder="1" applyAlignment="1">
      <alignment horizontal="center" vertical="center"/>
    </xf>
    <xf numFmtId="49" fontId="2" fillId="15" borderId="1" xfId="41" quotePrefix="1" applyNumberFormat="1" applyFont="1" applyFill="1" applyBorder="1" applyAlignment="1">
      <alignment horizontal="center" vertical="center"/>
    </xf>
    <xf numFmtId="0" fontId="2" fillId="15" borderId="16" xfId="41" applyFont="1" applyFill="1" applyBorder="1" applyAlignment="1">
      <alignment horizontal="center" vertical="center"/>
    </xf>
    <xf numFmtId="0" fontId="2" fillId="15" borderId="1" xfId="0" applyFont="1" applyFill="1" applyBorder="1" applyAlignment="1">
      <alignment horizontal="center" vertical="center" wrapText="1"/>
    </xf>
    <xf numFmtId="0" fontId="2" fillId="25" borderId="24" xfId="24" applyFont="1" applyFill="1" applyBorder="1" applyAlignment="1">
      <alignment horizontal="left" vertical="center" wrapText="1"/>
    </xf>
    <xf numFmtId="0" fontId="2" fillId="25" borderId="25" xfId="24" applyFont="1" applyFill="1" applyBorder="1" applyAlignment="1">
      <alignment horizontal="center" vertical="center" wrapText="1"/>
    </xf>
    <xf numFmtId="0" fontId="2" fillId="25" borderId="26" xfId="24" applyFont="1" applyFill="1" applyBorder="1" applyAlignment="1">
      <alignment horizontal="center" vertical="center" wrapText="1"/>
    </xf>
    <xf numFmtId="0" fontId="2" fillId="25" borderId="27" xfId="24" applyFont="1" applyFill="1" applyBorder="1" applyAlignment="1">
      <alignment horizontal="left" vertical="center" wrapText="1"/>
    </xf>
    <xf numFmtId="0" fontId="2" fillId="0" borderId="0" xfId="25" applyFont="1"/>
    <xf numFmtId="0" fontId="2" fillId="2" borderId="11" xfId="24" applyFont="1" applyFill="1" applyBorder="1" applyAlignment="1">
      <alignment horizontal="center" vertical="center"/>
    </xf>
    <xf numFmtId="0" fontId="2" fillId="2" borderId="14" xfId="24" applyFont="1" applyFill="1" applyBorder="1" applyAlignment="1">
      <alignment horizontal="center" vertical="center"/>
    </xf>
    <xf numFmtId="0" fontId="2" fillId="2" borderId="20" xfId="24" applyFont="1" applyFill="1" applyBorder="1" applyAlignment="1">
      <alignment horizontal="left" vertical="center"/>
    </xf>
    <xf numFmtId="0" fontId="2" fillId="2" borderId="13" xfId="24" applyFont="1" applyFill="1" applyBorder="1" applyAlignment="1">
      <alignment horizontal="left" vertical="center"/>
    </xf>
    <xf numFmtId="0" fontId="2" fillId="2" borderId="20" xfId="24" applyFont="1" applyFill="1" applyBorder="1" applyAlignment="1">
      <alignment horizontal="center" vertical="center"/>
    </xf>
    <xf numFmtId="0" fontId="2" fillId="2" borderId="6" xfId="24" applyFont="1" applyFill="1" applyBorder="1" applyAlignment="1">
      <alignment horizontal="center" vertical="center"/>
    </xf>
    <xf numFmtId="0" fontId="2" fillId="4" borderId="17" xfId="13" applyFont="1" applyFill="1" applyBorder="1" applyAlignment="1">
      <alignment horizontal="center" vertical="center" wrapText="1"/>
    </xf>
    <xf numFmtId="0" fontId="2" fillId="4" borderId="12" xfId="24" applyFont="1" applyFill="1" applyBorder="1" applyAlignment="1">
      <alignment horizontal="left" vertical="center"/>
    </xf>
    <xf numFmtId="0" fontId="2" fillId="4" borderId="17" xfId="24" applyFont="1" applyFill="1" applyBorder="1" applyAlignment="1">
      <alignment horizontal="center" vertical="center"/>
    </xf>
    <xf numFmtId="0" fontId="2" fillId="4" borderId="18" xfId="24" applyFont="1" applyFill="1" applyBorder="1" applyAlignment="1">
      <alignment horizontal="center" vertical="center"/>
    </xf>
    <xf numFmtId="0" fontId="2" fillId="4" borderId="19" xfId="24" applyFont="1" applyFill="1" applyBorder="1" applyAlignment="1">
      <alignment horizontal="center" vertical="center"/>
    </xf>
    <xf numFmtId="0" fontId="2" fillId="4" borderId="19" xfId="24" applyFont="1" applyFill="1" applyBorder="1" applyAlignment="1">
      <alignment horizontal="left" vertical="center"/>
    </xf>
    <xf numFmtId="0" fontId="34" fillId="11" borderId="7" xfId="13" applyFont="1" applyFill="1" applyBorder="1" applyAlignment="1">
      <alignment horizontal="center" vertical="center" wrapText="1"/>
    </xf>
    <xf numFmtId="0" fontId="34" fillId="11" borderId="9" xfId="13" applyFont="1" applyFill="1" applyBorder="1" applyAlignment="1">
      <alignment horizontal="center" vertical="center" wrapText="1"/>
    </xf>
    <xf numFmtId="0" fontId="34" fillId="11" borderId="9" xfId="13" applyFont="1" applyFill="1" applyBorder="1" applyAlignment="1">
      <alignment horizontal="center" vertical="center"/>
    </xf>
    <xf numFmtId="0" fontId="34" fillId="11" borderId="8" xfId="13" applyFont="1" applyFill="1" applyBorder="1" applyAlignment="1">
      <alignment horizontal="center" vertical="center"/>
    </xf>
    <xf numFmtId="0" fontId="34" fillId="7" borderId="7" xfId="13" applyFont="1" applyFill="1" applyBorder="1" applyAlignment="1">
      <alignment horizontal="center" vertical="center" wrapText="1"/>
    </xf>
    <xf numFmtId="0" fontId="34" fillId="7" borderId="9" xfId="13" applyFont="1" applyFill="1" applyBorder="1" applyAlignment="1">
      <alignment horizontal="center" vertical="center" wrapText="1"/>
    </xf>
    <xf numFmtId="0" fontId="34" fillId="7" borderId="9" xfId="13" applyFont="1" applyFill="1" applyBorder="1" applyAlignment="1">
      <alignment horizontal="center" vertical="center"/>
    </xf>
    <xf numFmtId="0" fontId="34" fillId="7" borderId="8" xfId="13" applyFont="1" applyFill="1" applyBorder="1" applyAlignment="1">
      <alignment horizontal="center" vertical="center"/>
    </xf>
    <xf numFmtId="0" fontId="34" fillId="9" borderId="7" xfId="13" applyFont="1" applyFill="1" applyBorder="1" applyAlignment="1">
      <alignment horizontal="center" vertical="center" wrapText="1"/>
    </xf>
    <xf numFmtId="0" fontId="34" fillId="9" borderId="9" xfId="13" applyFont="1" applyFill="1" applyBorder="1" applyAlignment="1">
      <alignment horizontal="center" vertical="center" wrapText="1"/>
    </xf>
    <xf numFmtId="0" fontId="34" fillId="9" borderId="9" xfId="13" applyFont="1" applyFill="1" applyBorder="1" applyAlignment="1">
      <alignment horizontal="center" vertical="center"/>
    </xf>
    <xf numFmtId="0" fontId="34" fillId="9" borderId="8" xfId="13" applyFont="1" applyFill="1" applyBorder="1" applyAlignment="1">
      <alignment horizontal="center" vertical="center"/>
    </xf>
    <xf numFmtId="0" fontId="34" fillId="4" borderId="7" xfId="13" applyFont="1" applyFill="1" applyBorder="1" applyAlignment="1">
      <alignment horizontal="center" vertical="center" wrapText="1"/>
    </xf>
    <xf numFmtId="0" fontId="34" fillId="4" borderId="9" xfId="13" applyFont="1" applyFill="1" applyBorder="1" applyAlignment="1">
      <alignment horizontal="center" vertical="center" wrapText="1"/>
    </xf>
    <xf numFmtId="0" fontId="34" fillId="4" borderId="9" xfId="13" applyFont="1" applyFill="1" applyBorder="1" applyAlignment="1">
      <alignment horizontal="center" vertical="center"/>
    </xf>
    <xf numFmtId="0" fontId="34" fillId="4" borderId="8" xfId="13" applyFont="1" applyFill="1" applyBorder="1" applyAlignment="1">
      <alignment horizontal="center" vertical="center"/>
    </xf>
    <xf numFmtId="0" fontId="34" fillId="10" borderId="7" xfId="13" applyFont="1" applyFill="1" applyBorder="1" applyAlignment="1">
      <alignment horizontal="center" vertical="center" wrapText="1"/>
    </xf>
    <xf numFmtId="0" fontId="34" fillId="10" borderId="9" xfId="13" applyFont="1" applyFill="1" applyBorder="1" applyAlignment="1">
      <alignment horizontal="center" vertical="center" wrapText="1"/>
    </xf>
    <xf numFmtId="0" fontId="34" fillId="10" borderId="9" xfId="13" applyFont="1" applyFill="1" applyBorder="1" applyAlignment="1">
      <alignment horizontal="center" vertical="center"/>
    </xf>
    <xf numFmtId="0" fontId="34" fillId="10" borderId="8" xfId="13" applyFont="1" applyFill="1" applyBorder="1" applyAlignment="1">
      <alignment horizontal="center" vertical="center"/>
    </xf>
    <xf numFmtId="0" fontId="34" fillId="6" borderId="7" xfId="13" applyFont="1" applyFill="1" applyBorder="1" applyAlignment="1">
      <alignment horizontal="center" vertical="center" wrapText="1"/>
    </xf>
    <xf numFmtId="0" fontId="34" fillId="6" borderId="9" xfId="13" applyFont="1" applyFill="1" applyBorder="1" applyAlignment="1">
      <alignment horizontal="center" vertical="center" wrapText="1"/>
    </xf>
    <xf numFmtId="0" fontId="34" fillId="6" borderId="9" xfId="13" applyFont="1" applyFill="1" applyBorder="1" applyAlignment="1">
      <alignment horizontal="center" vertical="center"/>
    </xf>
    <xf numFmtId="0" fontId="34" fillId="6" borderId="8" xfId="13" applyFont="1" applyFill="1" applyBorder="1" applyAlignment="1">
      <alignment horizontal="center" vertical="center"/>
    </xf>
    <xf numFmtId="0" fontId="43" fillId="3" borderId="10" xfId="0" applyFont="1" applyFill="1" applyBorder="1" applyAlignment="1">
      <alignment vertical="center" wrapText="1"/>
    </xf>
    <xf numFmtId="0" fontId="43" fillId="3" borderId="45" xfId="0" applyFont="1" applyFill="1" applyBorder="1" applyAlignment="1">
      <alignment vertical="center" wrapText="1"/>
    </xf>
    <xf numFmtId="0" fontId="43" fillId="3" borderId="3" xfId="0" applyFont="1" applyFill="1" applyBorder="1" applyAlignment="1">
      <alignment vertical="center" wrapText="1"/>
    </xf>
    <xf numFmtId="0" fontId="26" fillId="2" borderId="35" xfId="34" applyFont="1" applyFill="1" applyBorder="1" applyAlignment="1">
      <alignment horizontal="left" vertical="center" wrapText="1"/>
    </xf>
    <xf numFmtId="0" fontId="26" fillId="2" borderId="36" xfId="34" applyFont="1" applyFill="1" applyBorder="1" applyAlignment="1">
      <alignment horizontal="left" vertical="center" wrapText="1"/>
    </xf>
    <xf numFmtId="0" fontId="26" fillId="2" borderId="6" xfId="34" applyFont="1" applyFill="1" applyBorder="1" applyAlignment="1">
      <alignment horizontal="left" vertical="center" wrapText="1"/>
    </xf>
    <xf numFmtId="0" fontId="26" fillId="2" borderId="16" xfId="34" applyFont="1" applyFill="1" applyBorder="1" applyAlignment="1">
      <alignment horizontal="left" vertical="center"/>
    </xf>
    <xf numFmtId="0" fontId="26" fillId="2" borderId="19" xfId="34" applyFont="1" applyFill="1" applyBorder="1" applyAlignment="1">
      <alignment horizontal="left" vertical="center" wrapText="1"/>
    </xf>
    <xf numFmtId="0" fontId="26" fillId="2" borderId="18" xfId="34" applyFont="1" applyFill="1" applyBorder="1" applyAlignment="1">
      <alignment horizontal="left" vertical="center"/>
    </xf>
    <xf numFmtId="0" fontId="34" fillId="12" borderId="1" xfId="39" applyFont="1" applyFill="1" applyBorder="1" applyAlignment="1">
      <alignment horizontal="left"/>
    </xf>
    <xf numFmtId="0" fontId="5" fillId="12" borderId="1" xfId="39" applyFill="1" applyBorder="1" applyAlignment="1">
      <alignment horizontal="left" vertical="center" wrapText="1"/>
    </xf>
    <xf numFmtId="0" fontId="50" fillId="12" borderId="1" xfId="39" applyFont="1" applyFill="1" applyBorder="1" applyAlignment="1">
      <alignment horizontal="center" vertical="center"/>
    </xf>
    <xf numFmtId="0" fontId="69" fillId="23" borderId="56" xfId="39" applyFont="1" applyFill="1" applyBorder="1" applyAlignment="1">
      <alignment horizontal="center" vertical="center"/>
    </xf>
    <xf numFmtId="0" fontId="5" fillId="23" borderId="56" xfId="39" applyFill="1" applyBorder="1"/>
    <xf numFmtId="0" fontId="60" fillId="23" borderId="56" xfId="39" applyFont="1" applyFill="1" applyBorder="1" applyAlignment="1">
      <alignment horizontal="center" vertical="center"/>
    </xf>
    <xf numFmtId="0" fontId="68" fillId="23" borderId="56" xfId="39" applyFont="1" applyFill="1" applyBorder="1" applyAlignment="1">
      <alignment horizontal="center" vertical="center"/>
    </xf>
    <xf numFmtId="0" fontId="60" fillId="23" borderId="51" xfId="39" applyFont="1" applyFill="1" applyBorder="1" applyAlignment="1">
      <alignment horizontal="center" vertical="center"/>
    </xf>
    <xf numFmtId="0" fontId="5" fillId="12" borderId="1" xfId="39" applyFill="1" applyBorder="1" applyAlignment="1">
      <alignment horizontal="left" wrapText="1"/>
    </xf>
    <xf numFmtId="0" fontId="26" fillId="0" borderId="37" xfId="39" applyFont="1" applyBorder="1" applyAlignment="1">
      <alignment horizontal="left" wrapText="1"/>
    </xf>
    <xf numFmtId="0" fontId="26" fillId="0" borderId="29" xfId="39" applyFont="1" applyBorder="1" applyAlignment="1">
      <alignment horizontal="left" wrapText="1"/>
    </xf>
    <xf numFmtId="0" fontId="26" fillId="0" borderId="30" xfId="39" applyFont="1" applyBorder="1" applyAlignment="1">
      <alignment horizontal="left" wrapText="1"/>
    </xf>
    <xf numFmtId="0" fontId="26" fillId="0" borderId="38" xfId="39" applyFont="1" applyBorder="1" applyAlignment="1">
      <alignment horizontal="left" wrapText="1"/>
    </xf>
    <xf numFmtId="0" fontId="26" fillId="0" borderId="0" xfId="39" applyFont="1" applyAlignment="1">
      <alignment horizontal="left" wrapText="1"/>
    </xf>
    <xf numFmtId="0" fontId="26" fillId="0" borderId="31" xfId="39" applyFont="1" applyBorder="1" applyAlignment="1">
      <alignment horizontal="left" wrapText="1"/>
    </xf>
    <xf numFmtId="0" fontId="0" fillId="0" borderId="38" xfId="39" applyFont="1" applyBorder="1" applyAlignment="1">
      <alignment horizontal="left" wrapText="1"/>
    </xf>
    <xf numFmtId="0" fontId="0" fillId="0" borderId="0" xfId="39" applyFont="1" applyAlignment="1">
      <alignment horizontal="left" wrapText="1"/>
    </xf>
    <xf numFmtId="0" fontId="0" fillId="0" borderId="31" xfId="39" applyFont="1" applyBorder="1" applyAlignment="1">
      <alignment horizontal="left" wrapText="1"/>
    </xf>
    <xf numFmtId="0" fontId="0" fillId="12" borderId="1" xfId="39" applyFont="1" applyFill="1" applyBorder="1" applyAlignment="1">
      <alignment horizontal="left" vertical="center" wrapText="1"/>
    </xf>
  </cellXfs>
  <cellStyles count="42">
    <cellStyle name="20 % - Accent3 2" xfId="31" xr:uid="{00000000-0005-0000-0000-000000000000}"/>
    <cellStyle name="20 % - Accent4 2" xfId="22" xr:uid="{00000000-0005-0000-0000-000001000000}"/>
    <cellStyle name="Euro" xfId="1" xr:uid="{00000000-0005-0000-0000-000002000000}"/>
    <cellStyle name="Lien hypertexte" xfId="2" builtinId="8"/>
    <cellStyle name="Milliers 2" xfId="28" xr:uid="{00000000-0005-0000-0000-000004000000}"/>
    <cellStyle name="Normal" xfId="0" builtinId="0"/>
    <cellStyle name="Normal 10" xfId="23" xr:uid="{00000000-0005-0000-0000-000006000000}"/>
    <cellStyle name="Normal 11" xfId="41" xr:uid="{DE1CCF35-C167-4840-98DA-4404C8D530D7}"/>
    <cellStyle name="Normal 2" xfId="3" xr:uid="{00000000-0005-0000-0000-000007000000}"/>
    <cellStyle name="Normal 2 2" xfId="4" xr:uid="{00000000-0005-0000-0000-000008000000}"/>
    <cellStyle name="Normal 2 2 2" xfId="13" xr:uid="{00000000-0005-0000-0000-000009000000}"/>
    <cellStyle name="Normal 2 3" xfId="8" xr:uid="{00000000-0005-0000-0000-00000A000000}"/>
    <cellStyle name="Normal 26" xfId="33" xr:uid="{00000000-0005-0000-0000-00000B000000}"/>
    <cellStyle name="Normal 3" xfId="6" xr:uid="{00000000-0005-0000-0000-00000C000000}"/>
    <cellStyle name="Normal 3 2" xfId="9" xr:uid="{00000000-0005-0000-0000-00000D000000}"/>
    <cellStyle name="Normal 3 3" xfId="17" xr:uid="{00000000-0005-0000-0000-00000E000000}"/>
    <cellStyle name="Normal 3 4" xfId="18" xr:uid="{00000000-0005-0000-0000-00000F000000}"/>
    <cellStyle name="Normal 3 5" xfId="24" xr:uid="{00000000-0005-0000-0000-000010000000}"/>
    <cellStyle name="Normal 4" xfId="5" xr:uid="{00000000-0005-0000-0000-000011000000}"/>
    <cellStyle name="Normal 4 2" xfId="7" xr:uid="{00000000-0005-0000-0000-000012000000}"/>
    <cellStyle name="Normal 4 2 2" xfId="19" xr:uid="{00000000-0005-0000-0000-000013000000}"/>
    <cellStyle name="Normal 4 2 3" xfId="26" xr:uid="{00000000-0005-0000-0000-000014000000}"/>
    <cellStyle name="Normal 5" xfId="10" xr:uid="{00000000-0005-0000-0000-000015000000}"/>
    <cellStyle name="Normal 5 2" xfId="34" xr:uid="{00000000-0005-0000-0000-000016000000}"/>
    <cellStyle name="Normal 6" xfId="12" xr:uid="{00000000-0005-0000-0000-000017000000}"/>
    <cellStyle name="Normal 6 2" xfId="27" xr:uid="{00000000-0005-0000-0000-000018000000}"/>
    <cellStyle name="Normal 61" xfId="14" xr:uid="{00000000-0005-0000-0000-000019000000}"/>
    <cellStyle name="Normal 7" xfId="20" xr:uid="{00000000-0005-0000-0000-00001A000000}"/>
    <cellStyle name="Normal 8" xfId="25" xr:uid="{00000000-0005-0000-0000-00001B000000}"/>
    <cellStyle name="Normal 85" xfId="21" xr:uid="{00000000-0005-0000-0000-00001C000000}"/>
    <cellStyle name="Normal 86" xfId="15" xr:uid="{00000000-0005-0000-0000-00001D000000}"/>
    <cellStyle name="Normal 9" xfId="29" xr:uid="{00000000-0005-0000-0000-00001E000000}"/>
    <cellStyle name="Normal 9 2" xfId="30" xr:uid="{00000000-0005-0000-0000-00001F000000}"/>
    <cellStyle name="Normal 9 3" xfId="32" xr:uid="{00000000-0005-0000-0000-000020000000}"/>
    <cellStyle name="Normal 9 3 2" xfId="38" xr:uid="{20089F93-C96D-4312-8B2E-B624A68EDE0C}"/>
    <cellStyle name="Normal 9 3 3" xfId="40" xr:uid="{088498C5-74A9-4E1D-8E23-D49C744A12FB}"/>
    <cellStyle name="Normal 9 4" xfId="35" xr:uid="{00000000-0005-0000-0000-000021000000}"/>
    <cellStyle name="Normal 9 5" xfId="36" xr:uid="{00000000-0005-0000-0000-000022000000}"/>
    <cellStyle name="Normal 9 5 2" xfId="37" xr:uid="{9D6AF3BF-ABC9-4064-8C70-4C70D34F9456}"/>
    <cellStyle name="Normal 9 5 3" xfId="39" xr:uid="{3618828F-C421-456F-9C70-7115AB7EFCDA}"/>
    <cellStyle name="Pourcentage 2" xfId="16" xr:uid="{00000000-0005-0000-0000-000023000000}"/>
    <cellStyle name="Style 1" xfId="11" xr:uid="{00000000-0005-0000-0000-00002400000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CC"/>
      <color rgb="FFFFFF99"/>
      <color rgb="FFFFCCFF"/>
      <color rgb="FFEBF1DE"/>
      <color rgb="FF41CBCB"/>
      <color rgb="FF43C970"/>
      <color rgb="FFFF9F9F"/>
      <color rgb="FFB1A0C7"/>
      <color rgb="FFFFFFFF"/>
      <color rgb="FF9994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ustomXml" Target="../customXml/item1.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hyperlink" Target="https://service.ca-mocca.com/maia-collab/CFR/SitePages/Notices.aspx" TargetMode="External"/></Relationships>
</file>

<file path=xl/drawings/drawing1.xml><?xml version="1.0" encoding="utf-8"?>
<xdr:wsDr xmlns:xdr="http://schemas.openxmlformats.org/drawingml/2006/spreadsheetDrawing" xmlns:a="http://schemas.openxmlformats.org/drawingml/2006/main">
  <xdr:twoCellAnchor>
    <xdr:from>
      <xdr:col>0</xdr:col>
      <xdr:colOff>54429</xdr:colOff>
      <xdr:row>0</xdr:row>
      <xdr:rowOff>81643</xdr:rowOff>
    </xdr:from>
    <xdr:to>
      <xdr:col>3</xdr:col>
      <xdr:colOff>952500</xdr:colOff>
      <xdr:row>0</xdr:row>
      <xdr:rowOff>598714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0100-000002000000}"/>
            </a:ext>
          </a:extLst>
        </xdr:cNvPr>
        <xdr:cNvSpPr/>
      </xdr:nvSpPr>
      <xdr:spPr>
        <a:xfrm>
          <a:off x="54429" y="81643"/>
          <a:ext cx="4091214" cy="517071"/>
        </a:xfrm>
        <a:prstGeom prst="rect">
          <a:avLst/>
        </a:prstGeom>
        <a:no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100">
              <a:solidFill>
                <a:sysClr val="windowText" lastClr="000000"/>
              </a:solidFill>
            </a:rPr>
            <a:t>Merci</a:t>
          </a:r>
          <a:r>
            <a:rPr lang="fr-FR" sz="1100" baseline="0">
              <a:solidFill>
                <a:sysClr val="windowText" lastClr="000000"/>
              </a:solidFill>
            </a:rPr>
            <a:t> de vérifier que vous utilisez la dernière version sur le MOCCA </a:t>
          </a:r>
          <a:r>
            <a:rPr lang="fr-FR" sz="1100">
              <a:solidFill>
                <a:sysClr val="windowText" lastClr="000000"/>
              </a:solidFill>
            </a:rPr>
            <a:t>/ </a:t>
          </a:r>
          <a:r>
            <a:rPr lang="fr-FR" sz="1100">
              <a:solidFill>
                <a:srgbClr val="0070C0"/>
              </a:solidFill>
            </a:rPr>
            <a:t>Please check that</a:t>
          </a:r>
          <a:r>
            <a:rPr lang="fr-FR" sz="1100" baseline="0">
              <a:solidFill>
                <a:srgbClr val="0070C0"/>
              </a:solidFill>
            </a:rPr>
            <a:t> it is the last version on the MOCCA</a:t>
          </a:r>
          <a:endParaRPr lang="fr-FR" sz="1100">
            <a:solidFill>
              <a:srgbClr val="0070C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asnas100\dfs_root\Projets05\CFR\2-D&#233;ploiement%20Groupe\Structure%20collecte%20actuelle\Flux%20ZP\@CRR\CRRV4.3&amp;C3RDV2.0\Notices\CRRV4.3\OLD\Notices%20EN\Draft_CRRv4.3%20%20-%20Degraded%20Data%20Entry_v1.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asnas100\dfs_root\Projets02\SEP\Projets%20transverses\CRRV4.2\1_Cahier%20des%20Charges%20&amp;%20Notices\1_Version%20en%20cours%20ne%20pas%20diffuser\NOTICES\Notices%20FR\Notice%20Client&#232;le%20de%20D&#233;tail%20CRRV4.2_v1.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mb11-nas1.par.emea.cib\HomeDir21\Users\MC186089\Documents\1.%20Projets\Cr&#233;dit%20agricole\CASA%20-%20Zone%20de%20partage\3.%20Pilote\4.%20Conception\3.%20Mapping\CASA%20-%20ZP%20-%20Mapping%20v%207.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Methodology"/>
      <sheetName val="Format CRR v4.3"/>
      <sheetName val="A1 Degraded Data Entry"/>
      <sheetName val="(CAP) - new"/>
    </sheetNames>
    <sheetDataSet>
      <sheetData sheetId="0" refreshError="1"/>
      <sheetData sheetId="1" refreshError="1"/>
      <sheetData sheetId="2" refreshError="1"/>
      <sheetData sheetId="3"/>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sheetName val="Méthodologie"/>
      <sheetName val="Format CRR V4.2"/>
      <sheetName val="C5 Tiers Agrégats"/>
      <sheetName val="C1 Tiers"/>
      <sheetName val="P5 (hors Crédit-bail, SIG)"/>
      <sheetName val="P5 Crédit-Bail"/>
      <sheetName val="P5 Signature"/>
      <sheetName val="P6 Ventilations Bâloises"/>
      <sheetName val="M5 Sûretés Agrégées"/>
      <sheetName val="P8 Provisions Agrégées"/>
      <sheetName val="Familles de risques"/>
      <sheetName val="Périmètres des sûretés"/>
      <sheetName val="Critères d'agrég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sheetName val="Mapping - Notice"/>
      <sheetName val="Mapping"/>
      <sheetName val="Liste des objets"/>
      <sheetName val="Mapping - Complément contrat"/>
      <sheetName val="Mapping - Complément tiers"/>
      <sheetName val="LOV"/>
      <sheetName val="Règles de contrôle"/>
      <sheetName val="Criticité des anomalies"/>
      <sheetName val="Sorties"/>
      <sheetName val="Sorties - Complément OMP"/>
      <sheetName val="Tables de transcodification"/>
      <sheetName val="REF"/>
      <sheetName val="Export DM"/>
      <sheetName val="Tables START"/>
      <sheetName val="Contrôles"/>
    </sheetNames>
    <sheetDataSet>
      <sheetData sheetId="0"/>
      <sheetData sheetId="1"/>
      <sheetData sheetId="2"/>
      <sheetData sheetId="3">
        <row r="1">
          <cell r="A1" t="str">
            <v>Libellé</v>
          </cell>
        </row>
        <row r="2">
          <cell r="A2" t="str">
            <v>&gt;&gt; DOMAINE CONTRAT</v>
          </cell>
        </row>
        <row r="3">
          <cell r="A3" t="str">
            <v>Agreement</v>
          </cell>
        </row>
        <row r="4">
          <cell r="A4" t="str">
            <v>Agreement balance type metric</v>
          </cell>
        </row>
        <row r="5">
          <cell r="A5" t="str">
            <v>Exposure agreement</v>
          </cell>
        </row>
        <row r="6">
          <cell r="A6" t="str">
            <v>Securitization feature</v>
          </cell>
        </row>
        <row r="7">
          <cell r="A7" t="str">
            <v>Syndication feature</v>
          </cell>
        </row>
        <row r="8">
          <cell r="A8" t="str">
            <v>Investment agreement</v>
          </cell>
        </row>
        <row r="9">
          <cell r="A9" t="str">
            <v>Credit agreement</v>
          </cell>
        </row>
        <row r="10">
          <cell r="A10" t="str">
            <v>Risk mitigant agreement</v>
          </cell>
        </row>
        <row r="11">
          <cell r="A11" t="str">
            <v>Collateral agreement</v>
          </cell>
        </row>
        <row r="12">
          <cell r="A12" t="str">
            <v>Third party guarantee agreement</v>
          </cell>
        </row>
        <row r="13">
          <cell r="A13" t="str">
            <v>Discount</v>
          </cell>
        </row>
        <row r="14">
          <cell r="A14" t="str">
            <v>Agreement asset</v>
          </cell>
        </row>
        <row r="15">
          <cell r="A15" t="str">
            <v>Agreement related</v>
          </cell>
        </row>
        <row r="16">
          <cell r="A16" t="str">
            <v>Agreement risk metric</v>
          </cell>
        </row>
        <row r="17">
          <cell r="A17" t="str">
            <v>Schedule</v>
          </cell>
        </row>
        <row r="18">
          <cell r="A18" t="str">
            <v>Schedule Stage</v>
          </cell>
        </row>
        <row r="19">
          <cell r="A19" t="str">
            <v>Depreciation</v>
          </cell>
        </row>
        <row r="20">
          <cell r="A20" t="str">
            <v>Agreement Depreciation</v>
          </cell>
        </row>
        <row r="21">
          <cell r="A21" t="str">
            <v>Provision</v>
          </cell>
        </row>
        <row r="22">
          <cell r="A22" t="str">
            <v>&gt;&gt; DOMAINE TRANCHES</v>
          </cell>
        </row>
        <row r="23">
          <cell r="A23" t="str">
            <v>Allocated Risk Mitigant Agreement</v>
          </cell>
        </row>
        <row r="24">
          <cell r="A24" t="str">
            <v>Basel Tranche</v>
          </cell>
        </row>
        <row r="25">
          <cell r="A25" t="str">
            <v>Basel Tranche Metric</v>
          </cell>
        </row>
        <row r="26">
          <cell r="A26" t="str">
            <v>&gt;&gt; DOMAINE TIERS</v>
          </cell>
        </row>
        <row r="27">
          <cell r="A27" t="str">
            <v>Party</v>
          </cell>
        </row>
        <row r="28">
          <cell r="A28" t="str">
            <v>Party identification</v>
          </cell>
        </row>
        <row r="29">
          <cell r="A29" t="str">
            <v>Party Agreement</v>
          </cell>
        </row>
        <row r="30">
          <cell r="A30" t="str">
            <v>Individual</v>
          </cell>
        </row>
        <row r="31">
          <cell r="A31" t="str">
            <v>Organization</v>
          </cell>
        </row>
        <row r="32">
          <cell r="A32" t="str">
            <v>Party locator</v>
          </cell>
        </row>
        <row r="33">
          <cell r="A33" t="str">
            <v>Party risk grade</v>
          </cell>
        </row>
        <row r="34">
          <cell r="A34" t="str">
            <v>Party metric</v>
          </cell>
        </row>
        <row r="35">
          <cell r="A35" t="str">
            <v>Party To Party Group</v>
          </cell>
        </row>
        <row r="36">
          <cell r="A36" t="str">
            <v>Entity</v>
          </cell>
        </row>
      </sheetData>
      <sheetData sheetId="4"/>
      <sheetData sheetId="5"/>
      <sheetData sheetId="6"/>
      <sheetData sheetId="7">
        <row r="1">
          <cell r="A1" t="str">
            <v>Ref. règle</v>
          </cell>
        </row>
      </sheetData>
      <sheetData sheetId="8"/>
      <sheetData sheetId="9"/>
      <sheetData sheetId="10"/>
      <sheetData sheetId="11"/>
      <sheetData sheetId="12"/>
      <sheetData sheetId="13"/>
      <sheetData sheetId="14"/>
      <sheetData sheetId="1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file://\\casnas100\Projets02\SEP\ZIZISOF\AppData\Local\Microsoft\Windows\AppData\AppData\Local\Microsoft\Windows\AppData\lefevan\AppData\Local\Microsoft\Windows\Temporary%20Internet%20Files\BANHDAN\AppData\Local\Microsoft\Windows\Temporary%20Internet%20Files\Content.MSO\5AA93B56.xl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3"/>
  <dimension ref="A1:L25"/>
  <sheetViews>
    <sheetView topLeftCell="A9" zoomScale="65" zoomScaleNormal="80" workbookViewId="0">
      <selection activeCell="K21" sqref="K21"/>
    </sheetView>
  </sheetViews>
  <sheetFormatPr baseColWidth="10" defaultColWidth="11.42578125" defaultRowHeight="15" x14ac:dyDescent="0.25"/>
  <cols>
    <col min="1" max="1" width="26.28515625" style="62" customWidth="1"/>
    <col min="2" max="2" width="11.140625" style="62" customWidth="1"/>
    <col min="3" max="3" width="97.5703125" style="62" customWidth="1"/>
    <col min="4" max="4" width="16.5703125" style="62" customWidth="1"/>
    <col min="5" max="16384" width="11.42578125" style="62"/>
  </cols>
  <sheetData>
    <row r="1" spans="1:12" x14ac:dyDescent="0.25">
      <c r="A1" s="61" t="s">
        <v>0</v>
      </c>
      <c r="B1" s="833"/>
    </row>
    <row r="2" spans="1:12" ht="15.75" thickBot="1" x14ac:dyDescent="0.3">
      <c r="A2" s="834"/>
      <c r="B2" s="833"/>
      <c r="H2" s="110" t="s">
        <v>1</v>
      </c>
    </row>
    <row r="3" spans="1:12" ht="15.75" thickBot="1" x14ac:dyDescent="0.3">
      <c r="A3" s="84" t="s">
        <v>2</v>
      </c>
      <c r="B3" s="66"/>
      <c r="C3" s="69" t="s">
        <v>3</v>
      </c>
      <c r="H3" s="111">
        <v>7</v>
      </c>
      <c r="I3" s="111">
        <v>6</v>
      </c>
      <c r="J3" s="111">
        <v>5</v>
      </c>
      <c r="K3" s="111" t="s">
        <v>4</v>
      </c>
      <c r="L3" s="111" t="s">
        <v>5</v>
      </c>
    </row>
    <row r="4" spans="1:12" ht="30" x14ac:dyDescent="0.25">
      <c r="A4" s="984" t="s">
        <v>6</v>
      </c>
      <c r="B4" s="66"/>
      <c r="C4" s="70" t="s">
        <v>7</v>
      </c>
      <c r="G4" s="112" t="s">
        <v>8</v>
      </c>
      <c r="H4" s="62">
        <f>COUNTIF('PACT Corp'!$AJ$4:$AJ$1504,Modifications!H$3)</f>
        <v>328</v>
      </c>
      <c r="I4" s="62">
        <f>COUNTIF('PACT Corp'!$AJ$4:$AJ$1504,Modifications!I$3)</f>
        <v>460</v>
      </c>
      <c r="J4" s="62">
        <f>COUNTIF('PACT Corp'!$AJ$4:$AJ$1504,Modifications!J$3)</f>
        <v>59</v>
      </c>
      <c r="K4" s="62">
        <f>L4-SUM(H4:J4)</f>
        <v>5</v>
      </c>
      <c r="L4" s="113">
        <f>COUNTA('PACT Corp'!$AJ$4:$AJ$1504)</f>
        <v>852</v>
      </c>
    </row>
    <row r="5" spans="1:12" ht="30.75" thickBot="1" x14ac:dyDescent="0.3">
      <c r="A5" s="985"/>
      <c r="B5" s="67"/>
      <c r="C5" s="71" t="s">
        <v>9</v>
      </c>
      <c r="G5" s="112" t="s">
        <v>10</v>
      </c>
      <c r="H5" s="62">
        <f>COUNTIF('PACT Corp'!$AN$4:$AN$1504,Modifications!H$3)</f>
        <v>615</v>
      </c>
      <c r="I5" s="62">
        <f>COUNTIF('PACT Corp'!$AN$4:$AN$1504,Modifications!I$3)</f>
        <v>0</v>
      </c>
      <c r="J5" s="62">
        <f>COUNTIF('PACT Corp'!$AN$4:$AN$1504,Modifications!J$3)</f>
        <v>0</v>
      </c>
      <c r="K5" s="62">
        <f t="shared" ref="K5:K9" si="0">L5-SUM(H5:J5)</f>
        <v>0</v>
      </c>
      <c r="L5" s="113">
        <f>COUNTA('PACT Corp'!$AN$4:$AN$1504)</f>
        <v>615</v>
      </c>
    </row>
    <row r="6" spans="1:12" ht="30.75" thickBot="1" x14ac:dyDescent="0.3">
      <c r="A6" s="84" t="s">
        <v>11</v>
      </c>
      <c r="B6" s="66"/>
      <c r="C6" s="72" t="s">
        <v>12</v>
      </c>
      <c r="G6" s="112" t="s">
        <v>13</v>
      </c>
      <c r="H6" s="62">
        <f>COUNTIF('PACT Corp'!$AR$4:$AR$1504,Modifications!H$3)</f>
        <v>205</v>
      </c>
      <c r="I6" s="62">
        <f>COUNTIF('PACT Corp'!$AR$4:$AR$1504,Modifications!I$3)</f>
        <v>18</v>
      </c>
      <c r="J6" s="62">
        <f>COUNTIF('PACT Corp'!$AR$4:$AR$1504,Modifications!J$3)</f>
        <v>0</v>
      </c>
      <c r="K6" s="62">
        <f t="shared" si="0"/>
        <v>4</v>
      </c>
      <c r="L6" s="113">
        <f>COUNTA('PACT Corp'!$AR$4:$AR$1504)</f>
        <v>227</v>
      </c>
    </row>
    <row r="7" spans="1:12" x14ac:dyDescent="0.25">
      <c r="A7" s="984" t="s">
        <v>14</v>
      </c>
      <c r="B7" s="66"/>
      <c r="C7" s="73" t="s">
        <v>15</v>
      </c>
      <c r="G7" s="112" t="s">
        <v>16</v>
      </c>
      <c r="H7" s="62">
        <f>COUNTIF('PACT Corp'!$AV$4:$AV$1504,Modifications!H$3)</f>
        <v>28</v>
      </c>
      <c r="I7" s="62">
        <f>COUNTIF('PACT Corp'!$AV$4:$AV$1504,Modifications!I$3)</f>
        <v>58</v>
      </c>
      <c r="J7" s="62">
        <f>COUNTIF('PACT Corp'!$AV$4:$AV$1504,Modifications!J$3)</f>
        <v>0</v>
      </c>
      <c r="K7" s="62">
        <f t="shared" si="0"/>
        <v>0</v>
      </c>
      <c r="L7" s="113">
        <f>COUNTA('PACT Corp'!$AV$4:$AV$1504)</f>
        <v>86</v>
      </c>
    </row>
    <row r="8" spans="1:12" ht="15.75" thickBot="1" x14ac:dyDescent="0.3">
      <c r="A8" s="986"/>
      <c r="B8" s="68"/>
      <c r="C8" s="71" t="s">
        <v>17</v>
      </c>
      <c r="G8" s="112" t="s">
        <v>18</v>
      </c>
      <c r="H8" s="62">
        <f>COUNTIF('PACT Corp'!$AZ$4:$AZ$1504,Modifications!H$3)</f>
        <v>34</v>
      </c>
      <c r="I8" s="62">
        <f>COUNTIF('PACT Corp'!$AZ$4:$AZ$1504,Modifications!I$3)</f>
        <v>18</v>
      </c>
      <c r="J8" s="62">
        <f>COUNTIF('PACT Corp'!$AZ$4:$AZ$1504,Modifications!J$3)</f>
        <v>0</v>
      </c>
      <c r="K8" s="62">
        <f t="shared" si="0"/>
        <v>23</v>
      </c>
      <c r="L8" s="113">
        <f>COUNTA('PACT Corp'!$AZ$4:$AZ$1504)</f>
        <v>75</v>
      </c>
    </row>
    <row r="9" spans="1:12" x14ac:dyDescent="0.25">
      <c r="B9" s="63"/>
      <c r="G9" s="112" t="s">
        <v>19</v>
      </c>
      <c r="H9" s="62">
        <f>COUNTIF('PACT Corp'!$BD$4:$BD$1504,Modifications!H$3)</f>
        <v>0</v>
      </c>
      <c r="I9" s="62">
        <f>COUNTIF('PACT Corp'!$BD$4:$BD$1504,Modifications!I$3)</f>
        <v>20</v>
      </c>
      <c r="J9" s="62">
        <f>COUNTIF('PACT Corp'!$BD$4:$BD$1504,Modifications!J$3)</f>
        <v>0</v>
      </c>
      <c r="K9" s="62">
        <f t="shared" si="0"/>
        <v>0</v>
      </c>
      <c r="L9" s="113">
        <f>COUNTA('PACT Corp'!$BD$4:$BD$1504)</f>
        <v>20</v>
      </c>
    </row>
    <row r="10" spans="1:12" x14ac:dyDescent="0.25">
      <c r="B10" s="63"/>
    </row>
    <row r="11" spans="1:12" ht="15.75" thickBot="1" x14ac:dyDescent="0.3"/>
    <row r="12" spans="1:12" x14ac:dyDescent="0.25">
      <c r="A12" s="81" t="s">
        <v>20</v>
      </c>
      <c r="B12" s="82"/>
      <c r="C12" s="82"/>
      <c r="D12" s="83"/>
    </row>
    <row r="13" spans="1:12" ht="30" x14ac:dyDescent="0.25">
      <c r="A13" s="823" t="s">
        <v>21</v>
      </c>
      <c r="B13" s="822" t="s">
        <v>22</v>
      </c>
      <c r="C13" s="821" t="s">
        <v>23</v>
      </c>
      <c r="D13" s="824" t="s">
        <v>24</v>
      </c>
    </row>
    <row r="14" spans="1:12" x14ac:dyDescent="0.25">
      <c r="A14" s="786">
        <v>46014</v>
      </c>
      <c r="B14" s="783" t="s">
        <v>25</v>
      </c>
      <c r="C14" s="784" t="s">
        <v>26</v>
      </c>
      <c r="D14" s="645"/>
    </row>
    <row r="15" spans="1:12" x14ac:dyDescent="0.25">
      <c r="A15" s="786">
        <v>46014</v>
      </c>
      <c r="B15" s="783" t="s">
        <v>25</v>
      </c>
      <c r="C15" s="784" t="s">
        <v>27</v>
      </c>
      <c r="D15" s="306"/>
    </row>
    <row r="16" spans="1:12" ht="45" x14ac:dyDescent="0.25">
      <c r="A16" s="786">
        <v>46014</v>
      </c>
      <c r="B16" s="783" t="s">
        <v>25</v>
      </c>
      <c r="C16" s="785" t="s">
        <v>28</v>
      </c>
      <c r="D16" s="777"/>
    </row>
    <row r="17" spans="1:4" ht="75" x14ac:dyDescent="0.25">
      <c r="A17" s="786">
        <v>46149</v>
      </c>
      <c r="B17" s="783" t="s">
        <v>29</v>
      </c>
      <c r="C17" s="785" t="s">
        <v>30</v>
      </c>
      <c r="D17" s="747"/>
    </row>
    <row r="18" spans="1:4" ht="45" x14ac:dyDescent="0.25">
      <c r="A18" s="786">
        <v>46149</v>
      </c>
      <c r="B18" s="783" t="s">
        <v>29</v>
      </c>
      <c r="C18" s="785" t="s">
        <v>31</v>
      </c>
      <c r="D18" s="825"/>
    </row>
    <row r="19" spans="1:4" ht="45" x14ac:dyDescent="0.25">
      <c r="A19" s="786">
        <v>46220</v>
      </c>
      <c r="B19" s="783" t="s">
        <v>32</v>
      </c>
      <c r="C19" s="785" t="s">
        <v>33</v>
      </c>
      <c r="D19" s="828"/>
    </row>
    <row r="20" spans="1:4" ht="45.75" thickBot="1" x14ac:dyDescent="0.3">
      <c r="A20" s="408">
        <v>46220</v>
      </c>
      <c r="B20" s="409" t="s">
        <v>32</v>
      </c>
      <c r="C20" s="464" t="s">
        <v>34</v>
      </c>
      <c r="D20" s="827"/>
    </row>
    <row r="21" spans="1:4" ht="15.75" thickBot="1" x14ac:dyDescent="0.3"/>
    <row r="22" spans="1:4" s="64" customFormat="1" x14ac:dyDescent="0.25">
      <c r="A22" s="74" t="s">
        <v>35</v>
      </c>
      <c r="B22" s="75"/>
      <c r="C22" s="76"/>
      <c r="D22" s="77"/>
    </row>
    <row r="23" spans="1:4" s="65" customFormat="1" ht="59.45" customHeight="1" x14ac:dyDescent="0.2">
      <c r="A23" s="109" t="s">
        <v>36</v>
      </c>
      <c r="B23" s="108"/>
      <c r="C23" s="987" t="s">
        <v>37</v>
      </c>
      <c r="D23" s="988"/>
    </row>
    <row r="24" spans="1:4" s="65" customFormat="1" ht="60" x14ac:dyDescent="0.2">
      <c r="A24" s="78" t="s">
        <v>38</v>
      </c>
      <c r="B24" s="79"/>
      <c r="C24" s="989" t="s">
        <v>39</v>
      </c>
      <c r="D24" s="990"/>
    </row>
    <row r="25" spans="1:4" s="65" customFormat="1" ht="60.75" thickBot="1" x14ac:dyDescent="0.25">
      <c r="A25" s="80" t="s">
        <v>40</v>
      </c>
      <c r="B25" s="85"/>
      <c r="C25" s="991" t="s">
        <v>39</v>
      </c>
      <c r="D25" s="992"/>
    </row>
  </sheetData>
  <mergeCells count="5">
    <mergeCell ref="A4:A5"/>
    <mergeCell ref="A7:A8"/>
    <mergeCell ref="C23:D23"/>
    <mergeCell ref="C24:D24"/>
    <mergeCell ref="C25:D2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filterMode="1">
    <tabColor rgb="FF92D050"/>
    <pageSetUpPr fitToPage="1"/>
  </sheetPr>
  <dimension ref="A1:BF1512"/>
  <sheetViews>
    <sheetView showGridLines="0" tabSelected="1" zoomScale="81" zoomScaleNormal="102" workbookViewId="0">
      <pane xSplit="7" ySplit="2" topLeftCell="Z18" activePane="bottomRight" state="frozen"/>
      <selection pane="topRight" activeCell="H1" sqref="H1"/>
      <selection pane="bottomLeft" activeCell="A3" sqref="A3"/>
      <selection pane="bottomRight" activeCell="F51" sqref="F51"/>
    </sheetView>
  </sheetViews>
  <sheetFormatPr baseColWidth="10" defaultColWidth="11.42578125" defaultRowHeight="15" x14ac:dyDescent="0.25"/>
  <cols>
    <col min="1" max="2" width="11.5703125" style="139" customWidth="1"/>
    <col min="3" max="4" width="22.5703125" style="136" customWidth="1"/>
    <col min="5" max="5" width="19.42578125" style="140" customWidth="1"/>
    <col min="6" max="7" width="31.5703125" style="141" customWidth="1"/>
    <col min="8" max="8" width="36.5703125" style="141" customWidth="1" collapsed="1"/>
    <col min="9" max="9" width="36.5703125" style="141" customWidth="1"/>
    <col min="10" max="12" width="15.5703125" style="141" customWidth="1"/>
    <col min="13" max="14" width="11.5703125" style="140" customWidth="1"/>
    <col min="15" max="16" width="15.5703125" style="143" customWidth="1"/>
    <col min="17" max="18" width="36.5703125" style="141" customWidth="1"/>
    <col min="19" max="19" width="11.5703125" style="140" customWidth="1" collapsed="1"/>
    <col min="20" max="21" width="11.5703125" style="144" customWidth="1"/>
    <col min="22" max="22" width="11.5703125" style="140" customWidth="1" collapsed="1"/>
    <col min="23" max="23" width="11.5703125" style="140" customWidth="1"/>
    <col min="24" max="24" width="11.5703125" style="145" customWidth="1"/>
    <col min="25" max="25" width="11.5703125" style="136" customWidth="1"/>
    <col min="26" max="26" width="14.28515625" style="136" customWidth="1"/>
    <col min="27" max="27" width="19.140625" style="139" customWidth="1"/>
    <col min="28" max="29" width="18.5703125" style="139" customWidth="1"/>
    <col min="30" max="32" width="26.85546875" style="137" customWidth="1"/>
    <col min="33" max="33" width="5.140625" style="53" customWidth="1"/>
    <col min="34" max="34" width="26.7109375" style="136" customWidth="1"/>
    <col min="35" max="35" width="21.5703125" style="136" customWidth="1"/>
    <col min="36" max="37" width="11.42578125" style="137"/>
    <col min="38" max="39" width="21.5703125" style="136" customWidth="1"/>
    <col min="40" max="40" width="11.42578125" style="137" customWidth="1"/>
    <col min="41" max="41" width="11.42578125" style="136" customWidth="1"/>
    <col min="42" max="43" width="21.5703125" style="136" customWidth="1"/>
    <col min="44" max="45" width="11.42578125" style="136" customWidth="1"/>
    <col min="46" max="46" width="21.5703125" style="136" customWidth="1"/>
    <col min="47" max="47" width="21.5703125" style="138" customWidth="1"/>
    <col min="48" max="49" width="11.42578125" style="137"/>
    <col min="50" max="51" width="21.5703125" style="136" customWidth="1"/>
    <col min="52" max="53" width="11.42578125" style="136"/>
    <col min="54" max="55" width="21.5703125" style="136" customWidth="1"/>
    <col min="56" max="57" width="11.42578125" style="136"/>
    <col min="58" max="16384" width="11.42578125" style="49"/>
  </cols>
  <sheetData>
    <row r="1" spans="1:57" ht="54" customHeight="1" thickBot="1" x14ac:dyDescent="0.3">
      <c r="A1" s="48"/>
      <c r="B1" s="48"/>
      <c r="C1" s="49"/>
      <c r="D1" s="49"/>
      <c r="E1" s="50"/>
      <c r="F1" s="51"/>
      <c r="G1" s="51"/>
      <c r="H1" s="51"/>
      <c r="I1" s="51"/>
      <c r="J1" s="51"/>
      <c r="K1" s="51"/>
      <c r="L1" s="51"/>
      <c r="M1" s="50"/>
      <c r="N1" s="50"/>
      <c r="O1" s="52"/>
      <c r="P1" s="52"/>
      <c r="Q1" s="51"/>
      <c r="R1" s="51"/>
      <c r="S1" s="50"/>
      <c r="T1" s="115"/>
      <c r="U1" s="115"/>
      <c r="V1" s="50"/>
      <c r="W1" s="50"/>
      <c r="X1" s="129"/>
      <c r="Y1" s="416"/>
      <c r="Z1" s="416"/>
      <c r="AA1" s="416"/>
      <c r="AB1" s="416"/>
      <c r="AC1" s="48"/>
      <c r="AD1" s="416"/>
      <c r="AE1" s="53"/>
      <c r="AF1" s="53"/>
      <c r="AH1" s="968" t="s">
        <v>41</v>
      </c>
      <c r="AI1" s="969"/>
      <c r="AJ1" s="970"/>
      <c r="AK1" s="971"/>
      <c r="AL1" s="972" t="s">
        <v>42</v>
      </c>
      <c r="AM1" s="973"/>
      <c r="AN1" s="974"/>
      <c r="AO1" s="975"/>
      <c r="AP1" s="980" t="s">
        <v>43</v>
      </c>
      <c r="AQ1" s="981"/>
      <c r="AR1" s="982"/>
      <c r="AS1" s="983"/>
      <c r="AT1" s="976" t="s">
        <v>44</v>
      </c>
      <c r="AU1" s="977"/>
      <c r="AV1" s="978"/>
      <c r="AW1" s="979"/>
      <c r="AX1" s="964" t="s">
        <v>45</v>
      </c>
      <c r="AY1" s="965"/>
      <c r="AZ1" s="966"/>
      <c r="BA1" s="967"/>
      <c r="BB1" s="960" t="s">
        <v>46</v>
      </c>
      <c r="BC1" s="961"/>
      <c r="BD1" s="962"/>
      <c r="BE1" s="963"/>
    </row>
    <row r="2" spans="1:57" ht="54" customHeight="1" x14ac:dyDescent="0.25">
      <c r="A2" s="35" t="s">
        <v>47</v>
      </c>
      <c r="B2" s="36" t="s">
        <v>48</v>
      </c>
      <c r="C2" s="37" t="s">
        <v>49</v>
      </c>
      <c r="D2" s="38" t="s">
        <v>50</v>
      </c>
      <c r="E2" s="36" t="s">
        <v>51</v>
      </c>
      <c r="F2" s="37" t="s">
        <v>52</v>
      </c>
      <c r="G2" s="38" t="s">
        <v>53</v>
      </c>
      <c r="H2" s="37" t="s">
        <v>54</v>
      </c>
      <c r="I2" s="38" t="s">
        <v>54</v>
      </c>
      <c r="J2" s="37" t="s">
        <v>55</v>
      </c>
      <c r="K2" s="38" t="s">
        <v>56</v>
      </c>
      <c r="L2" s="36" t="s">
        <v>57</v>
      </c>
      <c r="M2" s="37" t="s">
        <v>58</v>
      </c>
      <c r="N2" s="38" t="s">
        <v>59</v>
      </c>
      <c r="O2" s="36" t="s">
        <v>60</v>
      </c>
      <c r="P2" s="36" t="s">
        <v>61</v>
      </c>
      <c r="Q2" s="37" t="s">
        <v>62</v>
      </c>
      <c r="R2" s="38" t="s">
        <v>63</v>
      </c>
      <c r="S2" s="36" t="s">
        <v>64</v>
      </c>
      <c r="T2" s="116" t="s">
        <v>65</v>
      </c>
      <c r="U2" s="117" t="s">
        <v>66</v>
      </c>
      <c r="V2" s="36" t="s">
        <v>67</v>
      </c>
      <c r="W2" s="93" t="s">
        <v>68</v>
      </c>
      <c r="X2" s="130" t="s">
        <v>69</v>
      </c>
      <c r="Y2" s="36" t="s">
        <v>70</v>
      </c>
      <c r="Z2" s="36" t="s">
        <v>71</v>
      </c>
      <c r="AA2" s="36" t="s">
        <v>72</v>
      </c>
      <c r="AB2" s="36" t="s">
        <v>73</v>
      </c>
      <c r="AC2" s="36" t="s">
        <v>74</v>
      </c>
      <c r="AD2" s="36" t="s">
        <v>75</v>
      </c>
      <c r="AE2" s="36" t="s">
        <v>76</v>
      </c>
      <c r="AF2" s="39" t="s">
        <v>77</v>
      </c>
      <c r="AH2" s="146" t="s">
        <v>78</v>
      </c>
      <c r="AI2" s="147" t="s">
        <v>79</v>
      </c>
      <c r="AJ2" s="148" t="s">
        <v>80</v>
      </c>
      <c r="AK2" s="149" t="s">
        <v>81</v>
      </c>
      <c r="AL2" s="150" t="s">
        <v>82</v>
      </c>
      <c r="AM2" s="151" t="s">
        <v>83</v>
      </c>
      <c r="AN2" s="152" t="s">
        <v>84</v>
      </c>
      <c r="AO2" s="153" t="s">
        <v>85</v>
      </c>
      <c r="AP2" s="154" t="s">
        <v>86</v>
      </c>
      <c r="AQ2" s="155" t="s">
        <v>87</v>
      </c>
      <c r="AR2" s="156" t="s">
        <v>88</v>
      </c>
      <c r="AS2" s="157" t="s">
        <v>89</v>
      </c>
      <c r="AT2" s="158" t="s">
        <v>90</v>
      </c>
      <c r="AU2" s="159" t="s">
        <v>91</v>
      </c>
      <c r="AV2" s="160" t="s">
        <v>92</v>
      </c>
      <c r="AW2" s="161" t="s">
        <v>93</v>
      </c>
      <c r="AX2" s="1" t="s">
        <v>94</v>
      </c>
      <c r="AY2" s="2" t="s">
        <v>95</v>
      </c>
      <c r="AZ2" s="3" t="s">
        <v>96</v>
      </c>
      <c r="BA2" s="4" t="s">
        <v>97</v>
      </c>
      <c r="BB2" s="31" t="s">
        <v>98</v>
      </c>
      <c r="BC2" s="32" t="s">
        <v>99</v>
      </c>
      <c r="BD2" s="33" t="s">
        <v>96</v>
      </c>
      <c r="BE2" s="34" t="s">
        <v>97</v>
      </c>
    </row>
    <row r="3" spans="1:57" ht="54" hidden="1" customHeight="1" thickBot="1" x14ac:dyDescent="0.3">
      <c r="A3" s="94" t="s">
        <v>100</v>
      </c>
      <c r="B3" s="95" t="s">
        <v>101</v>
      </c>
      <c r="C3" s="95" t="s">
        <v>102</v>
      </c>
      <c r="D3" s="96" t="s">
        <v>103</v>
      </c>
      <c r="E3" s="97" t="s">
        <v>104</v>
      </c>
      <c r="F3" s="95" t="s">
        <v>105</v>
      </c>
      <c r="G3" s="96" t="s">
        <v>106</v>
      </c>
      <c r="H3" s="95" t="s">
        <v>107</v>
      </c>
      <c r="I3" s="96" t="s">
        <v>108</v>
      </c>
      <c r="J3" s="95" t="s">
        <v>109</v>
      </c>
      <c r="K3" s="96" t="s">
        <v>110</v>
      </c>
      <c r="L3" s="97" t="s">
        <v>111</v>
      </c>
      <c r="M3" s="95" t="s">
        <v>112</v>
      </c>
      <c r="N3" s="96" t="s">
        <v>113</v>
      </c>
      <c r="O3" s="95" t="s">
        <v>114</v>
      </c>
      <c r="P3" s="95" t="s">
        <v>115</v>
      </c>
      <c r="Q3" s="95" t="s">
        <v>116</v>
      </c>
      <c r="R3" s="96" t="s">
        <v>117</v>
      </c>
      <c r="S3" s="95" t="s">
        <v>118</v>
      </c>
      <c r="T3" s="118" t="s">
        <v>119</v>
      </c>
      <c r="U3" s="119" t="s">
        <v>120</v>
      </c>
      <c r="V3" s="95" t="s">
        <v>121</v>
      </c>
      <c r="W3" s="95" t="s">
        <v>122</v>
      </c>
      <c r="X3" s="118" t="s">
        <v>123</v>
      </c>
      <c r="Y3" s="95" t="s">
        <v>124</v>
      </c>
      <c r="Z3" s="98" t="s">
        <v>125</v>
      </c>
      <c r="AA3" s="411" t="s">
        <v>126</v>
      </c>
      <c r="AB3" s="411" t="s">
        <v>127</v>
      </c>
      <c r="AC3" s="411" t="s">
        <v>128</v>
      </c>
      <c r="AD3" s="417" t="s">
        <v>129</v>
      </c>
      <c r="AE3" s="411" t="s">
        <v>130</v>
      </c>
      <c r="AF3" s="419" t="s">
        <v>131</v>
      </c>
      <c r="AH3" s="40"/>
      <c r="AI3" s="41"/>
      <c r="AJ3" s="42"/>
      <c r="AK3" s="43"/>
      <c r="AL3" s="44"/>
      <c r="AM3" s="45"/>
      <c r="AN3" s="42"/>
      <c r="AO3" s="43"/>
      <c r="AP3" s="705"/>
      <c r="AQ3" s="45"/>
      <c r="AR3" s="706"/>
      <c r="AS3" s="707"/>
      <c r="AT3" s="44"/>
      <c r="AU3" s="45"/>
      <c r="AV3" s="42"/>
      <c r="AW3" s="43"/>
      <c r="AX3" s="46"/>
      <c r="AY3" s="41"/>
      <c r="AZ3" s="42"/>
      <c r="BA3" s="43"/>
      <c r="BB3" s="46"/>
      <c r="BC3" s="47"/>
      <c r="BD3" s="42"/>
      <c r="BE3" s="43"/>
    </row>
    <row r="4" spans="1:57" s="86" customFormat="1" ht="54" hidden="1" customHeight="1" x14ac:dyDescent="0.25">
      <c r="A4" s="835" t="s">
        <v>132</v>
      </c>
      <c r="B4" s="836">
        <v>1</v>
      </c>
      <c r="C4" s="836" t="s">
        <v>133</v>
      </c>
      <c r="D4" s="13" t="s">
        <v>134</v>
      </c>
      <c r="E4" s="837" t="s">
        <v>135</v>
      </c>
      <c r="F4" s="15" t="s">
        <v>136</v>
      </c>
      <c r="G4" s="16" t="s">
        <v>137</v>
      </c>
      <c r="H4" s="15" t="s">
        <v>138</v>
      </c>
      <c r="I4" s="16" t="s">
        <v>139</v>
      </c>
      <c r="J4" s="14" t="s">
        <v>140</v>
      </c>
      <c r="K4" s="17" t="s">
        <v>140</v>
      </c>
      <c r="L4" s="712" t="s">
        <v>141</v>
      </c>
      <c r="M4" s="14" t="s">
        <v>142</v>
      </c>
      <c r="N4" s="17" t="s">
        <v>143</v>
      </c>
      <c r="O4" s="14" t="s">
        <v>144</v>
      </c>
      <c r="P4" s="14" t="s">
        <v>144</v>
      </c>
      <c r="Q4" s="15" t="s">
        <v>145</v>
      </c>
      <c r="R4" s="16" t="s">
        <v>146</v>
      </c>
      <c r="S4" s="14" t="s">
        <v>147</v>
      </c>
      <c r="T4" s="120" t="s">
        <v>144</v>
      </c>
      <c r="U4" s="121" t="s">
        <v>144</v>
      </c>
      <c r="V4" s="14">
        <v>2</v>
      </c>
      <c r="W4" s="14" t="s">
        <v>144</v>
      </c>
      <c r="X4" s="120">
        <v>43</v>
      </c>
      <c r="Y4" s="120" t="s">
        <v>144</v>
      </c>
      <c r="Z4" s="120" t="s">
        <v>144</v>
      </c>
      <c r="AA4" s="14" t="s">
        <v>148</v>
      </c>
      <c r="AB4" s="414" t="s">
        <v>144</v>
      </c>
      <c r="AC4" s="14" t="s">
        <v>144</v>
      </c>
      <c r="AD4" s="14" t="s">
        <v>144</v>
      </c>
      <c r="AE4" s="14" t="s">
        <v>144</v>
      </c>
      <c r="AF4" s="18" t="s">
        <v>144</v>
      </c>
      <c r="AG4" s="838"/>
      <c r="AH4" s="168"/>
      <c r="AI4" s="169"/>
      <c r="AJ4" s="170"/>
      <c r="AK4" s="171"/>
      <c r="AL4" s="172"/>
      <c r="AM4" s="173"/>
      <c r="AN4" s="170"/>
      <c r="AO4" s="171"/>
      <c r="AP4" s="174"/>
      <c r="AQ4" s="175"/>
      <c r="AR4" s="170"/>
      <c r="AS4" s="176"/>
      <c r="AT4" s="174"/>
      <c r="AU4" s="175"/>
      <c r="AV4" s="170"/>
      <c r="AW4" s="176"/>
      <c r="AX4" s="169"/>
      <c r="AY4" s="177"/>
      <c r="AZ4" s="170"/>
      <c r="BA4" s="178"/>
      <c r="BB4" s="168"/>
      <c r="BC4" s="170"/>
      <c r="BD4" s="170"/>
      <c r="BE4" s="178"/>
    </row>
    <row r="5" spans="1:57" s="86" customFormat="1" ht="54" hidden="1" customHeight="1" x14ac:dyDescent="0.25">
      <c r="A5" s="839" t="s">
        <v>132</v>
      </c>
      <c r="B5" s="840">
        <v>2</v>
      </c>
      <c r="C5" s="840" t="s">
        <v>133</v>
      </c>
      <c r="D5" s="19" t="s">
        <v>134</v>
      </c>
      <c r="E5" s="841" t="s">
        <v>149</v>
      </c>
      <c r="F5" s="12" t="s">
        <v>150</v>
      </c>
      <c r="G5" s="20" t="s">
        <v>151</v>
      </c>
      <c r="H5" s="12" t="s">
        <v>152</v>
      </c>
      <c r="I5" s="20" t="s">
        <v>153</v>
      </c>
      <c r="J5" s="10" t="s">
        <v>140</v>
      </c>
      <c r="K5" s="11" t="s">
        <v>140</v>
      </c>
      <c r="L5" s="713" t="s">
        <v>154</v>
      </c>
      <c r="M5" s="10" t="s">
        <v>142</v>
      </c>
      <c r="N5" s="11" t="s">
        <v>143</v>
      </c>
      <c r="O5" s="10" t="s">
        <v>144</v>
      </c>
      <c r="P5" s="10" t="s">
        <v>144</v>
      </c>
      <c r="Q5" s="12" t="s">
        <v>155</v>
      </c>
      <c r="R5" s="20" t="s">
        <v>156</v>
      </c>
      <c r="S5" s="10" t="s">
        <v>147</v>
      </c>
      <c r="T5" s="123" t="s">
        <v>144</v>
      </c>
      <c r="U5" s="124" t="s">
        <v>144</v>
      </c>
      <c r="V5" s="10">
        <v>8</v>
      </c>
      <c r="W5" s="106" t="s">
        <v>144</v>
      </c>
      <c r="X5" s="123">
        <v>43</v>
      </c>
      <c r="Y5" s="123" t="s">
        <v>144</v>
      </c>
      <c r="Z5" s="122" t="s">
        <v>144</v>
      </c>
      <c r="AA5" s="10" t="s">
        <v>148</v>
      </c>
      <c r="AB5" s="415" t="s">
        <v>144</v>
      </c>
      <c r="AC5" s="10" t="s">
        <v>144</v>
      </c>
      <c r="AD5" s="10" t="s">
        <v>144</v>
      </c>
      <c r="AE5" s="10" t="s">
        <v>144</v>
      </c>
      <c r="AF5" s="21" t="s">
        <v>144</v>
      </c>
      <c r="AG5" s="838"/>
      <c r="AH5" s="179"/>
      <c r="AI5" s="180"/>
      <c r="AJ5" s="181"/>
      <c r="AK5" s="182"/>
      <c r="AL5" s="183"/>
      <c r="AM5" s="184"/>
      <c r="AN5" s="181"/>
      <c r="AO5" s="182"/>
      <c r="AP5" s="185"/>
      <c r="AQ5" s="186"/>
      <c r="AR5" s="181"/>
      <c r="AS5" s="187"/>
      <c r="AT5" s="185"/>
      <c r="AU5" s="186"/>
      <c r="AV5" s="181"/>
      <c r="AW5" s="187"/>
      <c r="AX5" s="180"/>
      <c r="AY5" s="188"/>
      <c r="AZ5" s="181"/>
      <c r="BA5" s="182"/>
      <c r="BB5" s="179"/>
      <c r="BC5" s="181"/>
      <c r="BD5" s="181"/>
      <c r="BE5" s="182"/>
    </row>
    <row r="6" spans="1:57" s="86" customFormat="1" ht="54" hidden="1" customHeight="1" x14ac:dyDescent="0.25">
      <c r="A6" s="839" t="s">
        <v>132</v>
      </c>
      <c r="B6" s="105">
        <v>3</v>
      </c>
      <c r="C6" s="840" t="s">
        <v>133</v>
      </c>
      <c r="D6" s="19" t="s">
        <v>134</v>
      </c>
      <c r="E6" s="841" t="s">
        <v>157</v>
      </c>
      <c r="F6" s="12" t="s">
        <v>158</v>
      </c>
      <c r="G6" s="20" t="s">
        <v>159</v>
      </c>
      <c r="H6" s="12" t="s">
        <v>160</v>
      </c>
      <c r="I6" s="20" t="s">
        <v>161</v>
      </c>
      <c r="J6" s="10" t="s">
        <v>140</v>
      </c>
      <c r="K6" s="11" t="s">
        <v>140</v>
      </c>
      <c r="L6" s="713" t="s">
        <v>162</v>
      </c>
      <c r="M6" s="10" t="s">
        <v>142</v>
      </c>
      <c r="N6" s="11" t="s">
        <v>143</v>
      </c>
      <c r="O6" s="10" t="s">
        <v>144</v>
      </c>
      <c r="P6" s="10" t="s">
        <v>144</v>
      </c>
      <c r="Q6" s="12" t="s">
        <v>163</v>
      </c>
      <c r="R6" s="20" t="s">
        <v>164</v>
      </c>
      <c r="S6" s="10" t="s">
        <v>147</v>
      </c>
      <c r="T6" s="123" t="s">
        <v>144</v>
      </c>
      <c r="U6" s="124" t="s">
        <v>144</v>
      </c>
      <c r="V6" s="10">
        <v>3</v>
      </c>
      <c r="W6" s="106" t="s">
        <v>144</v>
      </c>
      <c r="X6" s="123">
        <v>43</v>
      </c>
      <c r="Y6" s="123" t="s">
        <v>144</v>
      </c>
      <c r="Z6" s="123" t="s">
        <v>144</v>
      </c>
      <c r="AA6" s="10" t="s">
        <v>148</v>
      </c>
      <c r="AB6" s="415" t="s">
        <v>144</v>
      </c>
      <c r="AC6" s="10" t="s">
        <v>144</v>
      </c>
      <c r="AD6" s="10" t="s">
        <v>144</v>
      </c>
      <c r="AE6" s="10" t="s">
        <v>144</v>
      </c>
      <c r="AF6" s="21" t="s">
        <v>144</v>
      </c>
      <c r="AG6" s="838"/>
      <c r="AH6" s="179"/>
      <c r="AI6" s="180"/>
      <c r="AJ6" s="181"/>
      <c r="AK6" s="182"/>
      <c r="AL6" s="183"/>
      <c r="AM6" s="184"/>
      <c r="AN6" s="181"/>
      <c r="AO6" s="182"/>
      <c r="AP6" s="185"/>
      <c r="AQ6" s="186"/>
      <c r="AR6" s="181"/>
      <c r="AS6" s="187"/>
      <c r="AT6" s="185"/>
      <c r="AU6" s="186"/>
      <c r="AV6" s="181"/>
      <c r="AW6" s="187"/>
      <c r="AX6" s="180"/>
      <c r="AY6" s="188"/>
      <c r="AZ6" s="181"/>
      <c r="BA6" s="182"/>
      <c r="BB6" s="179"/>
      <c r="BC6" s="181"/>
      <c r="BD6" s="181"/>
      <c r="BE6" s="182"/>
    </row>
    <row r="7" spans="1:57" s="86" customFormat="1" ht="54" hidden="1" customHeight="1" x14ac:dyDescent="0.25">
      <c r="A7" s="839" t="s">
        <v>132</v>
      </c>
      <c r="B7" s="840">
        <v>4</v>
      </c>
      <c r="C7" s="840" t="s">
        <v>133</v>
      </c>
      <c r="D7" s="19" t="s">
        <v>134</v>
      </c>
      <c r="E7" s="841" t="s">
        <v>165</v>
      </c>
      <c r="F7" s="12" t="s">
        <v>166</v>
      </c>
      <c r="G7" s="20" t="s">
        <v>167</v>
      </c>
      <c r="H7" s="12" t="s">
        <v>168</v>
      </c>
      <c r="I7" s="20" t="s">
        <v>169</v>
      </c>
      <c r="J7" s="10" t="s">
        <v>140</v>
      </c>
      <c r="K7" s="11" t="s">
        <v>140</v>
      </c>
      <c r="L7" s="713" t="s">
        <v>170</v>
      </c>
      <c r="M7" s="10" t="s">
        <v>142</v>
      </c>
      <c r="N7" s="11" t="s">
        <v>143</v>
      </c>
      <c r="O7" s="10" t="s">
        <v>144</v>
      </c>
      <c r="P7" s="10" t="s">
        <v>144</v>
      </c>
      <c r="Q7" s="12" t="s">
        <v>144</v>
      </c>
      <c r="R7" s="20" t="s">
        <v>144</v>
      </c>
      <c r="S7" s="10" t="s">
        <v>147</v>
      </c>
      <c r="T7" s="123" t="s">
        <v>171</v>
      </c>
      <c r="U7" s="124" t="s">
        <v>172</v>
      </c>
      <c r="V7" s="10">
        <v>15</v>
      </c>
      <c r="W7" s="106" t="s">
        <v>144</v>
      </c>
      <c r="X7" s="123">
        <v>43</v>
      </c>
      <c r="Y7" s="123" t="s">
        <v>144</v>
      </c>
      <c r="Z7" s="123" t="s">
        <v>144</v>
      </c>
      <c r="AA7" s="10" t="s">
        <v>148</v>
      </c>
      <c r="AB7" s="415" t="s">
        <v>144</v>
      </c>
      <c r="AC7" s="10" t="s">
        <v>144</v>
      </c>
      <c r="AD7" s="10" t="s">
        <v>144</v>
      </c>
      <c r="AE7" s="10" t="s">
        <v>144</v>
      </c>
      <c r="AF7" s="21" t="s">
        <v>144</v>
      </c>
      <c r="AG7" s="838"/>
      <c r="AH7" s="179"/>
      <c r="AI7" s="180"/>
      <c r="AJ7" s="181"/>
      <c r="AK7" s="182"/>
      <c r="AL7" s="183"/>
      <c r="AM7" s="184"/>
      <c r="AN7" s="181"/>
      <c r="AO7" s="182"/>
      <c r="AP7" s="185"/>
      <c r="AQ7" s="186"/>
      <c r="AR7" s="181"/>
      <c r="AS7" s="187"/>
      <c r="AT7" s="185"/>
      <c r="AU7" s="186"/>
      <c r="AV7" s="181"/>
      <c r="AW7" s="187"/>
      <c r="AX7" s="180"/>
      <c r="AY7" s="188"/>
      <c r="AZ7" s="181"/>
      <c r="BA7" s="182"/>
      <c r="BB7" s="179"/>
      <c r="BC7" s="181"/>
      <c r="BD7" s="181"/>
      <c r="BE7" s="182"/>
    </row>
    <row r="8" spans="1:57" s="86" customFormat="1" ht="54" hidden="1" customHeight="1" x14ac:dyDescent="0.25">
      <c r="A8" s="839" t="s">
        <v>132</v>
      </c>
      <c r="B8" s="105">
        <v>5</v>
      </c>
      <c r="C8" s="840" t="s">
        <v>133</v>
      </c>
      <c r="D8" s="19" t="s">
        <v>134</v>
      </c>
      <c r="E8" s="841" t="s">
        <v>173</v>
      </c>
      <c r="F8" s="12" t="s">
        <v>174</v>
      </c>
      <c r="G8" s="20" t="s">
        <v>175</v>
      </c>
      <c r="H8" s="12" t="s">
        <v>176</v>
      </c>
      <c r="I8" s="20" t="s">
        <v>177</v>
      </c>
      <c r="J8" s="10" t="s">
        <v>140</v>
      </c>
      <c r="K8" s="11" t="s">
        <v>140</v>
      </c>
      <c r="L8" s="713" t="s">
        <v>178</v>
      </c>
      <c r="M8" s="10" t="s">
        <v>142</v>
      </c>
      <c r="N8" s="11" t="s">
        <v>143</v>
      </c>
      <c r="O8" s="10" t="s">
        <v>179</v>
      </c>
      <c r="P8" s="10" t="s">
        <v>180</v>
      </c>
      <c r="Q8" s="446" t="s">
        <v>144</v>
      </c>
      <c r="R8" s="447" t="s">
        <v>144</v>
      </c>
      <c r="S8" s="10" t="s">
        <v>147</v>
      </c>
      <c r="T8" s="123" t="s">
        <v>144</v>
      </c>
      <c r="U8" s="124" t="s">
        <v>144</v>
      </c>
      <c r="V8" s="10">
        <v>5</v>
      </c>
      <c r="W8" s="106" t="s">
        <v>144</v>
      </c>
      <c r="X8" s="123">
        <v>43</v>
      </c>
      <c r="Y8" s="123" t="s">
        <v>144</v>
      </c>
      <c r="Z8" s="122" t="s">
        <v>25</v>
      </c>
      <c r="AA8" s="10" t="s">
        <v>148</v>
      </c>
      <c r="AB8" s="415" t="s">
        <v>144</v>
      </c>
      <c r="AC8" s="10" t="s">
        <v>144</v>
      </c>
      <c r="AD8" s="10" t="s">
        <v>144</v>
      </c>
      <c r="AE8" s="10" t="s">
        <v>144</v>
      </c>
      <c r="AF8" s="21" t="s">
        <v>144</v>
      </c>
      <c r="AG8" s="838"/>
      <c r="AH8" s="179"/>
      <c r="AI8" s="180"/>
      <c r="AJ8" s="181"/>
      <c r="AK8" s="182"/>
      <c r="AL8" s="459"/>
      <c r="AM8" s="460"/>
      <c r="AN8" s="461"/>
      <c r="AO8" s="441"/>
      <c r="AP8" s="185"/>
      <c r="AQ8" s="186"/>
      <c r="AR8" s="181"/>
      <c r="AS8" s="187"/>
      <c r="AT8" s="185"/>
      <c r="AU8" s="186"/>
      <c r="AV8" s="181"/>
      <c r="AW8" s="187"/>
      <c r="AX8" s="180"/>
      <c r="AY8" s="188"/>
      <c r="AZ8" s="181"/>
      <c r="BA8" s="182"/>
      <c r="BB8" s="179"/>
      <c r="BC8" s="181"/>
      <c r="BD8" s="181"/>
      <c r="BE8" s="182"/>
    </row>
    <row r="9" spans="1:57" s="86" customFormat="1" ht="54" hidden="1" customHeight="1" x14ac:dyDescent="0.25">
      <c r="A9" s="839" t="s">
        <v>132</v>
      </c>
      <c r="B9" s="840">
        <v>6</v>
      </c>
      <c r="C9" s="840" t="s">
        <v>133</v>
      </c>
      <c r="D9" s="19" t="s">
        <v>134</v>
      </c>
      <c r="E9" s="841" t="s">
        <v>181</v>
      </c>
      <c r="F9" s="12" t="s">
        <v>182</v>
      </c>
      <c r="G9" s="20" t="s">
        <v>183</v>
      </c>
      <c r="H9" s="12" t="s">
        <v>184</v>
      </c>
      <c r="I9" s="20" t="s">
        <v>185</v>
      </c>
      <c r="J9" s="10" t="s">
        <v>140</v>
      </c>
      <c r="K9" s="11" t="s">
        <v>140</v>
      </c>
      <c r="L9" s="713" t="s">
        <v>186</v>
      </c>
      <c r="M9" s="10" t="s">
        <v>142</v>
      </c>
      <c r="N9" s="11" t="s">
        <v>143</v>
      </c>
      <c r="O9" s="10" t="s">
        <v>179</v>
      </c>
      <c r="P9" s="10" t="s">
        <v>180</v>
      </c>
      <c r="Q9" s="446" t="s">
        <v>144</v>
      </c>
      <c r="R9" s="447" t="s">
        <v>144</v>
      </c>
      <c r="S9" s="10" t="s">
        <v>147</v>
      </c>
      <c r="T9" s="123" t="s">
        <v>144</v>
      </c>
      <c r="U9" s="124" t="s">
        <v>144</v>
      </c>
      <c r="V9" s="10">
        <v>5</v>
      </c>
      <c r="W9" s="106" t="s">
        <v>144</v>
      </c>
      <c r="X9" s="123">
        <v>43</v>
      </c>
      <c r="Y9" s="123" t="s">
        <v>144</v>
      </c>
      <c r="Z9" s="123" t="s">
        <v>144</v>
      </c>
      <c r="AA9" s="10" t="s">
        <v>148</v>
      </c>
      <c r="AB9" s="415" t="s">
        <v>144</v>
      </c>
      <c r="AC9" s="10" t="s">
        <v>144</v>
      </c>
      <c r="AD9" s="10" t="s">
        <v>144</v>
      </c>
      <c r="AE9" s="10" t="s">
        <v>144</v>
      </c>
      <c r="AF9" s="21" t="s">
        <v>144</v>
      </c>
      <c r="AG9" s="838"/>
      <c r="AH9" s="179"/>
      <c r="AI9" s="180"/>
      <c r="AJ9" s="181"/>
      <c r="AK9" s="182"/>
      <c r="AL9" s="183"/>
      <c r="AM9" s="184"/>
      <c r="AN9" s="181"/>
      <c r="AO9" s="182"/>
      <c r="AP9" s="185"/>
      <c r="AQ9" s="186"/>
      <c r="AR9" s="181"/>
      <c r="AS9" s="187"/>
      <c r="AT9" s="185"/>
      <c r="AU9" s="186"/>
      <c r="AV9" s="181"/>
      <c r="AW9" s="187"/>
      <c r="AX9" s="180"/>
      <c r="AY9" s="188"/>
      <c r="AZ9" s="181"/>
      <c r="BA9" s="182"/>
      <c r="BB9" s="179"/>
      <c r="BC9" s="181"/>
      <c r="BD9" s="181"/>
      <c r="BE9" s="182"/>
    </row>
    <row r="10" spans="1:57" s="86" customFormat="1" ht="54" hidden="1" customHeight="1" x14ac:dyDescent="0.25">
      <c r="A10" s="839" t="s">
        <v>132</v>
      </c>
      <c r="B10" s="105">
        <v>7</v>
      </c>
      <c r="C10" s="840" t="s">
        <v>133</v>
      </c>
      <c r="D10" s="19" t="s">
        <v>134</v>
      </c>
      <c r="E10" s="841" t="s">
        <v>187</v>
      </c>
      <c r="F10" s="12" t="s">
        <v>188</v>
      </c>
      <c r="G10" s="20" t="s">
        <v>189</v>
      </c>
      <c r="H10" s="12" t="s">
        <v>190</v>
      </c>
      <c r="I10" s="20" t="s">
        <v>191</v>
      </c>
      <c r="J10" s="10" t="s">
        <v>140</v>
      </c>
      <c r="K10" s="11" t="s">
        <v>140</v>
      </c>
      <c r="L10" s="713" t="s">
        <v>192</v>
      </c>
      <c r="M10" s="10" t="s">
        <v>193</v>
      </c>
      <c r="N10" s="11" t="s">
        <v>194</v>
      </c>
      <c r="O10" s="10" t="s">
        <v>144</v>
      </c>
      <c r="P10" s="10" t="s">
        <v>144</v>
      </c>
      <c r="Q10" s="12" t="s">
        <v>144</v>
      </c>
      <c r="R10" s="20" t="s">
        <v>144</v>
      </c>
      <c r="S10" s="10" t="s">
        <v>147</v>
      </c>
      <c r="T10" s="123" t="s">
        <v>144</v>
      </c>
      <c r="U10" s="124" t="s">
        <v>144</v>
      </c>
      <c r="V10" s="10">
        <v>32</v>
      </c>
      <c r="W10" s="106" t="s">
        <v>144</v>
      </c>
      <c r="X10" s="123">
        <v>43</v>
      </c>
      <c r="Y10" s="123" t="s">
        <v>144</v>
      </c>
      <c r="Z10" s="123" t="s">
        <v>144</v>
      </c>
      <c r="AA10" s="10" t="s">
        <v>148</v>
      </c>
      <c r="AB10" s="415" t="s">
        <v>144</v>
      </c>
      <c r="AC10" s="10" t="s">
        <v>144</v>
      </c>
      <c r="AD10" s="10" t="s">
        <v>144</v>
      </c>
      <c r="AE10" s="10" t="s">
        <v>144</v>
      </c>
      <c r="AF10" s="21" t="s">
        <v>144</v>
      </c>
      <c r="AG10" s="838"/>
      <c r="AH10" s="179"/>
      <c r="AI10" s="180"/>
      <c r="AJ10" s="181"/>
      <c r="AK10" s="182"/>
      <c r="AL10" s="183"/>
      <c r="AM10" s="184"/>
      <c r="AN10" s="181"/>
      <c r="AO10" s="182"/>
      <c r="AP10" s="185"/>
      <c r="AQ10" s="186"/>
      <c r="AR10" s="181"/>
      <c r="AS10" s="187"/>
      <c r="AT10" s="185"/>
      <c r="AU10" s="186"/>
      <c r="AV10" s="181"/>
      <c r="AW10" s="187"/>
      <c r="AX10" s="180"/>
      <c r="AY10" s="188"/>
      <c r="AZ10" s="181"/>
      <c r="BA10" s="182"/>
      <c r="BB10" s="179"/>
      <c r="BC10" s="181"/>
      <c r="BD10" s="181"/>
      <c r="BE10" s="182"/>
    </row>
    <row r="11" spans="1:57" s="86" customFormat="1" ht="54" hidden="1" customHeight="1" x14ac:dyDescent="0.25">
      <c r="A11" s="839" t="s">
        <v>132</v>
      </c>
      <c r="B11" s="840">
        <v>8</v>
      </c>
      <c r="C11" s="840" t="s">
        <v>133</v>
      </c>
      <c r="D11" s="19" t="s">
        <v>134</v>
      </c>
      <c r="E11" s="841" t="s">
        <v>195</v>
      </c>
      <c r="F11" s="12" t="s">
        <v>196</v>
      </c>
      <c r="G11" s="20" t="s">
        <v>197</v>
      </c>
      <c r="H11" s="12" t="s">
        <v>198</v>
      </c>
      <c r="I11" s="20" t="s">
        <v>199</v>
      </c>
      <c r="J11" s="10" t="s">
        <v>140</v>
      </c>
      <c r="K11" s="11" t="s">
        <v>140</v>
      </c>
      <c r="L11" s="713" t="s">
        <v>200</v>
      </c>
      <c r="M11" s="10" t="s">
        <v>142</v>
      </c>
      <c r="N11" s="11" t="s">
        <v>143</v>
      </c>
      <c r="O11" s="10" t="s">
        <v>144</v>
      </c>
      <c r="P11" s="10" t="s">
        <v>144</v>
      </c>
      <c r="Q11" s="12" t="s">
        <v>201</v>
      </c>
      <c r="R11" s="20" t="s">
        <v>202</v>
      </c>
      <c r="S11" s="10" t="s">
        <v>147</v>
      </c>
      <c r="T11" s="123" t="s">
        <v>144</v>
      </c>
      <c r="U11" s="124" t="s">
        <v>144</v>
      </c>
      <c r="V11" s="10">
        <v>4</v>
      </c>
      <c r="W11" s="106" t="s">
        <v>144</v>
      </c>
      <c r="X11" s="123">
        <v>43</v>
      </c>
      <c r="Y11" s="123" t="s">
        <v>144</v>
      </c>
      <c r="Z11" s="122" t="s">
        <v>144</v>
      </c>
      <c r="AA11" s="10" t="s">
        <v>148</v>
      </c>
      <c r="AB11" s="415" t="s">
        <v>144</v>
      </c>
      <c r="AC11" s="10" t="s">
        <v>144</v>
      </c>
      <c r="AD11" s="10" t="s">
        <v>144</v>
      </c>
      <c r="AE11" s="10" t="s">
        <v>144</v>
      </c>
      <c r="AF11" s="21" t="s">
        <v>144</v>
      </c>
      <c r="AG11" s="838"/>
      <c r="AH11" s="179"/>
      <c r="AI11" s="180"/>
      <c r="AJ11" s="181"/>
      <c r="AK11" s="182"/>
      <c r="AL11" s="183"/>
      <c r="AM11" s="184"/>
      <c r="AN11" s="181"/>
      <c r="AO11" s="182"/>
      <c r="AP11" s="185"/>
      <c r="AQ11" s="186"/>
      <c r="AR11" s="181"/>
      <c r="AS11" s="187"/>
      <c r="AT11" s="185"/>
      <c r="AU11" s="186"/>
      <c r="AV11" s="181"/>
      <c r="AW11" s="187"/>
      <c r="AX11" s="180"/>
      <c r="AY11" s="188"/>
      <c r="AZ11" s="181"/>
      <c r="BA11" s="182"/>
      <c r="BB11" s="179"/>
      <c r="BC11" s="181"/>
      <c r="BD11" s="181"/>
      <c r="BE11" s="182"/>
    </row>
    <row r="12" spans="1:57" s="86" customFormat="1" ht="54" hidden="1" customHeight="1" x14ac:dyDescent="0.25">
      <c r="A12" s="839" t="s">
        <v>132</v>
      </c>
      <c r="B12" s="105">
        <v>9</v>
      </c>
      <c r="C12" s="840" t="s">
        <v>133</v>
      </c>
      <c r="D12" s="19" t="s">
        <v>134</v>
      </c>
      <c r="E12" s="841" t="s">
        <v>203</v>
      </c>
      <c r="F12" s="12" t="s">
        <v>204</v>
      </c>
      <c r="G12" s="20" t="s">
        <v>205</v>
      </c>
      <c r="H12" s="12" t="s">
        <v>206</v>
      </c>
      <c r="I12" s="20" t="s">
        <v>207</v>
      </c>
      <c r="J12" s="10" t="s">
        <v>140</v>
      </c>
      <c r="K12" s="11" t="s">
        <v>140</v>
      </c>
      <c r="L12" s="713" t="s">
        <v>208</v>
      </c>
      <c r="M12" s="10" t="s">
        <v>142</v>
      </c>
      <c r="N12" s="11" t="s">
        <v>143</v>
      </c>
      <c r="O12" s="10" t="s">
        <v>144</v>
      </c>
      <c r="P12" s="10" t="s">
        <v>144</v>
      </c>
      <c r="Q12" s="448" t="s">
        <v>209</v>
      </c>
      <c r="R12" s="162" t="s">
        <v>210</v>
      </c>
      <c r="S12" s="10" t="s">
        <v>147</v>
      </c>
      <c r="T12" s="123" t="s">
        <v>144</v>
      </c>
      <c r="U12" s="124" t="s">
        <v>144</v>
      </c>
      <c r="V12" s="10">
        <v>2</v>
      </c>
      <c r="W12" s="106" t="s">
        <v>144</v>
      </c>
      <c r="X12" s="123">
        <v>43</v>
      </c>
      <c r="Y12" s="123" t="s">
        <v>144</v>
      </c>
      <c r="Z12" s="131" t="s">
        <v>25</v>
      </c>
      <c r="AA12" s="10" t="s">
        <v>148</v>
      </c>
      <c r="AB12" s="415" t="s">
        <v>144</v>
      </c>
      <c r="AC12" s="10" t="s">
        <v>144</v>
      </c>
      <c r="AD12" s="10" t="s">
        <v>144</v>
      </c>
      <c r="AE12" s="10" t="s">
        <v>144</v>
      </c>
      <c r="AF12" s="21" t="s">
        <v>144</v>
      </c>
      <c r="AG12" s="838"/>
      <c r="AH12" s="179"/>
      <c r="AI12" s="180"/>
      <c r="AJ12" s="181"/>
      <c r="AK12" s="182"/>
      <c r="AL12" s="183"/>
      <c r="AM12" s="184"/>
      <c r="AN12" s="181"/>
      <c r="AO12" s="182"/>
      <c r="AP12" s="185"/>
      <c r="AQ12" s="186"/>
      <c r="AR12" s="181"/>
      <c r="AS12" s="187"/>
      <c r="AT12" s="185"/>
      <c r="AU12" s="186"/>
      <c r="AV12" s="181"/>
      <c r="AW12" s="187"/>
      <c r="AX12" s="180"/>
      <c r="AY12" s="188"/>
      <c r="AZ12" s="181"/>
      <c r="BA12" s="182"/>
      <c r="BB12" s="179"/>
      <c r="BC12" s="181"/>
      <c r="BD12" s="181"/>
      <c r="BE12" s="182"/>
    </row>
    <row r="13" spans="1:57" s="86" customFormat="1" ht="54" hidden="1" customHeight="1" x14ac:dyDescent="0.25">
      <c r="A13" s="839" t="s">
        <v>132</v>
      </c>
      <c r="B13" s="840">
        <v>10</v>
      </c>
      <c r="C13" s="840" t="s">
        <v>133</v>
      </c>
      <c r="D13" s="19" t="s">
        <v>134</v>
      </c>
      <c r="E13" s="841" t="s">
        <v>211</v>
      </c>
      <c r="F13" s="12" t="s">
        <v>212</v>
      </c>
      <c r="G13" s="20" t="s">
        <v>213</v>
      </c>
      <c r="H13" s="12" t="s">
        <v>214</v>
      </c>
      <c r="I13" s="20" t="s">
        <v>215</v>
      </c>
      <c r="J13" s="10" t="s">
        <v>140</v>
      </c>
      <c r="K13" s="11" t="s">
        <v>140</v>
      </c>
      <c r="L13" s="713" t="s">
        <v>216</v>
      </c>
      <c r="M13" s="10" t="s">
        <v>142</v>
      </c>
      <c r="N13" s="11" t="s">
        <v>143</v>
      </c>
      <c r="O13" s="10" t="s">
        <v>144</v>
      </c>
      <c r="P13" s="10" t="s">
        <v>144</v>
      </c>
      <c r="Q13" s="12" t="s">
        <v>217</v>
      </c>
      <c r="R13" s="20" t="s">
        <v>218</v>
      </c>
      <c r="S13" s="10" t="s">
        <v>147</v>
      </c>
      <c r="T13" s="123" t="s">
        <v>144</v>
      </c>
      <c r="U13" s="124" t="s">
        <v>144</v>
      </c>
      <c r="V13" s="10">
        <v>5</v>
      </c>
      <c r="W13" s="106" t="s">
        <v>144</v>
      </c>
      <c r="X13" s="123">
        <v>43</v>
      </c>
      <c r="Y13" s="123" t="s">
        <v>144</v>
      </c>
      <c r="Z13" s="123" t="s">
        <v>144</v>
      </c>
      <c r="AA13" s="10" t="s">
        <v>148</v>
      </c>
      <c r="AB13" s="415" t="s">
        <v>144</v>
      </c>
      <c r="AC13" s="10" t="s">
        <v>144</v>
      </c>
      <c r="AD13" s="10" t="s">
        <v>144</v>
      </c>
      <c r="AE13" s="10" t="s">
        <v>144</v>
      </c>
      <c r="AF13" s="21" t="s">
        <v>144</v>
      </c>
      <c r="AG13" s="838"/>
      <c r="AH13" s="179"/>
      <c r="AI13" s="180"/>
      <c r="AJ13" s="181"/>
      <c r="AK13" s="182"/>
      <c r="AL13" s="183"/>
      <c r="AM13" s="184"/>
      <c r="AN13" s="181"/>
      <c r="AO13" s="182"/>
      <c r="AP13" s="185"/>
      <c r="AQ13" s="186"/>
      <c r="AR13" s="181"/>
      <c r="AS13" s="187"/>
      <c r="AT13" s="185"/>
      <c r="AU13" s="186"/>
      <c r="AV13" s="181"/>
      <c r="AW13" s="187"/>
      <c r="AX13" s="180"/>
      <c r="AY13" s="188"/>
      <c r="AZ13" s="181"/>
      <c r="BA13" s="182"/>
      <c r="BB13" s="179"/>
      <c r="BC13" s="181"/>
      <c r="BD13" s="181"/>
      <c r="BE13" s="182"/>
    </row>
    <row r="14" spans="1:57" s="86" customFormat="1" ht="54" hidden="1" customHeight="1" x14ac:dyDescent="0.25">
      <c r="A14" s="839" t="s">
        <v>132</v>
      </c>
      <c r="B14" s="105">
        <v>11</v>
      </c>
      <c r="C14" s="840" t="s">
        <v>133</v>
      </c>
      <c r="D14" s="19" t="s">
        <v>134</v>
      </c>
      <c r="E14" s="841" t="s">
        <v>219</v>
      </c>
      <c r="F14" s="12" t="s">
        <v>220</v>
      </c>
      <c r="G14" s="20" t="s">
        <v>221</v>
      </c>
      <c r="H14" s="12" t="s">
        <v>222</v>
      </c>
      <c r="I14" s="20" t="s">
        <v>223</v>
      </c>
      <c r="J14" s="10" t="s">
        <v>140</v>
      </c>
      <c r="K14" s="11" t="s">
        <v>140</v>
      </c>
      <c r="L14" s="713" t="s">
        <v>224</v>
      </c>
      <c r="M14" s="10" t="s">
        <v>142</v>
      </c>
      <c r="N14" s="11" t="s">
        <v>143</v>
      </c>
      <c r="O14" s="10" t="s">
        <v>225</v>
      </c>
      <c r="P14" s="10" t="s">
        <v>226</v>
      </c>
      <c r="Q14" s="446" t="s">
        <v>144</v>
      </c>
      <c r="R14" s="447" t="s">
        <v>144</v>
      </c>
      <c r="S14" s="10" t="s">
        <v>147</v>
      </c>
      <c r="T14" s="123" t="s">
        <v>144</v>
      </c>
      <c r="U14" s="124" t="s">
        <v>144</v>
      </c>
      <c r="V14" s="10">
        <v>1</v>
      </c>
      <c r="W14" s="106" t="s">
        <v>144</v>
      </c>
      <c r="X14" s="123">
        <v>43</v>
      </c>
      <c r="Y14" s="123" t="s">
        <v>144</v>
      </c>
      <c r="Z14" s="123" t="s">
        <v>144</v>
      </c>
      <c r="AA14" s="10" t="s">
        <v>148</v>
      </c>
      <c r="AB14" s="415" t="s">
        <v>144</v>
      </c>
      <c r="AC14" s="10" t="s">
        <v>144</v>
      </c>
      <c r="AD14" s="10" t="s">
        <v>144</v>
      </c>
      <c r="AE14" s="10" t="s">
        <v>144</v>
      </c>
      <c r="AF14" s="21" t="s">
        <v>144</v>
      </c>
      <c r="AG14" s="838"/>
      <c r="AH14" s="179"/>
      <c r="AI14" s="180"/>
      <c r="AJ14" s="181"/>
      <c r="AK14" s="182"/>
      <c r="AL14" s="183"/>
      <c r="AM14" s="184"/>
      <c r="AN14" s="181"/>
      <c r="AO14" s="182"/>
      <c r="AP14" s="185"/>
      <c r="AQ14" s="186"/>
      <c r="AR14" s="181"/>
      <c r="AS14" s="187"/>
      <c r="AT14" s="185"/>
      <c r="AU14" s="186"/>
      <c r="AV14" s="181"/>
      <c r="AW14" s="187"/>
      <c r="AX14" s="180"/>
      <c r="AY14" s="188"/>
      <c r="AZ14" s="181"/>
      <c r="BA14" s="182"/>
      <c r="BB14" s="179"/>
      <c r="BC14" s="181"/>
      <c r="BD14" s="181"/>
      <c r="BE14" s="182"/>
    </row>
    <row r="15" spans="1:57" s="86" customFormat="1" ht="54" hidden="1" customHeight="1" x14ac:dyDescent="0.25">
      <c r="A15" s="839" t="s">
        <v>132</v>
      </c>
      <c r="B15" s="840">
        <v>12</v>
      </c>
      <c r="C15" s="840" t="s">
        <v>133</v>
      </c>
      <c r="D15" s="19" t="s">
        <v>134</v>
      </c>
      <c r="E15" s="841" t="s">
        <v>227</v>
      </c>
      <c r="F15" s="12" t="s">
        <v>228</v>
      </c>
      <c r="G15" s="20" t="s">
        <v>229</v>
      </c>
      <c r="H15" s="12" t="s">
        <v>230</v>
      </c>
      <c r="I15" s="20" t="s">
        <v>231</v>
      </c>
      <c r="J15" s="10" t="s">
        <v>140</v>
      </c>
      <c r="K15" s="11" t="s">
        <v>140</v>
      </c>
      <c r="L15" s="713" t="s">
        <v>232</v>
      </c>
      <c r="M15" s="10" t="s">
        <v>142</v>
      </c>
      <c r="N15" s="11" t="s">
        <v>143</v>
      </c>
      <c r="O15" s="10" t="s">
        <v>144</v>
      </c>
      <c r="P15" s="10" t="s">
        <v>144</v>
      </c>
      <c r="Q15" s="446" t="s">
        <v>144</v>
      </c>
      <c r="R15" s="447" t="s">
        <v>144</v>
      </c>
      <c r="S15" s="10" t="s">
        <v>233</v>
      </c>
      <c r="T15" s="123" t="s">
        <v>234</v>
      </c>
      <c r="U15" s="124" t="s">
        <v>235</v>
      </c>
      <c r="V15" s="10">
        <v>8</v>
      </c>
      <c r="W15" s="106" t="s">
        <v>144</v>
      </c>
      <c r="X15" s="123">
        <v>43</v>
      </c>
      <c r="Y15" s="123" t="s">
        <v>144</v>
      </c>
      <c r="Z15" s="123" t="s">
        <v>144</v>
      </c>
      <c r="AA15" s="10" t="s">
        <v>148</v>
      </c>
      <c r="AB15" s="415" t="s">
        <v>144</v>
      </c>
      <c r="AC15" s="10" t="s">
        <v>144</v>
      </c>
      <c r="AD15" s="10" t="s">
        <v>144</v>
      </c>
      <c r="AE15" s="10" t="s">
        <v>144</v>
      </c>
      <c r="AF15" s="21" t="s">
        <v>144</v>
      </c>
      <c r="AG15" s="838"/>
      <c r="AH15" s="179"/>
      <c r="AI15" s="180"/>
      <c r="AJ15" s="181"/>
      <c r="AK15" s="182"/>
      <c r="AL15" s="183"/>
      <c r="AM15" s="184"/>
      <c r="AN15" s="181"/>
      <c r="AO15" s="182"/>
      <c r="AP15" s="185"/>
      <c r="AQ15" s="186"/>
      <c r="AR15" s="181"/>
      <c r="AS15" s="187"/>
      <c r="AT15" s="185"/>
      <c r="AU15" s="186"/>
      <c r="AV15" s="181"/>
      <c r="AW15" s="187"/>
      <c r="AX15" s="180"/>
      <c r="AY15" s="188"/>
      <c r="AZ15" s="181"/>
      <c r="BA15" s="182"/>
      <c r="BB15" s="179"/>
      <c r="BC15" s="181"/>
      <c r="BD15" s="181"/>
      <c r="BE15" s="182"/>
    </row>
    <row r="16" spans="1:57" s="86" customFormat="1" ht="54" hidden="1" customHeight="1" x14ac:dyDescent="0.25">
      <c r="A16" s="839" t="s">
        <v>132</v>
      </c>
      <c r="B16" s="105">
        <v>13</v>
      </c>
      <c r="C16" s="840" t="s">
        <v>133</v>
      </c>
      <c r="D16" s="19" t="s">
        <v>134</v>
      </c>
      <c r="E16" s="841" t="s">
        <v>236</v>
      </c>
      <c r="F16" s="12" t="s">
        <v>237</v>
      </c>
      <c r="G16" s="20" t="s">
        <v>238</v>
      </c>
      <c r="H16" s="12" t="s">
        <v>239</v>
      </c>
      <c r="I16" s="20" t="s">
        <v>240</v>
      </c>
      <c r="J16" s="10" t="s">
        <v>140</v>
      </c>
      <c r="K16" s="11" t="s">
        <v>140</v>
      </c>
      <c r="L16" s="714" t="s">
        <v>241</v>
      </c>
      <c r="M16" s="10" t="s">
        <v>142</v>
      </c>
      <c r="N16" s="11" t="s">
        <v>143</v>
      </c>
      <c r="O16" s="10" t="s">
        <v>144</v>
      </c>
      <c r="P16" s="10" t="s">
        <v>144</v>
      </c>
      <c r="Q16" s="12" t="s">
        <v>242</v>
      </c>
      <c r="R16" s="20" t="s">
        <v>243</v>
      </c>
      <c r="S16" s="10" t="s">
        <v>147</v>
      </c>
      <c r="T16" s="123" t="s">
        <v>144</v>
      </c>
      <c r="U16" s="124" t="s">
        <v>144</v>
      </c>
      <c r="V16" s="10">
        <v>5</v>
      </c>
      <c r="W16" s="106" t="s">
        <v>144</v>
      </c>
      <c r="X16" s="123">
        <v>43</v>
      </c>
      <c r="Y16" s="123" t="s">
        <v>144</v>
      </c>
      <c r="Z16" s="123" t="s">
        <v>144</v>
      </c>
      <c r="AA16" s="10" t="s">
        <v>148</v>
      </c>
      <c r="AB16" s="415" t="s">
        <v>144</v>
      </c>
      <c r="AC16" s="10" t="s">
        <v>144</v>
      </c>
      <c r="AD16" s="10" t="s">
        <v>144</v>
      </c>
      <c r="AE16" s="10" t="s">
        <v>144</v>
      </c>
      <c r="AF16" s="21" t="s">
        <v>144</v>
      </c>
      <c r="AG16" s="838"/>
      <c r="AH16" s="179"/>
      <c r="AI16" s="180"/>
      <c r="AJ16" s="181"/>
      <c r="AK16" s="182"/>
      <c r="AL16" s="183"/>
      <c r="AM16" s="184"/>
      <c r="AN16" s="181"/>
      <c r="AO16" s="182"/>
      <c r="AP16" s="185"/>
      <c r="AQ16" s="186"/>
      <c r="AR16" s="181"/>
      <c r="AS16" s="187"/>
      <c r="AT16" s="185"/>
      <c r="AU16" s="186"/>
      <c r="AV16" s="181"/>
      <c r="AW16" s="187"/>
      <c r="AX16" s="180"/>
      <c r="AY16" s="188"/>
      <c r="AZ16" s="181"/>
      <c r="BA16" s="182"/>
      <c r="BB16" s="179"/>
      <c r="BC16" s="181"/>
      <c r="BD16" s="181"/>
      <c r="BE16" s="182"/>
    </row>
    <row r="17" spans="1:57" s="86" customFormat="1" ht="54" hidden="1" customHeight="1" x14ac:dyDescent="0.25">
      <c r="A17" s="839" t="s">
        <v>132</v>
      </c>
      <c r="B17" s="840">
        <v>14</v>
      </c>
      <c r="C17" s="840" t="s">
        <v>133</v>
      </c>
      <c r="D17" s="19" t="s">
        <v>134</v>
      </c>
      <c r="E17" s="841" t="s">
        <v>244</v>
      </c>
      <c r="F17" s="12" t="s">
        <v>245</v>
      </c>
      <c r="G17" s="20" t="s">
        <v>246</v>
      </c>
      <c r="H17" s="12" t="s">
        <v>247</v>
      </c>
      <c r="I17" s="20" t="s">
        <v>248</v>
      </c>
      <c r="J17" s="10" t="s">
        <v>140</v>
      </c>
      <c r="K17" s="11" t="s">
        <v>140</v>
      </c>
      <c r="L17" s="713" t="s">
        <v>249</v>
      </c>
      <c r="M17" s="10" t="s">
        <v>193</v>
      </c>
      <c r="N17" s="11" t="s">
        <v>194</v>
      </c>
      <c r="O17" s="10" t="s">
        <v>144</v>
      </c>
      <c r="P17" s="10" t="s">
        <v>144</v>
      </c>
      <c r="Q17" s="12" t="s">
        <v>144</v>
      </c>
      <c r="R17" s="20" t="s">
        <v>144</v>
      </c>
      <c r="S17" s="10" t="s">
        <v>147</v>
      </c>
      <c r="T17" s="123" t="s">
        <v>144</v>
      </c>
      <c r="U17" s="124" t="s">
        <v>144</v>
      </c>
      <c r="V17" s="10">
        <v>5</v>
      </c>
      <c r="W17" s="106" t="s">
        <v>144</v>
      </c>
      <c r="X17" s="123">
        <v>43</v>
      </c>
      <c r="Y17" s="123" t="s">
        <v>144</v>
      </c>
      <c r="Z17" s="123" t="s">
        <v>144</v>
      </c>
      <c r="AA17" s="10" t="s">
        <v>148</v>
      </c>
      <c r="AB17" s="415" t="s">
        <v>144</v>
      </c>
      <c r="AC17" s="10" t="s">
        <v>144</v>
      </c>
      <c r="AD17" s="10" t="s">
        <v>144</v>
      </c>
      <c r="AE17" s="10" t="s">
        <v>144</v>
      </c>
      <c r="AF17" s="21" t="s">
        <v>144</v>
      </c>
      <c r="AG17" s="838"/>
      <c r="AH17" s="179"/>
      <c r="AI17" s="180"/>
      <c r="AJ17" s="181"/>
      <c r="AK17" s="182"/>
      <c r="AL17" s="183"/>
      <c r="AM17" s="184"/>
      <c r="AN17" s="181"/>
      <c r="AO17" s="182"/>
      <c r="AP17" s="185"/>
      <c r="AQ17" s="186"/>
      <c r="AR17" s="181"/>
      <c r="AS17" s="187"/>
      <c r="AT17" s="185"/>
      <c r="AU17" s="186"/>
      <c r="AV17" s="181"/>
      <c r="AW17" s="187"/>
      <c r="AX17" s="180"/>
      <c r="AY17" s="188"/>
      <c r="AZ17" s="181"/>
      <c r="BA17" s="182"/>
      <c r="BB17" s="179"/>
      <c r="BC17" s="181"/>
      <c r="BD17" s="181"/>
      <c r="BE17" s="182"/>
    </row>
    <row r="18" spans="1:57" s="86" customFormat="1" ht="54" customHeight="1" x14ac:dyDescent="0.25">
      <c r="A18" s="842" t="s">
        <v>132</v>
      </c>
      <c r="B18" s="843">
        <v>15</v>
      </c>
      <c r="C18" s="843" t="s">
        <v>133</v>
      </c>
      <c r="D18" s="99" t="s">
        <v>134</v>
      </c>
      <c r="E18" s="844" t="s">
        <v>250</v>
      </c>
      <c r="F18" s="100" t="s">
        <v>251</v>
      </c>
      <c r="G18" s="101" t="s">
        <v>251</v>
      </c>
      <c r="H18" s="100" t="s">
        <v>252</v>
      </c>
      <c r="I18" s="101" t="s">
        <v>253</v>
      </c>
      <c r="J18" s="102" t="s">
        <v>140</v>
      </c>
      <c r="K18" s="103" t="s">
        <v>140</v>
      </c>
      <c r="L18" s="715" t="s">
        <v>254</v>
      </c>
      <c r="M18" s="102" t="s">
        <v>193</v>
      </c>
      <c r="N18" s="103" t="s">
        <v>194</v>
      </c>
      <c r="O18" s="102" t="s">
        <v>144</v>
      </c>
      <c r="P18" s="102" t="s">
        <v>144</v>
      </c>
      <c r="Q18" s="100" t="s">
        <v>144</v>
      </c>
      <c r="R18" s="101" t="s">
        <v>144</v>
      </c>
      <c r="S18" s="102" t="s">
        <v>147</v>
      </c>
      <c r="T18" s="125" t="s">
        <v>144</v>
      </c>
      <c r="U18" s="126" t="s">
        <v>144</v>
      </c>
      <c r="V18" s="102">
        <f>8000-(SUM(V4:V17)+COUNT(V4:V17))</f>
        <v>7886</v>
      </c>
      <c r="W18" s="102" t="s">
        <v>144</v>
      </c>
      <c r="X18" s="125">
        <v>43</v>
      </c>
      <c r="Y18" s="125" t="s">
        <v>144</v>
      </c>
      <c r="Z18" s="132" t="s">
        <v>144</v>
      </c>
      <c r="AA18" s="102" t="s">
        <v>148</v>
      </c>
      <c r="AB18" s="102" t="s">
        <v>144</v>
      </c>
      <c r="AC18" s="102" t="s">
        <v>144</v>
      </c>
      <c r="AD18" s="102" t="s">
        <v>144</v>
      </c>
      <c r="AE18" s="102" t="s">
        <v>144</v>
      </c>
      <c r="AF18" s="104" t="s">
        <v>144</v>
      </c>
      <c r="AG18" s="838"/>
      <c r="AH18" s="5"/>
      <c r="AI18" s="6"/>
      <c r="AJ18" s="7"/>
      <c r="AK18" s="8"/>
      <c r="AL18" s="163"/>
      <c r="AM18" s="164"/>
      <c r="AN18" s="7"/>
      <c r="AO18" s="8"/>
      <c r="AP18" s="165"/>
      <c r="AQ18" s="166"/>
      <c r="AR18" s="7"/>
      <c r="AS18" s="167"/>
      <c r="AT18" s="165"/>
      <c r="AU18" s="166"/>
      <c r="AV18" s="7"/>
      <c r="AW18" s="167"/>
      <c r="AX18" s="6"/>
      <c r="AY18" s="9"/>
      <c r="AZ18" s="7"/>
      <c r="BA18" s="8"/>
      <c r="BB18" s="5"/>
      <c r="BC18" s="7"/>
      <c r="BD18" s="7"/>
      <c r="BE18" s="8"/>
    </row>
    <row r="19" spans="1:57" ht="54" hidden="1" customHeight="1" x14ac:dyDescent="0.25">
      <c r="A19" s="189" t="s">
        <v>255</v>
      </c>
      <c r="B19" s="190">
        <v>1</v>
      </c>
      <c r="C19" s="710" t="s">
        <v>256</v>
      </c>
      <c r="D19" s="711" t="s">
        <v>257</v>
      </c>
      <c r="E19" s="192" t="s">
        <v>258</v>
      </c>
      <c r="F19" s="193" t="s">
        <v>259</v>
      </c>
      <c r="G19" s="194" t="s">
        <v>229</v>
      </c>
      <c r="H19" s="193" t="s">
        <v>260</v>
      </c>
      <c r="I19" s="194" t="s">
        <v>261</v>
      </c>
      <c r="J19" s="190" t="s">
        <v>140</v>
      </c>
      <c r="K19" s="195" t="s">
        <v>140</v>
      </c>
      <c r="L19" s="716" t="s">
        <v>144</v>
      </c>
      <c r="M19" s="190" t="s">
        <v>142</v>
      </c>
      <c r="N19" s="195" t="s">
        <v>143</v>
      </c>
      <c r="O19" s="192" t="s">
        <v>144</v>
      </c>
      <c r="P19" s="192" t="s">
        <v>144</v>
      </c>
      <c r="Q19" s="193" t="s">
        <v>262</v>
      </c>
      <c r="R19" s="194" t="s">
        <v>263</v>
      </c>
      <c r="S19" s="192" t="s">
        <v>233</v>
      </c>
      <c r="T19" s="196" t="s">
        <v>234</v>
      </c>
      <c r="U19" s="197" t="s">
        <v>235</v>
      </c>
      <c r="V19" s="190">
        <v>8</v>
      </c>
      <c r="W19" s="190" t="s">
        <v>144</v>
      </c>
      <c r="X19" s="198">
        <v>40</v>
      </c>
      <c r="Y19" s="198" t="s">
        <v>144</v>
      </c>
      <c r="Z19" s="198" t="s">
        <v>144</v>
      </c>
      <c r="AA19" s="190" t="s">
        <v>264</v>
      </c>
      <c r="AB19" s="190" t="s">
        <v>140</v>
      </c>
      <c r="AC19" s="190" t="s">
        <v>265</v>
      </c>
      <c r="AD19" s="190" t="s">
        <v>144</v>
      </c>
      <c r="AE19" s="190" t="s">
        <v>144</v>
      </c>
      <c r="AF19" s="176" t="s">
        <v>144</v>
      </c>
      <c r="AG19" s="838"/>
      <c r="AH19" s="199" t="s">
        <v>266</v>
      </c>
      <c r="AI19" s="200" t="s">
        <v>267</v>
      </c>
      <c r="AJ19" s="192"/>
      <c r="AK19" s="171" t="s">
        <v>268</v>
      </c>
      <c r="AL19" s="201"/>
      <c r="AM19" s="200"/>
      <c r="AN19" s="192"/>
      <c r="AO19" s="171"/>
      <c r="AP19" s="202" t="s">
        <v>269</v>
      </c>
      <c r="AQ19" s="203" t="s">
        <v>270</v>
      </c>
      <c r="AR19" s="192"/>
      <c r="AS19" s="176" t="s">
        <v>271</v>
      </c>
      <c r="AT19" s="202" t="s">
        <v>272</v>
      </c>
      <c r="AU19" s="203" t="s">
        <v>273</v>
      </c>
      <c r="AV19" s="192"/>
      <c r="AW19" s="171" t="s">
        <v>274</v>
      </c>
      <c r="AX19" s="201"/>
      <c r="AY19" s="200"/>
      <c r="AZ19" s="192"/>
      <c r="BA19" s="171"/>
      <c r="BB19" s="204"/>
      <c r="BC19" s="200"/>
      <c r="BD19" s="192"/>
      <c r="BE19" s="171"/>
    </row>
    <row r="20" spans="1:57" ht="54" hidden="1" customHeight="1" x14ac:dyDescent="0.25">
      <c r="A20" s="205" t="s">
        <v>255</v>
      </c>
      <c r="B20" s="206">
        <v>2</v>
      </c>
      <c r="C20" s="240" t="s">
        <v>256</v>
      </c>
      <c r="D20" s="270" t="s">
        <v>257</v>
      </c>
      <c r="E20" s="181" t="s">
        <v>275</v>
      </c>
      <c r="F20" s="209" t="s">
        <v>276</v>
      </c>
      <c r="G20" s="210" t="s">
        <v>277</v>
      </c>
      <c r="H20" s="209" t="s">
        <v>278</v>
      </c>
      <c r="I20" s="210" t="s">
        <v>279</v>
      </c>
      <c r="J20" s="206" t="s">
        <v>140</v>
      </c>
      <c r="K20" s="211" t="s">
        <v>140</v>
      </c>
      <c r="L20" s="717" t="s">
        <v>144</v>
      </c>
      <c r="M20" s="206" t="s">
        <v>142</v>
      </c>
      <c r="N20" s="211" t="s">
        <v>143</v>
      </c>
      <c r="O20" s="181" t="s">
        <v>179</v>
      </c>
      <c r="P20" s="206" t="s">
        <v>280</v>
      </c>
      <c r="Q20" s="209" t="s">
        <v>144</v>
      </c>
      <c r="R20" s="210" t="s">
        <v>144</v>
      </c>
      <c r="S20" s="181" t="s">
        <v>147</v>
      </c>
      <c r="T20" s="212" t="s">
        <v>144</v>
      </c>
      <c r="U20" s="213" t="s">
        <v>144</v>
      </c>
      <c r="V20" s="206">
        <v>5</v>
      </c>
      <c r="W20" s="206" t="s">
        <v>144</v>
      </c>
      <c r="X20" s="214">
        <v>40</v>
      </c>
      <c r="Y20" s="214" t="s">
        <v>144</v>
      </c>
      <c r="Z20" s="214" t="s">
        <v>144</v>
      </c>
      <c r="AA20" s="206" t="s">
        <v>264</v>
      </c>
      <c r="AB20" s="206" t="s">
        <v>140</v>
      </c>
      <c r="AC20" s="206" t="s">
        <v>265</v>
      </c>
      <c r="AD20" s="206" t="s">
        <v>144</v>
      </c>
      <c r="AE20" s="206" t="s">
        <v>144</v>
      </c>
      <c r="AF20" s="187" t="s">
        <v>144</v>
      </c>
      <c r="AG20" s="838"/>
      <c r="AH20" s="215" t="s">
        <v>266</v>
      </c>
      <c r="AI20" s="188" t="s">
        <v>267</v>
      </c>
      <c r="AJ20" s="181"/>
      <c r="AK20" s="182" t="s">
        <v>281</v>
      </c>
      <c r="AL20" s="185" t="s">
        <v>282</v>
      </c>
      <c r="AM20" s="186" t="s">
        <v>283</v>
      </c>
      <c r="AN20" s="181"/>
      <c r="AO20" s="182" t="s">
        <v>284</v>
      </c>
      <c r="AP20" s="180"/>
      <c r="AQ20" s="188"/>
      <c r="AR20" s="181"/>
      <c r="AS20" s="182"/>
      <c r="AT20" s="185"/>
      <c r="AU20" s="186"/>
      <c r="AV20" s="181"/>
      <c r="AW20" s="182"/>
      <c r="AX20" s="180"/>
      <c r="AY20" s="188"/>
      <c r="AZ20" s="181"/>
      <c r="BA20" s="182"/>
      <c r="BB20" s="179"/>
      <c r="BC20" s="188"/>
      <c r="BD20" s="181"/>
      <c r="BE20" s="182"/>
    </row>
    <row r="21" spans="1:57" ht="54" hidden="1" customHeight="1" x14ac:dyDescent="0.25">
      <c r="A21" s="205" t="s">
        <v>255</v>
      </c>
      <c r="B21" s="206">
        <v>3</v>
      </c>
      <c r="C21" s="240" t="s">
        <v>256</v>
      </c>
      <c r="D21" s="270" t="s">
        <v>257</v>
      </c>
      <c r="E21" s="181" t="s">
        <v>285</v>
      </c>
      <c r="F21" s="209" t="s">
        <v>286</v>
      </c>
      <c r="G21" s="210" t="s">
        <v>287</v>
      </c>
      <c r="H21" s="845" t="s">
        <v>288</v>
      </c>
      <c r="I21" s="208" t="s">
        <v>289</v>
      </c>
      <c r="J21" s="206" t="s">
        <v>140</v>
      </c>
      <c r="K21" s="211" t="s">
        <v>140</v>
      </c>
      <c r="L21" s="717" t="s">
        <v>144</v>
      </c>
      <c r="M21" s="206" t="s">
        <v>142</v>
      </c>
      <c r="N21" s="211" t="s">
        <v>143</v>
      </c>
      <c r="O21" s="449" t="s">
        <v>144</v>
      </c>
      <c r="P21" s="181" t="s">
        <v>290</v>
      </c>
      <c r="Q21" s="209" t="s">
        <v>291</v>
      </c>
      <c r="R21" s="210" t="s">
        <v>292</v>
      </c>
      <c r="S21" s="181" t="s">
        <v>147</v>
      </c>
      <c r="T21" s="212" t="s">
        <v>144</v>
      </c>
      <c r="U21" s="213" t="s">
        <v>144</v>
      </c>
      <c r="V21" s="206">
        <v>12</v>
      </c>
      <c r="W21" s="206" t="s">
        <v>144</v>
      </c>
      <c r="X21" s="214">
        <v>40</v>
      </c>
      <c r="Y21" s="214" t="s">
        <v>144</v>
      </c>
      <c r="Z21" s="214" t="s">
        <v>144</v>
      </c>
      <c r="AA21" s="206" t="s">
        <v>264</v>
      </c>
      <c r="AB21" s="206" t="s">
        <v>140</v>
      </c>
      <c r="AC21" s="206" t="s">
        <v>265</v>
      </c>
      <c r="AD21" s="206" t="s">
        <v>144</v>
      </c>
      <c r="AE21" s="206" t="s">
        <v>144</v>
      </c>
      <c r="AF21" s="187" t="s">
        <v>144</v>
      </c>
      <c r="AG21" s="838"/>
      <c r="AH21" s="215" t="s">
        <v>266</v>
      </c>
      <c r="AI21" s="188" t="s">
        <v>267</v>
      </c>
      <c r="AJ21" s="181"/>
      <c r="AK21" s="182" t="s">
        <v>293</v>
      </c>
      <c r="AL21" s="185" t="s">
        <v>294</v>
      </c>
      <c r="AM21" s="186" t="s">
        <v>295</v>
      </c>
      <c r="AN21" s="181"/>
      <c r="AO21" s="187" t="s">
        <v>296</v>
      </c>
      <c r="AP21" s="180"/>
      <c r="AQ21" s="188"/>
      <c r="AR21" s="181"/>
      <c r="AS21" s="182"/>
      <c r="AT21" s="185"/>
      <c r="AU21" s="186"/>
      <c r="AV21" s="181"/>
      <c r="AW21" s="182"/>
      <c r="AX21" s="180"/>
      <c r="AY21" s="188"/>
      <c r="AZ21" s="181"/>
      <c r="BA21" s="182"/>
      <c r="BB21" s="179"/>
      <c r="BC21" s="188"/>
      <c r="BD21" s="181"/>
      <c r="BE21" s="182"/>
    </row>
    <row r="22" spans="1:57" ht="54" hidden="1" customHeight="1" x14ac:dyDescent="0.25">
      <c r="A22" s="205" t="s">
        <v>255</v>
      </c>
      <c r="B22" s="206">
        <v>4</v>
      </c>
      <c r="C22" s="240" t="s">
        <v>297</v>
      </c>
      <c r="D22" s="270" t="s">
        <v>298</v>
      </c>
      <c r="E22" s="181" t="s">
        <v>299</v>
      </c>
      <c r="F22" s="209" t="s">
        <v>300</v>
      </c>
      <c r="G22" s="210" t="s">
        <v>301</v>
      </c>
      <c r="H22" s="209" t="s">
        <v>302</v>
      </c>
      <c r="I22" s="210" t="s">
        <v>303</v>
      </c>
      <c r="J22" s="206" t="s">
        <v>140</v>
      </c>
      <c r="K22" s="211" t="s">
        <v>140</v>
      </c>
      <c r="L22" s="717" t="s">
        <v>144</v>
      </c>
      <c r="M22" s="206" t="s">
        <v>142</v>
      </c>
      <c r="N22" s="211" t="s">
        <v>143</v>
      </c>
      <c r="O22" s="181" t="s">
        <v>144</v>
      </c>
      <c r="P22" s="181" t="s">
        <v>144</v>
      </c>
      <c r="Q22" s="209" t="s">
        <v>304</v>
      </c>
      <c r="R22" s="210" t="s">
        <v>305</v>
      </c>
      <c r="S22" s="181" t="s">
        <v>147</v>
      </c>
      <c r="T22" s="212" t="s">
        <v>144</v>
      </c>
      <c r="U22" s="213" t="s">
        <v>144</v>
      </c>
      <c r="V22" s="206">
        <v>1</v>
      </c>
      <c r="W22" s="206" t="s">
        <v>144</v>
      </c>
      <c r="X22" s="214">
        <v>40</v>
      </c>
      <c r="Y22" s="214" t="s">
        <v>144</v>
      </c>
      <c r="Z22" s="214" t="s">
        <v>144</v>
      </c>
      <c r="AA22" s="206" t="s">
        <v>264</v>
      </c>
      <c r="AB22" s="206" t="s">
        <v>140</v>
      </c>
      <c r="AC22" s="206" t="s">
        <v>265</v>
      </c>
      <c r="AD22" s="206" t="s">
        <v>144</v>
      </c>
      <c r="AE22" s="206" t="s">
        <v>144</v>
      </c>
      <c r="AF22" s="187" t="s">
        <v>144</v>
      </c>
      <c r="AG22" s="838"/>
      <c r="AH22" s="215" t="s">
        <v>266</v>
      </c>
      <c r="AI22" s="186" t="s">
        <v>267</v>
      </c>
      <c r="AJ22" s="181"/>
      <c r="AK22" s="182" t="s">
        <v>306</v>
      </c>
      <c r="AL22" s="180"/>
      <c r="AM22" s="188"/>
      <c r="AN22" s="181"/>
      <c r="AO22" s="182"/>
      <c r="AP22" s="185" t="s">
        <v>307</v>
      </c>
      <c r="AQ22" s="186" t="s">
        <v>308</v>
      </c>
      <c r="AR22" s="181"/>
      <c r="AS22" s="182" t="s">
        <v>309</v>
      </c>
      <c r="AT22" s="185"/>
      <c r="AU22" s="186"/>
      <c r="AV22" s="181"/>
      <c r="AW22" s="182"/>
      <c r="AX22" s="180"/>
      <c r="AY22" s="188"/>
      <c r="AZ22" s="181"/>
      <c r="BA22" s="182"/>
      <c r="BB22" s="179"/>
      <c r="BC22" s="188"/>
      <c r="BD22" s="181"/>
      <c r="BE22" s="182"/>
    </row>
    <row r="23" spans="1:57" ht="54" hidden="1" customHeight="1" x14ac:dyDescent="0.25">
      <c r="A23" s="205" t="s">
        <v>255</v>
      </c>
      <c r="B23" s="206">
        <v>5</v>
      </c>
      <c r="C23" s="240" t="s">
        <v>297</v>
      </c>
      <c r="D23" s="270" t="s">
        <v>298</v>
      </c>
      <c r="E23" s="181" t="s">
        <v>310</v>
      </c>
      <c r="F23" s="209" t="s">
        <v>311</v>
      </c>
      <c r="G23" s="210" t="s">
        <v>312</v>
      </c>
      <c r="H23" s="209" t="s">
        <v>313</v>
      </c>
      <c r="I23" s="210" t="s">
        <v>314</v>
      </c>
      <c r="J23" s="206" t="s">
        <v>140</v>
      </c>
      <c r="K23" s="211" t="s">
        <v>140</v>
      </c>
      <c r="L23" s="717" t="s">
        <v>144</v>
      </c>
      <c r="M23" s="206" t="s">
        <v>142</v>
      </c>
      <c r="N23" s="211" t="s">
        <v>143</v>
      </c>
      <c r="O23" s="181" t="s">
        <v>144</v>
      </c>
      <c r="P23" s="181" t="s">
        <v>144</v>
      </c>
      <c r="Q23" s="209" t="s">
        <v>315</v>
      </c>
      <c r="R23" s="210" t="s">
        <v>316</v>
      </c>
      <c r="S23" s="181" t="s">
        <v>147</v>
      </c>
      <c r="T23" s="212" t="s">
        <v>144</v>
      </c>
      <c r="U23" s="213" t="s">
        <v>144</v>
      </c>
      <c r="V23" s="206">
        <v>12</v>
      </c>
      <c r="W23" s="206" t="s">
        <v>144</v>
      </c>
      <c r="X23" s="214">
        <v>40</v>
      </c>
      <c r="Y23" s="214" t="s">
        <v>144</v>
      </c>
      <c r="Z23" s="214" t="s">
        <v>144</v>
      </c>
      <c r="AA23" s="206" t="s">
        <v>264</v>
      </c>
      <c r="AB23" s="206" t="s">
        <v>140</v>
      </c>
      <c r="AC23" s="206" t="s">
        <v>265</v>
      </c>
      <c r="AD23" s="206" t="s">
        <v>144</v>
      </c>
      <c r="AE23" s="206" t="s">
        <v>144</v>
      </c>
      <c r="AF23" s="187" t="s">
        <v>144</v>
      </c>
      <c r="AG23" s="838"/>
      <c r="AH23" s="215" t="s">
        <v>266</v>
      </c>
      <c r="AI23" s="186" t="s">
        <v>267</v>
      </c>
      <c r="AJ23" s="181"/>
      <c r="AK23" s="187" t="s">
        <v>317</v>
      </c>
      <c r="AL23" s="180"/>
      <c r="AM23" s="188"/>
      <c r="AN23" s="181"/>
      <c r="AO23" s="182"/>
      <c r="AP23" s="180"/>
      <c r="AQ23" s="188"/>
      <c r="AR23" s="181"/>
      <c r="AS23" s="182"/>
      <c r="AT23" s="185" t="s">
        <v>318</v>
      </c>
      <c r="AU23" s="186" t="s">
        <v>319</v>
      </c>
      <c r="AV23" s="181"/>
      <c r="AW23" s="182" t="s">
        <v>320</v>
      </c>
      <c r="AX23" s="180"/>
      <c r="AY23" s="188"/>
      <c r="AZ23" s="181"/>
      <c r="BA23" s="182"/>
      <c r="BB23" s="179"/>
      <c r="BC23" s="188"/>
      <c r="BD23" s="181"/>
      <c r="BE23" s="182"/>
    </row>
    <row r="24" spans="1:57" ht="54" hidden="1" customHeight="1" x14ac:dyDescent="0.25">
      <c r="A24" s="205" t="s">
        <v>255</v>
      </c>
      <c r="B24" s="206">
        <v>6</v>
      </c>
      <c r="C24" s="240" t="s">
        <v>297</v>
      </c>
      <c r="D24" s="270" t="s">
        <v>298</v>
      </c>
      <c r="E24" s="181" t="s">
        <v>321</v>
      </c>
      <c r="F24" s="209" t="s">
        <v>136</v>
      </c>
      <c r="G24" s="210" t="s">
        <v>322</v>
      </c>
      <c r="H24" s="846" t="s">
        <v>323</v>
      </c>
      <c r="I24" s="210" t="s">
        <v>324</v>
      </c>
      <c r="J24" s="206" t="s">
        <v>140</v>
      </c>
      <c r="K24" s="211" t="s">
        <v>140</v>
      </c>
      <c r="L24" s="717" t="s">
        <v>144</v>
      </c>
      <c r="M24" s="206" t="s">
        <v>142</v>
      </c>
      <c r="N24" s="211" t="s">
        <v>143</v>
      </c>
      <c r="O24" s="181" t="s">
        <v>144</v>
      </c>
      <c r="P24" s="181" t="s">
        <v>144</v>
      </c>
      <c r="Q24" s="209" t="s">
        <v>325</v>
      </c>
      <c r="R24" s="210" t="s">
        <v>326</v>
      </c>
      <c r="S24" s="181" t="s">
        <v>147</v>
      </c>
      <c r="T24" s="212" t="s">
        <v>144</v>
      </c>
      <c r="U24" s="213" t="s">
        <v>144</v>
      </c>
      <c r="V24" s="206">
        <v>2</v>
      </c>
      <c r="W24" s="206" t="s">
        <v>144</v>
      </c>
      <c r="X24" s="214">
        <v>40</v>
      </c>
      <c r="Y24" s="214" t="s">
        <v>144</v>
      </c>
      <c r="Z24" s="214" t="s">
        <v>144</v>
      </c>
      <c r="AA24" s="206" t="s">
        <v>264</v>
      </c>
      <c r="AB24" s="206" t="s">
        <v>140</v>
      </c>
      <c r="AC24" s="206" t="s">
        <v>265</v>
      </c>
      <c r="AD24" s="206" t="s">
        <v>144</v>
      </c>
      <c r="AE24" s="206" t="s">
        <v>144</v>
      </c>
      <c r="AF24" s="187" t="s">
        <v>144</v>
      </c>
      <c r="AG24" s="838"/>
      <c r="AH24" s="215" t="s">
        <v>266</v>
      </c>
      <c r="AI24" s="186" t="s">
        <v>267</v>
      </c>
      <c r="AJ24" s="181"/>
      <c r="AK24" s="187" t="s">
        <v>327</v>
      </c>
      <c r="AL24" s="180"/>
      <c r="AM24" s="188"/>
      <c r="AN24" s="181"/>
      <c r="AO24" s="182"/>
      <c r="AP24" s="185" t="s">
        <v>328</v>
      </c>
      <c r="AQ24" s="186" t="s">
        <v>329</v>
      </c>
      <c r="AR24" s="181"/>
      <c r="AS24" s="187" t="s">
        <v>327</v>
      </c>
      <c r="AT24" s="185"/>
      <c r="AU24" s="186"/>
      <c r="AV24" s="181"/>
      <c r="AW24" s="182"/>
      <c r="AX24" s="180"/>
      <c r="AY24" s="188"/>
      <c r="AZ24" s="181"/>
      <c r="BA24" s="182"/>
      <c r="BB24" s="179"/>
      <c r="BC24" s="188"/>
      <c r="BD24" s="181"/>
      <c r="BE24" s="182"/>
    </row>
    <row r="25" spans="1:57" s="54" customFormat="1" ht="54" hidden="1" customHeight="1" x14ac:dyDescent="0.25">
      <c r="A25" s="216" t="s">
        <v>255</v>
      </c>
      <c r="B25" s="217">
        <v>7</v>
      </c>
      <c r="C25" s="253" t="s">
        <v>144</v>
      </c>
      <c r="D25" s="253" t="s">
        <v>144</v>
      </c>
      <c r="E25" s="219" t="s">
        <v>330</v>
      </c>
      <c r="F25" s="220" t="s">
        <v>331</v>
      </c>
      <c r="G25" s="220" t="s">
        <v>332</v>
      </c>
      <c r="H25" s="220" t="s">
        <v>331</v>
      </c>
      <c r="I25" s="220" t="s">
        <v>332</v>
      </c>
      <c r="J25" s="217" t="s">
        <v>144</v>
      </c>
      <c r="K25" s="217" t="s">
        <v>144</v>
      </c>
      <c r="L25" s="708" t="s">
        <v>144</v>
      </c>
      <c r="M25" s="217" t="s">
        <v>144</v>
      </c>
      <c r="N25" s="217" t="s">
        <v>144</v>
      </c>
      <c r="O25" s="219" t="s">
        <v>144</v>
      </c>
      <c r="P25" s="219" t="s">
        <v>144</v>
      </c>
      <c r="Q25" s="220" t="s">
        <v>333</v>
      </c>
      <c r="R25" s="220" t="s">
        <v>334</v>
      </c>
      <c r="S25" s="219" t="s">
        <v>147</v>
      </c>
      <c r="T25" s="221" t="s">
        <v>144</v>
      </c>
      <c r="U25" s="221" t="s">
        <v>144</v>
      </c>
      <c r="V25" s="217">
        <v>1</v>
      </c>
      <c r="W25" s="217" t="s">
        <v>144</v>
      </c>
      <c r="X25" s="222" t="s">
        <v>144</v>
      </c>
      <c r="Y25" s="222">
        <v>42</v>
      </c>
      <c r="Z25" s="222" t="s">
        <v>144</v>
      </c>
      <c r="AA25" s="217" t="s">
        <v>144</v>
      </c>
      <c r="AB25" s="217" t="s">
        <v>144</v>
      </c>
      <c r="AC25" s="217" t="s">
        <v>265</v>
      </c>
      <c r="AD25" s="217" t="s">
        <v>144</v>
      </c>
      <c r="AE25" s="217" t="s">
        <v>144</v>
      </c>
      <c r="AF25" s="223" t="s">
        <v>144</v>
      </c>
      <c r="AG25" s="838"/>
      <c r="AH25" s="224"/>
      <c r="AI25" s="225"/>
      <c r="AJ25" s="219"/>
      <c r="AK25" s="226"/>
      <c r="AL25" s="225"/>
      <c r="AM25" s="225"/>
      <c r="AN25" s="219"/>
      <c r="AO25" s="226"/>
      <c r="AP25" s="227"/>
      <c r="AQ25" s="227"/>
      <c r="AR25" s="219"/>
      <c r="AS25" s="223"/>
      <c r="AT25" s="227"/>
      <c r="AU25" s="227"/>
      <c r="AV25" s="219"/>
      <c r="AW25" s="223"/>
      <c r="AX25" s="225"/>
      <c r="AY25" s="225"/>
      <c r="AZ25" s="219"/>
      <c r="BA25" s="226"/>
      <c r="BB25" s="224"/>
      <c r="BC25" s="225"/>
      <c r="BD25" s="219"/>
      <c r="BE25" s="226"/>
    </row>
    <row r="26" spans="1:57" s="54" customFormat="1" ht="54" customHeight="1" x14ac:dyDescent="0.25">
      <c r="A26" s="216" t="s">
        <v>255</v>
      </c>
      <c r="B26" s="217">
        <v>8</v>
      </c>
      <c r="C26" s="253" t="s">
        <v>144</v>
      </c>
      <c r="D26" s="253" t="s">
        <v>144</v>
      </c>
      <c r="E26" s="219" t="s">
        <v>335</v>
      </c>
      <c r="F26" s="228" t="s">
        <v>251</v>
      </c>
      <c r="G26" s="220" t="s">
        <v>251</v>
      </c>
      <c r="H26" s="220" t="s">
        <v>336</v>
      </c>
      <c r="I26" s="220" t="s">
        <v>337</v>
      </c>
      <c r="J26" s="217" t="s">
        <v>144</v>
      </c>
      <c r="K26" s="217" t="s">
        <v>144</v>
      </c>
      <c r="L26" s="708" t="s">
        <v>144</v>
      </c>
      <c r="M26" s="217" t="s">
        <v>144</v>
      </c>
      <c r="N26" s="217" t="s">
        <v>144</v>
      </c>
      <c r="O26" s="219" t="s">
        <v>144</v>
      </c>
      <c r="P26" s="219" t="s">
        <v>144</v>
      </c>
      <c r="Q26" s="220" t="s">
        <v>338</v>
      </c>
      <c r="R26" s="220" t="s">
        <v>339</v>
      </c>
      <c r="S26" s="219" t="s">
        <v>147</v>
      </c>
      <c r="T26" s="221" t="s">
        <v>144</v>
      </c>
      <c r="U26" s="221" t="s">
        <v>144</v>
      </c>
      <c r="V26" s="217">
        <v>9</v>
      </c>
      <c r="W26" s="217" t="s">
        <v>144</v>
      </c>
      <c r="X26" s="222" t="s">
        <v>144</v>
      </c>
      <c r="Y26" s="222" t="s">
        <v>144</v>
      </c>
      <c r="Z26" s="222" t="s">
        <v>144</v>
      </c>
      <c r="AA26" s="217" t="s">
        <v>144</v>
      </c>
      <c r="AB26" s="217" t="s">
        <v>144</v>
      </c>
      <c r="AC26" s="217" t="s">
        <v>265</v>
      </c>
      <c r="AD26" s="217" t="s">
        <v>144</v>
      </c>
      <c r="AE26" s="217" t="s">
        <v>144</v>
      </c>
      <c r="AF26" s="223" t="s">
        <v>144</v>
      </c>
      <c r="AG26" s="838"/>
      <c r="AH26" s="224"/>
      <c r="AI26" s="225"/>
      <c r="AJ26" s="219"/>
      <c r="AK26" s="226"/>
      <c r="AL26" s="225"/>
      <c r="AM26" s="225"/>
      <c r="AN26" s="219"/>
      <c r="AO26" s="226"/>
      <c r="AP26" s="225"/>
      <c r="AQ26" s="225"/>
      <c r="AR26" s="219"/>
      <c r="AS26" s="226"/>
      <c r="AT26" s="227"/>
      <c r="AU26" s="227"/>
      <c r="AV26" s="219"/>
      <c r="AW26" s="226"/>
      <c r="AX26" s="225"/>
      <c r="AY26" s="225"/>
      <c r="AZ26" s="219"/>
      <c r="BA26" s="226"/>
      <c r="BB26" s="224"/>
      <c r="BC26" s="225"/>
      <c r="BD26" s="219"/>
      <c r="BE26" s="226"/>
    </row>
    <row r="27" spans="1:57" ht="54" hidden="1" customHeight="1" x14ac:dyDescent="0.25">
      <c r="A27" s="205" t="s">
        <v>255</v>
      </c>
      <c r="B27" s="206">
        <v>9</v>
      </c>
      <c r="C27" s="240" t="s">
        <v>340</v>
      </c>
      <c r="D27" s="211" t="s">
        <v>341</v>
      </c>
      <c r="E27" s="181" t="s">
        <v>342</v>
      </c>
      <c r="F27" s="209" t="s">
        <v>343</v>
      </c>
      <c r="G27" s="210" t="s">
        <v>344</v>
      </c>
      <c r="H27" s="209" t="s">
        <v>345</v>
      </c>
      <c r="I27" s="210" t="s">
        <v>346</v>
      </c>
      <c r="J27" s="206" t="s">
        <v>140</v>
      </c>
      <c r="K27" s="211" t="s">
        <v>140</v>
      </c>
      <c r="L27" s="717" t="s">
        <v>144</v>
      </c>
      <c r="M27" s="206" t="s">
        <v>142</v>
      </c>
      <c r="N27" s="211" t="s">
        <v>143</v>
      </c>
      <c r="O27" s="181" t="s">
        <v>144</v>
      </c>
      <c r="P27" s="181" t="s">
        <v>144</v>
      </c>
      <c r="Q27" s="209" t="s">
        <v>347</v>
      </c>
      <c r="R27" s="210" t="s">
        <v>348</v>
      </c>
      <c r="S27" s="181" t="s">
        <v>147</v>
      </c>
      <c r="T27" s="212" t="s">
        <v>144</v>
      </c>
      <c r="U27" s="213" t="s">
        <v>144</v>
      </c>
      <c r="V27" s="206">
        <v>20</v>
      </c>
      <c r="W27" s="206" t="s">
        <v>144</v>
      </c>
      <c r="X27" s="214">
        <v>40</v>
      </c>
      <c r="Y27" s="214" t="s">
        <v>144</v>
      </c>
      <c r="Z27" s="214" t="s">
        <v>144</v>
      </c>
      <c r="AA27" s="206" t="s">
        <v>264</v>
      </c>
      <c r="AB27" s="206" t="s">
        <v>140</v>
      </c>
      <c r="AC27" s="206" t="s">
        <v>265</v>
      </c>
      <c r="AD27" s="206" t="s">
        <v>144</v>
      </c>
      <c r="AE27" s="206" t="s">
        <v>144</v>
      </c>
      <c r="AF27" s="187" t="s">
        <v>144</v>
      </c>
      <c r="AG27" s="838"/>
      <c r="AH27" s="179"/>
      <c r="AI27" s="180"/>
      <c r="AJ27" s="181"/>
      <c r="AK27" s="182"/>
      <c r="AL27" s="180"/>
      <c r="AM27" s="188"/>
      <c r="AN27" s="181"/>
      <c r="AO27" s="182"/>
      <c r="AP27" s="180"/>
      <c r="AQ27" s="188"/>
      <c r="AR27" s="181"/>
      <c r="AS27" s="182"/>
      <c r="AT27" s="185"/>
      <c r="AU27" s="186"/>
      <c r="AV27" s="181"/>
      <c r="AW27" s="182"/>
      <c r="AX27" s="180"/>
      <c r="AY27" s="188"/>
      <c r="AZ27" s="181"/>
      <c r="BA27" s="182"/>
      <c r="BB27" s="179"/>
      <c r="BC27" s="188"/>
      <c r="BD27" s="181"/>
      <c r="BE27" s="182"/>
    </row>
    <row r="28" spans="1:57" ht="54" hidden="1" customHeight="1" x14ac:dyDescent="0.25">
      <c r="A28" s="205" t="s">
        <v>255</v>
      </c>
      <c r="B28" s="206">
        <v>10</v>
      </c>
      <c r="C28" s="240" t="s">
        <v>340</v>
      </c>
      <c r="D28" s="211" t="s">
        <v>341</v>
      </c>
      <c r="E28" s="181" t="s">
        <v>349</v>
      </c>
      <c r="F28" s="209" t="s">
        <v>350</v>
      </c>
      <c r="G28" s="210" t="s">
        <v>351</v>
      </c>
      <c r="H28" s="209" t="s">
        <v>352</v>
      </c>
      <c r="I28" s="210" t="s">
        <v>353</v>
      </c>
      <c r="J28" s="206" t="s">
        <v>140</v>
      </c>
      <c r="K28" s="211" t="s">
        <v>140</v>
      </c>
      <c r="L28" s="717" t="s">
        <v>144</v>
      </c>
      <c r="M28" s="206" t="s">
        <v>193</v>
      </c>
      <c r="N28" s="211" t="s">
        <v>194</v>
      </c>
      <c r="O28" s="181" t="s">
        <v>144</v>
      </c>
      <c r="P28" s="181" t="s">
        <v>144</v>
      </c>
      <c r="Q28" s="209" t="s">
        <v>354</v>
      </c>
      <c r="R28" s="210" t="s">
        <v>355</v>
      </c>
      <c r="S28" s="181" t="s">
        <v>147</v>
      </c>
      <c r="T28" s="212" t="s">
        <v>144</v>
      </c>
      <c r="U28" s="213" t="s">
        <v>144</v>
      </c>
      <c r="V28" s="206">
        <v>10</v>
      </c>
      <c r="W28" s="206" t="s">
        <v>144</v>
      </c>
      <c r="X28" s="214">
        <v>40</v>
      </c>
      <c r="Y28" s="214" t="s">
        <v>144</v>
      </c>
      <c r="Z28" s="214" t="s">
        <v>144</v>
      </c>
      <c r="AA28" s="206" t="s">
        <v>264</v>
      </c>
      <c r="AB28" s="206" t="s">
        <v>140</v>
      </c>
      <c r="AC28" s="206" t="s">
        <v>265</v>
      </c>
      <c r="AD28" s="206" t="s">
        <v>144</v>
      </c>
      <c r="AE28" s="206" t="s">
        <v>144</v>
      </c>
      <c r="AF28" s="187" t="s">
        <v>144</v>
      </c>
      <c r="AG28" s="838"/>
      <c r="AH28" s="179"/>
      <c r="AI28" s="180"/>
      <c r="AJ28" s="181"/>
      <c r="AK28" s="182"/>
      <c r="AL28" s="180"/>
      <c r="AM28" s="188"/>
      <c r="AN28" s="181"/>
      <c r="AO28" s="182"/>
      <c r="AP28" s="180"/>
      <c r="AQ28" s="188"/>
      <c r="AR28" s="181"/>
      <c r="AS28" s="182"/>
      <c r="AT28" s="185"/>
      <c r="AU28" s="186"/>
      <c r="AV28" s="181"/>
      <c r="AW28" s="182"/>
      <c r="AX28" s="180"/>
      <c r="AY28" s="188"/>
      <c r="AZ28" s="181"/>
      <c r="BA28" s="182"/>
      <c r="BB28" s="179"/>
      <c r="BC28" s="188"/>
      <c r="BD28" s="181"/>
      <c r="BE28" s="182"/>
    </row>
    <row r="29" spans="1:57" s="54" customFormat="1" ht="54" hidden="1" customHeight="1" x14ac:dyDescent="0.25">
      <c r="A29" s="216" t="s">
        <v>255</v>
      </c>
      <c r="B29" s="217">
        <v>11</v>
      </c>
      <c r="C29" s="253" t="s">
        <v>144</v>
      </c>
      <c r="D29" s="217" t="s">
        <v>144</v>
      </c>
      <c r="E29" s="219" t="s">
        <v>356</v>
      </c>
      <c r="F29" s="220" t="s">
        <v>357</v>
      </c>
      <c r="G29" s="220" t="s">
        <v>358</v>
      </c>
      <c r="H29" s="220" t="s">
        <v>357</v>
      </c>
      <c r="I29" s="220" t="s">
        <v>359</v>
      </c>
      <c r="J29" s="217" t="s">
        <v>144</v>
      </c>
      <c r="K29" s="217" t="s">
        <v>144</v>
      </c>
      <c r="L29" s="708" t="s">
        <v>144</v>
      </c>
      <c r="M29" s="217" t="s">
        <v>144</v>
      </c>
      <c r="N29" s="217" t="s">
        <v>144</v>
      </c>
      <c r="O29" s="219" t="s">
        <v>144</v>
      </c>
      <c r="P29" s="219" t="s">
        <v>144</v>
      </c>
      <c r="Q29" s="220" t="s">
        <v>144</v>
      </c>
      <c r="R29" s="220" t="s">
        <v>144</v>
      </c>
      <c r="S29" s="219" t="s">
        <v>147</v>
      </c>
      <c r="T29" s="221" t="s">
        <v>144</v>
      </c>
      <c r="U29" s="221" t="s">
        <v>144</v>
      </c>
      <c r="V29" s="217">
        <v>30</v>
      </c>
      <c r="W29" s="217" t="s">
        <v>144</v>
      </c>
      <c r="X29" s="222" t="s">
        <v>144</v>
      </c>
      <c r="Y29" s="222">
        <v>42</v>
      </c>
      <c r="Z29" s="222" t="s">
        <v>144</v>
      </c>
      <c r="AA29" s="217" t="s">
        <v>144</v>
      </c>
      <c r="AB29" s="217" t="s">
        <v>144</v>
      </c>
      <c r="AC29" s="217" t="s">
        <v>265</v>
      </c>
      <c r="AD29" s="217" t="s">
        <v>144</v>
      </c>
      <c r="AE29" s="217" t="s">
        <v>144</v>
      </c>
      <c r="AF29" s="223" t="s">
        <v>144</v>
      </c>
      <c r="AG29" s="838"/>
      <c r="AH29" s="224"/>
      <c r="AI29" s="225"/>
      <c r="AJ29" s="219"/>
      <c r="AK29" s="226"/>
      <c r="AL29" s="225"/>
      <c r="AM29" s="225"/>
      <c r="AN29" s="219"/>
      <c r="AO29" s="226"/>
      <c r="AP29" s="225"/>
      <c r="AQ29" s="225"/>
      <c r="AR29" s="219"/>
      <c r="AS29" s="226"/>
      <c r="AT29" s="227"/>
      <c r="AU29" s="227"/>
      <c r="AV29" s="219"/>
      <c r="AW29" s="226"/>
      <c r="AX29" s="225"/>
      <c r="AY29" s="225"/>
      <c r="AZ29" s="219"/>
      <c r="BA29" s="226"/>
      <c r="BB29" s="224"/>
      <c r="BC29" s="225"/>
      <c r="BD29" s="219"/>
      <c r="BE29" s="226"/>
    </row>
    <row r="30" spans="1:57" s="54" customFormat="1" ht="54" hidden="1" customHeight="1" x14ac:dyDescent="0.25">
      <c r="A30" s="216" t="s">
        <v>255</v>
      </c>
      <c r="B30" s="217">
        <v>12</v>
      </c>
      <c r="C30" s="253" t="s">
        <v>144</v>
      </c>
      <c r="D30" s="217" t="s">
        <v>144</v>
      </c>
      <c r="E30" s="219" t="s">
        <v>360</v>
      </c>
      <c r="F30" s="220" t="s">
        <v>361</v>
      </c>
      <c r="G30" s="220" t="s">
        <v>362</v>
      </c>
      <c r="H30" s="220" t="s">
        <v>361</v>
      </c>
      <c r="I30" s="220" t="s">
        <v>363</v>
      </c>
      <c r="J30" s="217" t="s">
        <v>144</v>
      </c>
      <c r="K30" s="217" t="s">
        <v>144</v>
      </c>
      <c r="L30" s="708" t="s">
        <v>144</v>
      </c>
      <c r="M30" s="217" t="s">
        <v>144</v>
      </c>
      <c r="N30" s="217" t="s">
        <v>144</v>
      </c>
      <c r="O30" s="219" t="s">
        <v>144</v>
      </c>
      <c r="P30" s="219" t="s">
        <v>144</v>
      </c>
      <c r="Q30" s="220" t="s">
        <v>144</v>
      </c>
      <c r="R30" s="220" t="s">
        <v>144</v>
      </c>
      <c r="S30" s="219" t="s">
        <v>147</v>
      </c>
      <c r="T30" s="221" t="s">
        <v>144</v>
      </c>
      <c r="U30" s="221" t="s">
        <v>144</v>
      </c>
      <c r="V30" s="217">
        <v>30</v>
      </c>
      <c r="W30" s="217" t="s">
        <v>144</v>
      </c>
      <c r="X30" s="222" t="s">
        <v>144</v>
      </c>
      <c r="Y30" s="222">
        <v>42</v>
      </c>
      <c r="Z30" s="222" t="s">
        <v>144</v>
      </c>
      <c r="AA30" s="217" t="s">
        <v>144</v>
      </c>
      <c r="AB30" s="217" t="s">
        <v>144</v>
      </c>
      <c r="AC30" s="217" t="s">
        <v>265</v>
      </c>
      <c r="AD30" s="217" t="s">
        <v>144</v>
      </c>
      <c r="AE30" s="217" t="s">
        <v>144</v>
      </c>
      <c r="AF30" s="223" t="s">
        <v>144</v>
      </c>
      <c r="AG30" s="838"/>
      <c r="AH30" s="224"/>
      <c r="AI30" s="225"/>
      <c r="AJ30" s="219"/>
      <c r="AK30" s="226"/>
      <c r="AL30" s="225"/>
      <c r="AM30" s="225"/>
      <c r="AN30" s="219"/>
      <c r="AO30" s="226"/>
      <c r="AP30" s="225"/>
      <c r="AQ30" s="225"/>
      <c r="AR30" s="219"/>
      <c r="AS30" s="226"/>
      <c r="AT30" s="227"/>
      <c r="AU30" s="227"/>
      <c r="AV30" s="219"/>
      <c r="AW30" s="226"/>
      <c r="AX30" s="225"/>
      <c r="AY30" s="225"/>
      <c r="AZ30" s="219"/>
      <c r="BA30" s="226"/>
      <c r="BB30" s="224"/>
      <c r="BC30" s="225"/>
      <c r="BD30" s="219"/>
      <c r="BE30" s="226"/>
    </row>
    <row r="31" spans="1:57" s="54" customFormat="1" ht="54" hidden="1" customHeight="1" x14ac:dyDescent="0.25">
      <c r="A31" s="216" t="s">
        <v>255</v>
      </c>
      <c r="B31" s="217">
        <v>13</v>
      </c>
      <c r="C31" s="253" t="s">
        <v>144</v>
      </c>
      <c r="D31" s="217" t="s">
        <v>144</v>
      </c>
      <c r="E31" s="219" t="s">
        <v>364</v>
      </c>
      <c r="F31" s="220" t="s">
        <v>365</v>
      </c>
      <c r="G31" s="220" t="s">
        <v>366</v>
      </c>
      <c r="H31" s="220" t="s">
        <v>365</v>
      </c>
      <c r="I31" s="220" t="s">
        <v>367</v>
      </c>
      <c r="J31" s="217" t="s">
        <v>144</v>
      </c>
      <c r="K31" s="217" t="s">
        <v>144</v>
      </c>
      <c r="L31" s="708" t="s">
        <v>144</v>
      </c>
      <c r="M31" s="217" t="s">
        <v>144</v>
      </c>
      <c r="N31" s="217" t="s">
        <v>144</v>
      </c>
      <c r="O31" s="219" t="s">
        <v>144</v>
      </c>
      <c r="P31" s="219" t="s">
        <v>144</v>
      </c>
      <c r="Q31" s="220" t="s">
        <v>144</v>
      </c>
      <c r="R31" s="220" t="s">
        <v>144</v>
      </c>
      <c r="S31" s="219" t="s">
        <v>147</v>
      </c>
      <c r="T31" s="221" t="s">
        <v>144</v>
      </c>
      <c r="U31" s="221" t="s">
        <v>144</v>
      </c>
      <c r="V31" s="217">
        <v>40</v>
      </c>
      <c r="W31" s="217" t="s">
        <v>144</v>
      </c>
      <c r="X31" s="222" t="s">
        <v>144</v>
      </c>
      <c r="Y31" s="222">
        <v>42</v>
      </c>
      <c r="Z31" s="222" t="s">
        <v>144</v>
      </c>
      <c r="AA31" s="217" t="s">
        <v>144</v>
      </c>
      <c r="AB31" s="217" t="s">
        <v>144</v>
      </c>
      <c r="AC31" s="217" t="s">
        <v>265</v>
      </c>
      <c r="AD31" s="217" t="s">
        <v>144</v>
      </c>
      <c r="AE31" s="217" t="s">
        <v>144</v>
      </c>
      <c r="AF31" s="223" t="s">
        <v>144</v>
      </c>
      <c r="AG31" s="838"/>
      <c r="AH31" s="224"/>
      <c r="AI31" s="225"/>
      <c r="AJ31" s="219"/>
      <c r="AK31" s="226"/>
      <c r="AL31" s="225"/>
      <c r="AM31" s="225"/>
      <c r="AN31" s="219"/>
      <c r="AO31" s="226"/>
      <c r="AP31" s="225"/>
      <c r="AQ31" s="225"/>
      <c r="AR31" s="219"/>
      <c r="AS31" s="226"/>
      <c r="AT31" s="227"/>
      <c r="AU31" s="227"/>
      <c r="AV31" s="219"/>
      <c r="AW31" s="226"/>
      <c r="AX31" s="225"/>
      <c r="AY31" s="225"/>
      <c r="AZ31" s="219"/>
      <c r="BA31" s="226"/>
      <c r="BB31" s="224"/>
      <c r="BC31" s="225"/>
      <c r="BD31" s="219"/>
      <c r="BE31" s="226"/>
    </row>
    <row r="32" spans="1:57" s="54" customFormat="1" ht="54" hidden="1" customHeight="1" x14ac:dyDescent="0.25">
      <c r="A32" s="216" t="s">
        <v>255</v>
      </c>
      <c r="B32" s="217">
        <v>14</v>
      </c>
      <c r="C32" s="253" t="s">
        <v>144</v>
      </c>
      <c r="D32" s="217" t="s">
        <v>144</v>
      </c>
      <c r="E32" s="219" t="s">
        <v>368</v>
      </c>
      <c r="F32" s="220" t="s">
        <v>369</v>
      </c>
      <c r="G32" s="220" t="s">
        <v>370</v>
      </c>
      <c r="H32" s="220" t="s">
        <v>369</v>
      </c>
      <c r="I32" s="220" t="s">
        <v>371</v>
      </c>
      <c r="J32" s="217" t="s">
        <v>144</v>
      </c>
      <c r="K32" s="217" t="s">
        <v>144</v>
      </c>
      <c r="L32" s="708" t="s">
        <v>144</v>
      </c>
      <c r="M32" s="217" t="s">
        <v>144</v>
      </c>
      <c r="N32" s="217" t="s">
        <v>144</v>
      </c>
      <c r="O32" s="219" t="s">
        <v>144</v>
      </c>
      <c r="P32" s="219" t="s">
        <v>144</v>
      </c>
      <c r="Q32" s="220" t="s">
        <v>144</v>
      </c>
      <c r="R32" s="220" t="s">
        <v>144</v>
      </c>
      <c r="S32" s="219" t="s">
        <v>147</v>
      </c>
      <c r="T32" s="221" t="s">
        <v>144</v>
      </c>
      <c r="U32" s="221" t="s">
        <v>144</v>
      </c>
      <c r="V32" s="217">
        <v>40</v>
      </c>
      <c r="W32" s="217" t="s">
        <v>144</v>
      </c>
      <c r="X32" s="222" t="s">
        <v>144</v>
      </c>
      <c r="Y32" s="222">
        <v>42</v>
      </c>
      <c r="Z32" s="222" t="s">
        <v>144</v>
      </c>
      <c r="AA32" s="217" t="s">
        <v>144</v>
      </c>
      <c r="AB32" s="217" t="s">
        <v>144</v>
      </c>
      <c r="AC32" s="217" t="s">
        <v>265</v>
      </c>
      <c r="AD32" s="217" t="s">
        <v>144</v>
      </c>
      <c r="AE32" s="217" t="s">
        <v>144</v>
      </c>
      <c r="AF32" s="223" t="s">
        <v>144</v>
      </c>
      <c r="AG32" s="838"/>
      <c r="AH32" s="224"/>
      <c r="AI32" s="225"/>
      <c r="AJ32" s="219"/>
      <c r="AK32" s="226"/>
      <c r="AL32" s="225"/>
      <c r="AM32" s="225"/>
      <c r="AN32" s="219"/>
      <c r="AO32" s="226"/>
      <c r="AP32" s="225"/>
      <c r="AQ32" s="225"/>
      <c r="AR32" s="219"/>
      <c r="AS32" s="226"/>
      <c r="AT32" s="227"/>
      <c r="AU32" s="227"/>
      <c r="AV32" s="219"/>
      <c r="AW32" s="226"/>
      <c r="AX32" s="225"/>
      <c r="AY32" s="225"/>
      <c r="AZ32" s="219"/>
      <c r="BA32" s="226"/>
      <c r="BB32" s="224"/>
      <c r="BC32" s="225"/>
      <c r="BD32" s="219"/>
      <c r="BE32" s="226"/>
    </row>
    <row r="33" spans="1:57" s="54" customFormat="1" ht="54" hidden="1" customHeight="1" x14ac:dyDescent="0.25">
      <c r="A33" s="216" t="s">
        <v>255</v>
      </c>
      <c r="B33" s="217">
        <v>15</v>
      </c>
      <c r="C33" s="253" t="s">
        <v>144</v>
      </c>
      <c r="D33" s="217" t="s">
        <v>144</v>
      </c>
      <c r="E33" s="219" t="s">
        <v>372</v>
      </c>
      <c r="F33" s="220" t="s">
        <v>373</v>
      </c>
      <c r="G33" s="220" t="s">
        <v>374</v>
      </c>
      <c r="H33" s="220" t="s">
        <v>373</v>
      </c>
      <c r="I33" s="220" t="s">
        <v>375</v>
      </c>
      <c r="J33" s="217" t="s">
        <v>144</v>
      </c>
      <c r="K33" s="217" t="s">
        <v>144</v>
      </c>
      <c r="L33" s="708" t="s">
        <v>144</v>
      </c>
      <c r="M33" s="217" t="s">
        <v>144</v>
      </c>
      <c r="N33" s="217" t="s">
        <v>144</v>
      </c>
      <c r="O33" s="219" t="s">
        <v>144</v>
      </c>
      <c r="P33" s="219" t="s">
        <v>144</v>
      </c>
      <c r="Q33" s="220" t="s">
        <v>144</v>
      </c>
      <c r="R33" s="220" t="s">
        <v>144</v>
      </c>
      <c r="S33" s="219" t="s">
        <v>147</v>
      </c>
      <c r="T33" s="221" t="s">
        <v>144</v>
      </c>
      <c r="U33" s="221" t="s">
        <v>144</v>
      </c>
      <c r="V33" s="217">
        <v>40</v>
      </c>
      <c r="W33" s="217" t="s">
        <v>144</v>
      </c>
      <c r="X33" s="222" t="s">
        <v>144</v>
      </c>
      <c r="Y33" s="222">
        <v>42</v>
      </c>
      <c r="Z33" s="222" t="s">
        <v>144</v>
      </c>
      <c r="AA33" s="217" t="s">
        <v>144</v>
      </c>
      <c r="AB33" s="217" t="s">
        <v>144</v>
      </c>
      <c r="AC33" s="217" t="s">
        <v>265</v>
      </c>
      <c r="AD33" s="217" t="s">
        <v>144</v>
      </c>
      <c r="AE33" s="217" t="s">
        <v>144</v>
      </c>
      <c r="AF33" s="223" t="s">
        <v>144</v>
      </c>
      <c r="AG33" s="838"/>
      <c r="AH33" s="224"/>
      <c r="AI33" s="225"/>
      <c r="AJ33" s="219"/>
      <c r="AK33" s="226"/>
      <c r="AL33" s="225"/>
      <c r="AM33" s="225"/>
      <c r="AN33" s="219"/>
      <c r="AO33" s="226"/>
      <c r="AP33" s="225"/>
      <c r="AQ33" s="225"/>
      <c r="AR33" s="219"/>
      <c r="AS33" s="226"/>
      <c r="AT33" s="227"/>
      <c r="AU33" s="227"/>
      <c r="AV33" s="219"/>
      <c r="AW33" s="226"/>
      <c r="AX33" s="225"/>
      <c r="AY33" s="225"/>
      <c r="AZ33" s="219"/>
      <c r="BA33" s="226"/>
      <c r="BB33" s="224"/>
      <c r="BC33" s="225"/>
      <c r="BD33" s="219"/>
      <c r="BE33" s="226"/>
    </row>
    <row r="34" spans="1:57" s="54" customFormat="1" ht="54" customHeight="1" x14ac:dyDescent="0.25">
      <c r="A34" s="216" t="s">
        <v>255</v>
      </c>
      <c r="B34" s="217">
        <v>16</v>
      </c>
      <c r="C34" s="253" t="s">
        <v>144</v>
      </c>
      <c r="D34" s="217" t="s">
        <v>144</v>
      </c>
      <c r="E34" s="219" t="s">
        <v>376</v>
      </c>
      <c r="F34" s="220" t="s">
        <v>251</v>
      </c>
      <c r="G34" s="220" t="s">
        <v>251</v>
      </c>
      <c r="H34" s="220" t="s">
        <v>336</v>
      </c>
      <c r="I34" s="220" t="s">
        <v>337</v>
      </c>
      <c r="J34" s="217" t="s">
        <v>144</v>
      </c>
      <c r="K34" s="217" t="s">
        <v>144</v>
      </c>
      <c r="L34" s="708" t="s">
        <v>144</v>
      </c>
      <c r="M34" s="217" t="s">
        <v>144</v>
      </c>
      <c r="N34" s="217" t="s">
        <v>144</v>
      </c>
      <c r="O34" s="219" t="s">
        <v>144</v>
      </c>
      <c r="P34" s="219" t="s">
        <v>144</v>
      </c>
      <c r="Q34" s="220" t="s">
        <v>338</v>
      </c>
      <c r="R34" s="220" t="s">
        <v>339</v>
      </c>
      <c r="S34" s="219" t="s">
        <v>147</v>
      </c>
      <c r="T34" s="229" t="s">
        <v>144</v>
      </c>
      <c r="U34" s="229" t="s">
        <v>144</v>
      </c>
      <c r="V34" s="217">
        <v>20</v>
      </c>
      <c r="W34" s="217" t="s">
        <v>144</v>
      </c>
      <c r="X34" s="222" t="s">
        <v>144</v>
      </c>
      <c r="Y34" s="222" t="s">
        <v>144</v>
      </c>
      <c r="Z34" s="222" t="s">
        <v>144</v>
      </c>
      <c r="AA34" s="217" t="s">
        <v>144</v>
      </c>
      <c r="AB34" s="217" t="s">
        <v>144</v>
      </c>
      <c r="AC34" s="217" t="s">
        <v>265</v>
      </c>
      <c r="AD34" s="217" t="s">
        <v>144</v>
      </c>
      <c r="AE34" s="217" t="s">
        <v>144</v>
      </c>
      <c r="AF34" s="223" t="s">
        <v>144</v>
      </c>
      <c r="AG34" s="838"/>
      <c r="AH34" s="224"/>
      <c r="AI34" s="225"/>
      <c r="AJ34" s="219"/>
      <c r="AK34" s="226"/>
      <c r="AL34" s="225"/>
      <c r="AM34" s="225"/>
      <c r="AN34" s="219"/>
      <c r="AO34" s="226"/>
      <c r="AP34" s="225"/>
      <c r="AQ34" s="225"/>
      <c r="AR34" s="219"/>
      <c r="AS34" s="226"/>
      <c r="AT34" s="227"/>
      <c r="AU34" s="227"/>
      <c r="AV34" s="219"/>
      <c r="AW34" s="226"/>
      <c r="AX34" s="225"/>
      <c r="AY34" s="225"/>
      <c r="AZ34" s="219"/>
      <c r="BA34" s="226"/>
      <c r="BB34" s="224"/>
      <c r="BC34" s="225"/>
      <c r="BD34" s="219"/>
      <c r="BE34" s="226"/>
    </row>
    <row r="35" spans="1:57" ht="54" hidden="1" customHeight="1" x14ac:dyDescent="0.25">
      <c r="A35" s="205" t="s">
        <v>255</v>
      </c>
      <c r="B35" s="206">
        <v>17</v>
      </c>
      <c r="C35" s="240" t="s">
        <v>340</v>
      </c>
      <c r="D35" s="211" t="s">
        <v>341</v>
      </c>
      <c r="E35" s="181" t="s">
        <v>377</v>
      </c>
      <c r="F35" s="209" t="s">
        <v>378</v>
      </c>
      <c r="G35" s="210" t="s">
        <v>379</v>
      </c>
      <c r="H35" s="209" t="s">
        <v>380</v>
      </c>
      <c r="I35" s="210" t="s">
        <v>381</v>
      </c>
      <c r="J35" s="206" t="s">
        <v>140</v>
      </c>
      <c r="K35" s="211" t="s">
        <v>140</v>
      </c>
      <c r="L35" s="717" t="s">
        <v>144</v>
      </c>
      <c r="M35" s="206" t="s">
        <v>142</v>
      </c>
      <c r="N35" s="211" t="s">
        <v>143</v>
      </c>
      <c r="O35" s="181" t="s">
        <v>144</v>
      </c>
      <c r="P35" s="181" t="s">
        <v>144</v>
      </c>
      <c r="Q35" s="209" t="s">
        <v>382</v>
      </c>
      <c r="R35" s="210" t="s">
        <v>383</v>
      </c>
      <c r="S35" s="181" t="s">
        <v>147</v>
      </c>
      <c r="T35" s="212" t="s">
        <v>144</v>
      </c>
      <c r="U35" s="213" t="s">
        <v>144</v>
      </c>
      <c r="V35" s="206">
        <v>40</v>
      </c>
      <c r="W35" s="206" t="s">
        <v>144</v>
      </c>
      <c r="X35" s="214">
        <v>40</v>
      </c>
      <c r="Y35" s="214" t="s">
        <v>144</v>
      </c>
      <c r="Z35" s="214" t="s">
        <v>144</v>
      </c>
      <c r="AA35" s="206" t="s">
        <v>264</v>
      </c>
      <c r="AB35" s="206" t="s">
        <v>140</v>
      </c>
      <c r="AC35" s="206" t="s">
        <v>265</v>
      </c>
      <c r="AD35" s="847" t="s">
        <v>144</v>
      </c>
      <c r="AE35" s="847" t="s">
        <v>144</v>
      </c>
      <c r="AF35" s="848" t="s">
        <v>144</v>
      </c>
      <c r="AG35" s="838"/>
      <c r="AH35" s="179"/>
      <c r="AI35" s="180"/>
      <c r="AJ35" s="181"/>
      <c r="AK35" s="182"/>
      <c r="AL35" s="180"/>
      <c r="AM35" s="188"/>
      <c r="AN35" s="181"/>
      <c r="AO35" s="182"/>
      <c r="AP35" s="180"/>
      <c r="AQ35" s="188"/>
      <c r="AR35" s="181"/>
      <c r="AS35" s="182"/>
      <c r="AT35" s="185"/>
      <c r="AU35" s="186"/>
      <c r="AV35" s="181"/>
      <c r="AW35" s="182"/>
      <c r="AX35" s="180"/>
      <c r="AY35" s="188"/>
      <c r="AZ35" s="181"/>
      <c r="BA35" s="182"/>
      <c r="BB35" s="179"/>
      <c r="BC35" s="188"/>
      <c r="BD35" s="181"/>
      <c r="BE35" s="182"/>
    </row>
    <row r="36" spans="1:57" ht="54" hidden="1" customHeight="1" x14ac:dyDescent="0.25">
      <c r="A36" s="205" t="s">
        <v>255</v>
      </c>
      <c r="B36" s="206">
        <v>18</v>
      </c>
      <c r="C36" s="240" t="s">
        <v>340</v>
      </c>
      <c r="D36" s="211" t="s">
        <v>341</v>
      </c>
      <c r="E36" s="181" t="s">
        <v>384</v>
      </c>
      <c r="F36" s="209" t="s">
        <v>385</v>
      </c>
      <c r="G36" s="210" t="s">
        <v>386</v>
      </c>
      <c r="H36" s="209" t="s">
        <v>385</v>
      </c>
      <c r="I36" s="210" t="s">
        <v>386</v>
      </c>
      <c r="J36" s="206" t="s">
        <v>140</v>
      </c>
      <c r="K36" s="211" t="s">
        <v>140</v>
      </c>
      <c r="L36" s="717" t="s">
        <v>144</v>
      </c>
      <c r="M36" s="206" t="s">
        <v>142</v>
      </c>
      <c r="N36" s="211" t="s">
        <v>143</v>
      </c>
      <c r="O36" s="181" t="s">
        <v>144</v>
      </c>
      <c r="P36" s="181" t="s">
        <v>144</v>
      </c>
      <c r="Q36" s="209" t="s">
        <v>387</v>
      </c>
      <c r="R36" s="210" t="s">
        <v>388</v>
      </c>
      <c r="S36" s="181" t="s">
        <v>147</v>
      </c>
      <c r="T36" s="212" t="s">
        <v>389</v>
      </c>
      <c r="U36" s="213" t="s">
        <v>390</v>
      </c>
      <c r="V36" s="206">
        <v>14</v>
      </c>
      <c r="W36" s="206" t="s">
        <v>144</v>
      </c>
      <c r="X36" s="214">
        <v>40</v>
      </c>
      <c r="Y36" s="214" t="s">
        <v>144</v>
      </c>
      <c r="Z36" s="214" t="s">
        <v>144</v>
      </c>
      <c r="AA36" s="412" t="s">
        <v>264</v>
      </c>
      <c r="AB36" s="206" t="s">
        <v>140</v>
      </c>
      <c r="AC36" s="206" t="s">
        <v>265</v>
      </c>
      <c r="AD36" s="206" t="s">
        <v>144</v>
      </c>
      <c r="AE36" s="206" t="s">
        <v>144</v>
      </c>
      <c r="AF36" s="187" t="s">
        <v>144</v>
      </c>
      <c r="AG36" s="838"/>
      <c r="AH36" s="179"/>
      <c r="AI36" s="180"/>
      <c r="AJ36" s="181"/>
      <c r="AK36" s="182"/>
      <c r="AL36" s="180"/>
      <c r="AM36" s="188"/>
      <c r="AN36" s="181"/>
      <c r="AO36" s="182"/>
      <c r="AP36" s="180"/>
      <c r="AQ36" s="188"/>
      <c r="AR36" s="181"/>
      <c r="AS36" s="182"/>
      <c r="AT36" s="185"/>
      <c r="AU36" s="186"/>
      <c r="AV36" s="181"/>
      <c r="AW36" s="182"/>
      <c r="AX36" s="180"/>
      <c r="AY36" s="188"/>
      <c r="AZ36" s="181"/>
      <c r="BA36" s="182"/>
      <c r="BB36" s="179"/>
      <c r="BC36" s="188"/>
      <c r="BD36" s="181"/>
      <c r="BE36" s="182"/>
    </row>
    <row r="37" spans="1:57" ht="54" hidden="1" customHeight="1" x14ac:dyDescent="0.25">
      <c r="A37" s="205" t="s">
        <v>255</v>
      </c>
      <c r="B37" s="206">
        <v>19</v>
      </c>
      <c r="C37" s="240" t="s">
        <v>340</v>
      </c>
      <c r="D37" s="211" t="s">
        <v>341</v>
      </c>
      <c r="E37" s="181" t="s">
        <v>391</v>
      </c>
      <c r="F37" s="209" t="s">
        <v>392</v>
      </c>
      <c r="G37" s="210" t="s">
        <v>393</v>
      </c>
      <c r="H37" s="209" t="s">
        <v>394</v>
      </c>
      <c r="I37" s="210" t="s">
        <v>395</v>
      </c>
      <c r="J37" s="206" t="s">
        <v>140</v>
      </c>
      <c r="K37" s="211" t="s">
        <v>140</v>
      </c>
      <c r="L37" s="717" t="s">
        <v>144</v>
      </c>
      <c r="M37" s="206" t="s">
        <v>193</v>
      </c>
      <c r="N37" s="211" t="s">
        <v>194</v>
      </c>
      <c r="O37" s="181" t="s">
        <v>144</v>
      </c>
      <c r="P37" s="181" t="s">
        <v>144</v>
      </c>
      <c r="Q37" s="209" t="s">
        <v>396</v>
      </c>
      <c r="R37" s="210" t="s">
        <v>397</v>
      </c>
      <c r="S37" s="181" t="s">
        <v>147</v>
      </c>
      <c r="T37" s="230" t="s">
        <v>144</v>
      </c>
      <c r="U37" s="231" t="s">
        <v>144</v>
      </c>
      <c r="V37" s="206">
        <v>10</v>
      </c>
      <c r="W37" s="206" t="s">
        <v>144</v>
      </c>
      <c r="X37" s="214">
        <v>42</v>
      </c>
      <c r="Y37" s="214" t="s">
        <v>144</v>
      </c>
      <c r="Z37" s="214" t="s">
        <v>144</v>
      </c>
      <c r="AA37" s="206" t="s">
        <v>398</v>
      </c>
      <c r="AB37" s="206" t="s">
        <v>140</v>
      </c>
      <c r="AC37" s="206" t="s">
        <v>265</v>
      </c>
      <c r="AD37" s="206" t="s">
        <v>144</v>
      </c>
      <c r="AE37" s="206" t="s">
        <v>144</v>
      </c>
      <c r="AF37" s="187" t="s">
        <v>144</v>
      </c>
      <c r="AG37" s="838"/>
      <c r="AH37" s="179"/>
      <c r="AI37" s="180"/>
      <c r="AJ37" s="181"/>
      <c r="AK37" s="182"/>
      <c r="AL37" s="180"/>
      <c r="AM37" s="188"/>
      <c r="AN37" s="181"/>
      <c r="AO37" s="182"/>
      <c r="AP37" s="180"/>
      <c r="AQ37" s="188"/>
      <c r="AR37" s="181"/>
      <c r="AS37" s="182"/>
      <c r="AT37" s="185"/>
      <c r="AU37" s="186"/>
      <c r="AV37" s="181"/>
      <c r="AW37" s="182"/>
      <c r="AX37" s="180"/>
      <c r="AY37" s="188"/>
      <c r="AZ37" s="181"/>
      <c r="BA37" s="182"/>
      <c r="BB37" s="179"/>
      <c r="BC37" s="188"/>
      <c r="BD37" s="181"/>
      <c r="BE37" s="182"/>
    </row>
    <row r="38" spans="1:57" ht="54" hidden="1" customHeight="1" x14ac:dyDescent="0.25">
      <c r="A38" s="205" t="s">
        <v>255</v>
      </c>
      <c r="B38" s="206">
        <v>20</v>
      </c>
      <c r="C38" s="240" t="s">
        <v>340</v>
      </c>
      <c r="D38" s="211" t="s">
        <v>341</v>
      </c>
      <c r="E38" s="181" t="s">
        <v>399</v>
      </c>
      <c r="F38" s="209" t="s">
        <v>400</v>
      </c>
      <c r="G38" s="210" t="s">
        <v>401</v>
      </c>
      <c r="H38" s="209" t="s">
        <v>402</v>
      </c>
      <c r="I38" s="210" t="s">
        <v>403</v>
      </c>
      <c r="J38" s="206" t="s">
        <v>140</v>
      </c>
      <c r="K38" s="211" t="s">
        <v>140</v>
      </c>
      <c r="L38" s="717" t="s">
        <v>144</v>
      </c>
      <c r="M38" s="206" t="s">
        <v>193</v>
      </c>
      <c r="N38" s="211" t="s">
        <v>194</v>
      </c>
      <c r="O38" s="181" t="s">
        <v>404</v>
      </c>
      <c r="P38" s="181" t="s">
        <v>405</v>
      </c>
      <c r="Q38" s="209" t="s">
        <v>406</v>
      </c>
      <c r="R38" s="210" t="s">
        <v>407</v>
      </c>
      <c r="S38" s="181" t="s">
        <v>147</v>
      </c>
      <c r="T38" s="230" t="s">
        <v>144</v>
      </c>
      <c r="U38" s="231" t="s">
        <v>144</v>
      </c>
      <c r="V38" s="206">
        <v>1</v>
      </c>
      <c r="W38" s="206" t="s">
        <v>144</v>
      </c>
      <c r="X38" s="214">
        <v>42</v>
      </c>
      <c r="Y38" s="214" t="s">
        <v>144</v>
      </c>
      <c r="Z38" s="214" t="s">
        <v>144</v>
      </c>
      <c r="AA38" s="206" t="s">
        <v>398</v>
      </c>
      <c r="AB38" s="206" t="s">
        <v>140</v>
      </c>
      <c r="AC38" s="206" t="s">
        <v>265</v>
      </c>
      <c r="AD38" s="206" t="s">
        <v>144</v>
      </c>
      <c r="AE38" s="206" t="s">
        <v>144</v>
      </c>
      <c r="AF38" s="187" t="s">
        <v>144</v>
      </c>
      <c r="AG38" s="838"/>
      <c r="AH38" s="179"/>
      <c r="AI38" s="180"/>
      <c r="AJ38" s="181"/>
      <c r="AK38" s="182"/>
      <c r="AL38" s="180"/>
      <c r="AM38" s="188"/>
      <c r="AN38" s="181"/>
      <c r="AO38" s="182"/>
      <c r="AP38" s="180"/>
      <c r="AQ38" s="188"/>
      <c r="AR38" s="181"/>
      <c r="AS38" s="182"/>
      <c r="AT38" s="185"/>
      <c r="AU38" s="186"/>
      <c r="AV38" s="181"/>
      <c r="AW38" s="182"/>
      <c r="AX38" s="180"/>
      <c r="AY38" s="188"/>
      <c r="AZ38" s="181"/>
      <c r="BA38" s="182"/>
      <c r="BB38" s="179"/>
      <c r="BC38" s="188"/>
      <c r="BD38" s="181"/>
      <c r="BE38" s="182"/>
    </row>
    <row r="39" spans="1:57" ht="54" hidden="1" customHeight="1" x14ac:dyDescent="0.25">
      <c r="A39" s="205" t="s">
        <v>255</v>
      </c>
      <c r="B39" s="206">
        <v>21</v>
      </c>
      <c r="C39" s="240" t="s">
        <v>340</v>
      </c>
      <c r="D39" s="211" t="s">
        <v>341</v>
      </c>
      <c r="E39" s="181" t="s">
        <v>408</v>
      </c>
      <c r="F39" s="209" t="s">
        <v>409</v>
      </c>
      <c r="G39" s="210" t="s">
        <v>410</v>
      </c>
      <c r="H39" s="209" t="s">
        <v>411</v>
      </c>
      <c r="I39" s="210" t="s">
        <v>412</v>
      </c>
      <c r="J39" s="206" t="s">
        <v>140</v>
      </c>
      <c r="K39" s="211" t="s">
        <v>140</v>
      </c>
      <c r="L39" s="717" t="s">
        <v>144</v>
      </c>
      <c r="M39" s="206" t="s">
        <v>193</v>
      </c>
      <c r="N39" s="211" t="s">
        <v>194</v>
      </c>
      <c r="O39" s="181" t="s">
        <v>413</v>
      </c>
      <c r="P39" s="181" t="s">
        <v>414</v>
      </c>
      <c r="Q39" s="209" t="s">
        <v>144</v>
      </c>
      <c r="R39" s="210" t="s">
        <v>144</v>
      </c>
      <c r="S39" s="181" t="s">
        <v>147</v>
      </c>
      <c r="T39" s="230" t="s">
        <v>144</v>
      </c>
      <c r="U39" s="231" t="s">
        <v>144</v>
      </c>
      <c r="V39" s="206">
        <v>5</v>
      </c>
      <c r="W39" s="206" t="s">
        <v>144</v>
      </c>
      <c r="X39" s="214">
        <v>42</v>
      </c>
      <c r="Y39" s="214" t="s">
        <v>144</v>
      </c>
      <c r="Z39" s="214" t="s">
        <v>144</v>
      </c>
      <c r="AA39" s="206" t="s">
        <v>398</v>
      </c>
      <c r="AB39" s="206" t="s">
        <v>140</v>
      </c>
      <c r="AC39" s="206" t="s">
        <v>265</v>
      </c>
      <c r="AD39" s="206" t="s">
        <v>144</v>
      </c>
      <c r="AE39" s="206" t="s">
        <v>144</v>
      </c>
      <c r="AF39" s="187" t="s">
        <v>144</v>
      </c>
      <c r="AG39" s="838"/>
      <c r="AH39" s="179"/>
      <c r="AI39" s="180"/>
      <c r="AJ39" s="181"/>
      <c r="AK39" s="182"/>
      <c r="AL39" s="180"/>
      <c r="AM39" s="188"/>
      <c r="AN39" s="181"/>
      <c r="AO39" s="182"/>
      <c r="AP39" s="180"/>
      <c r="AQ39" s="188"/>
      <c r="AR39" s="181"/>
      <c r="AS39" s="182"/>
      <c r="AT39" s="185"/>
      <c r="AU39" s="186"/>
      <c r="AV39" s="181"/>
      <c r="AW39" s="182"/>
      <c r="AX39" s="180"/>
      <c r="AY39" s="188"/>
      <c r="AZ39" s="181"/>
      <c r="BA39" s="182"/>
      <c r="BB39" s="179"/>
      <c r="BC39" s="188"/>
      <c r="BD39" s="181"/>
      <c r="BE39" s="182"/>
    </row>
    <row r="40" spans="1:57" ht="54" hidden="1" customHeight="1" x14ac:dyDescent="0.25">
      <c r="A40" s="205" t="s">
        <v>255</v>
      </c>
      <c r="B40" s="206">
        <v>22</v>
      </c>
      <c r="C40" s="240" t="s">
        <v>340</v>
      </c>
      <c r="D40" s="211" t="s">
        <v>341</v>
      </c>
      <c r="E40" s="181" t="s">
        <v>415</v>
      </c>
      <c r="F40" s="209" t="s">
        <v>416</v>
      </c>
      <c r="G40" s="210" t="s">
        <v>417</v>
      </c>
      <c r="H40" s="209" t="s">
        <v>418</v>
      </c>
      <c r="I40" s="210" t="s">
        <v>419</v>
      </c>
      <c r="J40" s="206" t="s">
        <v>140</v>
      </c>
      <c r="K40" s="211" t="s">
        <v>140</v>
      </c>
      <c r="L40" s="717" t="s">
        <v>144</v>
      </c>
      <c r="M40" s="206" t="s">
        <v>193</v>
      </c>
      <c r="N40" s="211" t="s">
        <v>194</v>
      </c>
      <c r="O40" s="181" t="s">
        <v>420</v>
      </c>
      <c r="P40" s="181" t="s">
        <v>421</v>
      </c>
      <c r="Q40" s="209" t="s">
        <v>144</v>
      </c>
      <c r="R40" s="210" t="s">
        <v>144</v>
      </c>
      <c r="S40" s="181" t="s">
        <v>147</v>
      </c>
      <c r="T40" s="230" t="s">
        <v>144</v>
      </c>
      <c r="U40" s="231" t="s">
        <v>144</v>
      </c>
      <c r="V40" s="206">
        <v>1</v>
      </c>
      <c r="W40" s="206" t="s">
        <v>144</v>
      </c>
      <c r="X40" s="214">
        <v>42</v>
      </c>
      <c r="Y40" s="214" t="s">
        <v>144</v>
      </c>
      <c r="Z40" s="214" t="s">
        <v>144</v>
      </c>
      <c r="AA40" s="206" t="s">
        <v>398</v>
      </c>
      <c r="AB40" s="206" t="s">
        <v>140</v>
      </c>
      <c r="AC40" s="206" t="s">
        <v>265</v>
      </c>
      <c r="AD40" s="206" t="s">
        <v>144</v>
      </c>
      <c r="AE40" s="206" t="s">
        <v>144</v>
      </c>
      <c r="AF40" s="187" t="s">
        <v>144</v>
      </c>
      <c r="AG40" s="838"/>
      <c r="AH40" s="179"/>
      <c r="AI40" s="180"/>
      <c r="AJ40" s="181"/>
      <c r="AK40" s="182"/>
      <c r="AL40" s="180"/>
      <c r="AM40" s="188"/>
      <c r="AN40" s="181"/>
      <c r="AO40" s="182"/>
      <c r="AP40" s="180"/>
      <c r="AQ40" s="188"/>
      <c r="AR40" s="181"/>
      <c r="AS40" s="182"/>
      <c r="AT40" s="185"/>
      <c r="AU40" s="186"/>
      <c r="AV40" s="181"/>
      <c r="AW40" s="182"/>
      <c r="AX40" s="180"/>
      <c r="AY40" s="188"/>
      <c r="AZ40" s="181"/>
      <c r="BA40" s="182"/>
      <c r="BB40" s="179"/>
      <c r="BC40" s="188"/>
      <c r="BD40" s="181"/>
      <c r="BE40" s="182"/>
    </row>
    <row r="41" spans="1:57" ht="54" hidden="1" customHeight="1" x14ac:dyDescent="0.25">
      <c r="A41" s="205" t="s">
        <v>255</v>
      </c>
      <c r="B41" s="206">
        <v>23</v>
      </c>
      <c r="C41" s="240" t="s">
        <v>340</v>
      </c>
      <c r="D41" s="211" t="s">
        <v>341</v>
      </c>
      <c r="E41" s="181" t="s">
        <v>422</v>
      </c>
      <c r="F41" s="209" t="s">
        <v>423</v>
      </c>
      <c r="G41" s="210" t="s">
        <v>424</v>
      </c>
      <c r="H41" s="209" t="s">
        <v>425</v>
      </c>
      <c r="I41" s="210" t="s">
        <v>426</v>
      </c>
      <c r="J41" s="206" t="s">
        <v>140</v>
      </c>
      <c r="K41" s="211" t="s">
        <v>140</v>
      </c>
      <c r="L41" s="717" t="s">
        <v>144</v>
      </c>
      <c r="M41" s="206" t="s">
        <v>142</v>
      </c>
      <c r="N41" s="211" t="s">
        <v>143</v>
      </c>
      <c r="O41" s="181" t="s">
        <v>144</v>
      </c>
      <c r="P41" s="181" t="s">
        <v>144</v>
      </c>
      <c r="Q41" s="209" t="s">
        <v>427</v>
      </c>
      <c r="R41" s="210" t="s">
        <v>428</v>
      </c>
      <c r="S41" s="181" t="s">
        <v>233</v>
      </c>
      <c r="T41" s="212" t="s">
        <v>234</v>
      </c>
      <c r="U41" s="213" t="s">
        <v>235</v>
      </c>
      <c r="V41" s="206">
        <v>8</v>
      </c>
      <c r="W41" s="206" t="s">
        <v>144</v>
      </c>
      <c r="X41" s="214">
        <v>42</v>
      </c>
      <c r="Y41" s="214" t="s">
        <v>144</v>
      </c>
      <c r="Z41" s="212" t="s">
        <v>144</v>
      </c>
      <c r="AA41" s="206" t="s">
        <v>398</v>
      </c>
      <c r="AB41" s="206" t="s">
        <v>140</v>
      </c>
      <c r="AC41" s="206" t="s">
        <v>265</v>
      </c>
      <c r="AD41" s="206" t="s">
        <v>144</v>
      </c>
      <c r="AE41" s="206" t="s">
        <v>144</v>
      </c>
      <c r="AF41" s="187" t="s">
        <v>144</v>
      </c>
      <c r="AG41" s="838"/>
      <c r="AH41" s="179"/>
      <c r="AI41" s="180"/>
      <c r="AJ41" s="181"/>
      <c r="AK41" s="182"/>
      <c r="AL41" s="180"/>
      <c r="AM41" s="188"/>
      <c r="AN41" s="181"/>
      <c r="AO41" s="182"/>
      <c r="AP41" s="180"/>
      <c r="AQ41" s="188"/>
      <c r="AR41" s="181"/>
      <c r="AS41" s="182"/>
      <c r="AT41" s="185"/>
      <c r="AU41" s="186"/>
      <c r="AV41" s="181"/>
      <c r="AW41" s="182"/>
      <c r="AX41" s="180"/>
      <c r="AY41" s="188"/>
      <c r="AZ41" s="181"/>
      <c r="BA41" s="182"/>
      <c r="BB41" s="179"/>
      <c r="BC41" s="188"/>
      <c r="BD41" s="181"/>
      <c r="BE41" s="182"/>
    </row>
    <row r="42" spans="1:57" ht="54" hidden="1" customHeight="1" x14ac:dyDescent="0.25">
      <c r="A42" s="205" t="s">
        <v>255</v>
      </c>
      <c r="B42" s="206">
        <v>24</v>
      </c>
      <c r="C42" s="240" t="s">
        <v>340</v>
      </c>
      <c r="D42" s="211" t="s">
        <v>341</v>
      </c>
      <c r="E42" s="181" t="s">
        <v>429</v>
      </c>
      <c r="F42" s="209" t="s">
        <v>430</v>
      </c>
      <c r="G42" s="210" t="s">
        <v>431</v>
      </c>
      <c r="H42" s="209" t="s">
        <v>432</v>
      </c>
      <c r="I42" s="210" t="s">
        <v>433</v>
      </c>
      <c r="J42" s="206" t="s">
        <v>140</v>
      </c>
      <c r="K42" s="211" t="s">
        <v>140</v>
      </c>
      <c r="L42" s="717" t="s">
        <v>144</v>
      </c>
      <c r="M42" s="206" t="s">
        <v>193</v>
      </c>
      <c r="N42" s="211" t="s">
        <v>194</v>
      </c>
      <c r="O42" s="181" t="s">
        <v>144</v>
      </c>
      <c r="P42" s="181" t="s">
        <v>144</v>
      </c>
      <c r="Q42" s="209" t="s">
        <v>144</v>
      </c>
      <c r="R42" s="210" t="s">
        <v>144</v>
      </c>
      <c r="S42" s="181" t="s">
        <v>147</v>
      </c>
      <c r="T42" s="230" t="s">
        <v>144</v>
      </c>
      <c r="U42" s="231" t="s">
        <v>144</v>
      </c>
      <c r="V42" s="206">
        <v>6</v>
      </c>
      <c r="W42" s="206" t="s">
        <v>144</v>
      </c>
      <c r="X42" s="214">
        <v>42</v>
      </c>
      <c r="Y42" s="214" t="s">
        <v>144</v>
      </c>
      <c r="Z42" s="214" t="s">
        <v>144</v>
      </c>
      <c r="AA42" s="206" t="s">
        <v>398</v>
      </c>
      <c r="AB42" s="206" t="s">
        <v>140</v>
      </c>
      <c r="AC42" s="206" t="s">
        <v>265</v>
      </c>
      <c r="AD42" s="206" t="s">
        <v>144</v>
      </c>
      <c r="AE42" s="206" t="s">
        <v>144</v>
      </c>
      <c r="AF42" s="187" t="s">
        <v>144</v>
      </c>
      <c r="AG42" s="838"/>
      <c r="AH42" s="179"/>
      <c r="AI42" s="180"/>
      <c r="AJ42" s="181"/>
      <c r="AK42" s="182"/>
      <c r="AL42" s="180"/>
      <c r="AM42" s="188"/>
      <c r="AN42" s="181"/>
      <c r="AO42" s="182"/>
      <c r="AP42" s="180"/>
      <c r="AQ42" s="188"/>
      <c r="AR42" s="181"/>
      <c r="AS42" s="182"/>
      <c r="AT42" s="185"/>
      <c r="AU42" s="186"/>
      <c r="AV42" s="181"/>
      <c r="AW42" s="182"/>
      <c r="AX42" s="180"/>
      <c r="AY42" s="188"/>
      <c r="AZ42" s="181"/>
      <c r="BA42" s="182"/>
      <c r="BB42" s="179"/>
      <c r="BC42" s="188"/>
      <c r="BD42" s="181"/>
      <c r="BE42" s="182"/>
    </row>
    <row r="43" spans="1:57" ht="54" hidden="1" customHeight="1" x14ac:dyDescent="0.25">
      <c r="A43" s="205" t="s">
        <v>255</v>
      </c>
      <c r="B43" s="206">
        <v>25</v>
      </c>
      <c r="C43" s="240" t="s">
        <v>340</v>
      </c>
      <c r="D43" s="211" t="s">
        <v>341</v>
      </c>
      <c r="E43" s="181" t="s">
        <v>434</v>
      </c>
      <c r="F43" s="209" t="s">
        <v>435</v>
      </c>
      <c r="G43" s="232" t="s">
        <v>436</v>
      </c>
      <c r="H43" s="209" t="s">
        <v>437</v>
      </c>
      <c r="I43" s="233" t="s">
        <v>438</v>
      </c>
      <c r="J43" s="214" t="s">
        <v>140</v>
      </c>
      <c r="K43" s="234" t="s">
        <v>140</v>
      </c>
      <c r="L43" s="849" t="s">
        <v>144</v>
      </c>
      <c r="M43" s="206" t="s">
        <v>142</v>
      </c>
      <c r="N43" s="211" t="s">
        <v>143</v>
      </c>
      <c r="O43" s="181" t="s">
        <v>144</v>
      </c>
      <c r="P43" s="181" t="s">
        <v>144</v>
      </c>
      <c r="Q43" s="209" t="s">
        <v>439</v>
      </c>
      <c r="R43" s="210" t="s">
        <v>440</v>
      </c>
      <c r="S43" s="181" t="s">
        <v>147</v>
      </c>
      <c r="T43" s="235" t="s">
        <v>144</v>
      </c>
      <c r="U43" s="236" t="s">
        <v>144</v>
      </c>
      <c r="V43" s="206">
        <v>1</v>
      </c>
      <c r="W43" s="206" t="s">
        <v>144</v>
      </c>
      <c r="X43" s="214">
        <v>43</v>
      </c>
      <c r="Y43" s="214" t="s">
        <v>144</v>
      </c>
      <c r="Z43" s="214" t="s">
        <v>144</v>
      </c>
      <c r="AA43" s="206" t="s">
        <v>441</v>
      </c>
      <c r="AB43" s="206" t="s">
        <v>140</v>
      </c>
      <c r="AC43" s="206" t="s">
        <v>265</v>
      </c>
      <c r="AD43" s="847" t="s">
        <v>144</v>
      </c>
      <c r="AE43" s="847" t="s">
        <v>144</v>
      </c>
      <c r="AF43" s="848" t="s">
        <v>144</v>
      </c>
      <c r="AG43" s="838"/>
      <c r="AH43" s="179"/>
      <c r="AI43" s="180"/>
      <c r="AJ43" s="181"/>
      <c r="AK43" s="182"/>
      <c r="AL43" s="180"/>
      <c r="AM43" s="188"/>
      <c r="AN43" s="181"/>
      <c r="AO43" s="182"/>
      <c r="AP43" s="180"/>
      <c r="AQ43" s="188"/>
      <c r="AR43" s="181"/>
      <c r="AS43" s="182"/>
      <c r="AT43" s="185"/>
      <c r="AU43" s="186"/>
      <c r="AV43" s="181"/>
      <c r="AW43" s="182"/>
      <c r="AX43" s="180"/>
      <c r="AY43" s="188"/>
      <c r="AZ43" s="181"/>
      <c r="BA43" s="182"/>
      <c r="BB43" s="179"/>
      <c r="BC43" s="188"/>
      <c r="BD43" s="181"/>
      <c r="BE43" s="182"/>
    </row>
    <row r="44" spans="1:57" ht="54" hidden="1" customHeight="1" x14ac:dyDescent="0.25">
      <c r="A44" s="205" t="s">
        <v>255</v>
      </c>
      <c r="B44" s="206">
        <v>26</v>
      </c>
      <c r="C44" s="240" t="s">
        <v>340</v>
      </c>
      <c r="D44" s="211" t="s">
        <v>341</v>
      </c>
      <c r="E44" s="181" t="s">
        <v>442</v>
      </c>
      <c r="F44" s="209" t="s">
        <v>443</v>
      </c>
      <c r="G44" s="210" t="s">
        <v>444</v>
      </c>
      <c r="H44" s="209" t="s">
        <v>445</v>
      </c>
      <c r="I44" s="210" t="s">
        <v>446</v>
      </c>
      <c r="J44" s="206" t="s">
        <v>140</v>
      </c>
      <c r="K44" s="211" t="s">
        <v>140</v>
      </c>
      <c r="L44" s="717" t="s">
        <v>144</v>
      </c>
      <c r="M44" s="206" t="s">
        <v>142</v>
      </c>
      <c r="N44" s="211" t="s">
        <v>143</v>
      </c>
      <c r="O44" s="181" t="s">
        <v>447</v>
      </c>
      <c r="P44" s="181" t="s">
        <v>448</v>
      </c>
      <c r="Q44" s="209" t="s">
        <v>449</v>
      </c>
      <c r="R44" s="210" t="s">
        <v>450</v>
      </c>
      <c r="S44" s="181" t="s">
        <v>147</v>
      </c>
      <c r="T44" s="235" t="s">
        <v>144</v>
      </c>
      <c r="U44" s="236" t="s">
        <v>144</v>
      </c>
      <c r="V44" s="206">
        <v>1</v>
      </c>
      <c r="W44" s="206" t="s">
        <v>144</v>
      </c>
      <c r="X44" s="214">
        <v>43</v>
      </c>
      <c r="Y44" s="214" t="s">
        <v>144</v>
      </c>
      <c r="Z44" s="212" t="s">
        <v>144</v>
      </c>
      <c r="AA44" s="206" t="s">
        <v>441</v>
      </c>
      <c r="AB44" s="206" t="s">
        <v>140</v>
      </c>
      <c r="AC44" s="206" t="s">
        <v>265</v>
      </c>
      <c r="AD44" s="847" t="s">
        <v>144</v>
      </c>
      <c r="AE44" s="847" t="s">
        <v>144</v>
      </c>
      <c r="AF44" s="848" t="s">
        <v>144</v>
      </c>
      <c r="AG44" s="838"/>
      <c r="AH44" s="179"/>
      <c r="AI44" s="180"/>
      <c r="AJ44" s="181"/>
      <c r="AK44" s="182"/>
      <c r="AL44" s="180"/>
      <c r="AM44" s="188"/>
      <c r="AN44" s="181"/>
      <c r="AO44" s="182"/>
      <c r="AP44" s="180"/>
      <c r="AQ44" s="188"/>
      <c r="AR44" s="181"/>
      <c r="AS44" s="182"/>
      <c r="AT44" s="185"/>
      <c r="AU44" s="186"/>
      <c r="AV44" s="181"/>
      <c r="AW44" s="182"/>
      <c r="AX44" s="180"/>
      <c r="AY44" s="188"/>
      <c r="AZ44" s="181"/>
      <c r="BA44" s="182"/>
      <c r="BB44" s="179"/>
      <c r="BC44" s="188"/>
      <c r="BD44" s="181"/>
      <c r="BE44" s="182"/>
    </row>
    <row r="45" spans="1:57" ht="54" hidden="1" customHeight="1" x14ac:dyDescent="0.25">
      <c r="A45" s="205" t="s">
        <v>255</v>
      </c>
      <c r="B45" s="206">
        <v>27</v>
      </c>
      <c r="C45" s="240" t="s">
        <v>340</v>
      </c>
      <c r="D45" s="211" t="s">
        <v>341</v>
      </c>
      <c r="E45" s="181" t="s">
        <v>451</v>
      </c>
      <c r="F45" s="209" t="s">
        <v>452</v>
      </c>
      <c r="G45" s="210" t="s">
        <v>453</v>
      </c>
      <c r="H45" s="209" t="s">
        <v>454</v>
      </c>
      <c r="I45" s="210" t="s">
        <v>455</v>
      </c>
      <c r="J45" s="206" t="s">
        <v>140</v>
      </c>
      <c r="K45" s="211" t="s">
        <v>140</v>
      </c>
      <c r="L45" s="717" t="s">
        <v>144</v>
      </c>
      <c r="M45" s="206" t="s">
        <v>142</v>
      </c>
      <c r="N45" s="211" t="s">
        <v>143</v>
      </c>
      <c r="O45" s="181" t="s">
        <v>456</v>
      </c>
      <c r="P45" s="181" t="s">
        <v>457</v>
      </c>
      <c r="Q45" s="209" t="s">
        <v>458</v>
      </c>
      <c r="R45" s="210" t="s">
        <v>459</v>
      </c>
      <c r="S45" s="181" t="s">
        <v>147</v>
      </c>
      <c r="T45" s="235" t="s">
        <v>144</v>
      </c>
      <c r="U45" s="236" t="s">
        <v>144</v>
      </c>
      <c r="V45" s="206">
        <v>1</v>
      </c>
      <c r="W45" s="206" t="s">
        <v>144</v>
      </c>
      <c r="X45" s="214">
        <v>43</v>
      </c>
      <c r="Y45" s="214" t="s">
        <v>144</v>
      </c>
      <c r="Z45" s="212" t="s">
        <v>144</v>
      </c>
      <c r="AA45" s="206" t="s">
        <v>441</v>
      </c>
      <c r="AB45" s="206" t="s">
        <v>140</v>
      </c>
      <c r="AC45" s="206" t="s">
        <v>265</v>
      </c>
      <c r="AD45" s="847" t="s">
        <v>144</v>
      </c>
      <c r="AE45" s="847" t="s">
        <v>144</v>
      </c>
      <c r="AF45" s="848" t="s">
        <v>144</v>
      </c>
      <c r="AG45" s="838"/>
      <c r="AH45" s="179"/>
      <c r="AI45" s="180"/>
      <c r="AJ45" s="181"/>
      <c r="AK45" s="182"/>
      <c r="AL45" s="180"/>
      <c r="AM45" s="188"/>
      <c r="AN45" s="181"/>
      <c r="AO45" s="182"/>
      <c r="AP45" s="180"/>
      <c r="AQ45" s="188"/>
      <c r="AR45" s="181"/>
      <c r="AS45" s="182"/>
      <c r="AT45" s="185"/>
      <c r="AU45" s="186"/>
      <c r="AV45" s="181"/>
      <c r="AW45" s="182"/>
      <c r="AX45" s="180"/>
      <c r="AY45" s="188"/>
      <c r="AZ45" s="181"/>
      <c r="BA45" s="182"/>
      <c r="BB45" s="179"/>
      <c r="BC45" s="188"/>
      <c r="BD45" s="181"/>
      <c r="BE45" s="182"/>
    </row>
    <row r="46" spans="1:57" ht="54" hidden="1" customHeight="1" x14ac:dyDescent="0.25">
      <c r="A46" s="205" t="s">
        <v>255</v>
      </c>
      <c r="B46" s="206">
        <v>28</v>
      </c>
      <c r="C46" s="240" t="s">
        <v>340</v>
      </c>
      <c r="D46" s="211" t="s">
        <v>341</v>
      </c>
      <c r="E46" s="181" t="s">
        <v>460</v>
      </c>
      <c r="F46" s="209" t="s">
        <v>461</v>
      </c>
      <c r="G46" s="210" t="s">
        <v>462</v>
      </c>
      <c r="H46" s="209" t="s">
        <v>463</v>
      </c>
      <c r="I46" s="210" t="s">
        <v>464</v>
      </c>
      <c r="J46" s="206" t="s">
        <v>140</v>
      </c>
      <c r="K46" s="211" t="s">
        <v>140</v>
      </c>
      <c r="L46" s="717" t="s">
        <v>144</v>
      </c>
      <c r="M46" s="206" t="s">
        <v>142</v>
      </c>
      <c r="N46" s="211" t="s">
        <v>143</v>
      </c>
      <c r="O46" s="181" t="s">
        <v>465</v>
      </c>
      <c r="P46" s="181" t="s">
        <v>466</v>
      </c>
      <c r="Q46" s="209" t="s">
        <v>467</v>
      </c>
      <c r="R46" s="210" t="s">
        <v>468</v>
      </c>
      <c r="S46" s="181" t="s">
        <v>147</v>
      </c>
      <c r="T46" s="235" t="s">
        <v>144</v>
      </c>
      <c r="U46" s="236" t="s">
        <v>144</v>
      </c>
      <c r="V46" s="206">
        <v>4</v>
      </c>
      <c r="W46" s="206" t="s">
        <v>144</v>
      </c>
      <c r="X46" s="214">
        <v>43</v>
      </c>
      <c r="Y46" s="214" t="s">
        <v>144</v>
      </c>
      <c r="Z46" s="212" t="s">
        <v>144</v>
      </c>
      <c r="AA46" s="206" t="s">
        <v>264</v>
      </c>
      <c r="AB46" s="206" t="s">
        <v>140</v>
      </c>
      <c r="AC46" s="206" t="s">
        <v>265</v>
      </c>
      <c r="AD46" s="847" t="s">
        <v>144</v>
      </c>
      <c r="AE46" s="847" t="s">
        <v>144</v>
      </c>
      <c r="AF46" s="848" t="s">
        <v>144</v>
      </c>
      <c r="AG46" s="838"/>
      <c r="AH46" s="179"/>
      <c r="AI46" s="180"/>
      <c r="AJ46" s="181"/>
      <c r="AK46" s="182"/>
      <c r="AL46" s="180"/>
      <c r="AM46" s="188"/>
      <c r="AN46" s="181"/>
      <c r="AO46" s="182"/>
      <c r="AP46" s="180"/>
      <c r="AQ46" s="188"/>
      <c r="AR46" s="181"/>
      <c r="AS46" s="182"/>
      <c r="AT46" s="185"/>
      <c r="AU46" s="186"/>
      <c r="AV46" s="181"/>
      <c r="AW46" s="182"/>
      <c r="AX46" s="180"/>
      <c r="AY46" s="188"/>
      <c r="AZ46" s="181"/>
      <c r="BA46" s="182"/>
      <c r="BB46" s="179"/>
      <c r="BC46" s="188"/>
      <c r="BD46" s="181"/>
      <c r="BE46" s="182"/>
    </row>
    <row r="47" spans="1:57" ht="54" hidden="1" customHeight="1" x14ac:dyDescent="0.25">
      <c r="A47" s="205" t="s">
        <v>255</v>
      </c>
      <c r="B47" s="206">
        <v>29</v>
      </c>
      <c r="C47" s="240" t="s">
        <v>340</v>
      </c>
      <c r="D47" s="211" t="s">
        <v>341</v>
      </c>
      <c r="E47" s="181" t="s">
        <v>469</v>
      </c>
      <c r="F47" s="209" t="s">
        <v>470</v>
      </c>
      <c r="G47" s="210" t="s">
        <v>471</v>
      </c>
      <c r="H47" s="209" t="s">
        <v>472</v>
      </c>
      <c r="I47" s="210" t="s">
        <v>473</v>
      </c>
      <c r="J47" s="206" t="s">
        <v>140</v>
      </c>
      <c r="K47" s="211" t="s">
        <v>140</v>
      </c>
      <c r="L47" s="717" t="s">
        <v>144</v>
      </c>
      <c r="M47" s="206" t="s">
        <v>142</v>
      </c>
      <c r="N47" s="211" t="s">
        <v>143</v>
      </c>
      <c r="O47" s="181" t="s">
        <v>474</v>
      </c>
      <c r="P47" s="181" t="s">
        <v>475</v>
      </c>
      <c r="Q47" s="209" t="s">
        <v>449</v>
      </c>
      <c r="R47" s="210" t="s">
        <v>450</v>
      </c>
      <c r="S47" s="181" t="s">
        <v>147</v>
      </c>
      <c r="T47" s="235" t="s">
        <v>144</v>
      </c>
      <c r="U47" s="236" t="s">
        <v>144</v>
      </c>
      <c r="V47" s="206">
        <v>6</v>
      </c>
      <c r="W47" s="206" t="s">
        <v>144</v>
      </c>
      <c r="X47" s="214">
        <v>43</v>
      </c>
      <c r="Y47" s="214" t="s">
        <v>144</v>
      </c>
      <c r="Z47" s="212" t="s">
        <v>144</v>
      </c>
      <c r="AA47" s="412" t="s">
        <v>264</v>
      </c>
      <c r="AB47" s="206" t="s">
        <v>140</v>
      </c>
      <c r="AC47" s="206" t="s">
        <v>265</v>
      </c>
      <c r="AD47" s="847" t="s">
        <v>144</v>
      </c>
      <c r="AE47" s="847" t="s">
        <v>144</v>
      </c>
      <c r="AF47" s="848" t="s">
        <v>144</v>
      </c>
      <c r="AG47" s="838"/>
      <c r="AH47" s="179"/>
      <c r="AI47" s="180"/>
      <c r="AJ47" s="181"/>
      <c r="AK47" s="182"/>
      <c r="AL47" s="180"/>
      <c r="AM47" s="188"/>
      <c r="AN47" s="181"/>
      <c r="AO47" s="182"/>
      <c r="AP47" s="180"/>
      <c r="AQ47" s="188"/>
      <c r="AR47" s="181"/>
      <c r="AS47" s="182"/>
      <c r="AT47" s="185"/>
      <c r="AU47" s="186"/>
      <c r="AV47" s="181"/>
      <c r="AW47" s="182"/>
      <c r="AX47" s="180"/>
      <c r="AY47" s="188"/>
      <c r="AZ47" s="181"/>
      <c r="BA47" s="182"/>
      <c r="BB47" s="179"/>
      <c r="BC47" s="188"/>
      <c r="BD47" s="181"/>
      <c r="BE47" s="182"/>
    </row>
    <row r="48" spans="1:57" s="54" customFormat="1" ht="54" hidden="1" customHeight="1" x14ac:dyDescent="0.25">
      <c r="A48" s="216" t="s">
        <v>255</v>
      </c>
      <c r="B48" s="217">
        <v>30</v>
      </c>
      <c r="C48" s="253" t="s">
        <v>144</v>
      </c>
      <c r="D48" s="217" t="s">
        <v>144</v>
      </c>
      <c r="E48" s="219" t="s">
        <v>476</v>
      </c>
      <c r="F48" s="220" t="s">
        <v>477</v>
      </c>
      <c r="G48" s="220" t="s">
        <v>477</v>
      </c>
      <c r="H48" s="220" t="s">
        <v>478</v>
      </c>
      <c r="I48" s="220" t="s">
        <v>479</v>
      </c>
      <c r="J48" s="217" t="s">
        <v>144</v>
      </c>
      <c r="K48" s="217" t="s">
        <v>144</v>
      </c>
      <c r="L48" s="708" t="s">
        <v>144</v>
      </c>
      <c r="M48" s="217" t="s">
        <v>144</v>
      </c>
      <c r="N48" s="217" t="s">
        <v>144</v>
      </c>
      <c r="O48" s="219" t="s">
        <v>480</v>
      </c>
      <c r="P48" s="219" t="s">
        <v>481</v>
      </c>
      <c r="Q48" s="220" t="s">
        <v>482</v>
      </c>
      <c r="R48" s="220" t="s">
        <v>483</v>
      </c>
      <c r="S48" s="219" t="s">
        <v>147</v>
      </c>
      <c r="T48" s="237" t="s">
        <v>144</v>
      </c>
      <c r="U48" s="237" t="s">
        <v>144</v>
      </c>
      <c r="V48" s="217">
        <v>4</v>
      </c>
      <c r="W48" s="217" t="s">
        <v>144</v>
      </c>
      <c r="X48" s="222" t="s">
        <v>144</v>
      </c>
      <c r="Y48" s="222">
        <v>43</v>
      </c>
      <c r="Z48" s="222" t="s">
        <v>144</v>
      </c>
      <c r="AA48" s="217" t="s">
        <v>398</v>
      </c>
      <c r="AB48" s="217" t="s">
        <v>144</v>
      </c>
      <c r="AC48" s="217" t="s">
        <v>265</v>
      </c>
      <c r="AD48" s="217" t="s">
        <v>144</v>
      </c>
      <c r="AE48" s="217" t="s">
        <v>144</v>
      </c>
      <c r="AF48" s="223" t="s">
        <v>144</v>
      </c>
      <c r="AG48" s="838"/>
      <c r="AH48" s="224"/>
      <c r="AI48" s="225"/>
      <c r="AJ48" s="219"/>
      <c r="AK48" s="226"/>
      <c r="AL48" s="225"/>
      <c r="AM48" s="225"/>
      <c r="AN48" s="219"/>
      <c r="AO48" s="226"/>
      <c r="AP48" s="225"/>
      <c r="AQ48" s="225"/>
      <c r="AR48" s="219"/>
      <c r="AS48" s="226"/>
      <c r="AT48" s="227"/>
      <c r="AU48" s="227"/>
      <c r="AV48" s="219"/>
      <c r="AW48" s="226"/>
      <c r="AX48" s="225"/>
      <c r="AY48" s="225"/>
      <c r="AZ48" s="219"/>
      <c r="BA48" s="226"/>
      <c r="BB48" s="224"/>
      <c r="BC48" s="225"/>
      <c r="BD48" s="219"/>
      <c r="BE48" s="226"/>
    </row>
    <row r="49" spans="1:57" s="54" customFormat="1" ht="54" hidden="1" customHeight="1" x14ac:dyDescent="0.25">
      <c r="A49" s="216" t="s">
        <v>255</v>
      </c>
      <c r="B49" s="217">
        <v>31</v>
      </c>
      <c r="C49" s="253" t="s">
        <v>144</v>
      </c>
      <c r="D49" s="217" t="s">
        <v>144</v>
      </c>
      <c r="E49" s="219" t="s">
        <v>484</v>
      </c>
      <c r="F49" s="220" t="s">
        <v>485</v>
      </c>
      <c r="G49" s="220" t="s">
        <v>485</v>
      </c>
      <c r="H49" s="220" t="s">
        <v>486</v>
      </c>
      <c r="I49" s="220" t="s">
        <v>487</v>
      </c>
      <c r="J49" s="217" t="s">
        <v>144</v>
      </c>
      <c r="K49" s="217" t="s">
        <v>144</v>
      </c>
      <c r="L49" s="708" t="s">
        <v>144</v>
      </c>
      <c r="M49" s="217" t="s">
        <v>144</v>
      </c>
      <c r="N49" s="217" t="s">
        <v>144</v>
      </c>
      <c r="O49" s="219" t="s">
        <v>144</v>
      </c>
      <c r="P49" s="219" t="s">
        <v>144</v>
      </c>
      <c r="Q49" s="220" t="s">
        <v>488</v>
      </c>
      <c r="R49" s="220" t="s">
        <v>489</v>
      </c>
      <c r="S49" s="219" t="s">
        <v>147</v>
      </c>
      <c r="T49" s="237" t="s">
        <v>144</v>
      </c>
      <c r="U49" s="237" t="s">
        <v>144</v>
      </c>
      <c r="V49" s="217">
        <v>21</v>
      </c>
      <c r="W49" s="217" t="s">
        <v>144</v>
      </c>
      <c r="X49" s="222" t="s">
        <v>144</v>
      </c>
      <c r="Y49" s="222">
        <v>43</v>
      </c>
      <c r="Z49" s="222" t="s">
        <v>144</v>
      </c>
      <c r="AA49" s="217" t="s">
        <v>398</v>
      </c>
      <c r="AB49" s="217" t="s">
        <v>144</v>
      </c>
      <c r="AC49" s="217" t="s">
        <v>265</v>
      </c>
      <c r="AD49" s="217" t="s">
        <v>144</v>
      </c>
      <c r="AE49" s="217" t="s">
        <v>144</v>
      </c>
      <c r="AF49" s="223" t="s">
        <v>144</v>
      </c>
      <c r="AG49" s="838"/>
      <c r="AH49" s="224"/>
      <c r="AI49" s="225"/>
      <c r="AJ49" s="219"/>
      <c r="AK49" s="226"/>
      <c r="AL49" s="225"/>
      <c r="AM49" s="225"/>
      <c r="AN49" s="219"/>
      <c r="AO49" s="226"/>
      <c r="AP49" s="225"/>
      <c r="AQ49" s="225"/>
      <c r="AR49" s="219"/>
      <c r="AS49" s="226"/>
      <c r="AT49" s="227"/>
      <c r="AU49" s="227"/>
      <c r="AV49" s="219"/>
      <c r="AW49" s="226"/>
      <c r="AX49" s="225"/>
      <c r="AY49" s="225"/>
      <c r="AZ49" s="219"/>
      <c r="BA49" s="226"/>
      <c r="BB49" s="224"/>
      <c r="BC49" s="225"/>
      <c r="BD49" s="219"/>
      <c r="BE49" s="226"/>
    </row>
    <row r="50" spans="1:57" ht="54" hidden="1" customHeight="1" x14ac:dyDescent="0.25">
      <c r="A50" s="205" t="s">
        <v>255</v>
      </c>
      <c r="B50" s="206">
        <v>32</v>
      </c>
      <c r="C50" s="240" t="s">
        <v>340</v>
      </c>
      <c r="D50" s="211" t="s">
        <v>341</v>
      </c>
      <c r="E50" s="181" t="s">
        <v>490</v>
      </c>
      <c r="F50" s="209" t="s">
        <v>491</v>
      </c>
      <c r="G50" s="210" t="s">
        <v>492</v>
      </c>
      <c r="H50" s="209" t="s">
        <v>493</v>
      </c>
      <c r="I50" s="210" t="s">
        <v>494</v>
      </c>
      <c r="J50" s="206" t="s">
        <v>140</v>
      </c>
      <c r="K50" s="211" t="s">
        <v>140</v>
      </c>
      <c r="L50" s="717" t="s">
        <v>144</v>
      </c>
      <c r="M50" s="206" t="s">
        <v>193</v>
      </c>
      <c r="N50" s="211" t="s">
        <v>194</v>
      </c>
      <c r="O50" s="181" t="s">
        <v>495</v>
      </c>
      <c r="P50" s="181" t="s">
        <v>496</v>
      </c>
      <c r="Q50" s="209" t="s">
        <v>497</v>
      </c>
      <c r="R50" s="210" t="s">
        <v>498</v>
      </c>
      <c r="S50" s="181" t="s">
        <v>147</v>
      </c>
      <c r="T50" s="235" t="s">
        <v>144</v>
      </c>
      <c r="U50" s="236" t="s">
        <v>144</v>
      </c>
      <c r="V50" s="206">
        <v>6</v>
      </c>
      <c r="W50" s="206" t="s">
        <v>144</v>
      </c>
      <c r="X50" s="214">
        <v>43</v>
      </c>
      <c r="Y50" s="214" t="s">
        <v>144</v>
      </c>
      <c r="Z50" s="214" t="s">
        <v>144</v>
      </c>
      <c r="AA50" s="206" t="s">
        <v>398</v>
      </c>
      <c r="AB50" s="206" t="s">
        <v>140</v>
      </c>
      <c r="AC50" s="206" t="s">
        <v>265</v>
      </c>
      <c r="AD50" s="847" t="s">
        <v>144</v>
      </c>
      <c r="AE50" s="847" t="s">
        <v>144</v>
      </c>
      <c r="AF50" s="848" t="s">
        <v>144</v>
      </c>
      <c r="AG50" s="838"/>
      <c r="AH50" s="179"/>
      <c r="AI50" s="180"/>
      <c r="AJ50" s="181"/>
      <c r="AK50" s="182"/>
      <c r="AL50" s="180"/>
      <c r="AM50" s="188"/>
      <c r="AN50" s="181"/>
      <c r="AO50" s="182"/>
      <c r="AP50" s="180"/>
      <c r="AQ50" s="188"/>
      <c r="AR50" s="181"/>
      <c r="AS50" s="182"/>
      <c r="AT50" s="185"/>
      <c r="AU50" s="186"/>
      <c r="AV50" s="181"/>
      <c r="AW50" s="182"/>
      <c r="AX50" s="180"/>
      <c r="AY50" s="188"/>
      <c r="AZ50" s="181"/>
      <c r="BA50" s="182"/>
      <c r="BB50" s="179"/>
      <c r="BC50" s="188"/>
      <c r="BD50" s="181"/>
      <c r="BE50" s="182"/>
    </row>
    <row r="51" spans="1:57" s="54" customFormat="1" ht="54" customHeight="1" x14ac:dyDescent="0.25">
      <c r="A51" s="216" t="s">
        <v>255</v>
      </c>
      <c r="B51" s="217">
        <v>33</v>
      </c>
      <c r="C51" s="253" t="s">
        <v>144</v>
      </c>
      <c r="D51" s="217" t="s">
        <v>144</v>
      </c>
      <c r="E51" s="219" t="s">
        <v>499</v>
      </c>
      <c r="F51" s="220" t="s">
        <v>251</v>
      </c>
      <c r="G51" s="220" t="s">
        <v>251</v>
      </c>
      <c r="H51" s="220" t="s">
        <v>336</v>
      </c>
      <c r="I51" s="220" t="s">
        <v>337</v>
      </c>
      <c r="J51" s="217" t="s">
        <v>144</v>
      </c>
      <c r="K51" s="217" t="s">
        <v>144</v>
      </c>
      <c r="L51" s="708" t="s">
        <v>144</v>
      </c>
      <c r="M51" s="217" t="s">
        <v>144</v>
      </c>
      <c r="N51" s="217" t="s">
        <v>144</v>
      </c>
      <c r="O51" s="219" t="s">
        <v>144</v>
      </c>
      <c r="P51" s="219" t="s">
        <v>144</v>
      </c>
      <c r="Q51" s="220" t="s">
        <v>338</v>
      </c>
      <c r="R51" s="220" t="s">
        <v>339</v>
      </c>
      <c r="S51" s="219" t="s">
        <v>147</v>
      </c>
      <c r="T51" s="221" t="s">
        <v>144</v>
      </c>
      <c r="U51" s="221" t="s">
        <v>144</v>
      </c>
      <c r="V51" s="217">
        <v>1</v>
      </c>
      <c r="W51" s="217" t="s">
        <v>144</v>
      </c>
      <c r="X51" s="222" t="s">
        <v>144</v>
      </c>
      <c r="Y51" s="222" t="s">
        <v>144</v>
      </c>
      <c r="Z51" s="222" t="s">
        <v>144</v>
      </c>
      <c r="AA51" s="217" t="s">
        <v>144</v>
      </c>
      <c r="AB51" s="217" t="s">
        <v>144</v>
      </c>
      <c r="AC51" s="217" t="s">
        <v>265</v>
      </c>
      <c r="AD51" s="217" t="s">
        <v>144</v>
      </c>
      <c r="AE51" s="217" t="s">
        <v>144</v>
      </c>
      <c r="AF51" s="223" t="s">
        <v>144</v>
      </c>
      <c r="AG51" s="838"/>
      <c r="AH51" s="224"/>
      <c r="AI51" s="225"/>
      <c r="AJ51" s="219"/>
      <c r="AK51" s="226"/>
      <c r="AL51" s="225"/>
      <c r="AM51" s="225"/>
      <c r="AN51" s="219"/>
      <c r="AO51" s="226"/>
      <c r="AP51" s="225"/>
      <c r="AQ51" s="225"/>
      <c r="AR51" s="219"/>
      <c r="AS51" s="226"/>
      <c r="AT51" s="227"/>
      <c r="AU51" s="227"/>
      <c r="AV51" s="219"/>
      <c r="AW51" s="226"/>
      <c r="AX51" s="225"/>
      <c r="AY51" s="225"/>
      <c r="AZ51" s="219"/>
      <c r="BA51" s="226"/>
      <c r="BB51" s="224"/>
      <c r="BC51" s="225"/>
      <c r="BD51" s="219"/>
      <c r="BE51" s="226"/>
    </row>
    <row r="52" spans="1:57" ht="54" hidden="1" customHeight="1" x14ac:dyDescent="0.25">
      <c r="A52" s="205" t="s">
        <v>255</v>
      </c>
      <c r="B52" s="206">
        <v>34</v>
      </c>
      <c r="C52" s="240" t="s">
        <v>340</v>
      </c>
      <c r="D52" s="211" t="s">
        <v>341</v>
      </c>
      <c r="E52" s="181" t="s">
        <v>500</v>
      </c>
      <c r="F52" s="209" t="s">
        <v>501</v>
      </c>
      <c r="G52" s="210" t="s">
        <v>502</v>
      </c>
      <c r="H52" s="209" t="s">
        <v>503</v>
      </c>
      <c r="I52" s="210" t="s">
        <v>504</v>
      </c>
      <c r="J52" s="206" t="s">
        <v>140</v>
      </c>
      <c r="K52" s="211" t="s">
        <v>140</v>
      </c>
      <c r="L52" s="717" t="s">
        <v>144</v>
      </c>
      <c r="M52" s="206" t="s">
        <v>142</v>
      </c>
      <c r="N52" s="211" t="s">
        <v>143</v>
      </c>
      <c r="O52" s="181" t="s">
        <v>505</v>
      </c>
      <c r="P52" s="181" t="s">
        <v>506</v>
      </c>
      <c r="Q52" s="209" t="s">
        <v>507</v>
      </c>
      <c r="R52" s="210" t="s">
        <v>508</v>
      </c>
      <c r="S52" s="181" t="s">
        <v>147</v>
      </c>
      <c r="T52" s="212" t="s">
        <v>144</v>
      </c>
      <c r="U52" s="213" t="s">
        <v>144</v>
      </c>
      <c r="V52" s="206">
        <v>2</v>
      </c>
      <c r="W52" s="206" t="s">
        <v>144</v>
      </c>
      <c r="X52" s="214">
        <v>40</v>
      </c>
      <c r="Y52" s="214" t="s">
        <v>144</v>
      </c>
      <c r="Z52" s="212" t="s">
        <v>144</v>
      </c>
      <c r="AA52" s="206" t="s">
        <v>398</v>
      </c>
      <c r="AB52" s="206" t="s">
        <v>140</v>
      </c>
      <c r="AC52" s="206" t="s">
        <v>265</v>
      </c>
      <c r="AD52" s="206" t="s">
        <v>144</v>
      </c>
      <c r="AE52" s="206" t="s">
        <v>144</v>
      </c>
      <c r="AF52" s="187" t="s">
        <v>144</v>
      </c>
      <c r="AG52" s="838"/>
      <c r="AH52" s="179"/>
      <c r="AI52" s="180"/>
      <c r="AJ52" s="181"/>
      <c r="AK52" s="182"/>
      <c r="AL52" s="180"/>
      <c r="AM52" s="188"/>
      <c r="AN52" s="181"/>
      <c r="AO52" s="182"/>
      <c r="AP52" s="180"/>
      <c r="AQ52" s="188"/>
      <c r="AR52" s="181"/>
      <c r="AS52" s="182"/>
      <c r="AT52" s="185"/>
      <c r="AU52" s="186"/>
      <c r="AV52" s="181"/>
      <c r="AW52" s="182"/>
      <c r="AX52" s="180"/>
      <c r="AY52" s="188"/>
      <c r="AZ52" s="181"/>
      <c r="BA52" s="182"/>
      <c r="BB52" s="179"/>
      <c r="BC52" s="188"/>
      <c r="BD52" s="181"/>
      <c r="BE52" s="182"/>
    </row>
    <row r="53" spans="1:57" ht="54" hidden="1" customHeight="1" x14ac:dyDescent="0.25">
      <c r="A53" s="205" t="s">
        <v>255</v>
      </c>
      <c r="B53" s="206">
        <v>35</v>
      </c>
      <c r="C53" s="240" t="s">
        <v>340</v>
      </c>
      <c r="D53" s="211" t="s">
        <v>341</v>
      </c>
      <c r="E53" s="181" t="s">
        <v>509</v>
      </c>
      <c r="F53" s="209" t="s">
        <v>510</v>
      </c>
      <c r="G53" s="210" t="s">
        <v>511</v>
      </c>
      <c r="H53" s="209" t="s">
        <v>512</v>
      </c>
      <c r="I53" s="210" t="s">
        <v>513</v>
      </c>
      <c r="J53" s="206" t="s">
        <v>140</v>
      </c>
      <c r="K53" s="211" t="s">
        <v>140</v>
      </c>
      <c r="L53" s="717" t="s">
        <v>144</v>
      </c>
      <c r="M53" s="206" t="s">
        <v>142</v>
      </c>
      <c r="N53" s="211" t="s">
        <v>143</v>
      </c>
      <c r="O53" s="181" t="s">
        <v>144</v>
      </c>
      <c r="P53" s="181" t="s">
        <v>144</v>
      </c>
      <c r="Q53" s="209" t="s">
        <v>514</v>
      </c>
      <c r="R53" s="210" t="s">
        <v>515</v>
      </c>
      <c r="S53" s="181" t="s">
        <v>147</v>
      </c>
      <c r="T53" s="212" t="s">
        <v>144</v>
      </c>
      <c r="U53" s="213" t="s">
        <v>144</v>
      </c>
      <c r="V53" s="206">
        <v>20</v>
      </c>
      <c r="W53" s="206" t="s">
        <v>144</v>
      </c>
      <c r="X53" s="214">
        <v>40</v>
      </c>
      <c r="Y53" s="214" t="s">
        <v>144</v>
      </c>
      <c r="Z53" s="212" t="s">
        <v>144</v>
      </c>
      <c r="AA53" s="206" t="s">
        <v>516</v>
      </c>
      <c r="AB53" s="206" t="s">
        <v>140</v>
      </c>
      <c r="AC53" s="206" t="s">
        <v>265</v>
      </c>
      <c r="AD53" s="206" t="s">
        <v>144</v>
      </c>
      <c r="AE53" s="206" t="s">
        <v>144</v>
      </c>
      <c r="AF53" s="187" t="s">
        <v>144</v>
      </c>
      <c r="AG53" s="838"/>
      <c r="AH53" s="179"/>
      <c r="AI53" s="180"/>
      <c r="AJ53" s="181"/>
      <c r="AK53" s="182"/>
      <c r="AL53" s="180"/>
      <c r="AM53" s="188"/>
      <c r="AN53" s="181"/>
      <c r="AO53" s="182"/>
      <c r="AP53" s="180"/>
      <c r="AQ53" s="188"/>
      <c r="AR53" s="181"/>
      <c r="AS53" s="182"/>
      <c r="AT53" s="185"/>
      <c r="AU53" s="186"/>
      <c r="AV53" s="181"/>
      <c r="AW53" s="182"/>
      <c r="AX53" s="180"/>
      <c r="AY53" s="188"/>
      <c r="AZ53" s="181"/>
      <c r="BA53" s="182"/>
      <c r="BB53" s="179"/>
      <c r="BC53" s="188"/>
      <c r="BD53" s="181"/>
      <c r="BE53" s="182"/>
    </row>
    <row r="54" spans="1:57" ht="54" hidden="1" customHeight="1" x14ac:dyDescent="0.25">
      <c r="A54" s="205" t="s">
        <v>255</v>
      </c>
      <c r="B54" s="206">
        <v>36</v>
      </c>
      <c r="C54" s="240" t="s">
        <v>340</v>
      </c>
      <c r="D54" s="211" t="s">
        <v>341</v>
      </c>
      <c r="E54" s="181" t="s">
        <v>517</v>
      </c>
      <c r="F54" s="209" t="s">
        <v>518</v>
      </c>
      <c r="G54" s="210" t="s">
        <v>519</v>
      </c>
      <c r="H54" s="209" t="s">
        <v>520</v>
      </c>
      <c r="I54" s="210" t="s">
        <v>521</v>
      </c>
      <c r="J54" s="206" t="s">
        <v>140</v>
      </c>
      <c r="K54" s="211" t="s">
        <v>140</v>
      </c>
      <c r="L54" s="717" t="s">
        <v>144</v>
      </c>
      <c r="M54" s="206" t="s">
        <v>193</v>
      </c>
      <c r="N54" s="211" t="s">
        <v>194</v>
      </c>
      <c r="O54" s="181" t="s">
        <v>144</v>
      </c>
      <c r="P54" s="181" t="s">
        <v>144</v>
      </c>
      <c r="Q54" s="209" t="s">
        <v>522</v>
      </c>
      <c r="R54" s="210" t="s">
        <v>523</v>
      </c>
      <c r="S54" s="181" t="s">
        <v>147</v>
      </c>
      <c r="T54" s="212" t="s">
        <v>144</v>
      </c>
      <c r="U54" s="213" t="s">
        <v>144</v>
      </c>
      <c r="V54" s="206">
        <v>1</v>
      </c>
      <c r="W54" s="206" t="s">
        <v>144</v>
      </c>
      <c r="X54" s="214">
        <v>42</v>
      </c>
      <c r="Y54" s="214" t="s">
        <v>144</v>
      </c>
      <c r="Z54" s="214" t="s">
        <v>144</v>
      </c>
      <c r="AA54" s="206" t="s">
        <v>264</v>
      </c>
      <c r="AB54" s="206" t="s">
        <v>140</v>
      </c>
      <c r="AC54" s="206" t="s">
        <v>265</v>
      </c>
      <c r="AD54" s="206" t="s">
        <v>144</v>
      </c>
      <c r="AE54" s="206" t="s">
        <v>144</v>
      </c>
      <c r="AF54" s="187" t="s">
        <v>144</v>
      </c>
      <c r="AG54" s="838"/>
      <c r="AH54" s="179"/>
      <c r="AI54" s="180"/>
      <c r="AJ54" s="181"/>
      <c r="AK54" s="182"/>
      <c r="AL54" s="180"/>
      <c r="AM54" s="188"/>
      <c r="AN54" s="181"/>
      <c r="AO54" s="182"/>
      <c r="AP54" s="180"/>
      <c r="AQ54" s="188"/>
      <c r="AR54" s="181"/>
      <c r="AS54" s="182"/>
      <c r="AT54" s="185"/>
      <c r="AU54" s="186"/>
      <c r="AV54" s="181"/>
      <c r="AW54" s="182"/>
      <c r="AX54" s="180"/>
      <c r="AY54" s="188"/>
      <c r="AZ54" s="181"/>
      <c r="BA54" s="182"/>
      <c r="BB54" s="179"/>
      <c r="BC54" s="188"/>
      <c r="BD54" s="181"/>
      <c r="BE54" s="182"/>
    </row>
    <row r="55" spans="1:57" ht="54" hidden="1" customHeight="1" x14ac:dyDescent="0.25">
      <c r="A55" s="205" t="s">
        <v>255</v>
      </c>
      <c r="B55" s="206">
        <v>37</v>
      </c>
      <c r="C55" s="240" t="s">
        <v>340</v>
      </c>
      <c r="D55" s="211" t="s">
        <v>341</v>
      </c>
      <c r="E55" s="181" t="s">
        <v>524</v>
      </c>
      <c r="F55" s="209" t="s">
        <v>525</v>
      </c>
      <c r="G55" s="210" t="s">
        <v>526</v>
      </c>
      <c r="H55" s="209" t="s">
        <v>527</v>
      </c>
      <c r="I55" s="210" t="s">
        <v>528</v>
      </c>
      <c r="J55" s="206" t="s">
        <v>140</v>
      </c>
      <c r="K55" s="211" t="s">
        <v>140</v>
      </c>
      <c r="L55" s="717" t="s">
        <v>144</v>
      </c>
      <c r="M55" s="206" t="s">
        <v>142</v>
      </c>
      <c r="N55" s="211" t="s">
        <v>143</v>
      </c>
      <c r="O55" s="181" t="s">
        <v>144</v>
      </c>
      <c r="P55" s="181" t="s">
        <v>144</v>
      </c>
      <c r="Q55" s="209" t="s">
        <v>529</v>
      </c>
      <c r="R55" s="210" t="s">
        <v>530</v>
      </c>
      <c r="S55" s="181" t="s">
        <v>147</v>
      </c>
      <c r="T55" s="235" t="s">
        <v>144</v>
      </c>
      <c r="U55" s="236" t="s">
        <v>144</v>
      </c>
      <c r="V55" s="206">
        <v>10</v>
      </c>
      <c r="W55" s="206" t="s">
        <v>144</v>
      </c>
      <c r="X55" s="214">
        <v>43</v>
      </c>
      <c r="Y55" s="214" t="s">
        <v>144</v>
      </c>
      <c r="Z55" s="212" t="s">
        <v>144</v>
      </c>
      <c r="AA55" s="412" t="s">
        <v>398</v>
      </c>
      <c r="AB55" s="206" t="s">
        <v>140</v>
      </c>
      <c r="AC55" s="206" t="s">
        <v>265</v>
      </c>
      <c r="AD55" s="206" t="s">
        <v>144</v>
      </c>
      <c r="AE55" s="206" t="s">
        <v>144</v>
      </c>
      <c r="AF55" s="187" t="s">
        <v>144</v>
      </c>
      <c r="AG55" s="838"/>
      <c r="AH55" s="179"/>
      <c r="AI55" s="188"/>
      <c r="AJ55" s="181"/>
      <c r="AK55" s="182"/>
      <c r="AL55" s="180"/>
      <c r="AM55" s="188"/>
      <c r="AN55" s="181"/>
      <c r="AO55" s="182"/>
      <c r="AP55" s="180"/>
      <c r="AQ55" s="188"/>
      <c r="AR55" s="181"/>
      <c r="AS55" s="182"/>
      <c r="AT55" s="185"/>
      <c r="AU55" s="186"/>
      <c r="AV55" s="181"/>
      <c r="AW55" s="182"/>
      <c r="AX55" s="180"/>
      <c r="AY55" s="188"/>
      <c r="AZ55" s="181"/>
      <c r="BA55" s="182"/>
      <c r="BB55" s="179"/>
      <c r="BC55" s="188"/>
      <c r="BD55" s="181"/>
      <c r="BE55" s="182"/>
    </row>
    <row r="56" spans="1:57" s="54" customFormat="1" ht="54" customHeight="1" x14ac:dyDescent="0.25">
      <c r="A56" s="216" t="s">
        <v>255</v>
      </c>
      <c r="B56" s="217">
        <v>38</v>
      </c>
      <c r="C56" s="253" t="s">
        <v>144</v>
      </c>
      <c r="D56" s="217" t="s">
        <v>144</v>
      </c>
      <c r="E56" s="219" t="s">
        <v>531</v>
      </c>
      <c r="F56" s="220" t="s">
        <v>251</v>
      </c>
      <c r="G56" s="220" t="s">
        <v>251</v>
      </c>
      <c r="H56" s="220" t="s">
        <v>336</v>
      </c>
      <c r="I56" s="220" t="s">
        <v>337</v>
      </c>
      <c r="J56" s="217" t="s">
        <v>144</v>
      </c>
      <c r="K56" s="217" t="s">
        <v>144</v>
      </c>
      <c r="L56" s="708" t="s">
        <v>144</v>
      </c>
      <c r="M56" s="217" t="s">
        <v>144</v>
      </c>
      <c r="N56" s="217" t="s">
        <v>144</v>
      </c>
      <c r="O56" s="219" t="s">
        <v>144</v>
      </c>
      <c r="P56" s="219" t="s">
        <v>144</v>
      </c>
      <c r="Q56" s="220" t="s">
        <v>338</v>
      </c>
      <c r="R56" s="220" t="s">
        <v>339</v>
      </c>
      <c r="S56" s="219" t="s">
        <v>147</v>
      </c>
      <c r="T56" s="221" t="s">
        <v>144</v>
      </c>
      <c r="U56" s="221" t="s">
        <v>144</v>
      </c>
      <c r="V56" s="217">
        <v>1</v>
      </c>
      <c r="W56" s="217" t="s">
        <v>144</v>
      </c>
      <c r="X56" s="222" t="s">
        <v>144</v>
      </c>
      <c r="Y56" s="222" t="s">
        <v>144</v>
      </c>
      <c r="Z56" s="222" t="s">
        <v>144</v>
      </c>
      <c r="AA56" s="217" t="s">
        <v>144</v>
      </c>
      <c r="AB56" s="217" t="s">
        <v>144</v>
      </c>
      <c r="AC56" s="217" t="s">
        <v>265</v>
      </c>
      <c r="AD56" s="217" t="s">
        <v>144</v>
      </c>
      <c r="AE56" s="217" t="s">
        <v>144</v>
      </c>
      <c r="AF56" s="223" t="s">
        <v>144</v>
      </c>
      <c r="AG56" s="838"/>
      <c r="AH56" s="224"/>
      <c r="AI56" s="225"/>
      <c r="AJ56" s="219"/>
      <c r="AK56" s="226"/>
      <c r="AL56" s="225"/>
      <c r="AM56" s="225"/>
      <c r="AN56" s="219"/>
      <c r="AO56" s="226"/>
      <c r="AP56" s="225"/>
      <c r="AQ56" s="225"/>
      <c r="AR56" s="219"/>
      <c r="AS56" s="226"/>
      <c r="AT56" s="227"/>
      <c r="AU56" s="227"/>
      <c r="AV56" s="219"/>
      <c r="AW56" s="226"/>
      <c r="AX56" s="225"/>
      <c r="AY56" s="225"/>
      <c r="AZ56" s="219"/>
      <c r="BA56" s="226"/>
      <c r="BB56" s="224"/>
      <c r="BC56" s="225"/>
      <c r="BD56" s="219"/>
      <c r="BE56" s="226"/>
    </row>
    <row r="57" spans="1:57" ht="54" hidden="1" customHeight="1" x14ac:dyDescent="0.25">
      <c r="A57" s="205" t="s">
        <v>255</v>
      </c>
      <c r="B57" s="206">
        <v>39</v>
      </c>
      <c r="C57" s="240" t="s">
        <v>532</v>
      </c>
      <c r="D57" s="211" t="s">
        <v>533</v>
      </c>
      <c r="E57" s="181" t="s">
        <v>534</v>
      </c>
      <c r="F57" s="209" t="s">
        <v>535</v>
      </c>
      <c r="G57" s="210" t="s">
        <v>536</v>
      </c>
      <c r="H57" s="209" t="s">
        <v>537</v>
      </c>
      <c r="I57" s="210" t="s">
        <v>538</v>
      </c>
      <c r="J57" s="206" t="s">
        <v>140</v>
      </c>
      <c r="K57" s="211" t="s">
        <v>140</v>
      </c>
      <c r="L57" s="717" t="s">
        <v>144</v>
      </c>
      <c r="M57" s="206" t="s">
        <v>193</v>
      </c>
      <c r="N57" s="211" t="s">
        <v>194</v>
      </c>
      <c r="O57" s="181" t="s">
        <v>539</v>
      </c>
      <c r="P57" s="181" t="s">
        <v>540</v>
      </c>
      <c r="Q57" s="209" t="s">
        <v>541</v>
      </c>
      <c r="R57" s="210" t="s">
        <v>542</v>
      </c>
      <c r="S57" s="181" t="s">
        <v>147</v>
      </c>
      <c r="T57" s="212" t="s">
        <v>144</v>
      </c>
      <c r="U57" s="213" t="s">
        <v>144</v>
      </c>
      <c r="V57" s="206">
        <v>2</v>
      </c>
      <c r="W57" s="206" t="s">
        <v>144</v>
      </c>
      <c r="X57" s="214">
        <v>40</v>
      </c>
      <c r="Y57" s="214" t="s">
        <v>144</v>
      </c>
      <c r="Z57" s="214" t="s">
        <v>144</v>
      </c>
      <c r="AA57" s="206" t="s">
        <v>264</v>
      </c>
      <c r="AB57" s="206" t="s">
        <v>140</v>
      </c>
      <c r="AC57" s="206" t="s">
        <v>265</v>
      </c>
      <c r="AD57" s="847" t="s">
        <v>144</v>
      </c>
      <c r="AE57" s="847" t="s">
        <v>144</v>
      </c>
      <c r="AF57" s="848" t="s">
        <v>144</v>
      </c>
      <c r="AG57" s="838"/>
      <c r="AH57" s="179"/>
      <c r="AI57" s="188"/>
      <c r="AJ57" s="181"/>
      <c r="AK57" s="182"/>
      <c r="AL57" s="180"/>
      <c r="AM57" s="188"/>
      <c r="AN57" s="181"/>
      <c r="AO57" s="182"/>
      <c r="AP57" s="180"/>
      <c r="AQ57" s="188"/>
      <c r="AR57" s="181"/>
      <c r="AS57" s="182"/>
      <c r="AT57" s="185"/>
      <c r="AU57" s="186"/>
      <c r="AV57" s="181"/>
      <c r="AW57" s="182"/>
      <c r="AX57" s="180"/>
      <c r="AY57" s="188"/>
      <c r="AZ57" s="181"/>
      <c r="BA57" s="182"/>
      <c r="BB57" s="179"/>
      <c r="BC57" s="188"/>
      <c r="BD57" s="181"/>
      <c r="BE57" s="182"/>
    </row>
    <row r="58" spans="1:57" ht="54" hidden="1" customHeight="1" x14ac:dyDescent="0.25">
      <c r="A58" s="205" t="s">
        <v>255</v>
      </c>
      <c r="B58" s="206">
        <v>40</v>
      </c>
      <c r="C58" s="240" t="s">
        <v>340</v>
      </c>
      <c r="D58" s="211" t="s">
        <v>341</v>
      </c>
      <c r="E58" s="181" t="s">
        <v>543</v>
      </c>
      <c r="F58" s="209" t="s">
        <v>544</v>
      </c>
      <c r="G58" s="210" t="s">
        <v>545</v>
      </c>
      <c r="H58" s="209" t="s">
        <v>546</v>
      </c>
      <c r="I58" s="210" t="s">
        <v>547</v>
      </c>
      <c r="J58" s="206" t="s">
        <v>140</v>
      </c>
      <c r="K58" s="211" t="s">
        <v>140</v>
      </c>
      <c r="L58" s="717" t="s">
        <v>144</v>
      </c>
      <c r="M58" s="206" t="s">
        <v>142</v>
      </c>
      <c r="N58" s="211" t="s">
        <v>143</v>
      </c>
      <c r="O58" s="181" t="s">
        <v>548</v>
      </c>
      <c r="P58" s="181" t="s">
        <v>549</v>
      </c>
      <c r="Q58" s="209" t="s">
        <v>550</v>
      </c>
      <c r="R58" s="210" t="s">
        <v>551</v>
      </c>
      <c r="S58" s="181" t="s">
        <v>147</v>
      </c>
      <c r="T58" s="212" t="s">
        <v>144</v>
      </c>
      <c r="U58" s="213" t="s">
        <v>144</v>
      </c>
      <c r="V58" s="206">
        <v>2</v>
      </c>
      <c r="W58" s="206" t="s">
        <v>144</v>
      </c>
      <c r="X58" s="214">
        <v>40</v>
      </c>
      <c r="Y58" s="214" t="s">
        <v>144</v>
      </c>
      <c r="Z58" s="214" t="s">
        <v>144</v>
      </c>
      <c r="AA58" s="206" t="s">
        <v>264</v>
      </c>
      <c r="AB58" s="206" t="s">
        <v>140</v>
      </c>
      <c r="AC58" s="206" t="s">
        <v>265</v>
      </c>
      <c r="AD58" s="847" t="s">
        <v>144</v>
      </c>
      <c r="AE58" s="847" t="s">
        <v>144</v>
      </c>
      <c r="AF58" s="848" t="s">
        <v>144</v>
      </c>
      <c r="AG58" s="838"/>
      <c r="AH58" s="179"/>
      <c r="AI58" s="188"/>
      <c r="AJ58" s="181"/>
      <c r="AK58" s="182"/>
      <c r="AL58" s="180"/>
      <c r="AM58" s="188"/>
      <c r="AN58" s="181"/>
      <c r="AO58" s="182"/>
      <c r="AP58" s="180"/>
      <c r="AQ58" s="188"/>
      <c r="AR58" s="181"/>
      <c r="AS58" s="182"/>
      <c r="AT58" s="185"/>
      <c r="AU58" s="186"/>
      <c r="AV58" s="181"/>
      <c r="AW58" s="182"/>
      <c r="AX58" s="180"/>
      <c r="AY58" s="188"/>
      <c r="AZ58" s="181"/>
      <c r="BA58" s="182"/>
      <c r="BB58" s="179"/>
      <c r="BC58" s="188"/>
      <c r="BD58" s="181"/>
      <c r="BE58" s="182"/>
    </row>
    <row r="59" spans="1:57" ht="54" hidden="1" customHeight="1" x14ac:dyDescent="0.25">
      <c r="A59" s="205" t="s">
        <v>255</v>
      </c>
      <c r="B59" s="206">
        <v>41</v>
      </c>
      <c r="C59" s="240" t="s">
        <v>340</v>
      </c>
      <c r="D59" s="211" t="s">
        <v>341</v>
      </c>
      <c r="E59" s="181" t="s">
        <v>552</v>
      </c>
      <c r="F59" s="209" t="s">
        <v>553</v>
      </c>
      <c r="G59" s="210" t="s">
        <v>554</v>
      </c>
      <c r="H59" s="209" t="s">
        <v>555</v>
      </c>
      <c r="I59" s="210" t="s">
        <v>556</v>
      </c>
      <c r="J59" s="206" t="s">
        <v>140</v>
      </c>
      <c r="K59" s="211" t="s">
        <v>140</v>
      </c>
      <c r="L59" s="717" t="s">
        <v>144</v>
      </c>
      <c r="M59" s="206" t="s">
        <v>142</v>
      </c>
      <c r="N59" s="211" t="s">
        <v>143</v>
      </c>
      <c r="O59" s="181" t="s">
        <v>144</v>
      </c>
      <c r="P59" s="181" t="s">
        <v>144</v>
      </c>
      <c r="Q59" s="209" t="s">
        <v>550</v>
      </c>
      <c r="R59" s="210" t="s">
        <v>551</v>
      </c>
      <c r="S59" s="181" t="s">
        <v>147</v>
      </c>
      <c r="T59" s="212" t="s">
        <v>144</v>
      </c>
      <c r="U59" s="213" t="s">
        <v>144</v>
      </c>
      <c r="V59" s="206">
        <v>10</v>
      </c>
      <c r="W59" s="206" t="s">
        <v>144</v>
      </c>
      <c r="X59" s="214">
        <v>40</v>
      </c>
      <c r="Y59" s="214" t="s">
        <v>144</v>
      </c>
      <c r="Z59" s="212" t="s">
        <v>144</v>
      </c>
      <c r="AA59" s="206" t="s">
        <v>264</v>
      </c>
      <c r="AB59" s="206" t="s">
        <v>140</v>
      </c>
      <c r="AC59" s="206" t="s">
        <v>265</v>
      </c>
      <c r="AD59" s="847" t="s">
        <v>144</v>
      </c>
      <c r="AE59" s="847" t="s">
        <v>144</v>
      </c>
      <c r="AF59" s="848" t="s">
        <v>144</v>
      </c>
      <c r="AG59" s="838"/>
      <c r="AH59" s="179"/>
      <c r="AI59" s="188"/>
      <c r="AJ59" s="181"/>
      <c r="AK59" s="182"/>
      <c r="AL59" s="180"/>
      <c r="AM59" s="188"/>
      <c r="AN59" s="181"/>
      <c r="AO59" s="182"/>
      <c r="AP59" s="180"/>
      <c r="AQ59" s="188"/>
      <c r="AR59" s="181"/>
      <c r="AS59" s="182"/>
      <c r="AT59" s="185"/>
      <c r="AU59" s="186"/>
      <c r="AV59" s="181"/>
      <c r="AW59" s="182"/>
      <c r="AX59" s="180"/>
      <c r="AY59" s="188"/>
      <c r="AZ59" s="181"/>
      <c r="BA59" s="182"/>
      <c r="BB59" s="179"/>
      <c r="BC59" s="188"/>
      <c r="BD59" s="181"/>
      <c r="BE59" s="182"/>
    </row>
    <row r="60" spans="1:57" ht="54" hidden="1" customHeight="1" x14ac:dyDescent="0.25">
      <c r="A60" s="205" t="s">
        <v>255</v>
      </c>
      <c r="B60" s="206">
        <v>42</v>
      </c>
      <c r="C60" s="240" t="s">
        <v>340</v>
      </c>
      <c r="D60" s="211" t="s">
        <v>341</v>
      </c>
      <c r="E60" s="181" t="s">
        <v>557</v>
      </c>
      <c r="F60" s="238" t="s">
        <v>558</v>
      </c>
      <c r="G60" s="210" t="s">
        <v>559</v>
      </c>
      <c r="H60" s="209" t="s">
        <v>558</v>
      </c>
      <c r="I60" s="210" t="s">
        <v>559</v>
      </c>
      <c r="J60" s="206" t="s">
        <v>140</v>
      </c>
      <c r="K60" s="211" t="s">
        <v>140</v>
      </c>
      <c r="L60" s="717" t="s">
        <v>144</v>
      </c>
      <c r="M60" s="206" t="s">
        <v>142</v>
      </c>
      <c r="N60" s="211" t="s">
        <v>143</v>
      </c>
      <c r="O60" s="181" t="s">
        <v>144</v>
      </c>
      <c r="P60" s="181" t="s">
        <v>144</v>
      </c>
      <c r="Q60" s="209" t="s">
        <v>550</v>
      </c>
      <c r="R60" s="210" t="s">
        <v>551</v>
      </c>
      <c r="S60" s="181" t="s">
        <v>233</v>
      </c>
      <c r="T60" s="212" t="s">
        <v>234</v>
      </c>
      <c r="U60" s="213" t="s">
        <v>235</v>
      </c>
      <c r="V60" s="206">
        <v>8</v>
      </c>
      <c r="W60" s="206" t="s">
        <v>144</v>
      </c>
      <c r="X60" s="214">
        <v>40</v>
      </c>
      <c r="Y60" s="214" t="s">
        <v>144</v>
      </c>
      <c r="Z60" s="212" t="s">
        <v>144</v>
      </c>
      <c r="AA60" s="206" t="s">
        <v>264</v>
      </c>
      <c r="AB60" s="206" t="s">
        <v>140</v>
      </c>
      <c r="AC60" s="206" t="s">
        <v>265</v>
      </c>
      <c r="AD60" s="847" t="s">
        <v>144</v>
      </c>
      <c r="AE60" s="847" t="s">
        <v>144</v>
      </c>
      <c r="AF60" s="848" t="s">
        <v>144</v>
      </c>
      <c r="AG60" s="838"/>
      <c r="AH60" s="179"/>
      <c r="AI60" s="188"/>
      <c r="AJ60" s="181"/>
      <c r="AK60" s="182"/>
      <c r="AL60" s="180"/>
      <c r="AM60" s="188"/>
      <c r="AN60" s="181"/>
      <c r="AO60" s="182"/>
      <c r="AP60" s="180"/>
      <c r="AQ60" s="188"/>
      <c r="AR60" s="181"/>
      <c r="AS60" s="182"/>
      <c r="AT60" s="185"/>
      <c r="AU60" s="186"/>
      <c r="AV60" s="181"/>
      <c r="AW60" s="182"/>
      <c r="AX60" s="180"/>
      <c r="AY60" s="188"/>
      <c r="AZ60" s="181"/>
      <c r="BA60" s="182"/>
      <c r="BB60" s="179"/>
      <c r="BC60" s="188"/>
      <c r="BD60" s="181"/>
      <c r="BE60" s="182"/>
    </row>
    <row r="61" spans="1:57" ht="54" hidden="1" customHeight="1" x14ac:dyDescent="0.25">
      <c r="A61" s="205" t="s">
        <v>255</v>
      </c>
      <c r="B61" s="206">
        <v>43</v>
      </c>
      <c r="C61" s="240" t="s">
        <v>340</v>
      </c>
      <c r="D61" s="211" t="s">
        <v>341</v>
      </c>
      <c r="E61" s="181" t="s">
        <v>560</v>
      </c>
      <c r="F61" s="209" t="s">
        <v>561</v>
      </c>
      <c r="G61" s="210" t="s">
        <v>562</v>
      </c>
      <c r="H61" s="209" t="s">
        <v>563</v>
      </c>
      <c r="I61" s="210" t="s">
        <v>564</v>
      </c>
      <c r="J61" s="206" t="s">
        <v>140</v>
      </c>
      <c r="K61" s="211" t="s">
        <v>140</v>
      </c>
      <c r="L61" s="717" t="s">
        <v>144</v>
      </c>
      <c r="M61" s="206" t="s">
        <v>142</v>
      </c>
      <c r="N61" s="211" t="s">
        <v>143</v>
      </c>
      <c r="O61" s="181" t="s">
        <v>565</v>
      </c>
      <c r="P61" s="206" t="s">
        <v>566</v>
      </c>
      <c r="Q61" s="209" t="s">
        <v>567</v>
      </c>
      <c r="R61" s="210" t="s">
        <v>568</v>
      </c>
      <c r="S61" s="181" t="s">
        <v>147</v>
      </c>
      <c r="T61" s="212" t="s">
        <v>144</v>
      </c>
      <c r="U61" s="213" t="s">
        <v>144</v>
      </c>
      <c r="V61" s="206">
        <v>2</v>
      </c>
      <c r="W61" s="206" t="s">
        <v>144</v>
      </c>
      <c r="X61" s="214">
        <v>40</v>
      </c>
      <c r="Y61" s="214" t="s">
        <v>144</v>
      </c>
      <c r="Z61" s="212" t="s">
        <v>144</v>
      </c>
      <c r="AA61" s="206" t="s">
        <v>264</v>
      </c>
      <c r="AB61" s="206" t="s">
        <v>140</v>
      </c>
      <c r="AC61" s="206" t="s">
        <v>265</v>
      </c>
      <c r="AD61" s="847" t="s">
        <v>144</v>
      </c>
      <c r="AE61" s="847" t="s">
        <v>144</v>
      </c>
      <c r="AF61" s="848" t="s">
        <v>144</v>
      </c>
      <c r="AG61" s="838"/>
      <c r="AH61" s="179"/>
      <c r="AI61" s="188"/>
      <c r="AJ61" s="181"/>
      <c r="AK61" s="182"/>
      <c r="AL61" s="180"/>
      <c r="AM61" s="188"/>
      <c r="AN61" s="181"/>
      <c r="AO61" s="182"/>
      <c r="AP61" s="180"/>
      <c r="AQ61" s="188"/>
      <c r="AR61" s="181"/>
      <c r="AS61" s="182"/>
      <c r="AT61" s="185"/>
      <c r="AU61" s="186"/>
      <c r="AV61" s="181"/>
      <c r="AW61" s="182"/>
      <c r="AX61" s="180"/>
      <c r="AY61" s="188"/>
      <c r="AZ61" s="181"/>
      <c r="BA61" s="182"/>
      <c r="BB61" s="179"/>
      <c r="BC61" s="188"/>
      <c r="BD61" s="181"/>
      <c r="BE61" s="182"/>
    </row>
    <row r="62" spans="1:57" ht="54" hidden="1" customHeight="1" x14ac:dyDescent="0.25">
      <c r="A62" s="205" t="s">
        <v>255</v>
      </c>
      <c r="B62" s="206">
        <v>44</v>
      </c>
      <c r="C62" s="240" t="s">
        <v>340</v>
      </c>
      <c r="D62" s="211" t="s">
        <v>341</v>
      </c>
      <c r="E62" s="181" t="s">
        <v>569</v>
      </c>
      <c r="F62" s="209" t="s">
        <v>570</v>
      </c>
      <c r="G62" s="210" t="s">
        <v>571</v>
      </c>
      <c r="H62" s="209" t="s">
        <v>572</v>
      </c>
      <c r="I62" s="210" t="s">
        <v>573</v>
      </c>
      <c r="J62" s="206" t="s">
        <v>140</v>
      </c>
      <c r="K62" s="211" t="s">
        <v>140</v>
      </c>
      <c r="L62" s="717" t="s">
        <v>144</v>
      </c>
      <c r="M62" s="206" t="s">
        <v>142</v>
      </c>
      <c r="N62" s="211" t="s">
        <v>143</v>
      </c>
      <c r="O62" s="181" t="s">
        <v>565</v>
      </c>
      <c r="P62" s="206" t="s">
        <v>566</v>
      </c>
      <c r="Q62" s="209" t="s">
        <v>574</v>
      </c>
      <c r="R62" s="210" t="s">
        <v>575</v>
      </c>
      <c r="S62" s="181" t="s">
        <v>147</v>
      </c>
      <c r="T62" s="212" t="s">
        <v>144</v>
      </c>
      <c r="U62" s="213" t="s">
        <v>144</v>
      </c>
      <c r="V62" s="206">
        <v>2</v>
      </c>
      <c r="W62" s="206" t="s">
        <v>144</v>
      </c>
      <c r="X62" s="214">
        <v>40</v>
      </c>
      <c r="Y62" s="214" t="s">
        <v>144</v>
      </c>
      <c r="Z62" s="212" t="s">
        <v>144</v>
      </c>
      <c r="AA62" s="206" t="s">
        <v>576</v>
      </c>
      <c r="AB62" s="206" t="s">
        <v>140</v>
      </c>
      <c r="AC62" s="206" t="s">
        <v>265</v>
      </c>
      <c r="AD62" s="847" t="s">
        <v>144</v>
      </c>
      <c r="AE62" s="847" t="s">
        <v>144</v>
      </c>
      <c r="AF62" s="848" t="s">
        <v>144</v>
      </c>
      <c r="AG62" s="838"/>
      <c r="AH62" s="179"/>
      <c r="AI62" s="188"/>
      <c r="AJ62" s="181"/>
      <c r="AK62" s="182"/>
      <c r="AL62" s="180"/>
      <c r="AM62" s="188"/>
      <c r="AN62" s="181"/>
      <c r="AO62" s="182"/>
      <c r="AP62" s="180"/>
      <c r="AQ62" s="188"/>
      <c r="AR62" s="181"/>
      <c r="AS62" s="182"/>
      <c r="AT62" s="185"/>
      <c r="AU62" s="186"/>
      <c r="AV62" s="181"/>
      <c r="AW62" s="182"/>
      <c r="AX62" s="180"/>
      <c r="AY62" s="188"/>
      <c r="AZ62" s="181"/>
      <c r="BA62" s="182"/>
      <c r="BB62" s="179"/>
      <c r="BC62" s="188"/>
      <c r="BD62" s="181"/>
      <c r="BE62" s="182"/>
    </row>
    <row r="63" spans="1:57" ht="54" hidden="1" customHeight="1" x14ac:dyDescent="0.25">
      <c r="A63" s="205" t="s">
        <v>255</v>
      </c>
      <c r="B63" s="206">
        <v>45</v>
      </c>
      <c r="C63" s="240" t="s">
        <v>340</v>
      </c>
      <c r="D63" s="211" t="s">
        <v>341</v>
      </c>
      <c r="E63" s="181" t="s">
        <v>577</v>
      </c>
      <c r="F63" s="209" t="s">
        <v>578</v>
      </c>
      <c r="G63" s="210" t="s">
        <v>579</v>
      </c>
      <c r="H63" s="209" t="s">
        <v>580</v>
      </c>
      <c r="I63" s="210" t="s">
        <v>581</v>
      </c>
      <c r="J63" s="206" t="s">
        <v>140</v>
      </c>
      <c r="K63" s="211" t="s">
        <v>140</v>
      </c>
      <c r="L63" s="717" t="s">
        <v>144</v>
      </c>
      <c r="M63" s="206" t="s">
        <v>142</v>
      </c>
      <c r="N63" s="211" t="s">
        <v>143</v>
      </c>
      <c r="O63" s="181" t="s">
        <v>565</v>
      </c>
      <c r="P63" s="206" t="s">
        <v>566</v>
      </c>
      <c r="Q63" s="209" t="s">
        <v>582</v>
      </c>
      <c r="R63" s="210" t="s">
        <v>583</v>
      </c>
      <c r="S63" s="181" t="s">
        <v>147</v>
      </c>
      <c r="T63" s="212" t="s">
        <v>144</v>
      </c>
      <c r="U63" s="213" t="s">
        <v>144</v>
      </c>
      <c r="V63" s="206">
        <v>2</v>
      </c>
      <c r="W63" s="206" t="s">
        <v>144</v>
      </c>
      <c r="X63" s="214">
        <v>40</v>
      </c>
      <c r="Y63" s="214" t="s">
        <v>144</v>
      </c>
      <c r="Z63" s="212" t="s">
        <v>144</v>
      </c>
      <c r="AA63" s="206" t="s">
        <v>264</v>
      </c>
      <c r="AB63" s="206" t="s">
        <v>140</v>
      </c>
      <c r="AC63" s="206" t="s">
        <v>265</v>
      </c>
      <c r="AD63" s="847" t="s">
        <v>144</v>
      </c>
      <c r="AE63" s="847" t="s">
        <v>144</v>
      </c>
      <c r="AF63" s="848" t="s">
        <v>144</v>
      </c>
      <c r="AG63" s="838"/>
      <c r="AH63" s="179"/>
      <c r="AI63" s="188"/>
      <c r="AJ63" s="181"/>
      <c r="AK63" s="182"/>
      <c r="AL63" s="180"/>
      <c r="AM63" s="188"/>
      <c r="AN63" s="181"/>
      <c r="AO63" s="182"/>
      <c r="AP63" s="180"/>
      <c r="AQ63" s="188"/>
      <c r="AR63" s="181"/>
      <c r="AS63" s="182"/>
      <c r="AT63" s="185"/>
      <c r="AU63" s="186"/>
      <c r="AV63" s="181"/>
      <c r="AW63" s="182"/>
      <c r="AX63" s="180"/>
      <c r="AY63" s="188"/>
      <c r="AZ63" s="181"/>
      <c r="BA63" s="182"/>
      <c r="BB63" s="179"/>
      <c r="BC63" s="188"/>
      <c r="BD63" s="181"/>
      <c r="BE63" s="182"/>
    </row>
    <row r="64" spans="1:57" ht="54" hidden="1" customHeight="1" x14ac:dyDescent="0.25">
      <c r="A64" s="205" t="s">
        <v>255</v>
      </c>
      <c r="B64" s="206">
        <v>46</v>
      </c>
      <c r="C64" s="240" t="s">
        <v>340</v>
      </c>
      <c r="D64" s="211" t="s">
        <v>341</v>
      </c>
      <c r="E64" s="181" t="s">
        <v>584</v>
      </c>
      <c r="F64" s="209" t="s">
        <v>585</v>
      </c>
      <c r="G64" s="210" t="s">
        <v>586</v>
      </c>
      <c r="H64" s="209" t="s">
        <v>587</v>
      </c>
      <c r="I64" s="210" t="s">
        <v>588</v>
      </c>
      <c r="J64" s="206" t="s">
        <v>140</v>
      </c>
      <c r="K64" s="211" t="s">
        <v>140</v>
      </c>
      <c r="L64" s="717" t="s">
        <v>144</v>
      </c>
      <c r="M64" s="206" t="s">
        <v>142</v>
      </c>
      <c r="N64" s="211" t="s">
        <v>143</v>
      </c>
      <c r="O64" s="181" t="s">
        <v>144</v>
      </c>
      <c r="P64" s="181" t="s">
        <v>144</v>
      </c>
      <c r="Q64" s="239" t="s">
        <v>589</v>
      </c>
      <c r="R64" s="210" t="s">
        <v>590</v>
      </c>
      <c r="S64" s="181" t="s">
        <v>147</v>
      </c>
      <c r="T64" s="212" t="s">
        <v>144</v>
      </c>
      <c r="U64" s="213" t="s">
        <v>144</v>
      </c>
      <c r="V64" s="206">
        <v>70</v>
      </c>
      <c r="W64" s="206" t="s">
        <v>144</v>
      </c>
      <c r="X64" s="214">
        <v>40</v>
      </c>
      <c r="Y64" s="214" t="s">
        <v>144</v>
      </c>
      <c r="Z64" s="212" t="s">
        <v>144</v>
      </c>
      <c r="AA64" s="206" t="s">
        <v>398</v>
      </c>
      <c r="AB64" s="206" t="s">
        <v>140</v>
      </c>
      <c r="AC64" s="206" t="s">
        <v>265</v>
      </c>
      <c r="AD64" s="206" t="s">
        <v>144</v>
      </c>
      <c r="AE64" s="206" t="s">
        <v>144</v>
      </c>
      <c r="AF64" s="187" t="s">
        <v>144</v>
      </c>
      <c r="AG64" s="838"/>
      <c r="AH64" s="179"/>
      <c r="AI64" s="188"/>
      <c r="AJ64" s="181"/>
      <c r="AK64" s="182"/>
      <c r="AL64" s="180"/>
      <c r="AM64" s="188"/>
      <c r="AN64" s="181"/>
      <c r="AO64" s="182"/>
      <c r="AP64" s="180"/>
      <c r="AQ64" s="188"/>
      <c r="AR64" s="181"/>
      <c r="AS64" s="182"/>
      <c r="AT64" s="185"/>
      <c r="AU64" s="186"/>
      <c r="AV64" s="181"/>
      <c r="AW64" s="182"/>
      <c r="AX64" s="180"/>
      <c r="AY64" s="188"/>
      <c r="AZ64" s="181"/>
      <c r="BA64" s="182"/>
      <c r="BB64" s="179"/>
      <c r="BC64" s="188"/>
      <c r="BD64" s="181"/>
      <c r="BE64" s="182"/>
    </row>
    <row r="65" spans="1:57" ht="54" hidden="1" customHeight="1" x14ac:dyDescent="0.25">
      <c r="A65" s="205" t="s">
        <v>255</v>
      </c>
      <c r="B65" s="206">
        <v>47</v>
      </c>
      <c r="C65" s="240" t="s">
        <v>340</v>
      </c>
      <c r="D65" s="211" t="s">
        <v>341</v>
      </c>
      <c r="E65" s="181" t="s">
        <v>591</v>
      </c>
      <c r="F65" s="209" t="s">
        <v>592</v>
      </c>
      <c r="G65" s="210" t="s">
        <v>593</v>
      </c>
      <c r="H65" s="209" t="s">
        <v>594</v>
      </c>
      <c r="I65" s="210" t="s">
        <v>595</v>
      </c>
      <c r="J65" s="206" t="s">
        <v>140</v>
      </c>
      <c r="K65" s="211" t="s">
        <v>140</v>
      </c>
      <c r="L65" s="717" t="s">
        <v>144</v>
      </c>
      <c r="M65" s="206" t="s">
        <v>142</v>
      </c>
      <c r="N65" s="211" t="s">
        <v>143</v>
      </c>
      <c r="O65" s="181" t="s">
        <v>144</v>
      </c>
      <c r="P65" s="181" t="s">
        <v>144</v>
      </c>
      <c r="Q65" s="239" t="s">
        <v>596</v>
      </c>
      <c r="R65" s="210" t="s">
        <v>597</v>
      </c>
      <c r="S65" s="181" t="s">
        <v>147</v>
      </c>
      <c r="T65" s="212" t="s">
        <v>144</v>
      </c>
      <c r="U65" s="213" t="s">
        <v>144</v>
      </c>
      <c r="V65" s="206">
        <v>30</v>
      </c>
      <c r="W65" s="206" t="s">
        <v>144</v>
      </c>
      <c r="X65" s="214">
        <v>40</v>
      </c>
      <c r="Y65" s="214" t="s">
        <v>144</v>
      </c>
      <c r="Z65" s="212" t="s">
        <v>144</v>
      </c>
      <c r="AA65" s="206" t="s">
        <v>398</v>
      </c>
      <c r="AB65" s="206" t="s">
        <v>140</v>
      </c>
      <c r="AC65" s="206" t="s">
        <v>265</v>
      </c>
      <c r="AD65" s="206" t="s">
        <v>144</v>
      </c>
      <c r="AE65" s="206" t="s">
        <v>144</v>
      </c>
      <c r="AF65" s="187" t="s">
        <v>144</v>
      </c>
      <c r="AG65" s="838"/>
      <c r="AH65" s="179"/>
      <c r="AI65" s="188"/>
      <c r="AJ65" s="181"/>
      <c r="AK65" s="182"/>
      <c r="AL65" s="180"/>
      <c r="AM65" s="188"/>
      <c r="AN65" s="181"/>
      <c r="AO65" s="182"/>
      <c r="AP65" s="180"/>
      <c r="AQ65" s="188"/>
      <c r="AR65" s="181"/>
      <c r="AS65" s="182"/>
      <c r="AT65" s="185"/>
      <c r="AU65" s="186"/>
      <c r="AV65" s="181"/>
      <c r="AW65" s="182"/>
      <c r="AX65" s="180"/>
      <c r="AY65" s="188"/>
      <c r="AZ65" s="181"/>
      <c r="BA65" s="182"/>
      <c r="BB65" s="179"/>
      <c r="BC65" s="188"/>
      <c r="BD65" s="181"/>
      <c r="BE65" s="182"/>
    </row>
    <row r="66" spans="1:57" ht="54" hidden="1" customHeight="1" x14ac:dyDescent="0.25">
      <c r="A66" s="205" t="s">
        <v>255</v>
      </c>
      <c r="B66" s="206">
        <v>48</v>
      </c>
      <c r="C66" s="240" t="s">
        <v>340</v>
      </c>
      <c r="D66" s="211" t="s">
        <v>341</v>
      </c>
      <c r="E66" s="181" t="s">
        <v>598</v>
      </c>
      <c r="F66" s="209" t="s">
        <v>599</v>
      </c>
      <c r="G66" s="210" t="s">
        <v>600</v>
      </c>
      <c r="H66" s="209" t="s">
        <v>601</v>
      </c>
      <c r="I66" s="210" t="s">
        <v>602</v>
      </c>
      <c r="J66" s="206" t="s">
        <v>140</v>
      </c>
      <c r="K66" s="211" t="s">
        <v>140</v>
      </c>
      <c r="L66" s="717" t="s">
        <v>144</v>
      </c>
      <c r="M66" s="206" t="s">
        <v>142</v>
      </c>
      <c r="N66" s="211" t="s">
        <v>143</v>
      </c>
      <c r="O66" s="181" t="s">
        <v>144</v>
      </c>
      <c r="P66" s="181" t="s">
        <v>144</v>
      </c>
      <c r="Q66" s="239" t="s">
        <v>603</v>
      </c>
      <c r="R66" s="210" t="s">
        <v>604</v>
      </c>
      <c r="S66" s="181" t="s">
        <v>147</v>
      </c>
      <c r="T66" s="212" t="s">
        <v>144</v>
      </c>
      <c r="U66" s="213" t="s">
        <v>144</v>
      </c>
      <c r="V66" s="206">
        <v>15</v>
      </c>
      <c r="W66" s="206" t="s">
        <v>144</v>
      </c>
      <c r="X66" s="214">
        <v>40</v>
      </c>
      <c r="Y66" s="214" t="s">
        <v>144</v>
      </c>
      <c r="Z66" s="212" t="s">
        <v>144</v>
      </c>
      <c r="AA66" s="206" t="s">
        <v>398</v>
      </c>
      <c r="AB66" s="206" t="s">
        <v>140</v>
      </c>
      <c r="AC66" s="206" t="s">
        <v>265</v>
      </c>
      <c r="AD66" s="206" t="s">
        <v>144</v>
      </c>
      <c r="AE66" s="206" t="s">
        <v>144</v>
      </c>
      <c r="AF66" s="187" t="s">
        <v>144</v>
      </c>
      <c r="AG66" s="838"/>
      <c r="AH66" s="179"/>
      <c r="AI66" s="188"/>
      <c r="AJ66" s="181"/>
      <c r="AK66" s="182"/>
      <c r="AL66" s="180"/>
      <c r="AM66" s="188"/>
      <c r="AN66" s="181"/>
      <c r="AO66" s="182"/>
      <c r="AP66" s="180"/>
      <c r="AQ66" s="188"/>
      <c r="AR66" s="181"/>
      <c r="AS66" s="182"/>
      <c r="AT66" s="185"/>
      <c r="AU66" s="186"/>
      <c r="AV66" s="181"/>
      <c r="AW66" s="182"/>
      <c r="AX66" s="180"/>
      <c r="AY66" s="188"/>
      <c r="AZ66" s="181"/>
      <c r="BA66" s="182"/>
      <c r="BB66" s="179"/>
      <c r="BC66" s="188"/>
      <c r="BD66" s="181"/>
      <c r="BE66" s="182"/>
    </row>
    <row r="67" spans="1:57" ht="54" hidden="1" customHeight="1" x14ac:dyDescent="0.25">
      <c r="A67" s="205" t="s">
        <v>255</v>
      </c>
      <c r="B67" s="206">
        <v>49</v>
      </c>
      <c r="C67" s="240" t="s">
        <v>532</v>
      </c>
      <c r="D67" s="211" t="s">
        <v>533</v>
      </c>
      <c r="E67" s="181" t="s">
        <v>605</v>
      </c>
      <c r="F67" s="209" t="s">
        <v>606</v>
      </c>
      <c r="G67" s="210" t="s">
        <v>607</v>
      </c>
      <c r="H67" s="209" t="s">
        <v>608</v>
      </c>
      <c r="I67" s="210" t="s">
        <v>609</v>
      </c>
      <c r="J67" s="206" t="s">
        <v>140</v>
      </c>
      <c r="K67" s="211" t="s">
        <v>140</v>
      </c>
      <c r="L67" s="717" t="s">
        <v>144</v>
      </c>
      <c r="M67" s="206" t="s">
        <v>142</v>
      </c>
      <c r="N67" s="211" t="s">
        <v>143</v>
      </c>
      <c r="O67" s="181" t="s">
        <v>144</v>
      </c>
      <c r="P67" s="181" t="s">
        <v>144</v>
      </c>
      <c r="Q67" s="209" t="s">
        <v>610</v>
      </c>
      <c r="R67" s="210" t="s">
        <v>611</v>
      </c>
      <c r="S67" s="181" t="s">
        <v>233</v>
      </c>
      <c r="T67" s="212" t="s">
        <v>234</v>
      </c>
      <c r="U67" s="213" t="s">
        <v>235</v>
      </c>
      <c r="V67" s="206">
        <v>8</v>
      </c>
      <c r="W67" s="206" t="s">
        <v>144</v>
      </c>
      <c r="X67" s="214">
        <v>40</v>
      </c>
      <c r="Y67" s="214" t="s">
        <v>144</v>
      </c>
      <c r="Z67" s="212" t="s">
        <v>144</v>
      </c>
      <c r="AA67" s="206" t="s">
        <v>398</v>
      </c>
      <c r="AB67" s="206" t="s">
        <v>140</v>
      </c>
      <c r="AC67" s="206" t="s">
        <v>265</v>
      </c>
      <c r="AD67" s="847" t="s">
        <v>144</v>
      </c>
      <c r="AE67" s="847" t="s">
        <v>144</v>
      </c>
      <c r="AF67" s="848" t="s">
        <v>144</v>
      </c>
      <c r="AG67" s="838"/>
      <c r="AH67" s="179"/>
      <c r="AI67" s="188"/>
      <c r="AJ67" s="181"/>
      <c r="AK67" s="182"/>
      <c r="AL67" s="180"/>
      <c r="AM67" s="188"/>
      <c r="AN67" s="181"/>
      <c r="AO67" s="182"/>
      <c r="AP67" s="180"/>
      <c r="AQ67" s="188"/>
      <c r="AR67" s="181"/>
      <c r="AS67" s="182"/>
      <c r="AT67" s="185"/>
      <c r="AU67" s="186"/>
      <c r="AV67" s="181"/>
      <c r="AW67" s="182"/>
      <c r="AX67" s="180"/>
      <c r="AY67" s="188"/>
      <c r="AZ67" s="181"/>
      <c r="BA67" s="182"/>
      <c r="BB67" s="179"/>
      <c r="BC67" s="188"/>
      <c r="BD67" s="181"/>
      <c r="BE67" s="182"/>
    </row>
    <row r="68" spans="1:57" ht="54" hidden="1" customHeight="1" x14ac:dyDescent="0.25">
      <c r="A68" s="205" t="s">
        <v>255</v>
      </c>
      <c r="B68" s="206">
        <v>50</v>
      </c>
      <c r="C68" s="240" t="s">
        <v>340</v>
      </c>
      <c r="D68" s="211" t="s">
        <v>341</v>
      </c>
      <c r="E68" s="181" t="s">
        <v>612</v>
      </c>
      <c r="F68" s="209" t="s">
        <v>613</v>
      </c>
      <c r="G68" s="210" t="s">
        <v>614</v>
      </c>
      <c r="H68" s="209" t="s">
        <v>615</v>
      </c>
      <c r="I68" s="210" t="s">
        <v>616</v>
      </c>
      <c r="J68" s="206" t="s">
        <v>140</v>
      </c>
      <c r="K68" s="211" t="s">
        <v>140</v>
      </c>
      <c r="L68" s="717" t="s">
        <v>144</v>
      </c>
      <c r="M68" s="206" t="s">
        <v>142</v>
      </c>
      <c r="N68" s="211" t="s">
        <v>143</v>
      </c>
      <c r="O68" s="181" t="s">
        <v>617</v>
      </c>
      <c r="P68" s="181" t="s">
        <v>618</v>
      </c>
      <c r="Q68" s="209" t="s">
        <v>619</v>
      </c>
      <c r="R68" s="210" t="s">
        <v>620</v>
      </c>
      <c r="S68" s="181" t="s">
        <v>147</v>
      </c>
      <c r="T68" s="212" t="s">
        <v>144</v>
      </c>
      <c r="U68" s="213" t="s">
        <v>144</v>
      </c>
      <c r="V68" s="206">
        <v>2</v>
      </c>
      <c r="W68" s="206" t="s">
        <v>144</v>
      </c>
      <c r="X68" s="214">
        <v>40</v>
      </c>
      <c r="Y68" s="214" t="s">
        <v>144</v>
      </c>
      <c r="Z68" s="212" t="s">
        <v>144</v>
      </c>
      <c r="AA68" s="206" t="s">
        <v>398</v>
      </c>
      <c r="AB68" s="206" t="s">
        <v>140</v>
      </c>
      <c r="AC68" s="206" t="s">
        <v>265</v>
      </c>
      <c r="AD68" s="847" t="s">
        <v>144</v>
      </c>
      <c r="AE68" s="847" t="s">
        <v>144</v>
      </c>
      <c r="AF68" s="848" t="s">
        <v>144</v>
      </c>
      <c r="AG68" s="838"/>
      <c r="AH68" s="179"/>
      <c r="AI68" s="188"/>
      <c r="AJ68" s="181"/>
      <c r="AK68" s="182"/>
      <c r="AL68" s="180"/>
      <c r="AM68" s="188"/>
      <c r="AN68" s="181"/>
      <c r="AO68" s="182"/>
      <c r="AP68" s="180"/>
      <c r="AQ68" s="188"/>
      <c r="AR68" s="181"/>
      <c r="AS68" s="182"/>
      <c r="AT68" s="185"/>
      <c r="AU68" s="186"/>
      <c r="AV68" s="181"/>
      <c r="AW68" s="182"/>
      <c r="AX68" s="180"/>
      <c r="AY68" s="188"/>
      <c r="AZ68" s="181"/>
      <c r="BA68" s="182"/>
      <c r="BB68" s="179"/>
      <c r="BC68" s="188"/>
      <c r="BD68" s="181"/>
      <c r="BE68" s="182"/>
    </row>
    <row r="69" spans="1:57" ht="54" hidden="1" customHeight="1" x14ac:dyDescent="0.25">
      <c r="A69" s="205" t="s">
        <v>255</v>
      </c>
      <c r="B69" s="206">
        <v>51</v>
      </c>
      <c r="C69" s="240" t="s">
        <v>340</v>
      </c>
      <c r="D69" s="211" t="s">
        <v>341</v>
      </c>
      <c r="E69" s="181" t="s">
        <v>621</v>
      </c>
      <c r="F69" s="209" t="s">
        <v>622</v>
      </c>
      <c r="G69" s="210" t="s">
        <v>623</v>
      </c>
      <c r="H69" s="209" t="s">
        <v>624</v>
      </c>
      <c r="I69" s="210" t="s">
        <v>625</v>
      </c>
      <c r="J69" s="206" t="s">
        <v>140</v>
      </c>
      <c r="K69" s="211" t="s">
        <v>140</v>
      </c>
      <c r="L69" s="717" t="s">
        <v>144</v>
      </c>
      <c r="M69" s="206" t="s">
        <v>142</v>
      </c>
      <c r="N69" s="211" t="s">
        <v>143</v>
      </c>
      <c r="O69" s="181" t="s">
        <v>144</v>
      </c>
      <c r="P69" s="181" t="s">
        <v>144</v>
      </c>
      <c r="Q69" s="209" t="s">
        <v>626</v>
      </c>
      <c r="R69" s="210" t="s">
        <v>627</v>
      </c>
      <c r="S69" s="181" t="s">
        <v>233</v>
      </c>
      <c r="T69" s="212" t="s">
        <v>234</v>
      </c>
      <c r="U69" s="213" t="s">
        <v>235</v>
      </c>
      <c r="V69" s="206">
        <v>8</v>
      </c>
      <c r="W69" s="206" t="s">
        <v>144</v>
      </c>
      <c r="X69" s="214">
        <v>40</v>
      </c>
      <c r="Y69" s="214" t="s">
        <v>144</v>
      </c>
      <c r="Z69" s="212" t="s">
        <v>144</v>
      </c>
      <c r="AA69" s="206" t="s">
        <v>264</v>
      </c>
      <c r="AB69" s="206" t="s">
        <v>140</v>
      </c>
      <c r="AC69" s="206" t="s">
        <v>265</v>
      </c>
      <c r="AD69" s="847" t="s">
        <v>144</v>
      </c>
      <c r="AE69" s="847" t="s">
        <v>144</v>
      </c>
      <c r="AF69" s="848" t="s">
        <v>144</v>
      </c>
      <c r="AG69" s="838"/>
      <c r="AH69" s="179"/>
      <c r="AI69" s="188"/>
      <c r="AJ69" s="181"/>
      <c r="AK69" s="182"/>
      <c r="AL69" s="180"/>
      <c r="AM69" s="188"/>
      <c r="AN69" s="181"/>
      <c r="AO69" s="182"/>
      <c r="AP69" s="180"/>
      <c r="AQ69" s="188"/>
      <c r="AR69" s="181"/>
      <c r="AS69" s="182"/>
      <c r="AT69" s="185"/>
      <c r="AU69" s="186"/>
      <c r="AV69" s="181"/>
      <c r="AW69" s="182"/>
      <c r="AX69" s="180"/>
      <c r="AY69" s="188"/>
      <c r="AZ69" s="181"/>
      <c r="BA69" s="182"/>
      <c r="BB69" s="179"/>
      <c r="BC69" s="188"/>
      <c r="BD69" s="181"/>
      <c r="BE69" s="182"/>
    </row>
    <row r="70" spans="1:57" ht="54" hidden="1" customHeight="1" x14ac:dyDescent="0.25">
      <c r="A70" s="205" t="s">
        <v>255</v>
      </c>
      <c r="B70" s="206">
        <v>52</v>
      </c>
      <c r="C70" s="240" t="s">
        <v>340</v>
      </c>
      <c r="D70" s="211" t="s">
        <v>341</v>
      </c>
      <c r="E70" s="181" t="s">
        <v>628</v>
      </c>
      <c r="F70" s="209" t="s">
        <v>629</v>
      </c>
      <c r="G70" s="210" t="s">
        <v>630</v>
      </c>
      <c r="H70" s="209" t="s">
        <v>631</v>
      </c>
      <c r="I70" s="210" t="s">
        <v>632</v>
      </c>
      <c r="J70" s="206" t="s">
        <v>140</v>
      </c>
      <c r="K70" s="211" t="s">
        <v>140</v>
      </c>
      <c r="L70" s="717" t="s">
        <v>144</v>
      </c>
      <c r="M70" s="206" t="s">
        <v>142</v>
      </c>
      <c r="N70" s="211" t="s">
        <v>143</v>
      </c>
      <c r="O70" s="181" t="s">
        <v>144</v>
      </c>
      <c r="P70" s="181" t="s">
        <v>144</v>
      </c>
      <c r="Q70" s="209" t="s">
        <v>633</v>
      </c>
      <c r="R70" s="210" t="s">
        <v>634</v>
      </c>
      <c r="S70" s="181" t="s">
        <v>233</v>
      </c>
      <c r="T70" s="212" t="s">
        <v>234</v>
      </c>
      <c r="U70" s="213" t="s">
        <v>235</v>
      </c>
      <c r="V70" s="206">
        <v>8</v>
      </c>
      <c r="W70" s="206" t="s">
        <v>144</v>
      </c>
      <c r="X70" s="214">
        <v>40</v>
      </c>
      <c r="Y70" s="214" t="s">
        <v>144</v>
      </c>
      <c r="Z70" s="212" t="s">
        <v>144</v>
      </c>
      <c r="AA70" s="206" t="s">
        <v>398</v>
      </c>
      <c r="AB70" s="206" t="s">
        <v>140</v>
      </c>
      <c r="AC70" s="206" t="s">
        <v>265</v>
      </c>
      <c r="AD70" s="847" t="s">
        <v>144</v>
      </c>
      <c r="AE70" s="847" t="s">
        <v>144</v>
      </c>
      <c r="AF70" s="848" t="s">
        <v>144</v>
      </c>
      <c r="AG70" s="838"/>
      <c r="AH70" s="179"/>
      <c r="AI70" s="188"/>
      <c r="AJ70" s="181"/>
      <c r="AK70" s="182"/>
      <c r="AL70" s="180"/>
      <c r="AM70" s="188"/>
      <c r="AN70" s="181"/>
      <c r="AO70" s="182"/>
      <c r="AP70" s="180"/>
      <c r="AQ70" s="188"/>
      <c r="AR70" s="181"/>
      <c r="AS70" s="182"/>
      <c r="AT70" s="185"/>
      <c r="AU70" s="186"/>
      <c r="AV70" s="181"/>
      <c r="AW70" s="182"/>
      <c r="AX70" s="180"/>
      <c r="AY70" s="188"/>
      <c r="AZ70" s="181"/>
      <c r="BA70" s="182"/>
      <c r="BB70" s="179"/>
      <c r="BC70" s="188"/>
      <c r="BD70" s="181"/>
      <c r="BE70" s="182"/>
    </row>
    <row r="71" spans="1:57" ht="54" hidden="1" customHeight="1" x14ac:dyDescent="0.25">
      <c r="A71" s="205" t="s">
        <v>255</v>
      </c>
      <c r="B71" s="206">
        <v>53</v>
      </c>
      <c r="C71" s="240" t="s">
        <v>532</v>
      </c>
      <c r="D71" s="211" t="s">
        <v>533</v>
      </c>
      <c r="E71" s="181" t="s">
        <v>635</v>
      </c>
      <c r="F71" s="209" t="s">
        <v>636</v>
      </c>
      <c r="G71" s="210" t="s">
        <v>637</v>
      </c>
      <c r="H71" s="209" t="s">
        <v>638</v>
      </c>
      <c r="I71" s="210" t="s">
        <v>639</v>
      </c>
      <c r="J71" s="206" t="s">
        <v>140</v>
      </c>
      <c r="K71" s="211" t="s">
        <v>140</v>
      </c>
      <c r="L71" s="717" t="s">
        <v>144</v>
      </c>
      <c r="M71" s="206" t="s">
        <v>142</v>
      </c>
      <c r="N71" s="211" t="s">
        <v>143</v>
      </c>
      <c r="O71" s="181" t="s">
        <v>640</v>
      </c>
      <c r="P71" s="181" t="s">
        <v>641</v>
      </c>
      <c r="Q71" s="209" t="s">
        <v>642</v>
      </c>
      <c r="R71" s="210" t="s">
        <v>643</v>
      </c>
      <c r="S71" s="181" t="s">
        <v>147</v>
      </c>
      <c r="T71" s="212" t="s">
        <v>144</v>
      </c>
      <c r="U71" s="213" t="s">
        <v>144</v>
      </c>
      <c r="V71" s="206">
        <v>3</v>
      </c>
      <c r="W71" s="206" t="s">
        <v>144</v>
      </c>
      <c r="X71" s="214">
        <v>40</v>
      </c>
      <c r="Y71" s="214" t="s">
        <v>144</v>
      </c>
      <c r="Z71" s="212" t="s">
        <v>144</v>
      </c>
      <c r="AA71" s="206" t="s">
        <v>264</v>
      </c>
      <c r="AB71" s="206" t="s">
        <v>140</v>
      </c>
      <c r="AC71" s="206" t="s">
        <v>265</v>
      </c>
      <c r="AD71" s="847" t="s">
        <v>144</v>
      </c>
      <c r="AE71" s="847" t="s">
        <v>144</v>
      </c>
      <c r="AF71" s="848" t="s">
        <v>144</v>
      </c>
      <c r="AG71" s="838"/>
      <c r="AH71" s="179"/>
      <c r="AI71" s="188"/>
      <c r="AJ71" s="181"/>
      <c r="AK71" s="182"/>
      <c r="AL71" s="180"/>
      <c r="AM71" s="188"/>
      <c r="AN71" s="181"/>
      <c r="AO71" s="182"/>
      <c r="AP71" s="180"/>
      <c r="AQ71" s="188"/>
      <c r="AR71" s="181"/>
      <c r="AS71" s="182"/>
      <c r="AT71" s="185"/>
      <c r="AU71" s="186"/>
      <c r="AV71" s="181"/>
      <c r="AW71" s="182"/>
      <c r="AX71" s="180"/>
      <c r="AY71" s="188"/>
      <c r="AZ71" s="181"/>
      <c r="BA71" s="182"/>
      <c r="BB71" s="179"/>
      <c r="BC71" s="188"/>
      <c r="BD71" s="181"/>
      <c r="BE71" s="182"/>
    </row>
    <row r="72" spans="1:57" ht="54" hidden="1" customHeight="1" x14ac:dyDescent="0.25">
      <c r="A72" s="205" t="s">
        <v>255</v>
      </c>
      <c r="B72" s="206">
        <v>54</v>
      </c>
      <c r="C72" s="240" t="s">
        <v>532</v>
      </c>
      <c r="D72" s="211" t="s">
        <v>533</v>
      </c>
      <c r="E72" s="181" t="s">
        <v>644</v>
      </c>
      <c r="F72" s="209" t="s">
        <v>645</v>
      </c>
      <c r="G72" s="210" t="s">
        <v>646</v>
      </c>
      <c r="H72" s="209" t="s">
        <v>647</v>
      </c>
      <c r="I72" s="210" t="s">
        <v>648</v>
      </c>
      <c r="J72" s="206" t="s">
        <v>140</v>
      </c>
      <c r="K72" s="211" t="s">
        <v>140</v>
      </c>
      <c r="L72" s="717" t="s">
        <v>144</v>
      </c>
      <c r="M72" s="206" t="s">
        <v>142</v>
      </c>
      <c r="N72" s="211" t="s">
        <v>143</v>
      </c>
      <c r="O72" s="181" t="s">
        <v>649</v>
      </c>
      <c r="P72" s="181" t="s">
        <v>650</v>
      </c>
      <c r="Q72" s="209" t="s">
        <v>651</v>
      </c>
      <c r="R72" s="210" t="s">
        <v>652</v>
      </c>
      <c r="S72" s="181" t="s">
        <v>147</v>
      </c>
      <c r="T72" s="212" t="s">
        <v>144</v>
      </c>
      <c r="U72" s="213" t="s">
        <v>144</v>
      </c>
      <c r="V72" s="206">
        <v>3</v>
      </c>
      <c r="W72" s="206" t="s">
        <v>144</v>
      </c>
      <c r="X72" s="214">
        <v>40</v>
      </c>
      <c r="Y72" s="214" t="s">
        <v>144</v>
      </c>
      <c r="Z72" s="212" t="s">
        <v>144</v>
      </c>
      <c r="AA72" s="206" t="s">
        <v>264</v>
      </c>
      <c r="AB72" s="206" t="s">
        <v>140</v>
      </c>
      <c r="AC72" s="206" t="s">
        <v>265</v>
      </c>
      <c r="AD72" s="847" t="s">
        <v>144</v>
      </c>
      <c r="AE72" s="847" t="s">
        <v>144</v>
      </c>
      <c r="AF72" s="848" t="s">
        <v>144</v>
      </c>
      <c r="AG72" s="838"/>
      <c r="AH72" s="179"/>
      <c r="AI72" s="188"/>
      <c r="AJ72" s="181"/>
      <c r="AK72" s="182"/>
      <c r="AL72" s="180"/>
      <c r="AM72" s="188"/>
      <c r="AN72" s="181"/>
      <c r="AO72" s="182"/>
      <c r="AP72" s="180"/>
      <c r="AQ72" s="188"/>
      <c r="AR72" s="181"/>
      <c r="AS72" s="182"/>
      <c r="AT72" s="185"/>
      <c r="AU72" s="186"/>
      <c r="AV72" s="181"/>
      <c r="AW72" s="182"/>
      <c r="AX72" s="180"/>
      <c r="AY72" s="188"/>
      <c r="AZ72" s="181"/>
      <c r="BA72" s="182"/>
      <c r="BB72" s="179"/>
      <c r="BC72" s="188"/>
      <c r="BD72" s="181"/>
      <c r="BE72" s="182"/>
    </row>
    <row r="73" spans="1:57" ht="54" hidden="1" customHeight="1" x14ac:dyDescent="0.25">
      <c r="A73" s="205" t="s">
        <v>255</v>
      </c>
      <c r="B73" s="206">
        <v>55</v>
      </c>
      <c r="C73" s="240" t="s">
        <v>340</v>
      </c>
      <c r="D73" s="211" t="s">
        <v>341</v>
      </c>
      <c r="E73" s="181" t="s">
        <v>653</v>
      </c>
      <c r="F73" s="209" t="s">
        <v>654</v>
      </c>
      <c r="G73" s="210" t="s">
        <v>655</v>
      </c>
      <c r="H73" s="209" t="s">
        <v>656</v>
      </c>
      <c r="I73" s="210" t="s">
        <v>657</v>
      </c>
      <c r="J73" s="206" t="s">
        <v>140</v>
      </c>
      <c r="K73" s="211" t="s">
        <v>140</v>
      </c>
      <c r="L73" s="717" t="s">
        <v>144</v>
      </c>
      <c r="M73" s="206" t="s">
        <v>142</v>
      </c>
      <c r="N73" s="211" t="s">
        <v>143</v>
      </c>
      <c r="O73" s="181" t="s">
        <v>617</v>
      </c>
      <c r="P73" s="181" t="s">
        <v>618</v>
      </c>
      <c r="Q73" s="209" t="s">
        <v>658</v>
      </c>
      <c r="R73" s="210" t="s">
        <v>659</v>
      </c>
      <c r="S73" s="181" t="s">
        <v>147</v>
      </c>
      <c r="T73" s="212" t="s">
        <v>144</v>
      </c>
      <c r="U73" s="213" t="s">
        <v>144</v>
      </c>
      <c r="V73" s="206">
        <v>2</v>
      </c>
      <c r="W73" s="206" t="s">
        <v>144</v>
      </c>
      <c r="X73" s="214">
        <v>40</v>
      </c>
      <c r="Y73" s="214" t="s">
        <v>144</v>
      </c>
      <c r="Z73" s="212" t="s">
        <v>144</v>
      </c>
      <c r="AA73" s="206" t="s">
        <v>264</v>
      </c>
      <c r="AB73" s="206" t="s">
        <v>140</v>
      </c>
      <c r="AC73" s="206" t="s">
        <v>265</v>
      </c>
      <c r="AD73" s="847" t="s">
        <v>144</v>
      </c>
      <c r="AE73" s="847" t="s">
        <v>144</v>
      </c>
      <c r="AF73" s="848" t="s">
        <v>144</v>
      </c>
      <c r="AG73" s="838"/>
      <c r="AH73" s="179"/>
      <c r="AI73" s="188"/>
      <c r="AJ73" s="181"/>
      <c r="AK73" s="182"/>
      <c r="AL73" s="180"/>
      <c r="AM73" s="188"/>
      <c r="AN73" s="181"/>
      <c r="AO73" s="182"/>
      <c r="AP73" s="180"/>
      <c r="AQ73" s="188"/>
      <c r="AR73" s="181"/>
      <c r="AS73" s="182"/>
      <c r="AT73" s="185"/>
      <c r="AU73" s="186"/>
      <c r="AV73" s="181"/>
      <c r="AW73" s="182"/>
      <c r="AX73" s="180"/>
      <c r="AY73" s="188"/>
      <c r="AZ73" s="181"/>
      <c r="BA73" s="182"/>
      <c r="BB73" s="179"/>
      <c r="BC73" s="188"/>
      <c r="BD73" s="181"/>
      <c r="BE73" s="182"/>
    </row>
    <row r="74" spans="1:57" ht="54" hidden="1" customHeight="1" x14ac:dyDescent="0.25">
      <c r="A74" s="205" t="s">
        <v>255</v>
      </c>
      <c r="B74" s="206">
        <v>56</v>
      </c>
      <c r="C74" s="240" t="s">
        <v>340</v>
      </c>
      <c r="D74" s="211" t="s">
        <v>341</v>
      </c>
      <c r="E74" s="181" t="s">
        <v>660</v>
      </c>
      <c r="F74" s="209" t="s">
        <v>661</v>
      </c>
      <c r="G74" s="210" t="s">
        <v>662</v>
      </c>
      <c r="H74" s="209" t="s">
        <v>656</v>
      </c>
      <c r="I74" s="210" t="s">
        <v>657</v>
      </c>
      <c r="J74" s="206" t="s">
        <v>140</v>
      </c>
      <c r="K74" s="211" t="s">
        <v>140</v>
      </c>
      <c r="L74" s="717" t="s">
        <v>144</v>
      </c>
      <c r="M74" s="206" t="s">
        <v>142</v>
      </c>
      <c r="N74" s="211" t="s">
        <v>143</v>
      </c>
      <c r="O74" s="181" t="s">
        <v>617</v>
      </c>
      <c r="P74" s="181" t="s">
        <v>618</v>
      </c>
      <c r="Q74" s="209" t="s">
        <v>663</v>
      </c>
      <c r="R74" s="210" t="s">
        <v>664</v>
      </c>
      <c r="S74" s="181" t="s">
        <v>147</v>
      </c>
      <c r="T74" s="212" t="s">
        <v>144</v>
      </c>
      <c r="U74" s="213" t="s">
        <v>144</v>
      </c>
      <c r="V74" s="206">
        <v>2</v>
      </c>
      <c r="W74" s="206" t="s">
        <v>144</v>
      </c>
      <c r="X74" s="214">
        <v>40</v>
      </c>
      <c r="Y74" s="214" t="s">
        <v>144</v>
      </c>
      <c r="Z74" s="212" t="s">
        <v>144</v>
      </c>
      <c r="AA74" s="206" t="s">
        <v>264</v>
      </c>
      <c r="AB74" s="206" t="s">
        <v>140</v>
      </c>
      <c r="AC74" s="206" t="s">
        <v>265</v>
      </c>
      <c r="AD74" s="847" t="s">
        <v>144</v>
      </c>
      <c r="AE74" s="847" t="s">
        <v>144</v>
      </c>
      <c r="AF74" s="848" t="s">
        <v>144</v>
      </c>
      <c r="AG74" s="838"/>
      <c r="AH74" s="179"/>
      <c r="AI74" s="188"/>
      <c r="AJ74" s="181"/>
      <c r="AK74" s="182"/>
      <c r="AL74" s="180"/>
      <c r="AM74" s="188"/>
      <c r="AN74" s="181"/>
      <c r="AO74" s="182"/>
      <c r="AP74" s="180"/>
      <c r="AQ74" s="188"/>
      <c r="AR74" s="181"/>
      <c r="AS74" s="182"/>
      <c r="AT74" s="185"/>
      <c r="AU74" s="186"/>
      <c r="AV74" s="181"/>
      <c r="AW74" s="182"/>
      <c r="AX74" s="180"/>
      <c r="AY74" s="188"/>
      <c r="AZ74" s="181"/>
      <c r="BA74" s="182"/>
      <c r="BB74" s="179"/>
      <c r="BC74" s="188"/>
      <c r="BD74" s="181"/>
      <c r="BE74" s="182"/>
    </row>
    <row r="75" spans="1:57" s="54" customFormat="1" ht="54" customHeight="1" x14ac:dyDescent="0.25">
      <c r="A75" s="216" t="s">
        <v>255</v>
      </c>
      <c r="B75" s="217">
        <v>57</v>
      </c>
      <c r="C75" s="253" t="s">
        <v>144</v>
      </c>
      <c r="D75" s="217" t="s">
        <v>144</v>
      </c>
      <c r="E75" s="217" t="s">
        <v>665</v>
      </c>
      <c r="F75" s="220" t="s">
        <v>251</v>
      </c>
      <c r="G75" s="220" t="s">
        <v>251</v>
      </c>
      <c r="H75" s="220" t="s">
        <v>336</v>
      </c>
      <c r="I75" s="220" t="s">
        <v>337</v>
      </c>
      <c r="J75" s="217" t="s">
        <v>144</v>
      </c>
      <c r="K75" s="217" t="s">
        <v>144</v>
      </c>
      <c r="L75" s="708" t="s">
        <v>144</v>
      </c>
      <c r="M75" s="217" t="s">
        <v>144</v>
      </c>
      <c r="N75" s="217" t="s">
        <v>144</v>
      </c>
      <c r="O75" s="219" t="s">
        <v>144</v>
      </c>
      <c r="P75" s="219" t="s">
        <v>144</v>
      </c>
      <c r="Q75" s="220" t="s">
        <v>338</v>
      </c>
      <c r="R75" s="220" t="s">
        <v>339</v>
      </c>
      <c r="S75" s="219" t="s">
        <v>147</v>
      </c>
      <c r="T75" s="221" t="s">
        <v>144</v>
      </c>
      <c r="U75" s="221" t="s">
        <v>144</v>
      </c>
      <c r="V75" s="217">
        <v>1</v>
      </c>
      <c r="W75" s="217" t="s">
        <v>144</v>
      </c>
      <c r="X75" s="222" t="s">
        <v>144</v>
      </c>
      <c r="Y75" s="222" t="s">
        <v>144</v>
      </c>
      <c r="Z75" s="222" t="s">
        <v>144</v>
      </c>
      <c r="AA75" s="217" t="s">
        <v>144</v>
      </c>
      <c r="AB75" s="217" t="s">
        <v>144</v>
      </c>
      <c r="AC75" s="217" t="s">
        <v>265</v>
      </c>
      <c r="AD75" s="217" t="s">
        <v>144</v>
      </c>
      <c r="AE75" s="217" t="s">
        <v>144</v>
      </c>
      <c r="AF75" s="223" t="s">
        <v>144</v>
      </c>
      <c r="AG75" s="838"/>
      <c r="AH75" s="224"/>
      <c r="AI75" s="225"/>
      <c r="AJ75" s="219"/>
      <c r="AK75" s="226"/>
      <c r="AL75" s="225"/>
      <c r="AM75" s="225"/>
      <c r="AN75" s="219"/>
      <c r="AO75" s="226"/>
      <c r="AP75" s="225"/>
      <c r="AQ75" s="225"/>
      <c r="AR75" s="219"/>
      <c r="AS75" s="226"/>
      <c r="AT75" s="227"/>
      <c r="AU75" s="227"/>
      <c r="AV75" s="219"/>
      <c r="AW75" s="226"/>
      <c r="AX75" s="225"/>
      <c r="AY75" s="225"/>
      <c r="AZ75" s="219"/>
      <c r="BA75" s="226"/>
      <c r="BB75" s="224"/>
      <c r="BC75" s="225"/>
      <c r="BD75" s="219"/>
      <c r="BE75" s="226"/>
    </row>
    <row r="76" spans="1:57" ht="54" hidden="1" customHeight="1" x14ac:dyDescent="0.25">
      <c r="A76" s="205" t="s">
        <v>255</v>
      </c>
      <c r="B76" s="206">
        <v>58</v>
      </c>
      <c r="C76" s="240" t="s">
        <v>532</v>
      </c>
      <c r="D76" s="211" t="s">
        <v>533</v>
      </c>
      <c r="E76" s="181" t="s">
        <v>666</v>
      </c>
      <c r="F76" s="209" t="s">
        <v>667</v>
      </c>
      <c r="G76" s="210" t="s">
        <v>668</v>
      </c>
      <c r="H76" s="209" t="s">
        <v>669</v>
      </c>
      <c r="I76" s="210" t="s">
        <v>670</v>
      </c>
      <c r="J76" s="206" t="s">
        <v>140</v>
      </c>
      <c r="K76" s="211" t="s">
        <v>140</v>
      </c>
      <c r="L76" s="717" t="s">
        <v>144</v>
      </c>
      <c r="M76" s="206" t="s">
        <v>142</v>
      </c>
      <c r="N76" s="211" t="s">
        <v>143</v>
      </c>
      <c r="O76" s="181" t="s">
        <v>671</v>
      </c>
      <c r="P76" s="240" t="s">
        <v>672</v>
      </c>
      <c r="Q76" s="209" t="s">
        <v>673</v>
      </c>
      <c r="R76" s="210" t="s">
        <v>674</v>
      </c>
      <c r="S76" s="181" t="s">
        <v>147</v>
      </c>
      <c r="T76" s="212" t="s">
        <v>144</v>
      </c>
      <c r="U76" s="213" t="s">
        <v>144</v>
      </c>
      <c r="V76" s="206">
        <v>46</v>
      </c>
      <c r="W76" s="206" t="s">
        <v>144</v>
      </c>
      <c r="X76" s="214">
        <v>40</v>
      </c>
      <c r="Y76" s="214" t="s">
        <v>144</v>
      </c>
      <c r="Z76" s="212" t="s">
        <v>144</v>
      </c>
      <c r="AA76" s="206" t="s">
        <v>264</v>
      </c>
      <c r="AB76" s="206" t="s">
        <v>140</v>
      </c>
      <c r="AC76" s="206" t="s">
        <v>265</v>
      </c>
      <c r="AD76" s="847" t="s">
        <v>144</v>
      </c>
      <c r="AE76" s="847" t="s">
        <v>144</v>
      </c>
      <c r="AF76" s="848" t="s">
        <v>144</v>
      </c>
      <c r="AG76" s="838"/>
      <c r="AH76" s="179"/>
      <c r="AI76" s="188"/>
      <c r="AJ76" s="181"/>
      <c r="AK76" s="182"/>
      <c r="AL76" s="180"/>
      <c r="AM76" s="188"/>
      <c r="AN76" s="181"/>
      <c r="AO76" s="182"/>
      <c r="AP76" s="180"/>
      <c r="AQ76" s="188"/>
      <c r="AR76" s="181"/>
      <c r="AS76" s="182"/>
      <c r="AT76" s="185"/>
      <c r="AU76" s="186"/>
      <c r="AV76" s="181"/>
      <c r="AW76" s="182"/>
      <c r="AX76" s="180"/>
      <c r="AY76" s="188"/>
      <c r="AZ76" s="181"/>
      <c r="BA76" s="182"/>
      <c r="BB76" s="179"/>
      <c r="BC76" s="188"/>
      <c r="BD76" s="181"/>
      <c r="BE76" s="182"/>
    </row>
    <row r="77" spans="1:57" ht="54" hidden="1" customHeight="1" x14ac:dyDescent="0.25">
      <c r="A77" s="205" t="s">
        <v>255</v>
      </c>
      <c r="B77" s="206">
        <v>59</v>
      </c>
      <c r="C77" s="240" t="s">
        <v>340</v>
      </c>
      <c r="D77" s="211" t="s">
        <v>341</v>
      </c>
      <c r="E77" s="181" t="s">
        <v>675</v>
      </c>
      <c r="F77" s="209" t="s">
        <v>676</v>
      </c>
      <c r="G77" s="210" t="s">
        <v>677</v>
      </c>
      <c r="H77" s="209" t="s">
        <v>678</v>
      </c>
      <c r="I77" s="210" t="s">
        <v>679</v>
      </c>
      <c r="J77" s="206" t="s">
        <v>140</v>
      </c>
      <c r="K77" s="211" t="s">
        <v>140</v>
      </c>
      <c r="L77" s="717" t="s">
        <v>144</v>
      </c>
      <c r="M77" s="206" t="s">
        <v>142</v>
      </c>
      <c r="N77" s="211" t="s">
        <v>143</v>
      </c>
      <c r="O77" s="181" t="s">
        <v>680</v>
      </c>
      <c r="P77" s="181" t="s">
        <v>681</v>
      </c>
      <c r="Q77" s="209" t="s">
        <v>682</v>
      </c>
      <c r="R77" s="210" t="s">
        <v>683</v>
      </c>
      <c r="S77" s="181" t="s">
        <v>147</v>
      </c>
      <c r="T77" s="212" t="s">
        <v>144</v>
      </c>
      <c r="U77" s="213" t="s">
        <v>144</v>
      </c>
      <c r="V77" s="206">
        <v>5</v>
      </c>
      <c r="W77" s="206" t="s">
        <v>144</v>
      </c>
      <c r="X77" s="214">
        <v>40</v>
      </c>
      <c r="Y77" s="214" t="s">
        <v>144</v>
      </c>
      <c r="Z77" s="212" t="s">
        <v>144</v>
      </c>
      <c r="AA77" s="206" t="s">
        <v>576</v>
      </c>
      <c r="AB77" s="206" t="s">
        <v>140</v>
      </c>
      <c r="AC77" s="206" t="s">
        <v>265</v>
      </c>
      <c r="AD77" s="847" t="s">
        <v>144</v>
      </c>
      <c r="AE77" s="847" t="s">
        <v>144</v>
      </c>
      <c r="AF77" s="848" t="s">
        <v>144</v>
      </c>
      <c r="AG77" s="838"/>
      <c r="AH77" s="179"/>
      <c r="AI77" s="188"/>
      <c r="AJ77" s="181"/>
      <c r="AK77" s="182"/>
      <c r="AL77" s="180"/>
      <c r="AM77" s="188"/>
      <c r="AN77" s="181"/>
      <c r="AO77" s="182"/>
      <c r="AP77" s="180"/>
      <c r="AQ77" s="188"/>
      <c r="AR77" s="181"/>
      <c r="AS77" s="182"/>
      <c r="AT77" s="185"/>
      <c r="AU77" s="186"/>
      <c r="AV77" s="181"/>
      <c r="AW77" s="182"/>
      <c r="AX77" s="180"/>
      <c r="AY77" s="188"/>
      <c r="AZ77" s="181"/>
      <c r="BA77" s="182"/>
      <c r="BB77" s="179"/>
      <c r="BC77" s="188"/>
      <c r="BD77" s="181"/>
      <c r="BE77" s="182"/>
    </row>
    <row r="78" spans="1:57" ht="54" hidden="1" customHeight="1" x14ac:dyDescent="0.25">
      <c r="A78" s="205" t="s">
        <v>255</v>
      </c>
      <c r="B78" s="206">
        <v>60</v>
      </c>
      <c r="C78" s="240" t="s">
        <v>684</v>
      </c>
      <c r="D78" s="211" t="s">
        <v>685</v>
      </c>
      <c r="E78" s="181" t="s">
        <v>686</v>
      </c>
      <c r="F78" s="209" t="s">
        <v>687</v>
      </c>
      <c r="G78" s="210" t="s">
        <v>688</v>
      </c>
      <c r="H78" s="209" t="s">
        <v>689</v>
      </c>
      <c r="I78" s="210" t="s">
        <v>690</v>
      </c>
      <c r="J78" s="206" t="s">
        <v>140</v>
      </c>
      <c r="K78" s="211" t="s">
        <v>140</v>
      </c>
      <c r="L78" s="717" t="s">
        <v>144</v>
      </c>
      <c r="M78" s="206" t="s">
        <v>142</v>
      </c>
      <c r="N78" s="211" t="s">
        <v>143</v>
      </c>
      <c r="O78" s="181" t="s">
        <v>691</v>
      </c>
      <c r="P78" s="181" t="s">
        <v>692</v>
      </c>
      <c r="Q78" s="209" t="s">
        <v>693</v>
      </c>
      <c r="R78" s="210" t="s">
        <v>694</v>
      </c>
      <c r="S78" s="181" t="s">
        <v>147</v>
      </c>
      <c r="T78" s="212" t="s">
        <v>144</v>
      </c>
      <c r="U78" s="213" t="s">
        <v>144</v>
      </c>
      <c r="V78" s="206">
        <v>3</v>
      </c>
      <c r="W78" s="206" t="s">
        <v>144</v>
      </c>
      <c r="X78" s="214">
        <v>40</v>
      </c>
      <c r="Y78" s="214" t="s">
        <v>144</v>
      </c>
      <c r="Z78" s="212" t="s">
        <v>144</v>
      </c>
      <c r="AA78" s="206" t="s">
        <v>576</v>
      </c>
      <c r="AB78" s="206" t="s">
        <v>140</v>
      </c>
      <c r="AC78" s="206" t="s">
        <v>265</v>
      </c>
      <c r="AD78" s="847" t="s">
        <v>144</v>
      </c>
      <c r="AE78" s="847" t="s">
        <v>144</v>
      </c>
      <c r="AF78" s="848" t="s">
        <v>144</v>
      </c>
      <c r="AG78" s="838"/>
      <c r="AH78" s="179"/>
      <c r="AI78" s="188"/>
      <c r="AJ78" s="181"/>
      <c r="AK78" s="182"/>
      <c r="AL78" s="180"/>
      <c r="AM78" s="188"/>
      <c r="AN78" s="181"/>
      <c r="AO78" s="182"/>
      <c r="AP78" s="180"/>
      <c r="AQ78" s="188"/>
      <c r="AR78" s="181"/>
      <c r="AS78" s="182"/>
      <c r="AT78" s="185"/>
      <c r="AU78" s="186"/>
      <c r="AV78" s="181"/>
      <c r="AW78" s="182"/>
      <c r="AX78" s="180"/>
      <c r="AY78" s="188"/>
      <c r="AZ78" s="181"/>
      <c r="BA78" s="182"/>
      <c r="BB78" s="179"/>
      <c r="BC78" s="188"/>
      <c r="BD78" s="181"/>
      <c r="BE78" s="182"/>
    </row>
    <row r="79" spans="1:57" ht="54" hidden="1" customHeight="1" x14ac:dyDescent="0.25">
      <c r="A79" s="205" t="s">
        <v>255</v>
      </c>
      <c r="B79" s="206">
        <v>61</v>
      </c>
      <c r="C79" s="240" t="s">
        <v>340</v>
      </c>
      <c r="D79" s="211" t="s">
        <v>341</v>
      </c>
      <c r="E79" s="181" t="s">
        <v>695</v>
      </c>
      <c r="F79" s="209" t="s">
        <v>696</v>
      </c>
      <c r="G79" s="210" t="s">
        <v>697</v>
      </c>
      <c r="H79" s="209" t="s">
        <v>698</v>
      </c>
      <c r="I79" s="210" t="s">
        <v>699</v>
      </c>
      <c r="J79" s="206" t="s">
        <v>140</v>
      </c>
      <c r="K79" s="211" t="s">
        <v>140</v>
      </c>
      <c r="L79" s="717" t="s">
        <v>144</v>
      </c>
      <c r="M79" s="206" t="s">
        <v>142</v>
      </c>
      <c r="N79" s="211" t="s">
        <v>143</v>
      </c>
      <c r="O79" s="181" t="s">
        <v>700</v>
      </c>
      <c r="P79" s="181" t="s">
        <v>701</v>
      </c>
      <c r="Q79" s="209" t="s">
        <v>702</v>
      </c>
      <c r="R79" s="210" t="s">
        <v>703</v>
      </c>
      <c r="S79" s="181" t="s">
        <v>147</v>
      </c>
      <c r="T79" s="212" t="s">
        <v>144</v>
      </c>
      <c r="U79" s="213" t="s">
        <v>144</v>
      </c>
      <c r="V79" s="206">
        <v>6</v>
      </c>
      <c r="W79" s="206" t="s">
        <v>144</v>
      </c>
      <c r="X79" s="214">
        <v>40</v>
      </c>
      <c r="Y79" s="214" t="s">
        <v>144</v>
      </c>
      <c r="Z79" s="212" t="s">
        <v>144</v>
      </c>
      <c r="AA79" s="206" t="s">
        <v>264</v>
      </c>
      <c r="AB79" s="206" t="s">
        <v>140</v>
      </c>
      <c r="AC79" s="206" t="s">
        <v>265</v>
      </c>
      <c r="AD79" s="847" t="s">
        <v>144</v>
      </c>
      <c r="AE79" s="847" t="s">
        <v>144</v>
      </c>
      <c r="AF79" s="848" t="s">
        <v>144</v>
      </c>
      <c r="AG79" s="838"/>
      <c r="AH79" s="179"/>
      <c r="AI79" s="188"/>
      <c r="AJ79" s="181"/>
      <c r="AK79" s="182"/>
      <c r="AL79" s="180"/>
      <c r="AM79" s="188"/>
      <c r="AN79" s="181"/>
      <c r="AO79" s="182"/>
      <c r="AP79" s="180"/>
      <c r="AQ79" s="188"/>
      <c r="AR79" s="181"/>
      <c r="AS79" s="182"/>
      <c r="AT79" s="185"/>
      <c r="AU79" s="186"/>
      <c r="AV79" s="181"/>
      <c r="AW79" s="182"/>
      <c r="AX79" s="180"/>
      <c r="AY79" s="188"/>
      <c r="AZ79" s="181"/>
      <c r="BA79" s="182"/>
      <c r="BB79" s="179"/>
      <c r="BC79" s="188"/>
      <c r="BD79" s="181"/>
      <c r="BE79" s="182"/>
    </row>
    <row r="80" spans="1:57" s="54" customFormat="1" ht="54" customHeight="1" x14ac:dyDescent="0.25">
      <c r="A80" s="216" t="s">
        <v>255</v>
      </c>
      <c r="B80" s="217">
        <v>62</v>
      </c>
      <c r="C80" s="253" t="s">
        <v>144</v>
      </c>
      <c r="D80" s="217" t="s">
        <v>144</v>
      </c>
      <c r="E80" s="217" t="s">
        <v>704</v>
      </c>
      <c r="F80" s="220" t="s">
        <v>251</v>
      </c>
      <c r="G80" s="220" t="s">
        <v>251</v>
      </c>
      <c r="H80" s="220" t="s">
        <v>336</v>
      </c>
      <c r="I80" s="220" t="s">
        <v>337</v>
      </c>
      <c r="J80" s="217" t="s">
        <v>144</v>
      </c>
      <c r="K80" s="217" t="s">
        <v>144</v>
      </c>
      <c r="L80" s="708" t="s">
        <v>144</v>
      </c>
      <c r="M80" s="217" t="s">
        <v>144</v>
      </c>
      <c r="N80" s="217" t="s">
        <v>144</v>
      </c>
      <c r="O80" s="219" t="s">
        <v>144</v>
      </c>
      <c r="P80" s="219" t="s">
        <v>144</v>
      </c>
      <c r="Q80" s="220" t="s">
        <v>338</v>
      </c>
      <c r="R80" s="220" t="s">
        <v>339</v>
      </c>
      <c r="S80" s="219" t="s">
        <v>147</v>
      </c>
      <c r="T80" s="221" t="s">
        <v>144</v>
      </c>
      <c r="U80" s="221" t="s">
        <v>144</v>
      </c>
      <c r="V80" s="217">
        <v>2</v>
      </c>
      <c r="W80" s="217" t="s">
        <v>144</v>
      </c>
      <c r="X80" s="222" t="s">
        <v>144</v>
      </c>
      <c r="Y80" s="222" t="s">
        <v>144</v>
      </c>
      <c r="Z80" s="222" t="s">
        <v>144</v>
      </c>
      <c r="AA80" s="217" t="s">
        <v>144</v>
      </c>
      <c r="AB80" s="217" t="s">
        <v>144</v>
      </c>
      <c r="AC80" s="217" t="s">
        <v>265</v>
      </c>
      <c r="AD80" s="217" t="s">
        <v>144</v>
      </c>
      <c r="AE80" s="217" t="s">
        <v>144</v>
      </c>
      <c r="AF80" s="223" t="s">
        <v>144</v>
      </c>
      <c r="AG80" s="838"/>
      <c r="AH80" s="224"/>
      <c r="AI80" s="225"/>
      <c r="AJ80" s="219"/>
      <c r="AK80" s="226"/>
      <c r="AL80" s="225"/>
      <c r="AM80" s="225"/>
      <c r="AN80" s="219"/>
      <c r="AO80" s="226"/>
      <c r="AP80" s="225"/>
      <c r="AQ80" s="225"/>
      <c r="AR80" s="219"/>
      <c r="AS80" s="226"/>
      <c r="AT80" s="227"/>
      <c r="AU80" s="227"/>
      <c r="AV80" s="219"/>
      <c r="AW80" s="226"/>
      <c r="AX80" s="225"/>
      <c r="AY80" s="225"/>
      <c r="AZ80" s="219"/>
      <c r="BA80" s="226"/>
      <c r="BB80" s="224"/>
      <c r="BC80" s="225"/>
      <c r="BD80" s="219"/>
      <c r="BE80" s="226"/>
    </row>
    <row r="81" spans="1:57" ht="54" hidden="1" customHeight="1" x14ac:dyDescent="0.25">
      <c r="A81" s="205" t="s">
        <v>255</v>
      </c>
      <c r="B81" s="206">
        <v>63</v>
      </c>
      <c r="C81" s="240" t="s">
        <v>340</v>
      </c>
      <c r="D81" s="211" t="s">
        <v>341</v>
      </c>
      <c r="E81" s="181" t="s">
        <v>705</v>
      </c>
      <c r="F81" s="209" t="s">
        <v>706</v>
      </c>
      <c r="G81" s="210" t="s">
        <v>707</v>
      </c>
      <c r="H81" s="209" t="s">
        <v>708</v>
      </c>
      <c r="I81" s="210" t="s">
        <v>709</v>
      </c>
      <c r="J81" s="206" t="s">
        <v>140</v>
      </c>
      <c r="K81" s="211" t="s">
        <v>140</v>
      </c>
      <c r="L81" s="717" t="s">
        <v>144</v>
      </c>
      <c r="M81" s="206" t="s">
        <v>142</v>
      </c>
      <c r="N81" s="211" t="s">
        <v>143</v>
      </c>
      <c r="O81" s="181" t="s">
        <v>710</v>
      </c>
      <c r="P81" s="181" t="s">
        <v>711</v>
      </c>
      <c r="Q81" s="209" t="s">
        <v>712</v>
      </c>
      <c r="R81" s="210" t="s">
        <v>713</v>
      </c>
      <c r="S81" s="181" t="s">
        <v>147</v>
      </c>
      <c r="T81" s="212" t="s">
        <v>144</v>
      </c>
      <c r="U81" s="213" t="s">
        <v>144</v>
      </c>
      <c r="V81" s="206">
        <v>1</v>
      </c>
      <c r="W81" s="206" t="s">
        <v>144</v>
      </c>
      <c r="X81" s="214">
        <v>40</v>
      </c>
      <c r="Y81" s="214" t="s">
        <v>144</v>
      </c>
      <c r="Z81" s="212" t="s">
        <v>144</v>
      </c>
      <c r="AA81" s="206" t="s">
        <v>398</v>
      </c>
      <c r="AB81" s="206" t="s">
        <v>140</v>
      </c>
      <c r="AC81" s="206" t="s">
        <v>265</v>
      </c>
      <c r="AD81" s="847" t="s">
        <v>144</v>
      </c>
      <c r="AE81" s="847" t="s">
        <v>144</v>
      </c>
      <c r="AF81" s="848" t="s">
        <v>144</v>
      </c>
      <c r="AG81" s="838"/>
      <c r="AH81" s="179"/>
      <c r="AI81" s="188"/>
      <c r="AJ81" s="181"/>
      <c r="AK81" s="182"/>
      <c r="AL81" s="180"/>
      <c r="AM81" s="188"/>
      <c r="AN81" s="181"/>
      <c r="AO81" s="182"/>
      <c r="AP81" s="180"/>
      <c r="AQ81" s="188"/>
      <c r="AR81" s="181"/>
      <c r="AS81" s="182"/>
      <c r="AT81" s="185"/>
      <c r="AU81" s="186"/>
      <c r="AV81" s="181"/>
      <c r="AW81" s="182"/>
      <c r="AX81" s="180"/>
      <c r="AY81" s="188"/>
      <c r="AZ81" s="181"/>
      <c r="BA81" s="182"/>
      <c r="BB81" s="179"/>
      <c r="BC81" s="188"/>
      <c r="BD81" s="181"/>
      <c r="BE81" s="182"/>
    </row>
    <row r="82" spans="1:57" ht="54" hidden="1" customHeight="1" x14ac:dyDescent="0.25">
      <c r="A82" s="205" t="s">
        <v>255</v>
      </c>
      <c r="B82" s="206">
        <v>64</v>
      </c>
      <c r="C82" s="240" t="s">
        <v>340</v>
      </c>
      <c r="D82" s="211" t="s">
        <v>341</v>
      </c>
      <c r="E82" s="181" t="s">
        <v>714</v>
      </c>
      <c r="F82" s="209" t="s">
        <v>715</v>
      </c>
      <c r="G82" s="210" t="s">
        <v>716</v>
      </c>
      <c r="H82" s="209" t="s">
        <v>717</v>
      </c>
      <c r="I82" s="210" t="s">
        <v>718</v>
      </c>
      <c r="J82" s="206" t="s">
        <v>140</v>
      </c>
      <c r="K82" s="211" t="s">
        <v>140</v>
      </c>
      <c r="L82" s="717" t="s">
        <v>144</v>
      </c>
      <c r="M82" s="206" t="s">
        <v>142</v>
      </c>
      <c r="N82" s="211" t="s">
        <v>143</v>
      </c>
      <c r="O82" s="181" t="s">
        <v>719</v>
      </c>
      <c r="P82" s="181" t="s">
        <v>720</v>
      </c>
      <c r="Q82" s="209" t="s">
        <v>721</v>
      </c>
      <c r="R82" s="210" t="s">
        <v>722</v>
      </c>
      <c r="S82" s="181" t="s">
        <v>147</v>
      </c>
      <c r="T82" s="212" t="s">
        <v>144</v>
      </c>
      <c r="U82" s="213" t="s">
        <v>144</v>
      </c>
      <c r="V82" s="206">
        <v>6</v>
      </c>
      <c r="W82" s="206" t="s">
        <v>144</v>
      </c>
      <c r="X82" s="214">
        <v>40</v>
      </c>
      <c r="Y82" s="214" t="s">
        <v>144</v>
      </c>
      <c r="Z82" s="212" t="s">
        <v>144</v>
      </c>
      <c r="AA82" s="206" t="s">
        <v>398</v>
      </c>
      <c r="AB82" s="206" t="s">
        <v>140</v>
      </c>
      <c r="AC82" s="206" t="s">
        <v>265</v>
      </c>
      <c r="AD82" s="847" t="s">
        <v>144</v>
      </c>
      <c r="AE82" s="847" t="s">
        <v>144</v>
      </c>
      <c r="AF82" s="848" t="s">
        <v>144</v>
      </c>
      <c r="AG82" s="838"/>
      <c r="AH82" s="179"/>
      <c r="AI82" s="188"/>
      <c r="AJ82" s="181"/>
      <c r="AK82" s="182"/>
      <c r="AL82" s="180"/>
      <c r="AM82" s="188"/>
      <c r="AN82" s="181"/>
      <c r="AO82" s="182"/>
      <c r="AP82" s="180"/>
      <c r="AQ82" s="188"/>
      <c r="AR82" s="181"/>
      <c r="AS82" s="182"/>
      <c r="AT82" s="185"/>
      <c r="AU82" s="186"/>
      <c r="AV82" s="181"/>
      <c r="AW82" s="182"/>
      <c r="AX82" s="180"/>
      <c r="AY82" s="188"/>
      <c r="AZ82" s="181"/>
      <c r="BA82" s="182"/>
      <c r="BB82" s="179"/>
      <c r="BC82" s="188"/>
      <c r="BD82" s="181"/>
      <c r="BE82" s="182"/>
    </row>
    <row r="83" spans="1:57" ht="54" hidden="1" customHeight="1" x14ac:dyDescent="0.25">
      <c r="A83" s="205" t="s">
        <v>255</v>
      </c>
      <c r="B83" s="206">
        <v>65</v>
      </c>
      <c r="C83" s="240" t="s">
        <v>723</v>
      </c>
      <c r="D83" s="211" t="s">
        <v>723</v>
      </c>
      <c r="E83" s="181" t="s">
        <v>724</v>
      </c>
      <c r="F83" s="209" t="s">
        <v>725</v>
      </c>
      <c r="G83" s="210" t="s">
        <v>726</v>
      </c>
      <c r="H83" s="209" t="s">
        <v>727</v>
      </c>
      <c r="I83" s="210" t="s">
        <v>728</v>
      </c>
      <c r="J83" s="206" t="s">
        <v>140</v>
      </c>
      <c r="K83" s="211" t="s">
        <v>140</v>
      </c>
      <c r="L83" s="717" t="s">
        <v>144</v>
      </c>
      <c r="M83" s="206" t="s">
        <v>142</v>
      </c>
      <c r="N83" s="211" t="s">
        <v>143</v>
      </c>
      <c r="O83" s="181" t="s">
        <v>729</v>
      </c>
      <c r="P83" s="181" t="s">
        <v>730</v>
      </c>
      <c r="Q83" s="209" t="s">
        <v>731</v>
      </c>
      <c r="R83" s="210" t="s">
        <v>732</v>
      </c>
      <c r="S83" s="181" t="s">
        <v>147</v>
      </c>
      <c r="T83" s="212" t="s">
        <v>144</v>
      </c>
      <c r="U83" s="213" t="s">
        <v>144</v>
      </c>
      <c r="V83" s="206">
        <v>1</v>
      </c>
      <c r="W83" s="206" t="s">
        <v>144</v>
      </c>
      <c r="X83" s="214">
        <v>44</v>
      </c>
      <c r="Y83" s="214" t="s">
        <v>144</v>
      </c>
      <c r="Z83" s="241" t="s">
        <v>144</v>
      </c>
      <c r="AA83" s="615" t="s">
        <v>733</v>
      </c>
      <c r="AB83" s="206" t="s">
        <v>140</v>
      </c>
      <c r="AC83" s="206" t="s">
        <v>265</v>
      </c>
      <c r="AD83" s="206" t="s">
        <v>144</v>
      </c>
      <c r="AE83" s="847" t="s">
        <v>144</v>
      </c>
      <c r="AF83" s="848" t="s">
        <v>144</v>
      </c>
      <c r="AG83" s="838"/>
      <c r="AH83" s="242"/>
      <c r="AI83" s="243"/>
      <c r="AJ83" s="244"/>
      <c r="AK83" s="245"/>
      <c r="AL83" s="614"/>
      <c r="AM83" s="243"/>
      <c r="AN83" s="244"/>
      <c r="AO83" s="245"/>
      <c r="AP83" s="246"/>
      <c r="AQ83" s="243"/>
      <c r="AR83" s="244"/>
      <c r="AS83" s="245"/>
      <c r="AT83" s="247"/>
      <c r="AU83" s="248"/>
      <c r="AV83" s="244"/>
      <c r="AW83" s="245"/>
      <c r="AX83" s="246"/>
      <c r="AY83" s="243"/>
      <c r="AZ83" s="244"/>
      <c r="BA83" s="245"/>
      <c r="BB83" s="242"/>
      <c r="BC83" s="243"/>
      <c r="BD83" s="244"/>
      <c r="BE83" s="245"/>
    </row>
    <row r="84" spans="1:57" ht="54" hidden="1" customHeight="1" x14ac:dyDescent="0.25">
      <c r="A84" s="205" t="s">
        <v>255</v>
      </c>
      <c r="B84" s="206">
        <v>66</v>
      </c>
      <c r="C84" s="240" t="s">
        <v>723</v>
      </c>
      <c r="D84" s="211" t="s">
        <v>723</v>
      </c>
      <c r="E84" s="181" t="s">
        <v>734</v>
      </c>
      <c r="F84" s="249" t="s">
        <v>735</v>
      </c>
      <c r="G84" s="210" t="s">
        <v>736</v>
      </c>
      <c r="H84" s="209" t="s">
        <v>737</v>
      </c>
      <c r="I84" s="210" t="s">
        <v>738</v>
      </c>
      <c r="J84" s="206" t="s">
        <v>140</v>
      </c>
      <c r="K84" s="211" t="s">
        <v>140</v>
      </c>
      <c r="L84" s="717" t="s">
        <v>144</v>
      </c>
      <c r="M84" s="206" t="s">
        <v>142</v>
      </c>
      <c r="N84" s="211" t="s">
        <v>143</v>
      </c>
      <c r="O84" s="181" t="s">
        <v>739</v>
      </c>
      <c r="P84" s="181" t="s">
        <v>740</v>
      </c>
      <c r="Q84" s="209" t="s">
        <v>731</v>
      </c>
      <c r="R84" s="210" t="s">
        <v>732</v>
      </c>
      <c r="S84" s="181" t="s">
        <v>147</v>
      </c>
      <c r="T84" s="212" t="s">
        <v>144</v>
      </c>
      <c r="U84" s="213" t="s">
        <v>144</v>
      </c>
      <c r="V84" s="206">
        <v>1</v>
      </c>
      <c r="W84" s="206" t="s">
        <v>144</v>
      </c>
      <c r="X84" s="214">
        <v>44</v>
      </c>
      <c r="Y84" s="214" t="s">
        <v>144</v>
      </c>
      <c r="Z84" s="241" t="s">
        <v>144</v>
      </c>
      <c r="AA84" s="615" t="s">
        <v>733</v>
      </c>
      <c r="AB84" s="206" t="s">
        <v>140</v>
      </c>
      <c r="AC84" s="206" t="s">
        <v>265</v>
      </c>
      <c r="AD84" s="206" t="s">
        <v>144</v>
      </c>
      <c r="AE84" s="847" t="s">
        <v>144</v>
      </c>
      <c r="AF84" s="848" t="s">
        <v>144</v>
      </c>
      <c r="AG84" s="838"/>
      <c r="AH84" s="242"/>
      <c r="AI84" s="243"/>
      <c r="AJ84" s="244"/>
      <c r="AK84" s="245"/>
      <c r="AL84" s="614"/>
      <c r="AM84" s="243"/>
      <c r="AN84" s="244"/>
      <c r="AO84" s="245"/>
      <c r="AP84" s="246"/>
      <c r="AQ84" s="243"/>
      <c r="AR84" s="244"/>
      <c r="AS84" s="245"/>
      <c r="AT84" s="247"/>
      <c r="AU84" s="248"/>
      <c r="AV84" s="244"/>
      <c r="AW84" s="245"/>
      <c r="AX84" s="246"/>
      <c r="AY84" s="243"/>
      <c r="AZ84" s="244"/>
      <c r="BA84" s="245"/>
      <c r="BB84" s="242"/>
      <c r="BC84" s="243"/>
      <c r="BD84" s="244"/>
      <c r="BE84" s="245"/>
    </row>
    <row r="85" spans="1:57" s="54" customFormat="1" ht="54" hidden="1" customHeight="1" x14ac:dyDescent="0.25">
      <c r="A85" s="216" t="s">
        <v>255</v>
      </c>
      <c r="B85" s="217">
        <v>67</v>
      </c>
      <c r="C85" s="253" t="s">
        <v>144</v>
      </c>
      <c r="D85" s="217" t="s">
        <v>144</v>
      </c>
      <c r="E85" s="219" t="s">
        <v>741</v>
      </c>
      <c r="F85" s="220" t="s">
        <v>742</v>
      </c>
      <c r="G85" s="220" t="s">
        <v>743</v>
      </c>
      <c r="H85" s="220" t="s">
        <v>744</v>
      </c>
      <c r="I85" s="220" t="s">
        <v>745</v>
      </c>
      <c r="J85" s="217" t="s">
        <v>144</v>
      </c>
      <c r="K85" s="217" t="s">
        <v>144</v>
      </c>
      <c r="L85" s="708" t="s">
        <v>144</v>
      </c>
      <c r="M85" s="217" t="s">
        <v>144</v>
      </c>
      <c r="N85" s="217" t="s">
        <v>144</v>
      </c>
      <c r="O85" s="219" t="s">
        <v>144</v>
      </c>
      <c r="P85" s="219" t="s">
        <v>144</v>
      </c>
      <c r="Q85" s="220" t="s">
        <v>144</v>
      </c>
      <c r="R85" s="220" t="s">
        <v>144</v>
      </c>
      <c r="S85" s="219" t="s">
        <v>746</v>
      </c>
      <c r="T85" s="221" t="s">
        <v>144</v>
      </c>
      <c r="U85" s="221" t="s">
        <v>144</v>
      </c>
      <c r="V85" s="217">
        <v>1</v>
      </c>
      <c r="W85" s="217" t="s">
        <v>144</v>
      </c>
      <c r="X85" s="222" t="s">
        <v>144</v>
      </c>
      <c r="Y85" s="222">
        <v>43</v>
      </c>
      <c r="Z85" s="250" t="s">
        <v>144</v>
      </c>
      <c r="AA85" s="413" t="s">
        <v>144</v>
      </c>
      <c r="AB85" s="217" t="s">
        <v>144</v>
      </c>
      <c r="AC85" s="217" t="s">
        <v>265</v>
      </c>
      <c r="AD85" s="217" t="s">
        <v>144</v>
      </c>
      <c r="AE85" s="217" t="s">
        <v>144</v>
      </c>
      <c r="AF85" s="223" t="s">
        <v>144</v>
      </c>
      <c r="AG85" s="838"/>
      <c r="AH85" s="224"/>
      <c r="AI85" s="225"/>
      <c r="AJ85" s="219"/>
      <c r="AK85" s="226"/>
      <c r="AL85" s="225"/>
      <c r="AM85" s="225"/>
      <c r="AN85" s="219"/>
      <c r="AO85" s="226"/>
      <c r="AP85" s="225"/>
      <c r="AQ85" s="225"/>
      <c r="AR85" s="219"/>
      <c r="AS85" s="226"/>
      <c r="AT85" s="227"/>
      <c r="AU85" s="227"/>
      <c r="AV85" s="219"/>
      <c r="AW85" s="226"/>
      <c r="AX85" s="225"/>
      <c r="AY85" s="225"/>
      <c r="AZ85" s="219"/>
      <c r="BA85" s="226"/>
      <c r="BB85" s="224"/>
      <c r="BC85" s="225"/>
      <c r="BD85" s="219"/>
      <c r="BE85" s="226"/>
    </row>
    <row r="86" spans="1:57" ht="54" hidden="1" customHeight="1" x14ac:dyDescent="0.25">
      <c r="A86" s="205" t="s">
        <v>255</v>
      </c>
      <c r="B86" s="206">
        <v>68</v>
      </c>
      <c r="C86" s="240" t="s">
        <v>340</v>
      </c>
      <c r="D86" s="211" t="s">
        <v>341</v>
      </c>
      <c r="E86" s="181" t="s">
        <v>747</v>
      </c>
      <c r="F86" s="251" t="s">
        <v>748</v>
      </c>
      <c r="G86" s="210" t="s">
        <v>749</v>
      </c>
      <c r="H86" s="209" t="s">
        <v>750</v>
      </c>
      <c r="I86" s="210" t="s">
        <v>751</v>
      </c>
      <c r="J86" s="206" t="s">
        <v>140</v>
      </c>
      <c r="K86" s="211" t="s">
        <v>140</v>
      </c>
      <c r="L86" s="717" t="s">
        <v>144</v>
      </c>
      <c r="M86" s="206" t="s">
        <v>142</v>
      </c>
      <c r="N86" s="211" t="s">
        <v>143</v>
      </c>
      <c r="O86" s="181" t="s">
        <v>752</v>
      </c>
      <c r="P86" s="181" t="s">
        <v>753</v>
      </c>
      <c r="Q86" s="209" t="s">
        <v>144</v>
      </c>
      <c r="R86" s="210" t="s">
        <v>144</v>
      </c>
      <c r="S86" s="181" t="s">
        <v>147</v>
      </c>
      <c r="T86" s="212" t="s">
        <v>144</v>
      </c>
      <c r="U86" s="213" t="s">
        <v>144</v>
      </c>
      <c r="V86" s="206">
        <v>1</v>
      </c>
      <c r="W86" s="206" t="s">
        <v>144</v>
      </c>
      <c r="X86" s="214">
        <v>44</v>
      </c>
      <c r="Y86" s="214" t="s">
        <v>144</v>
      </c>
      <c r="Z86" s="214" t="s">
        <v>144</v>
      </c>
      <c r="AA86" s="412" t="s">
        <v>754</v>
      </c>
      <c r="AB86" s="206" t="s">
        <v>140</v>
      </c>
      <c r="AC86" s="206" t="s">
        <v>265</v>
      </c>
      <c r="AD86" s="206" t="s">
        <v>144</v>
      </c>
      <c r="AE86" s="847" t="s">
        <v>144</v>
      </c>
      <c r="AF86" s="848" t="s">
        <v>144</v>
      </c>
      <c r="AG86" s="838"/>
      <c r="AH86" s="242"/>
      <c r="AI86" s="243"/>
      <c r="AJ86" s="244"/>
      <c r="AK86" s="245"/>
      <c r="AL86" s="246"/>
      <c r="AM86" s="243"/>
      <c r="AN86" s="244"/>
      <c r="AO86" s="245"/>
      <c r="AP86" s="246"/>
      <c r="AQ86" s="243"/>
      <c r="AR86" s="244"/>
      <c r="AS86" s="245"/>
      <c r="AT86" s="247"/>
      <c r="AU86" s="248"/>
      <c r="AV86" s="244"/>
      <c r="AW86" s="245"/>
      <c r="AX86" s="246"/>
      <c r="AY86" s="243"/>
      <c r="AZ86" s="244"/>
      <c r="BA86" s="245"/>
      <c r="BB86" s="242"/>
      <c r="BC86" s="243"/>
      <c r="BD86" s="244"/>
      <c r="BE86" s="245"/>
    </row>
    <row r="87" spans="1:57" ht="54" hidden="1" customHeight="1" x14ac:dyDescent="0.25">
      <c r="A87" s="205" t="s">
        <v>255</v>
      </c>
      <c r="B87" s="206">
        <v>69</v>
      </c>
      <c r="C87" s="240" t="s">
        <v>340</v>
      </c>
      <c r="D87" s="211" t="s">
        <v>341</v>
      </c>
      <c r="E87" s="181" t="s">
        <v>755</v>
      </c>
      <c r="F87" s="251" t="s">
        <v>756</v>
      </c>
      <c r="G87" s="210" t="s">
        <v>757</v>
      </c>
      <c r="H87" s="209" t="s">
        <v>758</v>
      </c>
      <c r="I87" s="210" t="s">
        <v>759</v>
      </c>
      <c r="J87" s="206" t="s">
        <v>140</v>
      </c>
      <c r="K87" s="211" t="s">
        <v>140</v>
      </c>
      <c r="L87" s="717" t="s">
        <v>144</v>
      </c>
      <c r="M87" s="206" t="s">
        <v>142</v>
      </c>
      <c r="N87" s="211" t="s">
        <v>143</v>
      </c>
      <c r="O87" s="181" t="s">
        <v>144</v>
      </c>
      <c r="P87" s="181" t="s">
        <v>144</v>
      </c>
      <c r="Q87" s="209" t="s">
        <v>144</v>
      </c>
      <c r="R87" s="210" t="s">
        <v>144</v>
      </c>
      <c r="S87" s="181" t="s">
        <v>233</v>
      </c>
      <c r="T87" s="212" t="s">
        <v>234</v>
      </c>
      <c r="U87" s="213" t="s">
        <v>235</v>
      </c>
      <c r="V87" s="206">
        <v>8</v>
      </c>
      <c r="W87" s="206" t="s">
        <v>144</v>
      </c>
      <c r="X87" s="214">
        <v>44</v>
      </c>
      <c r="Y87" s="214" t="s">
        <v>144</v>
      </c>
      <c r="Z87" s="214" t="s">
        <v>144</v>
      </c>
      <c r="AA87" s="412" t="s">
        <v>754</v>
      </c>
      <c r="AB87" s="206" t="s">
        <v>140</v>
      </c>
      <c r="AC87" s="206" t="s">
        <v>265</v>
      </c>
      <c r="AD87" s="206" t="s">
        <v>144</v>
      </c>
      <c r="AE87" s="847" t="s">
        <v>144</v>
      </c>
      <c r="AF87" s="848" t="s">
        <v>144</v>
      </c>
      <c r="AG87" s="838"/>
      <c r="AH87" s="242"/>
      <c r="AI87" s="243"/>
      <c r="AJ87" s="244"/>
      <c r="AK87" s="245"/>
      <c r="AL87" s="246"/>
      <c r="AM87" s="243"/>
      <c r="AN87" s="244"/>
      <c r="AO87" s="245"/>
      <c r="AP87" s="246"/>
      <c r="AQ87" s="243"/>
      <c r="AR87" s="244"/>
      <c r="AS87" s="245"/>
      <c r="AT87" s="247"/>
      <c r="AU87" s="248"/>
      <c r="AV87" s="244"/>
      <c r="AW87" s="245"/>
      <c r="AX87" s="246"/>
      <c r="AY87" s="243"/>
      <c r="AZ87" s="244"/>
      <c r="BA87" s="245"/>
      <c r="BB87" s="242"/>
      <c r="BC87" s="243"/>
      <c r="BD87" s="244"/>
      <c r="BE87" s="245"/>
    </row>
    <row r="88" spans="1:57" ht="54" hidden="1" customHeight="1" x14ac:dyDescent="0.25">
      <c r="A88" s="205" t="s">
        <v>255</v>
      </c>
      <c r="B88" s="206">
        <v>70</v>
      </c>
      <c r="C88" s="240" t="s">
        <v>340</v>
      </c>
      <c r="D88" s="211" t="s">
        <v>341</v>
      </c>
      <c r="E88" s="181" t="s">
        <v>760</v>
      </c>
      <c r="F88" s="251" t="s">
        <v>761</v>
      </c>
      <c r="G88" s="210" t="s">
        <v>762</v>
      </c>
      <c r="H88" s="209" t="s">
        <v>763</v>
      </c>
      <c r="I88" s="210" t="s">
        <v>764</v>
      </c>
      <c r="J88" s="206" t="s">
        <v>140</v>
      </c>
      <c r="K88" s="211" t="s">
        <v>140</v>
      </c>
      <c r="L88" s="717" t="s">
        <v>144</v>
      </c>
      <c r="M88" s="206" t="s">
        <v>142</v>
      </c>
      <c r="N88" s="211" t="s">
        <v>143</v>
      </c>
      <c r="O88" s="181" t="s">
        <v>144</v>
      </c>
      <c r="P88" s="181" t="s">
        <v>144</v>
      </c>
      <c r="Q88" s="209" t="s">
        <v>144</v>
      </c>
      <c r="R88" s="210" t="s">
        <v>144</v>
      </c>
      <c r="S88" s="181" t="s">
        <v>233</v>
      </c>
      <c r="T88" s="212" t="s">
        <v>234</v>
      </c>
      <c r="U88" s="213" t="s">
        <v>235</v>
      </c>
      <c r="V88" s="206">
        <v>8</v>
      </c>
      <c r="W88" s="206" t="s">
        <v>144</v>
      </c>
      <c r="X88" s="214">
        <v>44</v>
      </c>
      <c r="Y88" s="214" t="s">
        <v>144</v>
      </c>
      <c r="Z88" s="214" t="s">
        <v>144</v>
      </c>
      <c r="AA88" s="412" t="s">
        <v>765</v>
      </c>
      <c r="AB88" s="206" t="s">
        <v>140</v>
      </c>
      <c r="AC88" s="206" t="s">
        <v>265</v>
      </c>
      <c r="AD88" s="206" t="s">
        <v>144</v>
      </c>
      <c r="AE88" s="847" t="s">
        <v>144</v>
      </c>
      <c r="AF88" s="848" t="s">
        <v>144</v>
      </c>
      <c r="AG88" s="838"/>
      <c r="AH88" s="242"/>
      <c r="AI88" s="243"/>
      <c r="AJ88" s="244"/>
      <c r="AK88" s="245"/>
      <c r="AL88" s="246"/>
      <c r="AM88" s="243"/>
      <c r="AN88" s="244"/>
      <c r="AO88" s="245"/>
      <c r="AP88" s="246"/>
      <c r="AQ88" s="243"/>
      <c r="AR88" s="244"/>
      <c r="AS88" s="245"/>
      <c r="AT88" s="247"/>
      <c r="AU88" s="248"/>
      <c r="AV88" s="244"/>
      <c r="AW88" s="245"/>
      <c r="AX88" s="246"/>
      <c r="AY88" s="243"/>
      <c r="AZ88" s="244"/>
      <c r="BA88" s="245"/>
      <c r="BB88" s="242"/>
      <c r="BC88" s="243"/>
      <c r="BD88" s="244"/>
      <c r="BE88" s="245"/>
    </row>
    <row r="89" spans="1:57" ht="54" hidden="1" customHeight="1" x14ac:dyDescent="0.25">
      <c r="A89" s="205" t="s">
        <v>255</v>
      </c>
      <c r="B89" s="206">
        <v>71</v>
      </c>
      <c r="C89" s="240" t="s">
        <v>340</v>
      </c>
      <c r="D89" s="211" t="s">
        <v>341</v>
      </c>
      <c r="E89" s="181" t="s">
        <v>766</v>
      </c>
      <c r="F89" s="251" t="s">
        <v>767</v>
      </c>
      <c r="G89" s="210" t="s">
        <v>768</v>
      </c>
      <c r="H89" s="209" t="s">
        <v>769</v>
      </c>
      <c r="I89" s="210" t="s">
        <v>770</v>
      </c>
      <c r="J89" s="206" t="s">
        <v>140</v>
      </c>
      <c r="K89" s="211" t="s">
        <v>140</v>
      </c>
      <c r="L89" s="717" t="s">
        <v>144</v>
      </c>
      <c r="M89" s="206" t="s">
        <v>193</v>
      </c>
      <c r="N89" s="211" t="s">
        <v>194</v>
      </c>
      <c r="O89" s="181" t="s">
        <v>771</v>
      </c>
      <c r="P89" s="181" t="s">
        <v>772</v>
      </c>
      <c r="Q89" s="209" t="s">
        <v>144</v>
      </c>
      <c r="R89" s="210" t="s">
        <v>144</v>
      </c>
      <c r="S89" s="181" t="s">
        <v>147</v>
      </c>
      <c r="T89" s="212" t="s">
        <v>144</v>
      </c>
      <c r="U89" s="213" t="s">
        <v>144</v>
      </c>
      <c r="V89" s="206">
        <v>2</v>
      </c>
      <c r="W89" s="206" t="s">
        <v>144</v>
      </c>
      <c r="X89" s="214">
        <v>44</v>
      </c>
      <c r="Y89" s="214" t="s">
        <v>144</v>
      </c>
      <c r="Z89" s="214" t="s">
        <v>144</v>
      </c>
      <c r="AA89" s="412" t="s">
        <v>765</v>
      </c>
      <c r="AB89" s="206" t="s">
        <v>140</v>
      </c>
      <c r="AC89" s="206" t="s">
        <v>265</v>
      </c>
      <c r="AD89" s="206" t="s">
        <v>144</v>
      </c>
      <c r="AE89" s="847" t="s">
        <v>144</v>
      </c>
      <c r="AF89" s="848" t="s">
        <v>144</v>
      </c>
      <c r="AG89" s="838"/>
      <c r="AH89" s="242"/>
      <c r="AI89" s="243"/>
      <c r="AJ89" s="244"/>
      <c r="AK89" s="245"/>
      <c r="AL89" s="246"/>
      <c r="AM89" s="243"/>
      <c r="AN89" s="244"/>
      <c r="AO89" s="245"/>
      <c r="AP89" s="246"/>
      <c r="AQ89" s="243"/>
      <c r="AR89" s="244"/>
      <c r="AS89" s="245"/>
      <c r="AT89" s="247"/>
      <c r="AU89" s="248"/>
      <c r="AV89" s="244"/>
      <c r="AW89" s="245"/>
      <c r="AX89" s="246"/>
      <c r="AY89" s="243"/>
      <c r="AZ89" s="244"/>
      <c r="BA89" s="245"/>
      <c r="BB89" s="242"/>
      <c r="BC89" s="243"/>
      <c r="BD89" s="244"/>
      <c r="BE89" s="245"/>
    </row>
    <row r="90" spans="1:57" ht="54" hidden="1" customHeight="1" x14ac:dyDescent="0.25">
      <c r="A90" s="205" t="s">
        <v>255</v>
      </c>
      <c r="B90" s="206">
        <v>72</v>
      </c>
      <c r="C90" s="240" t="s">
        <v>340</v>
      </c>
      <c r="D90" s="211" t="s">
        <v>341</v>
      </c>
      <c r="E90" s="181" t="s">
        <v>773</v>
      </c>
      <c r="F90" s="251" t="s">
        <v>774</v>
      </c>
      <c r="G90" s="210" t="s">
        <v>775</v>
      </c>
      <c r="H90" s="209" t="s">
        <v>776</v>
      </c>
      <c r="I90" s="210" t="s">
        <v>777</v>
      </c>
      <c r="J90" s="206" t="s">
        <v>140</v>
      </c>
      <c r="K90" s="211" t="s">
        <v>140</v>
      </c>
      <c r="L90" s="717" t="s">
        <v>144</v>
      </c>
      <c r="M90" s="206" t="s">
        <v>193</v>
      </c>
      <c r="N90" s="211" t="s">
        <v>194</v>
      </c>
      <c r="O90" s="181" t="s">
        <v>771</v>
      </c>
      <c r="P90" s="181" t="s">
        <v>778</v>
      </c>
      <c r="Q90" s="209" t="s">
        <v>144</v>
      </c>
      <c r="R90" s="210" t="s">
        <v>144</v>
      </c>
      <c r="S90" s="181" t="s">
        <v>147</v>
      </c>
      <c r="T90" s="212" t="s">
        <v>144</v>
      </c>
      <c r="U90" s="213" t="s">
        <v>144</v>
      </c>
      <c r="V90" s="206">
        <v>5</v>
      </c>
      <c r="W90" s="206" t="s">
        <v>144</v>
      </c>
      <c r="X90" s="214">
        <v>44</v>
      </c>
      <c r="Y90" s="214" t="s">
        <v>144</v>
      </c>
      <c r="Z90" s="214" t="s">
        <v>144</v>
      </c>
      <c r="AA90" s="412" t="s">
        <v>765</v>
      </c>
      <c r="AB90" s="206" t="s">
        <v>140</v>
      </c>
      <c r="AC90" s="206" t="s">
        <v>265</v>
      </c>
      <c r="AD90" s="206" t="s">
        <v>144</v>
      </c>
      <c r="AE90" s="847" t="s">
        <v>144</v>
      </c>
      <c r="AF90" s="848" t="s">
        <v>144</v>
      </c>
      <c r="AG90" s="838"/>
      <c r="AH90" s="242"/>
      <c r="AI90" s="243"/>
      <c r="AJ90" s="244"/>
      <c r="AK90" s="245"/>
      <c r="AL90" s="246"/>
      <c r="AM90" s="243"/>
      <c r="AN90" s="244"/>
      <c r="AO90" s="245"/>
      <c r="AP90" s="246"/>
      <c r="AQ90" s="243"/>
      <c r="AR90" s="244"/>
      <c r="AS90" s="245"/>
      <c r="AT90" s="247"/>
      <c r="AU90" s="248"/>
      <c r="AV90" s="244"/>
      <c r="AW90" s="245"/>
      <c r="AX90" s="246"/>
      <c r="AY90" s="243"/>
      <c r="AZ90" s="244"/>
      <c r="BA90" s="245"/>
      <c r="BB90" s="242"/>
      <c r="BC90" s="243"/>
      <c r="BD90" s="244"/>
      <c r="BE90" s="245"/>
    </row>
    <row r="91" spans="1:57" s="54" customFormat="1" ht="54" hidden="1" customHeight="1" x14ac:dyDescent="0.25">
      <c r="A91" s="216" t="s">
        <v>255</v>
      </c>
      <c r="B91" s="217">
        <v>73</v>
      </c>
      <c r="C91" s="253" t="s">
        <v>144</v>
      </c>
      <c r="D91" s="217" t="s">
        <v>144</v>
      </c>
      <c r="E91" s="219" t="s">
        <v>779</v>
      </c>
      <c r="F91" s="220" t="s">
        <v>780</v>
      </c>
      <c r="G91" s="220" t="s">
        <v>781</v>
      </c>
      <c r="H91" s="220" t="s">
        <v>782</v>
      </c>
      <c r="I91" s="220" t="s">
        <v>783</v>
      </c>
      <c r="J91" s="217" t="s">
        <v>144</v>
      </c>
      <c r="K91" s="217" t="s">
        <v>144</v>
      </c>
      <c r="L91" s="708" t="s">
        <v>144</v>
      </c>
      <c r="M91" s="217" t="s">
        <v>144</v>
      </c>
      <c r="N91" s="217" t="s">
        <v>144</v>
      </c>
      <c r="O91" s="219" t="s">
        <v>144</v>
      </c>
      <c r="P91" s="219" t="s">
        <v>144</v>
      </c>
      <c r="Q91" s="220" t="s">
        <v>144</v>
      </c>
      <c r="R91" s="220" t="s">
        <v>144</v>
      </c>
      <c r="S91" s="219" t="s">
        <v>147</v>
      </c>
      <c r="T91" s="221" t="s">
        <v>144</v>
      </c>
      <c r="U91" s="221" t="s">
        <v>144</v>
      </c>
      <c r="V91" s="217">
        <v>26</v>
      </c>
      <c r="W91" s="217" t="s">
        <v>144</v>
      </c>
      <c r="X91" s="222" t="s">
        <v>144</v>
      </c>
      <c r="Y91" s="222">
        <v>43</v>
      </c>
      <c r="Z91" s="250" t="s">
        <v>144</v>
      </c>
      <c r="AA91" s="413" t="s">
        <v>144</v>
      </c>
      <c r="AB91" s="217" t="s">
        <v>144</v>
      </c>
      <c r="AC91" s="217" t="s">
        <v>265</v>
      </c>
      <c r="AD91" s="217" t="s">
        <v>144</v>
      </c>
      <c r="AE91" s="217" t="s">
        <v>144</v>
      </c>
      <c r="AF91" s="223" t="s">
        <v>144</v>
      </c>
      <c r="AG91" s="838"/>
      <c r="AH91" s="224"/>
      <c r="AI91" s="225"/>
      <c r="AJ91" s="219"/>
      <c r="AK91" s="226"/>
      <c r="AL91" s="225"/>
      <c r="AM91" s="225"/>
      <c r="AN91" s="219"/>
      <c r="AO91" s="226"/>
      <c r="AP91" s="225"/>
      <c r="AQ91" s="225"/>
      <c r="AR91" s="219"/>
      <c r="AS91" s="226"/>
      <c r="AT91" s="227"/>
      <c r="AU91" s="227"/>
      <c r="AV91" s="219"/>
      <c r="AW91" s="226"/>
      <c r="AX91" s="225"/>
      <c r="AY91" s="225"/>
      <c r="AZ91" s="219"/>
      <c r="BA91" s="226"/>
      <c r="BB91" s="224"/>
      <c r="BC91" s="225"/>
      <c r="BD91" s="219"/>
      <c r="BE91" s="226"/>
    </row>
    <row r="92" spans="1:57" s="54" customFormat="1" ht="54" customHeight="1" x14ac:dyDescent="0.25">
      <c r="A92" s="216" t="s">
        <v>255</v>
      </c>
      <c r="B92" s="217">
        <v>74</v>
      </c>
      <c r="C92" s="253" t="s">
        <v>144</v>
      </c>
      <c r="D92" s="217" t="s">
        <v>144</v>
      </c>
      <c r="E92" s="219" t="s">
        <v>784</v>
      </c>
      <c r="F92" s="220" t="s">
        <v>251</v>
      </c>
      <c r="G92" s="220" t="s">
        <v>251</v>
      </c>
      <c r="H92" s="220" t="s">
        <v>336</v>
      </c>
      <c r="I92" s="220" t="s">
        <v>337</v>
      </c>
      <c r="J92" s="217" t="s">
        <v>144</v>
      </c>
      <c r="K92" s="217" t="s">
        <v>144</v>
      </c>
      <c r="L92" s="708" t="s">
        <v>144</v>
      </c>
      <c r="M92" s="217" t="s">
        <v>144</v>
      </c>
      <c r="N92" s="217" t="s">
        <v>144</v>
      </c>
      <c r="O92" s="219" t="s">
        <v>144</v>
      </c>
      <c r="P92" s="219" t="s">
        <v>144</v>
      </c>
      <c r="Q92" s="220" t="s">
        <v>338</v>
      </c>
      <c r="R92" s="220" t="s">
        <v>339</v>
      </c>
      <c r="S92" s="219" t="s">
        <v>147</v>
      </c>
      <c r="T92" s="221" t="s">
        <v>144</v>
      </c>
      <c r="U92" s="221" t="s">
        <v>144</v>
      </c>
      <c r="V92" s="217">
        <v>2</v>
      </c>
      <c r="W92" s="217" t="s">
        <v>144</v>
      </c>
      <c r="X92" s="222" t="s">
        <v>144</v>
      </c>
      <c r="Y92" s="222" t="s">
        <v>144</v>
      </c>
      <c r="Z92" s="250" t="s">
        <v>144</v>
      </c>
      <c r="AA92" s="217" t="s">
        <v>144</v>
      </c>
      <c r="AB92" s="217" t="s">
        <v>144</v>
      </c>
      <c r="AC92" s="217" t="s">
        <v>265</v>
      </c>
      <c r="AD92" s="217" t="s">
        <v>144</v>
      </c>
      <c r="AE92" s="217" t="s">
        <v>144</v>
      </c>
      <c r="AF92" s="223" t="s">
        <v>144</v>
      </c>
      <c r="AG92" s="838"/>
      <c r="AH92" s="224"/>
      <c r="AI92" s="225"/>
      <c r="AJ92" s="219"/>
      <c r="AK92" s="226"/>
      <c r="AL92" s="225"/>
      <c r="AM92" s="225"/>
      <c r="AN92" s="219"/>
      <c r="AO92" s="226"/>
      <c r="AP92" s="225"/>
      <c r="AQ92" s="225"/>
      <c r="AR92" s="219"/>
      <c r="AS92" s="226"/>
      <c r="AT92" s="227"/>
      <c r="AU92" s="227"/>
      <c r="AV92" s="219"/>
      <c r="AW92" s="226"/>
      <c r="AX92" s="225"/>
      <c r="AY92" s="225"/>
      <c r="AZ92" s="219"/>
      <c r="BA92" s="226"/>
      <c r="BB92" s="224"/>
      <c r="BC92" s="225"/>
      <c r="BD92" s="219"/>
      <c r="BE92" s="226"/>
    </row>
    <row r="93" spans="1:57" ht="54" hidden="1" customHeight="1" x14ac:dyDescent="0.25">
      <c r="A93" s="205" t="s">
        <v>255</v>
      </c>
      <c r="B93" s="206">
        <v>75</v>
      </c>
      <c r="C93" s="240" t="s">
        <v>340</v>
      </c>
      <c r="D93" s="211" t="s">
        <v>341</v>
      </c>
      <c r="E93" s="181" t="s">
        <v>785</v>
      </c>
      <c r="F93" s="209" t="s">
        <v>786</v>
      </c>
      <c r="G93" s="210" t="s">
        <v>787</v>
      </c>
      <c r="H93" s="209" t="s">
        <v>788</v>
      </c>
      <c r="I93" s="210" t="s">
        <v>789</v>
      </c>
      <c r="J93" s="206" t="s">
        <v>140</v>
      </c>
      <c r="K93" s="211" t="s">
        <v>140</v>
      </c>
      <c r="L93" s="717" t="s">
        <v>144</v>
      </c>
      <c r="M93" s="206" t="s">
        <v>142</v>
      </c>
      <c r="N93" s="211" t="s">
        <v>143</v>
      </c>
      <c r="O93" s="181" t="s">
        <v>790</v>
      </c>
      <c r="P93" s="181" t="s">
        <v>791</v>
      </c>
      <c r="Q93" s="209" t="s">
        <v>792</v>
      </c>
      <c r="R93" s="210" t="s">
        <v>793</v>
      </c>
      <c r="S93" s="181" t="s">
        <v>147</v>
      </c>
      <c r="T93" s="212" t="s">
        <v>144</v>
      </c>
      <c r="U93" s="213" t="s">
        <v>144</v>
      </c>
      <c r="V93" s="206">
        <v>1</v>
      </c>
      <c r="W93" s="206" t="s">
        <v>144</v>
      </c>
      <c r="X93" s="214">
        <v>40</v>
      </c>
      <c r="Y93" s="214" t="s">
        <v>144</v>
      </c>
      <c r="Z93" s="252" t="s">
        <v>144</v>
      </c>
      <c r="AA93" s="206" t="s">
        <v>794</v>
      </c>
      <c r="AB93" s="206" t="s">
        <v>140</v>
      </c>
      <c r="AC93" s="206" t="s">
        <v>265</v>
      </c>
      <c r="AD93" s="206" t="s">
        <v>144</v>
      </c>
      <c r="AE93" s="206" t="s">
        <v>144</v>
      </c>
      <c r="AF93" s="187" t="s">
        <v>144</v>
      </c>
      <c r="AG93" s="838"/>
      <c r="AH93" s="179"/>
      <c r="AI93" s="188"/>
      <c r="AJ93" s="181"/>
      <c r="AK93" s="182"/>
      <c r="AL93" s="180"/>
      <c r="AM93" s="188"/>
      <c r="AN93" s="181"/>
      <c r="AO93" s="182"/>
      <c r="AP93" s="180"/>
      <c r="AQ93" s="188"/>
      <c r="AR93" s="181"/>
      <c r="AS93" s="182"/>
      <c r="AT93" s="185"/>
      <c r="AU93" s="186"/>
      <c r="AV93" s="181"/>
      <c r="AW93" s="182"/>
      <c r="AX93" s="180"/>
      <c r="AY93" s="188"/>
      <c r="AZ93" s="181"/>
      <c r="BA93" s="182"/>
      <c r="BB93" s="179"/>
      <c r="BC93" s="188"/>
      <c r="BD93" s="181"/>
      <c r="BE93" s="182"/>
    </row>
    <row r="94" spans="1:57" ht="54" hidden="1" customHeight="1" x14ac:dyDescent="0.25">
      <c r="A94" s="205" t="s">
        <v>255</v>
      </c>
      <c r="B94" s="206">
        <v>76</v>
      </c>
      <c r="C94" s="240" t="s">
        <v>532</v>
      </c>
      <c r="D94" s="211" t="s">
        <v>533</v>
      </c>
      <c r="E94" s="181" t="s">
        <v>795</v>
      </c>
      <c r="F94" s="209" t="s">
        <v>796</v>
      </c>
      <c r="G94" s="210" t="s">
        <v>797</v>
      </c>
      <c r="H94" s="209" t="s">
        <v>796</v>
      </c>
      <c r="I94" s="210" t="s">
        <v>797</v>
      </c>
      <c r="J94" s="206" t="s">
        <v>140</v>
      </c>
      <c r="K94" s="211" t="s">
        <v>140</v>
      </c>
      <c r="L94" s="717" t="s">
        <v>144</v>
      </c>
      <c r="M94" s="206" t="s">
        <v>142</v>
      </c>
      <c r="N94" s="211" t="s">
        <v>143</v>
      </c>
      <c r="O94" s="181" t="s">
        <v>144</v>
      </c>
      <c r="P94" s="181" t="s">
        <v>144</v>
      </c>
      <c r="Q94" s="209" t="s">
        <v>798</v>
      </c>
      <c r="R94" s="210" t="s">
        <v>799</v>
      </c>
      <c r="S94" s="181" t="s">
        <v>746</v>
      </c>
      <c r="T94" s="212" t="s">
        <v>144</v>
      </c>
      <c r="U94" s="213" t="s">
        <v>144</v>
      </c>
      <c r="V94" s="206">
        <v>12</v>
      </c>
      <c r="W94" s="206" t="s">
        <v>144</v>
      </c>
      <c r="X94" s="214">
        <v>40</v>
      </c>
      <c r="Y94" s="214" t="s">
        <v>144</v>
      </c>
      <c r="Z94" s="252" t="s">
        <v>144</v>
      </c>
      <c r="AA94" s="206" t="s">
        <v>398</v>
      </c>
      <c r="AB94" s="206" t="s">
        <v>140</v>
      </c>
      <c r="AC94" s="206" t="s">
        <v>265</v>
      </c>
      <c r="AD94" s="847" t="s">
        <v>144</v>
      </c>
      <c r="AE94" s="847" t="s">
        <v>144</v>
      </c>
      <c r="AF94" s="848" t="s">
        <v>144</v>
      </c>
      <c r="AG94" s="838"/>
      <c r="AH94" s="179"/>
      <c r="AI94" s="188"/>
      <c r="AJ94" s="181"/>
      <c r="AK94" s="182"/>
      <c r="AL94" s="180"/>
      <c r="AM94" s="188"/>
      <c r="AN94" s="181"/>
      <c r="AO94" s="182"/>
      <c r="AP94" s="180"/>
      <c r="AQ94" s="188"/>
      <c r="AR94" s="181"/>
      <c r="AS94" s="182"/>
      <c r="AT94" s="185"/>
      <c r="AU94" s="186"/>
      <c r="AV94" s="181"/>
      <c r="AW94" s="182"/>
      <c r="AX94" s="180"/>
      <c r="AY94" s="188"/>
      <c r="AZ94" s="181"/>
      <c r="BA94" s="182"/>
      <c r="BB94" s="179"/>
      <c r="BC94" s="188"/>
      <c r="BD94" s="181"/>
      <c r="BE94" s="182"/>
    </row>
    <row r="95" spans="1:57" ht="54" hidden="1" customHeight="1" x14ac:dyDescent="0.25">
      <c r="A95" s="205" t="s">
        <v>255</v>
      </c>
      <c r="B95" s="206">
        <v>77</v>
      </c>
      <c r="C95" s="240" t="s">
        <v>340</v>
      </c>
      <c r="D95" s="211" t="s">
        <v>341</v>
      </c>
      <c r="E95" s="181" t="s">
        <v>800</v>
      </c>
      <c r="F95" s="209" t="s">
        <v>801</v>
      </c>
      <c r="G95" s="210" t="s">
        <v>802</v>
      </c>
      <c r="H95" s="209" t="s">
        <v>803</v>
      </c>
      <c r="I95" s="210" t="s">
        <v>804</v>
      </c>
      <c r="J95" s="206" t="s">
        <v>140</v>
      </c>
      <c r="K95" s="211" t="s">
        <v>140</v>
      </c>
      <c r="L95" s="717" t="s">
        <v>144</v>
      </c>
      <c r="M95" s="206" t="s">
        <v>142</v>
      </c>
      <c r="N95" s="211" t="s">
        <v>143</v>
      </c>
      <c r="O95" s="181" t="s">
        <v>805</v>
      </c>
      <c r="P95" s="181" t="s">
        <v>806</v>
      </c>
      <c r="Q95" s="209" t="s">
        <v>807</v>
      </c>
      <c r="R95" s="210" t="s">
        <v>808</v>
      </c>
      <c r="S95" s="181" t="s">
        <v>147</v>
      </c>
      <c r="T95" s="212" t="s">
        <v>144</v>
      </c>
      <c r="U95" s="213" t="s">
        <v>144</v>
      </c>
      <c r="V95" s="206">
        <v>1</v>
      </c>
      <c r="W95" s="206" t="s">
        <v>144</v>
      </c>
      <c r="X95" s="214">
        <v>40</v>
      </c>
      <c r="Y95" s="214" t="s">
        <v>144</v>
      </c>
      <c r="Z95" s="241" t="s">
        <v>144</v>
      </c>
      <c r="AA95" s="206" t="s">
        <v>264</v>
      </c>
      <c r="AB95" s="206" t="s">
        <v>140</v>
      </c>
      <c r="AC95" s="206" t="s">
        <v>265</v>
      </c>
      <c r="AD95" s="847" t="s">
        <v>144</v>
      </c>
      <c r="AE95" s="847" t="s">
        <v>144</v>
      </c>
      <c r="AF95" s="848" t="s">
        <v>144</v>
      </c>
      <c r="AG95" s="838"/>
      <c r="AH95" s="179"/>
      <c r="AI95" s="188"/>
      <c r="AJ95" s="181"/>
      <c r="AK95" s="182"/>
      <c r="AL95" s="180"/>
      <c r="AM95" s="188"/>
      <c r="AN95" s="181"/>
      <c r="AO95" s="182"/>
      <c r="AP95" s="180"/>
      <c r="AQ95" s="188"/>
      <c r="AR95" s="181"/>
      <c r="AS95" s="182"/>
      <c r="AT95" s="185"/>
      <c r="AU95" s="186"/>
      <c r="AV95" s="181"/>
      <c r="AW95" s="182"/>
      <c r="AX95" s="180"/>
      <c r="AY95" s="188"/>
      <c r="AZ95" s="181"/>
      <c r="BA95" s="182"/>
      <c r="BB95" s="179"/>
      <c r="BC95" s="188"/>
      <c r="BD95" s="181"/>
      <c r="BE95" s="182"/>
    </row>
    <row r="96" spans="1:57" ht="54" hidden="1" customHeight="1" x14ac:dyDescent="0.25">
      <c r="A96" s="205" t="s">
        <v>255</v>
      </c>
      <c r="B96" s="206">
        <v>78</v>
      </c>
      <c r="C96" s="240" t="s">
        <v>340</v>
      </c>
      <c r="D96" s="211" t="s">
        <v>341</v>
      </c>
      <c r="E96" s="181" t="s">
        <v>809</v>
      </c>
      <c r="F96" s="209" t="s">
        <v>810</v>
      </c>
      <c r="G96" s="210" t="s">
        <v>811</v>
      </c>
      <c r="H96" s="209" t="s">
        <v>812</v>
      </c>
      <c r="I96" s="210" t="s">
        <v>813</v>
      </c>
      <c r="J96" s="206" t="s">
        <v>140</v>
      </c>
      <c r="K96" s="211" t="s">
        <v>140</v>
      </c>
      <c r="L96" s="717" t="s">
        <v>144</v>
      </c>
      <c r="M96" s="206" t="s">
        <v>142</v>
      </c>
      <c r="N96" s="211" t="s">
        <v>143</v>
      </c>
      <c r="O96" s="181" t="s">
        <v>814</v>
      </c>
      <c r="P96" s="181" t="s">
        <v>815</v>
      </c>
      <c r="Q96" s="209" t="s">
        <v>816</v>
      </c>
      <c r="R96" s="210" t="s">
        <v>817</v>
      </c>
      <c r="S96" s="181" t="s">
        <v>147</v>
      </c>
      <c r="T96" s="212" t="s">
        <v>144</v>
      </c>
      <c r="U96" s="213" t="s">
        <v>144</v>
      </c>
      <c r="V96" s="206">
        <v>3</v>
      </c>
      <c r="W96" s="206" t="s">
        <v>144</v>
      </c>
      <c r="X96" s="214">
        <v>40</v>
      </c>
      <c r="Y96" s="214" t="s">
        <v>144</v>
      </c>
      <c r="Z96" s="241" t="s">
        <v>144</v>
      </c>
      <c r="AA96" s="206" t="s">
        <v>264</v>
      </c>
      <c r="AB96" s="206" t="s">
        <v>140</v>
      </c>
      <c r="AC96" s="206" t="s">
        <v>265</v>
      </c>
      <c r="AD96" s="847" t="s">
        <v>144</v>
      </c>
      <c r="AE96" s="847" t="s">
        <v>144</v>
      </c>
      <c r="AF96" s="848" t="s">
        <v>144</v>
      </c>
      <c r="AG96" s="838"/>
      <c r="AH96" s="179"/>
      <c r="AI96" s="188"/>
      <c r="AJ96" s="181"/>
      <c r="AK96" s="182"/>
      <c r="AL96" s="180"/>
      <c r="AM96" s="188"/>
      <c r="AN96" s="181"/>
      <c r="AO96" s="182"/>
      <c r="AP96" s="180"/>
      <c r="AQ96" s="188"/>
      <c r="AR96" s="181"/>
      <c r="AS96" s="182"/>
      <c r="AT96" s="185"/>
      <c r="AU96" s="186"/>
      <c r="AV96" s="181"/>
      <c r="AW96" s="182"/>
      <c r="AX96" s="180"/>
      <c r="AY96" s="188"/>
      <c r="AZ96" s="181"/>
      <c r="BA96" s="182"/>
      <c r="BB96" s="179"/>
      <c r="BC96" s="188"/>
      <c r="BD96" s="181"/>
      <c r="BE96" s="182"/>
    </row>
    <row r="97" spans="1:57" ht="54" hidden="1" customHeight="1" x14ac:dyDescent="0.25">
      <c r="A97" s="205" t="s">
        <v>255</v>
      </c>
      <c r="B97" s="206">
        <v>79</v>
      </c>
      <c r="C97" s="240" t="s">
        <v>340</v>
      </c>
      <c r="D97" s="211" t="s">
        <v>341</v>
      </c>
      <c r="E97" s="181" t="s">
        <v>818</v>
      </c>
      <c r="F97" s="209" t="s">
        <v>819</v>
      </c>
      <c r="G97" s="210" t="s">
        <v>820</v>
      </c>
      <c r="H97" s="209" t="s">
        <v>821</v>
      </c>
      <c r="I97" s="210" t="s">
        <v>822</v>
      </c>
      <c r="J97" s="206" t="s">
        <v>140</v>
      </c>
      <c r="K97" s="211" t="s">
        <v>140</v>
      </c>
      <c r="L97" s="717" t="s">
        <v>144</v>
      </c>
      <c r="M97" s="206" t="s">
        <v>142</v>
      </c>
      <c r="N97" s="211" t="s">
        <v>143</v>
      </c>
      <c r="O97" s="181" t="s">
        <v>144</v>
      </c>
      <c r="P97" s="181" t="s">
        <v>144</v>
      </c>
      <c r="Q97" s="209" t="s">
        <v>823</v>
      </c>
      <c r="R97" s="210" t="s">
        <v>824</v>
      </c>
      <c r="S97" s="181" t="s">
        <v>746</v>
      </c>
      <c r="T97" s="212" t="s">
        <v>144</v>
      </c>
      <c r="U97" s="213" t="s">
        <v>144</v>
      </c>
      <c r="V97" s="206">
        <v>4</v>
      </c>
      <c r="W97" s="206" t="s">
        <v>144</v>
      </c>
      <c r="X97" s="214">
        <v>40</v>
      </c>
      <c r="Y97" s="214" t="s">
        <v>144</v>
      </c>
      <c r="Z97" s="252" t="s">
        <v>144</v>
      </c>
      <c r="AA97" s="206" t="s">
        <v>264</v>
      </c>
      <c r="AB97" s="206" t="s">
        <v>140</v>
      </c>
      <c r="AC97" s="206" t="s">
        <v>265</v>
      </c>
      <c r="AD97" s="847" t="s">
        <v>144</v>
      </c>
      <c r="AE97" s="847" t="s">
        <v>144</v>
      </c>
      <c r="AF97" s="848" t="s">
        <v>144</v>
      </c>
      <c r="AG97" s="838"/>
      <c r="AH97" s="179"/>
      <c r="AI97" s="188"/>
      <c r="AJ97" s="181"/>
      <c r="AK97" s="182"/>
      <c r="AL97" s="180"/>
      <c r="AM97" s="188"/>
      <c r="AN97" s="181"/>
      <c r="AO97" s="182"/>
      <c r="AP97" s="180"/>
      <c r="AQ97" s="188"/>
      <c r="AR97" s="181"/>
      <c r="AS97" s="182"/>
      <c r="AT97" s="185"/>
      <c r="AU97" s="186"/>
      <c r="AV97" s="181"/>
      <c r="AW97" s="182"/>
      <c r="AX97" s="180"/>
      <c r="AY97" s="188"/>
      <c r="AZ97" s="181"/>
      <c r="BA97" s="182"/>
      <c r="BB97" s="179"/>
      <c r="BC97" s="188"/>
      <c r="BD97" s="181"/>
      <c r="BE97" s="182"/>
    </row>
    <row r="98" spans="1:57" s="54" customFormat="1" ht="54" customHeight="1" x14ac:dyDescent="0.25">
      <c r="A98" s="216" t="s">
        <v>255</v>
      </c>
      <c r="B98" s="217">
        <v>80</v>
      </c>
      <c r="C98" s="253" t="s">
        <v>144</v>
      </c>
      <c r="D98" s="217" t="s">
        <v>144</v>
      </c>
      <c r="E98" s="219" t="s">
        <v>825</v>
      </c>
      <c r="F98" s="220" t="s">
        <v>251</v>
      </c>
      <c r="G98" s="220" t="s">
        <v>251</v>
      </c>
      <c r="H98" s="220" t="s">
        <v>336</v>
      </c>
      <c r="I98" s="220" t="s">
        <v>337</v>
      </c>
      <c r="J98" s="217" t="s">
        <v>144</v>
      </c>
      <c r="K98" s="217" t="s">
        <v>144</v>
      </c>
      <c r="L98" s="708" t="s">
        <v>144</v>
      </c>
      <c r="M98" s="217" t="s">
        <v>144</v>
      </c>
      <c r="N98" s="217" t="s">
        <v>144</v>
      </c>
      <c r="O98" s="219" t="s">
        <v>144</v>
      </c>
      <c r="P98" s="219" t="s">
        <v>144</v>
      </c>
      <c r="Q98" s="220" t="s">
        <v>338</v>
      </c>
      <c r="R98" s="220" t="s">
        <v>339</v>
      </c>
      <c r="S98" s="219" t="s">
        <v>746</v>
      </c>
      <c r="T98" s="221" t="s">
        <v>144</v>
      </c>
      <c r="U98" s="221" t="s">
        <v>144</v>
      </c>
      <c r="V98" s="217">
        <v>1</v>
      </c>
      <c r="W98" s="217" t="s">
        <v>144</v>
      </c>
      <c r="X98" s="222" t="s">
        <v>144</v>
      </c>
      <c r="Y98" s="222" t="s">
        <v>144</v>
      </c>
      <c r="Z98" s="250" t="s">
        <v>144</v>
      </c>
      <c r="AA98" s="217" t="s">
        <v>144</v>
      </c>
      <c r="AB98" s="217" t="s">
        <v>144</v>
      </c>
      <c r="AC98" s="217" t="s">
        <v>265</v>
      </c>
      <c r="AD98" s="217" t="s">
        <v>144</v>
      </c>
      <c r="AE98" s="217" t="s">
        <v>144</v>
      </c>
      <c r="AF98" s="223" t="s">
        <v>144</v>
      </c>
      <c r="AG98" s="838"/>
      <c r="AH98" s="224"/>
      <c r="AI98" s="225"/>
      <c r="AJ98" s="219"/>
      <c r="AK98" s="226"/>
      <c r="AL98" s="225"/>
      <c r="AM98" s="225"/>
      <c r="AN98" s="219"/>
      <c r="AO98" s="226"/>
      <c r="AP98" s="225"/>
      <c r="AQ98" s="225"/>
      <c r="AR98" s="219"/>
      <c r="AS98" s="226"/>
      <c r="AT98" s="227"/>
      <c r="AU98" s="227"/>
      <c r="AV98" s="219"/>
      <c r="AW98" s="226"/>
      <c r="AX98" s="225"/>
      <c r="AY98" s="225"/>
      <c r="AZ98" s="219"/>
      <c r="BA98" s="226"/>
      <c r="BB98" s="224"/>
      <c r="BC98" s="225"/>
      <c r="BD98" s="219"/>
      <c r="BE98" s="226"/>
    </row>
    <row r="99" spans="1:57" ht="54" hidden="1" customHeight="1" x14ac:dyDescent="0.25">
      <c r="A99" s="205" t="s">
        <v>255</v>
      </c>
      <c r="B99" s="206">
        <v>81</v>
      </c>
      <c r="C99" s="240" t="s">
        <v>340</v>
      </c>
      <c r="D99" s="211" t="s">
        <v>341</v>
      </c>
      <c r="E99" s="181" t="s">
        <v>826</v>
      </c>
      <c r="F99" s="209" t="s">
        <v>827</v>
      </c>
      <c r="G99" s="210" t="s">
        <v>828</v>
      </c>
      <c r="H99" s="209" t="s">
        <v>829</v>
      </c>
      <c r="I99" s="210" t="s">
        <v>830</v>
      </c>
      <c r="J99" s="206" t="s">
        <v>140</v>
      </c>
      <c r="K99" s="211" t="s">
        <v>140</v>
      </c>
      <c r="L99" s="717" t="s">
        <v>144</v>
      </c>
      <c r="M99" s="206" t="s">
        <v>142</v>
      </c>
      <c r="N99" s="211" t="s">
        <v>143</v>
      </c>
      <c r="O99" s="181" t="s">
        <v>144</v>
      </c>
      <c r="P99" s="181" t="s">
        <v>144</v>
      </c>
      <c r="Q99" s="209" t="s">
        <v>831</v>
      </c>
      <c r="R99" s="210" t="s">
        <v>832</v>
      </c>
      <c r="S99" s="181" t="s">
        <v>746</v>
      </c>
      <c r="T99" s="212" t="s">
        <v>144</v>
      </c>
      <c r="U99" s="213" t="s">
        <v>144</v>
      </c>
      <c r="V99" s="206">
        <v>3</v>
      </c>
      <c r="W99" s="206" t="s">
        <v>144</v>
      </c>
      <c r="X99" s="214">
        <v>40</v>
      </c>
      <c r="Y99" s="214" t="s">
        <v>144</v>
      </c>
      <c r="Z99" s="252" t="s">
        <v>144</v>
      </c>
      <c r="AA99" s="206" t="s">
        <v>264</v>
      </c>
      <c r="AB99" s="206" t="s">
        <v>140</v>
      </c>
      <c r="AC99" s="206" t="s">
        <v>265</v>
      </c>
      <c r="AD99" s="847" t="s">
        <v>144</v>
      </c>
      <c r="AE99" s="847" t="s">
        <v>144</v>
      </c>
      <c r="AF99" s="848" t="s">
        <v>144</v>
      </c>
      <c r="AG99" s="838"/>
      <c r="AH99" s="179"/>
      <c r="AI99" s="188"/>
      <c r="AJ99" s="181"/>
      <c r="AK99" s="182"/>
      <c r="AL99" s="180"/>
      <c r="AM99" s="188"/>
      <c r="AN99" s="181"/>
      <c r="AO99" s="182"/>
      <c r="AP99" s="180"/>
      <c r="AQ99" s="188"/>
      <c r="AR99" s="181"/>
      <c r="AS99" s="182"/>
      <c r="AT99" s="185"/>
      <c r="AU99" s="186"/>
      <c r="AV99" s="181"/>
      <c r="AW99" s="182"/>
      <c r="AX99" s="180"/>
      <c r="AY99" s="188"/>
      <c r="AZ99" s="181"/>
      <c r="BA99" s="182"/>
      <c r="BB99" s="179"/>
      <c r="BC99" s="188"/>
      <c r="BD99" s="181"/>
      <c r="BE99" s="182"/>
    </row>
    <row r="100" spans="1:57" ht="54" hidden="1" customHeight="1" x14ac:dyDescent="0.25">
      <c r="A100" s="205" t="s">
        <v>255</v>
      </c>
      <c r="B100" s="206">
        <v>82</v>
      </c>
      <c r="C100" s="240" t="s">
        <v>340</v>
      </c>
      <c r="D100" s="211" t="s">
        <v>341</v>
      </c>
      <c r="E100" s="181" t="s">
        <v>833</v>
      </c>
      <c r="F100" s="209" t="s">
        <v>834</v>
      </c>
      <c r="G100" s="210" t="s">
        <v>835</v>
      </c>
      <c r="H100" s="209" t="s">
        <v>834</v>
      </c>
      <c r="I100" s="210" t="s">
        <v>835</v>
      </c>
      <c r="J100" s="206" t="s">
        <v>140</v>
      </c>
      <c r="K100" s="211" t="s">
        <v>140</v>
      </c>
      <c r="L100" s="717" t="s">
        <v>144</v>
      </c>
      <c r="M100" s="206" t="s">
        <v>142</v>
      </c>
      <c r="N100" s="211" t="s">
        <v>143</v>
      </c>
      <c r="O100" s="181" t="s">
        <v>836</v>
      </c>
      <c r="P100" s="181" t="s">
        <v>837</v>
      </c>
      <c r="Q100" s="209" t="s">
        <v>838</v>
      </c>
      <c r="R100" s="210" t="s">
        <v>839</v>
      </c>
      <c r="S100" s="181" t="s">
        <v>147</v>
      </c>
      <c r="T100" s="212" t="s">
        <v>144</v>
      </c>
      <c r="U100" s="213" t="s">
        <v>144</v>
      </c>
      <c r="V100" s="206">
        <v>1</v>
      </c>
      <c r="W100" s="206" t="s">
        <v>144</v>
      </c>
      <c r="X100" s="214">
        <v>40</v>
      </c>
      <c r="Y100" s="214" t="s">
        <v>144</v>
      </c>
      <c r="Z100" s="252" t="s">
        <v>144</v>
      </c>
      <c r="AA100" s="206" t="s">
        <v>264</v>
      </c>
      <c r="AB100" s="206" t="s">
        <v>140</v>
      </c>
      <c r="AC100" s="206" t="s">
        <v>265</v>
      </c>
      <c r="AD100" s="847" t="s">
        <v>144</v>
      </c>
      <c r="AE100" s="847" t="s">
        <v>144</v>
      </c>
      <c r="AF100" s="848" t="s">
        <v>144</v>
      </c>
      <c r="AG100" s="838"/>
      <c r="AH100" s="179"/>
      <c r="AI100" s="188"/>
      <c r="AJ100" s="181"/>
      <c r="AK100" s="182"/>
      <c r="AL100" s="180"/>
      <c r="AM100" s="188"/>
      <c r="AN100" s="181"/>
      <c r="AO100" s="182"/>
      <c r="AP100" s="180"/>
      <c r="AQ100" s="188"/>
      <c r="AR100" s="181"/>
      <c r="AS100" s="182"/>
      <c r="AT100" s="185"/>
      <c r="AU100" s="186"/>
      <c r="AV100" s="181"/>
      <c r="AW100" s="182"/>
      <c r="AX100" s="180"/>
      <c r="AY100" s="188"/>
      <c r="AZ100" s="181"/>
      <c r="BA100" s="182"/>
      <c r="BB100" s="179"/>
      <c r="BC100" s="188"/>
      <c r="BD100" s="181"/>
      <c r="BE100" s="182"/>
    </row>
    <row r="101" spans="1:57" s="54" customFormat="1" ht="54" hidden="1" customHeight="1" x14ac:dyDescent="0.25">
      <c r="A101" s="216" t="s">
        <v>255</v>
      </c>
      <c r="B101" s="217">
        <v>83</v>
      </c>
      <c r="C101" s="253" t="s">
        <v>144</v>
      </c>
      <c r="D101" s="217" t="s">
        <v>144</v>
      </c>
      <c r="E101" s="217" t="s">
        <v>840</v>
      </c>
      <c r="F101" s="220" t="s">
        <v>841</v>
      </c>
      <c r="G101" s="220" t="s">
        <v>842</v>
      </c>
      <c r="H101" s="220" t="s">
        <v>843</v>
      </c>
      <c r="I101" s="220" t="s">
        <v>844</v>
      </c>
      <c r="J101" s="217" t="s">
        <v>144</v>
      </c>
      <c r="K101" s="217" t="s">
        <v>144</v>
      </c>
      <c r="L101" s="708" t="s">
        <v>144</v>
      </c>
      <c r="M101" s="217" t="s">
        <v>144</v>
      </c>
      <c r="N101" s="217" t="s">
        <v>144</v>
      </c>
      <c r="O101" s="219" t="s">
        <v>144</v>
      </c>
      <c r="P101" s="219" t="s">
        <v>144</v>
      </c>
      <c r="Q101" s="220" t="s">
        <v>144</v>
      </c>
      <c r="R101" s="220" t="s">
        <v>144</v>
      </c>
      <c r="S101" s="219" t="s">
        <v>746</v>
      </c>
      <c r="T101" s="221" t="s">
        <v>144</v>
      </c>
      <c r="U101" s="221" t="s">
        <v>144</v>
      </c>
      <c r="V101" s="217">
        <v>12</v>
      </c>
      <c r="W101" s="217" t="s">
        <v>144</v>
      </c>
      <c r="X101" s="222" t="s">
        <v>144</v>
      </c>
      <c r="Y101" s="222">
        <v>43</v>
      </c>
      <c r="Z101" s="250" t="s">
        <v>144</v>
      </c>
      <c r="AA101" s="413" t="s">
        <v>144</v>
      </c>
      <c r="AB101" s="217" t="s">
        <v>144</v>
      </c>
      <c r="AC101" s="217" t="s">
        <v>265</v>
      </c>
      <c r="AD101" s="253" t="s">
        <v>144</v>
      </c>
      <c r="AE101" s="253" t="s">
        <v>144</v>
      </c>
      <c r="AF101" s="254" t="s">
        <v>144</v>
      </c>
      <c r="AG101" s="838"/>
      <c r="AH101" s="224"/>
      <c r="AI101" s="225"/>
      <c r="AJ101" s="219"/>
      <c r="AK101" s="226"/>
      <c r="AL101" s="225"/>
      <c r="AM101" s="225"/>
      <c r="AN101" s="219"/>
      <c r="AO101" s="226"/>
      <c r="AP101" s="225"/>
      <c r="AQ101" s="225"/>
      <c r="AR101" s="219"/>
      <c r="AS101" s="226"/>
      <c r="AT101" s="227"/>
      <c r="AU101" s="227"/>
      <c r="AV101" s="219"/>
      <c r="AW101" s="226"/>
      <c r="AX101" s="225"/>
      <c r="AY101" s="225"/>
      <c r="AZ101" s="219"/>
      <c r="BA101" s="226"/>
      <c r="BB101" s="224"/>
      <c r="BC101" s="225"/>
      <c r="BD101" s="219"/>
      <c r="BE101" s="226"/>
    </row>
    <row r="102" spans="1:57" ht="54" hidden="1" customHeight="1" x14ac:dyDescent="0.25">
      <c r="A102" s="205" t="s">
        <v>255</v>
      </c>
      <c r="B102" s="206">
        <v>84</v>
      </c>
      <c r="C102" s="240" t="s">
        <v>340</v>
      </c>
      <c r="D102" s="211" t="s">
        <v>341</v>
      </c>
      <c r="E102" s="181" t="s">
        <v>845</v>
      </c>
      <c r="F102" s="209" t="s">
        <v>846</v>
      </c>
      <c r="G102" s="210" t="s">
        <v>847</v>
      </c>
      <c r="H102" s="209" t="s">
        <v>848</v>
      </c>
      <c r="I102" s="210" t="s">
        <v>849</v>
      </c>
      <c r="J102" s="206" t="s">
        <v>140</v>
      </c>
      <c r="K102" s="211" t="s">
        <v>140</v>
      </c>
      <c r="L102" s="717" t="s">
        <v>144</v>
      </c>
      <c r="M102" s="206" t="s">
        <v>142</v>
      </c>
      <c r="N102" s="211" t="s">
        <v>143</v>
      </c>
      <c r="O102" s="181" t="s">
        <v>144</v>
      </c>
      <c r="P102" s="181" t="s">
        <v>144</v>
      </c>
      <c r="Q102" s="209" t="s">
        <v>850</v>
      </c>
      <c r="R102" s="210" t="s">
        <v>851</v>
      </c>
      <c r="S102" s="181" t="s">
        <v>746</v>
      </c>
      <c r="T102" s="212" t="s">
        <v>852</v>
      </c>
      <c r="U102" s="213" t="s">
        <v>853</v>
      </c>
      <c r="V102" s="206">
        <v>13</v>
      </c>
      <c r="W102" s="206" t="s">
        <v>144</v>
      </c>
      <c r="X102" s="214">
        <v>40</v>
      </c>
      <c r="Y102" s="214" t="s">
        <v>144</v>
      </c>
      <c r="Z102" s="252" t="s">
        <v>144</v>
      </c>
      <c r="AA102" s="206" t="s">
        <v>264</v>
      </c>
      <c r="AB102" s="206" t="s">
        <v>140</v>
      </c>
      <c r="AC102" s="206" t="s">
        <v>265</v>
      </c>
      <c r="AD102" s="847" t="s">
        <v>144</v>
      </c>
      <c r="AE102" s="847" t="s">
        <v>144</v>
      </c>
      <c r="AF102" s="848" t="s">
        <v>144</v>
      </c>
      <c r="AG102" s="838"/>
      <c r="AH102" s="179"/>
      <c r="AI102" s="188"/>
      <c r="AJ102" s="181"/>
      <c r="AK102" s="182"/>
      <c r="AL102" s="180"/>
      <c r="AM102" s="188"/>
      <c r="AN102" s="181"/>
      <c r="AO102" s="182"/>
      <c r="AP102" s="180"/>
      <c r="AQ102" s="188"/>
      <c r="AR102" s="181"/>
      <c r="AS102" s="182"/>
      <c r="AT102" s="185"/>
      <c r="AU102" s="186"/>
      <c r="AV102" s="181"/>
      <c r="AW102" s="182"/>
      <c r="AX102" s="180"/>
      <c r="AY102" s="188"/>
      <c r="AZ102" s="181"/>
      <c r="BA102" s="182"/>
      <c r="BB102" s="179"/>
      <c r="BC102" s="188"/>
      <c r="BD102" s="181"/>
      <c r="BE102" s="182"/>
    </row>
    <row r="103" spans="1:57" s="54" customFormat="1" ht="54" customHeight="1" x14ac:dyDescent="0.25">
      <c r="A103" s="216" t="s">
        <v>255</v>
      </c>
      <c r="B103" s="217">
        <v>85</v>
      </c>
      <c r="C103" s="253" t="s">
        <v>144</v>
      </c>
      <c r="D103" s="217" t="s">
        <v>144</v>
      </c>
      <c r="E103" s="219" t="s">
        <v>854</v>
      </c>
      <c r="F103" s="220" t="s">
        <v>251</v>
      </c>
      <c r="G103" s="220" t="s">
        <v>251</v>
      </c>
      <c r="H103" s="220" t="s">
        <v>336</v>
      </c>
      <c r="I103" s="220" t="s">
        <v>337</v>
      </c>
      <c r="J103" s="217" t="s">
        <v>144</v>
      </c>
      <c r="K103" s="217" t="s">
        <v>144</v>
      </c>
      <c r="L103" s="708" t="s">
        <v>144</v>
      </c>
      <c r="M103" s="217" t="s">
        <v>144</v>
      </c>
      <c r="N103" s="217" t="s">
        <v>144</v>
      </c>
      <c r="O103" s="219" t="s">
        <v>144</v>
      </c>
      <c r="P103" s="219" t="s">
        <v>144</v>
      </c>
      <c r="Q103" s="220" t="s">
        <v>338</v>
      </c>
      <c r="R103" s="220" t="s">
        <v>339</v>
      </c>
      <c r="S103" s="219" t="s">
        <v>147</v>
      </c>
      <c r="T103" s="221" t="s">
        <v>144</v>
      </c>
      <c r="U103" s="221" t="s">
        <v>144</v>
      </c>
      <c r="V103" s="217">
        <v>1</v>
      </c>
      <c r="W103" s="217" t="s">
        <v>144</v>
      </c>
      <c r="X103" s="222" t="s">
        <v>144</v>
      </c>
      <c r="Y103" s="222" t="s">
        <v>144</v>
      </c>
      <c r="Z103" s="250" t="s">
        <v>144</v>
      </c>
      <c r="AA103" s="217" t="s">
        <v>144</v>
      </c>
      <c r="AB103" s="217" t="s">
        <v>144</v>
      </c>
      <c r="AC103" s="217" t="s">
        <v>265</v>
      </c>
      <c r="AD103" s="217" t="s">
        <v>144</v>
      </c>
      <c r="AE103" s="217" t="s">
        <v>144</v>
      </c>
      <c r="AF103" s="223" t="s">
        <v>144</v>
      </c>
      <c r="AG103" s="838"/>
      <c r="AH103" s="224"/>
      <c r="AI103" s="225"/>
      <c r="AJ103" s="219"/>
      <c r="AK103" s="226"/>
      <c r="AL103" s="225"/>
      <c r="AM103" s="225"/>
      <c r="AN103" s="219"/>
      <c r="AO103" s="226"/>
      <c r="AP103" s="225"/>
      <c r="AQ103" s="225"/>
      <c r="AR103" s="219"/>
      <c r="AS103" s="226"/>
      <c r="AT103" s="227"/>
      <c r="AU103" s="227"/>
      <c r="AV103" s="219"/>
      <c r="AW103" s="226"/>
      <c r="AX103" s="225"/>
      <c r="AY103" s="225"/>
      <c r="AZ103" s="219"/>
      <c r="BA103" s="226"/>
      <c r="BB103" s="224"/>
      <c r="BC103" s="225"/>
      <c r="BD103" s="219"/>
      <c r="BE103" s="226"/>
    </row>
    <row r="104" spans="1:57" ht="54" hidden="1" customHeight="1" x14ac:dyDescent="0.25">
      <c r="A104" s="205" t="s">
        <v>255</v>
      </c>
      <c r="B104" s="206">
        <v>86</v>
      </c>
      <c r="C104" s="240" t="s">
        <v>340</v>
      </c>
      <c r="D104" s="211" t="s">
        <v>341</v>
      </c>
      <c r="E104" s="181" t="s">
        <v>855</v>
      </c>
      <c r="F104" s="209" t="s">
        <v>856</v>
      </c>
      <c r="G104" s="210" t="s">
        <v>857</v>
      </c>
      <c r="H104" s="209" t="s">
        <v>856</v>
      </c>
      <c r="I104" s="210" t="s">
        <v>857</v>
      </c>
      <c r="J104" s="206" t="s">
        <v>140</v>
      </c>
      <c r="K104" s="211" t="s">
        <v>140</v>
      </c>
      <c r="L104" s="717" t="s">
        <v>144</v>
      </c>
      <c r="M104" s="206" t="s">
        <v>142</v>
      </c>
      <c r="N104" s="211" t="s">
        <v>143</v>
      </c>
      <c r="O104" s="181" t="s">
        <v>144</v>
      </c>
      <c r="P104" s="181" t="s">
        <v>144</v>
      </c>
      <c r="Q104" s="209" t="s">
        <v>858</v>
      </c>
      <c r="R104" s="210" t="s">
        <v>859</v>
      </c>
      <c r="S104" s="181" t="s">
        <v>147</v>
      </c>
      <c r="T104" s="212" t="s">
        <v>144</v>
      </c>
      <c r="U104" s="213" t="s">
        <v>144</v>
      </c>
      <c r="V104" s="206">
        <v>6</v>
      </c>
      <c r="W104" s="206" t="s">
        <v>144</v>
      </c>
      <c r="X104" s="214">
        <v>40</v>
      </c>
      <c r="Y104" s="214" t="s">
        <v>144</v>
      </c>
      <c r="Z104" s="252" t="s">
        <v>144</v>
      </c>
      <c r="AA104" s="206" t="s">
        <v>398</v>
      </c>
      <c r="AB104" s="206" t="s">
        <v>140</v>
      </c>
      <c r="AC104" s="206" t="s">
        <v>265</v>
      </c>
      <c r="AD104" s="847" t="s">
        <v>144</v>
      </c>
      <c r="AE104" s="847" t="s">
        <v>144</v>
      </c>
      <c r="AF104" s="848" t="s">
        <v>144</v>
      </c>
      <c r="AG104" s="838"/>
      <c r="AH104" s="179"/>
      <c r="AI104" s="188"/>
      <c r="AJ104" s="181"/>
      <c r="AK104" s="182"/>
      <c r="AL104" s="180"/>
      <c r="AM104" s="188"/>
      <c r="AN104" s="181"/>
      <c r="AO104" s="182"/>
      <c r="AP104" s="180"/>
      <c r="AQ104" s="188"/>
      <c r="AR104" s="181"/>
      <c r="AS104" s="182"/>
      <c r="AT104" s="185"/>
      <c r="AU104" s="186"/>
      <c r="AV104" s="181"/>
      <c r="AW104" s="182"/>
      <c r="AX104" s="180"/>
      <c r="AY104" s="188"/>
      <c r="AZ104" s="181"/>
      <c r="BA104" s="182"/>
      <c r="BB104" s="179"/>
      <c r="BC104" s="188"/>
      <c r="BD104" s="181"/>
      <c r="BE104" s="182"/>
    </row>
    <row r="105" spans="1:57" ht="54" hidden="1" customHeight="1" x14ac:dyDescent="0.25">
      <c r="A105" s="205" t="s">
        <v>255</v>
      </c>
      <c r="B105" s="206">
        <v>87</v>
      </c>
      <c r="C105" s="240" t="s">
        <v>340</v>
      </c>
      <c r="D105" s="211" t="s">
        <v>341</v>
      </c>
      <c r="E105" s="181" t="s">
        <v>860</v>
      </c>
      <c r="F105" s="209" t="s">
        <v>861</v>
      </c>
      <c r="G105" s="210" t="s">
        <v>862</v>
      </c>
      <c r="H105" s="209" t="s">
        <v>863</v>
      </c>
      <c r="I105" s="210" t="s">
        <v>864</v>
      </c>
      <c r="J105" s="206" t="s">
        <v>140</v>
      </c>
      <c r="K105" s="211" t="s">
        <v>140</v>
      </c>
      <c r="L105" s="717" t="s">
        <v>144</v>
      </c>
      <c r="M105" s="206" t="s">
        <v>142</v>
      </c>
      <c r="N105" s="211" t="s">
        <v>143</v>
      </c>
      <c r="O105" s="181" t="s">
        <v>865</v>
      </c>
      <c r="P105" s="181" t="s">
        <v>866</v>
      </c>
      <c r="Q105" s="209" t="s">
        <v>867</v>
      </c>
      <c r="R105" s="210" t="s">
        <v>868</v>
      </c>
      <c r="S105" s="181" t="s">
        <v>147</v>
      </c>
      <c r="T105" s="212" t="s">
        <v>144</v>
      </c>
      <c r="U105" s="213" t="s">
        <v>144</v>
      </c>
      <c r="V105" s="206">
        <v>1</v>
      </c>
      <c r="W105" s="206" t="s">
        <v>144</v>
      </c>
      <c r="X105" s="214">
        <v>40</v>
      </c>
      <c r="Y105" s="214" t="s">
        <v>144</v>
      </c>
      <c r="Z105" s="241" t="s">
        <v>144</v>
      </c>
      <c r="AA105" s="206" t="s">
        <v>264</v>
      </c>
      <c r="AB105" s="206" t="s">
        <v>140</v>
      </c>
      <c r="AC105" s="206" t="s">
        <v>265</v>
      </c>
      <c r="AD105" s="206" t="s">
        <v>144</v>
      </c>
      <c r="AE105" s="206" t="s">
        <v>144</v>
      </c>
      <c r="AF105" s="187" t="s">
        <v>144</v>
      </c>
      <c r="AG105" s="838"/>
      <c r="AH105" s="179"/>
      <c r="AI105" s="188"/>
      <c r="AJ105" s="181"/>
      <c r="AK105" s="182"/>
      <c r="AL105" s="180"/>
      <c r="AM105" s="188"/>
      <c r="AN105" s="181"/>
      <c r="AO105" s="182"/>
      <c r="AP105" s="180"/>
      <c r="AQ105" s="188"/>
      <c r="AR105" s="181"/>
      <c r="AS105" s="182"/>
      <c r="AT105" s="185"/>
      <c r="AU105" s="186"/>
      <c r="AV105" s="181"/>
      <c r="AW105" s="182"/>
      <c r="AX105" s="180"/>
      <c r="AY105" s="188"/>
      <c r="AZ105" s="181"/>
      <c r="BA105" s="182"/>
      <c r="BB105" s="179"/>
      <c r="BC105" s="188"/>
      <c r="BD105" s="181"/>
      <c r="BE105" s="182"/>
    </row>
    <row r="106" spans="1:57" ht="54" hidden="1" customHeight="1" x14ac:dyDescent="0.25">
      <c r="A106" s="205" t="s">
        <v>255</v>
      </c>
      <c r="B106" s="206">
        <v>88</v>
      </c>
      <c r="C106" s="240" t="s">
        <v>340</v>
      </c>
      <c r="D106" s="211" t="s">
        <v>341</v>
      </c>
      <c r="E106" s="181" t="s">
        <v>869</v>
      </c>
      <c r="F106" s="209" t="s">
        <v>870</v>
      </c>
      <c r="G106" s="210" t="s">
        <v>871</v>
      </c>
      <c r="H106" s="209" t="s">
        <v>872</v>
      </c>
      <c r="I106" s="210" t="s">
        <v>873</v>
      </c>
      <c r="J106" s="206" t="s">
        <v>140</v>
      </c>
      <c r="K106" s="211" t="s">
        <v>140</v>
      </c>
      <c r="L106" s="717" t="s">
        <v>144</v>
      </c>
      <c r="M106" s="206" t="s">
        <v>142</v>
      </c>
      <c r="N106" s="211" t="s">
        <v>143</v>
      </c>
      <c r="O106" s="181" t="s">
        <v>144</v>
      </c>
      <c r="P106" s="181" t="s">
        <v>144</v>
      </c>
      <c r="Q106" s="209" t="s">
        <v>874</v>
      </c>
      <c r="R106" s="210" t="s">
        <v>875</v>
      </c>
      <c r="S106" s="181" t="s">
        <v>233</v>
      </c>
      <c r="T106" s="212" t="s">
        <v>234</v>
      </c>
      <c r="U106" s="213" t="s">
        <v>235</v>
      </c>
      <c r="V106" s="206">
        <v>8</v>
      </c>
      <c r="W106" s="206" t="s">
        <v>144</v>
      </c>
      <c r="X106" s="214">
        <v>40</v>
      </c>
      <c r="Y106" s="214" t="s">
        <v>144</v>
      </c>
      <c r="Z106" s="252" t="s">
        <v>144</v>
      </c>
      <c r="AA106" s="206" t="s">
        <v>264</v>
      </c>
      <c r="AB106" s="206" t="s">
        <v>140</v>
      </c>
      <c r="AC106" s="206" t="s">
        <v>265</v>
      </c>
      <c r="AD106" s="206" t="s">
        <v>144</v>
      </c>
      <c r="AE106" s="206" t="s">
        <v>144</v>
      </c>
      <c r="AF106" s="187" t="s">
        <v>144</v>
      </c>
      <c r="AG106" s="838"/>
      <c r="AH106" s="179"/>
      <c r="AI106" s="188"/>
      <c r="AJ106" s="181"/>
      <c r="AK106" s="182"/>
      <c r="AL106" s="180"/>
      <c r="AM106" s="188"/>
      <c r="AN106" s="181"/>
      <c r="AO106" s="182"/>
      <c r="AP106" s="180"/>
      <c r="AQ106" s="188"/>
      <c r="AR106" s="181"/>
      <c r="AS106" s="182"/>
      <c r="AT106" s="185"/>
      <c r="AU106" s="186"/>
      <c r="AV106" s="181"/>
      <c r="AW106" s="182"/>
      <c r="AX106" s="180"/>
      <c r="AY106" s="188"/>
      <c r="AZ106" s="181"/>
      <c r="BA106" s="182"/>
      <c r="BB106" s="179"/>
      <c r="BC106" s="188"/>
      <c r="BD106" s="181"/>
      <c r="BE106" s="182"/>
    </row>
    <row r="107" spans="1:57" ht="54" hidden="1" customHeight="1" x14ac:dyDescent="0.25">
      <c r="A107" s="205" t="s">
        <v>255</v>
      </c>
      <c r="B107" s="206">
        <v>89</v>
      </c>
      <c r="C107" s="240" t="s">
        <v>340</v>
      </c>
      <c r="D107" s="211" t="s">
        <v>341</v>
      </c>
      <c r="E107" s="181" t="s">
        <v>876</v>
      </c>
      <c r="F107" s="209" t="s">
        <v>877</v>
      </c>
      <c r="G107" s="210" t="s">
        <v>878</v>
      </c>
      <c r="H107" s="209" t="s">
        <v>877</v>
      </c>
      <c r="I107" s="210" t="s">
        <v>878</v>
      </c>
      <c r="J107" s="206" t="s">
        <v>140</v>
      </c>
      <c r="K107" s="211" t="s">
        <v>140</v>
      </c>
      <c r="L107" s="717" t="s">
        <v>144</v>
      </c>
      <c r="M107" s="206" t="s">
        <v>142</v>
      </c>
      <c r="N107" s="211" t="s">
        <v>143</v>
      </c>
      <c r="O107" s="181" t="s">
        <v>505</v>
      </c>
      <c r="P107" s="181" t="s">
        <v>506</v>
      </c>
      <c r="Q107" s="209" t="s">
        <v>879</v>
      </c>
      <c r="R107" s="210" t="s">
        <v>880</v>
      </c>
      <c r="S107" s="181" t="s">
        <v>147</v>
      </c>
      <c r="T107" s="212" t="s">
        <v>144</v>
      </c>
      <c r="U107" s="213" t="s">
        <v>144</v>
      </c>
      <c r="V107" s="206">
        <v>2</v>
      </c>
      <c r="W107" s="206" t="s">
        <v>144</v>
      </c>
      <c r="X107" s="214">
        <v>40</v>
      </c>
      <c r="Y107" s="214" t="s">
        <v>144</v>
      </c>
      <c r="Z107" s="252" t="s">
        <v>144</v>
      </c>
      <c r="AA107" s="206" t="s">
        <v>264</v>
      </c>
      <c r="AB107" s="206" t="s">
        <v>140</v>
      </c>
      <c r="AC107" s="206" t="s">
        <v>265</v>
      </c>
      <c r="AD107" s="206" t="s">
        <v>144</v>
      </c>
      <c r="AE107" s="206" t="s">
        <v>144</v>
      </c>
      <c r="AF107" s="187" t="s">
        <v>144</v>
      </c>
      <c r="AG107" s="838"/>
      <c r="AH107" s="179"/>
      <c r="AI107" s="188"/>
      <c r="AJ107" s="181"/>
      <c r="AK107" s="182"/>
      <c r="AL107" s="180"/>
      <c r="AM107" s="188"/>
      <c r="AN107" s="181"/>
      <c r="AO107" s="182"/>
      <c r="AP107" s="180"/>
      <c r="AQ107" s="188"/>
      <c r="AR107" s="181"/>
      <c r="AS107" s="182"/>
      <c r="AT107" s="185"/>
      <c r="AU107" s="186"/>
      <c r="AV107" s="181"/>
      <c r="AW107" s="182"/>
      <c r="AX107" s="180"/>
      <c r="AY107" s="188"/>
      <c r="AZ107" s="181"/>
      <c r="BA107" s="182"/>
      <c r="BB107" s="179"/>
      <c r="BC107" s="188"/>
      <c r="BD107" s="181"/>
      <c r="BE107" s="182"/>
    </row>
    <row r="108" spans="1:57" ht="54" hidden="1" customHeight="1" x14ac:dyDescent="0.25">
      <c r="A108" s="205" t="s">
        <v>255</v>
      </c>
      <c r="B108" s="206">
        <v>90</v>
      </c>
      <c r="C108" s="240" t="s">
        <v>340</v>
      </c>
      <c r="D108" s="211" t="s">
        <v>341</v>
      </c>
      <c r="E108" s="181" t="s">
        <v>881</v>
      </c>
      <c r="F108" s="209" t="s">
        <v>882</v>
      </c>
      <c r="G108" s="210" t="s">
        <v>883</v>
      </c>
      <c r="H108" s="209" t="s">
        <v>882</v>
      </c>
      <c r="I108" s="210" t="s">
        <v>883</v>
      </c>
      <c r="J108" s="206" t="s">
        <v>140</v>
      </c>
      <c r="K108" s="211" t="s">
        <v>140</v>
      </c>
      <c r="L108" s="717" t="s">
        <v>144</v>
      </c>
      <c r="M108" s="206" t="s">
        <v>193</v>
      </c>
      <c r="N108" s="211" t="s">
        <v>194</v>
      </c>
      <c r="O108" s="181" t="s">
        <v>144</v>
      </c>
      <c r="P108" s="181" t="s">
        <v>144</v>
      </c>
      <c r="Q108" s="209" t="s">
        <v>884</v>
      </c>
      <c r="R108" s="210" t="s">
        <v>885</v>
      </c>
      <c r="S108" s="181" t="s">
        <v>147</v>
      </c>
      <c r="T108" s="212" t="s">
        <v>144</v>
      </c>
      <c r="U108" s="213" t="s">
        <v>144</v>
      </c>
      <c r="V108" s="206">
        <v>20</v>
      </c>
      <c r="W108" s="206" t="s">
        <v>144</v>
      </c>
      <c r="X108" s="214">
        <v>40</v>
      </c>
      <c r="Y108" s="214" t="s">
        <v>144</v>
      </c>
      <c r="Z108" s="252" t="s">
        <v>144</v>
      </c>
      <c r="AA108" s="206" t="s">
        <v>264</v>
      </c>
      <c r="AB108" s="206" t="s">
        <v>140</v>
      </c>
      <c r="AC108" s="206" t="s">
        <v>265</v>
      </c>
      <c r="AD108" s="206" t="s">
        <v>144</v>
      </c>
      <c r="AE108" s="206" t="s">
        <v>144</v>
      </c>
      <c r="AF108" s="187" t="s">
        <v>144</v>
      </c>
      <c r="AG108" s="838"/>
      <c r="AH108" s="179"/>
      <c r="AI108" s="188"/>
      <c r="AJ108" s="181"/>
      <c r="AK108" s="182"/>
      <c r="AL108" s="180"/>
      <c r="AM108" s="188"/>
      <c r="AN108" s="181"/>
      <c r="AO108" s="182"/>
      <c r="AP108" s="180"/>
      <c r="AQ108" s="188"/>
      <c r="AR108" s="181"/>
      <c r="AS108" s="182"/>
      <c r="AT108" s="185"/>
      <c r="AU108" s="186"/>
      <c r="AV108" s="181"/>
      <c r="AW108" s="182"/>
      <c r="AX108" s="180"/>
      <c r="AY108" s="188"/>
      <c r="AZ108" s="181"/>
      <c r="BA108" s="182"/>
      <c r="BB108" s="179"/>
      <c r="BC108" s="188"/>
      <c r="BD108" s="181"/>
      <c r="BE108" s="182"/>
    </row>
    <row r="109" spans="1:57" ht="54" hidden="1" customHeight="1" x14ac:dyDescent="0.25">
      <c r="A109" s="205" t="s">
        <v>255</v>
      </c>
      <c r="B109" s="206">
        <v>91</v>
      </c>
      <c r="C109" s="240" t="s">
        <v>340</v>
      </c>
      <c r="D109" s="211" t="s">
        <v>341</v>
      </c>
      <c r="E109" s="181" t="s">
        <v>886</v>
      </c>
      <c r="F109" s="209" t="s">
        <v>887</v>
      </c>
      <c r="G109" s="210" t="s">
        <v>888</v>
      </c>
      <c r="H109" s="209" t="s">
        <v>887</v>
      </c>
      <c r="I109" s="210" t="s">
        <v>888</v>
      </c>
      <c r="J109" s="206" t="s">
        <v>140</v>
      </c>
      <c r="K109" s="211" t="s">
        <v>140</v>
      </c>
      <c r="L109" s="717" t="s">
        <v>144</v>
      </c>
      <c r="M109" s="206" t="s">
        <v>142</v>
      </c>
      <c r="N109" s="211" t="s">
        <v>143</v>
      </c>
      <c r="O109" s="181" t="s">
        <v>144</v>
      </c>
      <c r="P109" s="181" t="s">
        <v>144</v>
      </c>
      <c r="Q109" s="209" t="s">
        <v>889</v>
      </c>
      <c r="R109" s="210" t="s">
        <v>890</v>
      </c>
      <c r="S109" s="181" t="s">
        <v>147</v>
      </c>
      <c r="T109" s="212" t="s">
        <v>144</v>
      </c>
      <c r="U109" s="213" t="s">
        <v>144</v>
      </c>
      <c r="V109" s="206">
        <v>114</v>
      </c>
      <c r="W109" s="206" t="s">
        <v>144</v>
      </c>
      <c r="X109" s="214">
        <v>40</v>
      </c>
      <c r="Y109" s="214" t="s">
        <v>144</v>
      </c>
      <c r="Z109" s="252" t="s">
        <v>144</v>
      </c>
      <c r="AA109" s="206" t="s">
        <v>398</v>
      </c>
      <c r="AB109" s="206" t="s">
        <v>140</v>
      </c>
      <c r="AC109" s="206" t="s">
        <v>265</v>
      </c>
      <c r="AD109" s="847" t="s">
        <v>144</v>
      </c>
      <c r="AE109" s="847" t="s">
        <v>144</v>
      </c>
      <c r="AF109" s="848" t="s">
        <v>144</v>
      </c>
      <c r="AG109" s="838"/>
      <c r="AH109" s="179"/>
      <c r="AI109" s="188"/>
      <c r="AJ109" s="181"/>
      <c r="AK109" s="182"/>
      <c r="AL109" s="180"/>
      <c r="AM109" s="188"/>
      <c r="AN109" s="181"/>
      <c r="AO109" s="182"/>
      <c r="AP109" s="180"/>
      <c r="AQ109" s="188"/>
      <c r="AR109" s="181"/>
      <c r="AS109" s="182"/>
      <c r="AT109" s="185"/>
      <c r="AU109" s="186"/>
      <c r="AV109" s="181"/>
      <c r="AW109" s="182"/>
      <c r="AX109" s="180"/>
      <c r="AY109" s="188"/>
      <c r="AZ109" s="181"/>
      <c r="BA109" s="182"/>
      <c r="BB109" s="179"/>
      <c r="BC109" s="188"/>
      <c r="BD109" s="181"/>
      <c r="BE109" s="182"/>
    </row>
    <row r="110" spans="1:57" ht="54" hidden="1" customHeight="1" x14ac:dyDescent="0.25">
      <c r="A110" s="205" t="s">
        <v>255</v>
      </c>
      <c r="B110" s="206">
        <v>92</v>
      </c>
      <c r="C110" s="240" t="s">
        <v>340</v>
      </c>
      <c r="D110" s="211" t="s">
        <v>341</v>
      </c>
      <c r="E110" s="181" t="s">
        <v>891</v>
      </c>
      <c r="F110" s="209" t="s">
        <v>892</v>
      </c>
      <c r="G110" s="210" t="s">
        <v>893</v>
      </c>
      <c r="H110" s="209" t="s">
        <v>892</v>
      </c>
      <c r="I110" s="210" t="s">
        <v>893</v>
      </c>
      <c r="J110" s="206" t="s">
        <v>140</v>
      </c>
      <c r="K110" s="211" t="s">
        <v>140</v>
      </c>
      <c r="L110" s="717" t="s">
        <v>144</v>
      </c>
      <c r="M110" s="206" t="s">
        <v>142</v>
      </c>
      <c r="N110" s="211" t="s">
        <v>143</v>
      </c>
      <c r="O110" s="181" t="s">
        <v>144</v>
      </c>
      <c r="P110" s="181" t="s">
        <v>144</v>
      </c>
      <c r="Q110" s="209" t="s">
        <v>850</v>
      </c>
      <c r="R110" s="210" t="s">
        <v>851</v>
      </c>
      <c r="S110" s="181" t="s">
        <v>746</v>
      </c>
      <c r="T110" s="212" t="s">
        <v>144</v>
      </c>
      <c r="U110" s="213" t="s">
        <v>144</v>
      </c>
      <c r="V110" s="206">
        <v>15</v>
      </c>
      <c r="W110" s="206" t="s">
        <v>144</v>
      </c>
      <c r="X110" s="214">
        <v>40</v>
      </c>
      <c r="Y110" s="214" t="s">
        <v>144</v>
      </c>
      <c r="Z110" s="252" t="s">
        <v>144</v>
      </c>
      <c r="AA110" s="206" t="s">
        <v>398</v>
      </c>
      <c r="AB110" s="206" t="s">
        <v>140</v>
      </c>
      <c r="AC110" s="206" t="s">
        <v>265</v>
      </c>
      <c r="AD110" s="847" t="s">
        <v>144</v>
      </c>
      <c r="AE110" s="847" t="s">
        <v>144</v>
      </c>
      <c r="AF110" s="848" t="s">
        <v>144</v>
      </c>
      <c r="AG110" s="838"/>
      <c r="AH110" s="179"/>
      <c r="AI110" s="188"/>
      <c r="AJ110" s="181"/>
      <c r="AK110" s="182"/>
      <c r="AL110" s="180"/>
      <c r="AM110" s="188"/>
      <c r="AN110" s="181"/>
      <c r="AO110" s="182"/>
      <c r="AP110" s="180"/>
      <c r="AQ110" s="188"/>
      <c r="AR110" s="181"/>
      <c r="AS110" s="182"/>
      <c r="AT110" s="185"/>
      <c r="AU110" s="186"/>
      <c r="AV110" s="181"/>
      <c r="AW110" s="182"/>
      <c r="AX110" s="180"/>
      <c r="AY110" s="188"/>
      <c r="AZ110" s="181"/>
      <c r="BA110" s="182"/>
      <c r="BB110" s="179"/>
      <c r="BC110" s="188"/>
      <c r="BD110" s="181"/>
      <c r="BE110" s="182"/>
    </row>
    <row r="111" spans="1:57" ht="54" hidden="1" customHeight="1" x14ac:dyDescent="0.25">
      <c r="A111" s="205" t="s">
        <v>255</v>
      </c>
      <c r="B111" s="206">
        <v>93</v>
      </c>
      <c r="C111" s="240" t="s">
        <v>340</v>
      </c>
      <c r="D111" s="211" t="s">
        <v>341</v>
      </c>
      <c r="E111" s="181" t="s">
        <v>894</v>
      </c>
      <c r="F111" s="209" t="s">
        <v>895</v>
      </c>
      <c r="G111" s="210" t="s">
        <v>896</v>
      </c>
      <c r="H111" s="209" t="s">
        <v>897</v>
      </c>
      <c r="I111" s="210" t="s">
        <v>898</v>
      </c>
      <c r="J111" s="206" t="s">
        <v>140</v>
      </c>
      <c r="K111" s="211" t="s">
        <v>140</v>
      </c>
      <c r="L111" s="717" t="s">
        <v>144</v>
      </c>
      <c r="M111" s="206" t="s">
        <v>193</v>
      </c>
      <c r="N111" s="211" t="s">
        <v>194</v>
      </c>
      <c r="O111" s="181" t="s">
        <v>144</v>
      </c>
      <c r="P111" s="181" t="s">
        <v>144</v>
      </c>
      <c r="Q111" s="209" t="s">
        <v>899</v>
      </c>
      <c r="R111" s="210" t="s">
        <v>900</v>
      </c>
      <c r="S111" s="181" t="s">
        <v>147</v>
      </c>
      <c r="T111" s="212" t="s">
        <v>144</v>
      </c>
      <c r="U111" s="213" t="s">
        <v>144</v>
      </c>
      <c r="V111" s="206">
        <v>5</v>
      </c>
      <c r="W111" s="206" t="s">
        <v>144</v>
      </c>
      <c r="X111" s="214">
        <v>40</v>
      </c>
      <c r="Y111" s="214" t="s">
        <v>144</v>
      </c>
      <c r="Z111" s="252" t="s">
        <v>144</v>
      </c>
      <c r="AA111" s="206" t="s">
        <v>264</v>
      </c>
      <c r="AB111" s="206" t="s">
        <v>140</v>
      </c>
      <c r="AC111" s="206" t="s">
        <v>265</v>
      </c>
      <c r="AD111" s="206" t="s">
        <v>144</v>
      </c>
      <c r="AE111" s="206" t="s">
        <v>144</v>
      </c>
      <c r="AF111" s="187" t="s">
        <v>144</v>
      </c>
      <c r="AG111" s="838"/>
      <c r="AH111" s="179"/>
      <c r="AI111" s="188"/>
      <c r="AJ111" s="181"/>
      <c r="AK111" s="182"/>
      <c r="AL111" s="180"/>
      <c r="AM111" s="188"/>
      <c r="AN111" s="181"/>
      <c r="AO111" s="182"/>
      <c r="AP111" s="180"/>
      <c r="AQ111" s="188"/>
      <c r="AR111" s="181"/>
      <c r="AS111" s="182"/>
      <c r="AT111" s="185"/>
      <c r="AU111" s="186"/>
      <c r="AV111" s="181"/>
      <c r="AW111" s="182"/>
      <c r="AX111" s="180"/>
      <c r="AY111" s="188"/>
      <c r="AZ111" s="181"/>
      <c r="BA111" s="182"/>
      <c r="BB111" s="179"/>
      <c r="BC111" s="188"/>
      <c r="BD111" s="181"/>
      <c r="BE111" s="182"/>
    </row>
    <row r="112" spans="1:57" ht="54" hidden="1" customHeight="1" x14ac:dyDescent="0.25">
      <c r="A112" s="205" t="s">
        <v>255</v>
      </c>
      <c r="B112" s="206">
        <v>94</v>
      </c>
      <c r="C112" s="240" t="s">
        <v>340</v>
      </c>
      <c r="D112" s="211" t="s">
        <v>341</v>
      </c>
      <c r="E112" s="181" t="s">
        <v>901</v>
      </c>
      <c r="F112" s="209" t="s">
        <v>902</v>
      </c>
      <c r="G112" s="210" t="s">
        <v>903</v>
      </c>
      <c r="H112" s="209" t="s">
        <v>904</v>
      </c>
      <c r="I112" s="210" t="s">
        <v>905</v>
      </c>
      <c r="J112" s="206" t="s">
        <v>140</v>
      </c>
      <c r="K112" s="211" t="s">
        <v>140</v>
      </c>
      <c r="L112" s="717" t="s">
        <v>144</v>
      </c>
      <c r="M112" s="206" t="s">
        <v>193</v>
      </c>
      <c r="N112" s="211" t="s">
        <v>194</v>
      </c>
      <c r="O112" s="181" t="s">
        <v>700</v>
      </c>
      <c r="P112" s="181" t="s">
        <v>701</v>
      </c>
      <c r="Q112" s="209" t="s">
        <v>906</v>
      </c>
      <c r="R112" s="210" t="s">
        <v>907</v>
      </c>
      <c r="S112" s="181" t="s">
        <v>147</v>
      </c>
      <c r="T112" s="212" t="s">
        <v>144</v>
      </c>
      <c r="U112" s="213" t="s">
        <v>144</v>
      </c>
      <c r="V112" s="206">
        <v>6</v>
      </c>
      <c r="W112" s="206" t="s">
        <v>144</v>
      </c>
      <c r="X112" s="214">
        <v>40</v>
      </c>
      <c r="Y112" s="214" t="s">
        <v>144</v>
      </c>
      <c r="Z112" s="252" t="s">
        <v>144</v>
      </c>
      <c r="AA112" s="206" t="s">
        <v>264</v>
      </c>
      <c r="AB112" s="206" t="s">
        <v>140</v>
      </c>
      <c r="AC112" s="206" t="s">
        <v>265</v>
      </c>
      <c r="AD112" s="847" t="s">
        <v>144</v>
      </c>
      <c r="AE112" s="847" t="s">
        <v>144</v>
      </c>
      <c r="AF112" s="848" t="s">
        <v>144</v>
      </c>
      <c r="AG112" s="838"/>
      <c r="AH112" s="179"/>
      <c r="AI112" s="188"/>
      <c r="AJ112" s="181"/>
      <c r="AK112" s="182"/>
      <c r="AL112" s="180"/>
      <c r="AM112" s="188"/>
      <c r="AN112" s="181"/>
      <c r="AO112" s="182"/>
      <c r="AP112" s="180"/>
      <c r="AQ112" s="188"/>
      <c r="AR112" s="181"/>
      <c r="AS112" s="182"/>
      <c r="AT112" s="185"/>
      <c r="AU112" s="186"/>
      <c r="AV112" s="181"/>
      <c r="AW112" s="182"/>
      <c r="AX112" s="180"/>
      <c r="AY112" s="188"/>
      <c r="AZ112" s="181"/>
      <c r="BA112" s="182"/>
      <c r="BB112" s="179"/>
      <c r="BC112" s="188"/>
      <c r="BD112" s="181"/>
      <c r="BE112" s="182"/>
    </row>
    <row r="113" spans="1:58" s="54" customFormat="1" ht="54" customHeight="1" x14ac:dyDescent="0.25">
      <c r="A113" s="216" t="s">
        <v>255</v>
      </c>
      <c r="B113" s="217">
        <v>95</v>
      </c>
      <c r="C113" s="253" t="s">
        <v>144</v>
      </c>
      <c r="D113" s="217" t="s">
        <v>144</v>
      </c>
      <c r="E113" s="219" t="s">
        <v>908</v>
      </c>
      <c r="F113" s="220" t="s">
        <v>251</v>
      </c>
      <c r="G113" s="220" t="s">
        <v>251</v>
      </c>
      <c r="H113" s="220" t="s">
        <v>336</v>
      </c>
      <c r="I113" s="220" t="s">
        <v>337</v>
      </c>
      <c r="J113" s="217" t="s">
        <v>144</v>
      </c>
      <c r="K113" s="217" t="s">
        <v>144</v>
      </c>
      <c r="L113" s="708" t="s">
        <v>144</v>
      </c>
      <c r="M113" s="217" t="s">
        <v>144</v>
      </c>
      <c r="N113" s="217" t="s">
        <v>144</v>
      </c>
      <c r="O113" s="219" t="s">
        <v>144</v>
      </c>
      <c r="P113" s="219" t="s">
        <v>144</v>
      </c>
      <c r="Q113" s="220" t="s">
        <v>338</v>
      </c>
      <c r="R113" s="220" t="s">
        <v>339</v>
      </c>
      <c r="S113" s="219" t="s">
        <v>147</v>
      </c>
      <c r="T113" s="221" t="s">
        <v>144</v>
      </c>
      <c r="U113" s="221" t="s">
        <v>144</v>
      </c>
      <c r="V113" s="217">
        <v>2</v>
      </c>
      <c r="W113" s="217" t="s">
        <v>144</v>
      </c>
      <c r="X113" s="222" t="s">
        <v>144</v>
      </c>
      <c r="Y113" s="222" t="s">
        <v>144</v>
      </c>
      <c r="Z113" s="250" t="s">
        <v>144</v>
      </c>
      <c r="AA113" s="217" t="s">
        <v>144</v>
      </c>
      <c r="AB113" s="217" t="s">
        <v>144</v>
      </c>
      <c r="AC113" s="217" t="s">
        <v>265</v>
      </c>
      <c r="AD113" s="217" t="s">
        <v>144</v>
      </c>
      <c r="AE113" s="217" t="s">
        <v>144</v>
      </c>
      <c r="AF113" s="223" t="s">
        <v>144</v>
      </c>
      <c r="AG113" s="838"/>
      <c r="AH113" s="224"/>
      <c r="AI113" s="225"/>
      <c r="AJ113" s="219"/>
      <c r="AK113" s="226"/>
      <c r="AL113" s="225"/>
      <c r="AM113" s="225"/>
      <c r="AN113" s="219"/>
      <c r="AO113" s="226"/>
      <c r="AP113" s="225"/>
      <c r="AQ113" s="225"/>
      <c r="AR113" s="219"/>
      <c r="AS113" s="226"/>
      <c r="AT113" s="227"/>
      <c r="AU113" s="227"/>
      <c r="AV113" s="219"/>
      <c r="AW113" s="226"/>
      <c r="AX113" s="225"/>
      <c r="AY113" s="225"/>
      <c r="AZ113" s="219"/>
      <c r="BA113" s="226"/>
      <c r="BB113" s="224"/>
      <c r="BC113" s="225"/>
      <c r="BD113" s="219"/>
      <c r="BE113" s="226"/>
    </row>
    <row r="114" spans="1:58" ht="54" hidden="1" customHeight="1" x14ac:dyDescent="0.25">
      <c r="A114" s="205" t="s">
        <v>255</v>
      </c>
      <c r="B114" s="206">
        <v>96</v>
      </c>
      <c r="C114" s="240" t="s">
        <v>340</v>
      </c>
      <c r="D114" s="211" t="s">
        <v>341</v>
      </c>
      <c r="E114" s="181" t="s">
        <v>909</v>
      </c>
      <c r="F114" s="209" t="s">
        <v>910</v>
      </c>
      <c r="G114" s="210" t="s">
        <v>911</v>
      </c>
      <c r="H114" s="209" t="s">
        <v>912</v>
      </c>
      <c r="I114" s="210" t="s">
        <v>913</v>
      </c>
      <c r="J114" s="206" t="s">
        <v>140</v>
      </c>
      <c r="K114" s="211" t="s">
        <v>140</v>
      </c>
      <c r="L114" s="717" t="s">
        <v>144</v>
      </c>
      <c r="M114" s="206" t="s">
        <v>193</v>
      </c>
      <c r="N114" s="211" t="s">
        <v>194</v>
      </c>
      <c r="O114" s="181" t="s">
        <v>144</v>
      </c>
      <c r="P114" s="181" t="s">
        <v>144</v>
      </c>
      <c r="Q114" s="209" t="s">
        <v>449</v>
      </c>
      <c r="R114" s="210" t="s">
        <v>450</v>
      </c>
      <c r="S114" s="181" t="s">
        <v>147</v>
      </c>
      <c r="T114" s="212" t="s">
        <v>144</v>
      </c>
      <c r="U114" s="213" t="s">
        <v>144</v>
      </c>
      <c r="V114" s="206">
        <v>2</v>
      </c>
      <c r="W114" s="206" t="s">
        <v>144</v>
      </c>
      <c r="X114" s="214">
        <v>40</v>
      </c>
      <c r="Y114" s="214" t="s">
        <v>144</v>
      </c>
      <c r="Z114" s="252" t="s">
        <v>144</v>
      </c>
      <c r="AA114" s="206" t="s">
        <v>264</v>
      </c>
      <c r="AB114" s="206" t="s">
        <v>140</v>
      </c>
      <c r="AC114" s="206" t="s">
        <v>265</v>
      </c>
      <c r="AD114" s="847" t="s">
        <v>144</v>
      </c>
      <c r="AE114" s="847" t="s">
        <v>144</v>
      </c>
      <c r="AF114" s="848" t="s">
        <v>144</v>
      </c>
      <c r="AG114" s="838"/>
      <c r="AH114" s="179"/>
      <c r="AI114" s="188"/>
      <c r="AJ114" s="181"/>
      <c r="AK114" s="182"/>
      <c r="AL114" s="180"/>
      <c r="AM114" s="188"/>
      <c r="AN114" s="181"/>
      <c r="AO114" s="182"/>
      <c r="AP114" s="180"/>
      <c r="AQ114" s="188"/>
      <c r="AR114" s="181"/>
      <c r="AS114" s="182"/>
      <c r="AT114" s="185"/>
      <c r="AU114" s="186"/>
      <c r="AV114" s="181"/>
      <c r="AW114" s="182"/>
      <c r="AX114" s="180"/>
      <c r="AY114" s="188"/>
      <c r="AZ114" s="181"/>
      <c r="BA114" s="182"/>
      <c r="BB114" s="179"/>
      <c r="BC114" s="188"/>
      <c r="BD114" s="181"/>
      <c r="BE114" s="182"/>
    </row>
    <row r="115" spans="1:58" ht="54" hidden="1" customHeight="1" x14ac:dyDescent="0.25">
      <c r="A115" s="205" t="s">
        <v>255</v>
      </c>
      <c r="B115" s="206">
        <v>97</v>
      </c>
      <c r="C115" s="240" t="s">
        <v>340</v>
      </c>
      <c r="D115" s="211" t="s">
        <v>341</v>
      </c>
      <c r="E115" s="181" t="s">
        <v>914</v>
      </c>
      <c r="F115" s="209" t="s">
        <v>915</v>
      </c>
      <c r="G115" s="210" t="s">
        <v>916</v>
      </c>
      <c r="H115" s="209" t="s">
        <v>917</v>
      </c>
      <c r="I115" s="210" t="s">
        <v>918</v>
      </c>
      <c r="J115" s="206" t="s">
        <v>140</v>
      </c>
      <c r="K115" s="211" t="s">
        <v>140</v>
      </c>
      <c r="L115" s="717" t="s">
        <v>144</v>
      </c>
      <c r="M115" s="206" t="s">
        <v>193</v>
      </c>
      <c r="N115" s="211" t="s">
        <v>194</v>
      </c>
      <c r="O115" s="181" t="s">
        <v>144</v>
      </c>
      <c r="P115" s="181" t="s">
        <v>144</v>
      </c>
      <c r="Q115" s="209" t="s">
        <v>919</v>
      </c>
      <c r="R115" s="210" t="s">
        <v>920</v>
      </c>
      <c r="S115" s="181" t="s">
        <v>147</v>
      </c>
      <c r="T115" s="212" t="s">
        <v>144</v>
      </c>
      <c r="U115" s="213" t="s">
        <v>144</v>
      </c>
      <c r="V115" s="206">
        <v>7</v>
      </c>
      <c r="W115" s="206" t="s">
        <v>144</v>
      </c>
      <c r="X115" s="214">
        <v>40</v>
      </c>
      <c r="Y115" s="214" t="s">
        <v>144</v>
      </c>
      <c r="Z115" s="252" t="s">
        <v>144</v>
      </c>
      <c r="AA115" s="412" t="s">
        <v>264</v>
      </c>
      <c r="AB115" s="206" t="s">
        <v>140</v>
      </c>
      <c r="AC115" s="206" t="s">
        <v>265</v>
      </c>
      <c r="AD115" s="206" t="s">
        <v>144</v>
      </c>
      <c r="AE115" s="206" t="s">
        <v>144</v>
      </c>
      <c r="AF115" s="187" t="s">
        <v>144</v>
      </c>
      <c r="AG115" s="838"/>
      <c r="AH115" s="179"/>
      <c r="AI115" s="188"/>
      <c r="AJ115" s="181"/>
      <c r="AK115" s="182"/>
      <c r="AL115" s="180"/>
      <c r="AM115" s="188"/>
      <c r="AN115" s="181"/>
      <c r="AO115" s="182"/>
      <c r="AP115" s="180"/>
      <c r="AQ115" s="188"/>
      <c r="AR115" s="181"/>
      <c r="AS115" s="182"/>
      <c r="AT115" s="185"/>
      <c r="AU115" s="186"/>
      <c r="AV115" s="181"/>
      <c r="AW115" s="182"/>
      <c r="AX115" s="180"/>
      <c r="AY115" s="188"/>
      <c r="AZ115" s="181"/>
      <c r="BA115" s="182"/>
      <c r="BB115" s="179"/>
      <c r="BC115" s="188"/>
      <c r="BD115" s="181"/>
      <c r="BE115" s="182"/>
    </row>
    <row r="116" spans="1:58" ht="54" customHeight="1" thickBot="1" x14ac:dyDescent="0.3">
      <c r="A116" s="575" t="s">
        <v>255</v>
      </c>
      <c r="B116" s="576">
        <v>98</v>
      </c>
      <c r="C116" s="576" t="s">
        <v>144</v>
      </c>
      <c r="D116" s="576" t="s">
        <v>144</v>
      </c>
      <c r="E116" s="578" t="s">
        <v>921</v>
      </c>
      <c r="F116" s="577" t="s">
        <v>251</v>
      </c>
      <c r="G116" s="577" t="s">
        <v>251</v>
      </c>
      <c r="H116" s="577" t="s">
        <v>336</v>
      </c>
      <c r="I116" s="577" t="s">
        <v>337</v>
      </c>
      <c r="J116" s="576" t="s">
        <v>144</v>
      </c>
      <c r="K116" s="576" t="s">
        <v>144</v>
      </c>
      <c r="L116" s="709" t="s">
        <v>144</v>
      </c>
      <c r="M116" s="576" t="s">
        <v>144</v>
      </c>
      <c r="N116" s="576" t="s">
        <v>144</v>
      </c>
      <c r="O116" s="578" t="s">
        <v>144</v>
      </c>
      <c r="P116" s="578" t="s">
        <v>144</v>
      </c>
      <c r="Q116" s="577" t="s">
        <v>338</v>
      </c>
      <c r="R116" s="577" t="s">
        <v>339</v>
      </c>
      <c r="S116" s="578" t="s">
        <v>147</v>
      </c>
      <c r="T116" s="579" t="s">
        <v>144</v>
      </c>
      <c r="U116" s="579" t="s">
        <v>144</v>
      </c>
      <c r="V116" s="606">
        <f>8000-(SUM(V19:V115)+COUNT(V19:V115))</f>
        <v>6915</v>
      </c>
      <c r="W116" s="576" t="s">
        <v>144</v>
      </c>
      <c r="X116" s="579">
        <v>43</v>
      </c>
      <c r="Y116" s="580" t="s">
        <v>144</v>
      </c>
      <c r="Z116" s="581" t="s">
        <v>25</v>
      </c>
      <c r="AA116" s="576" t="s">
        <v>144</v>
      </c>
      <c r="AB116" s="576" t="s">
        <v>144</v>
      </c>
      <c r="AC116" s="576" t="s">
        <v>265</v>
      </c>
      <c r="AD116" s="576" t="s">
        <v>144</v>
      </c>
      <c r="AE116" s="576" t="s">
        <v>144</v>
      </c>
      <c r="AF116" s="582" t="s">
        <v>144</v>
      </c>
      <c r="AG116" s="680"/>
      <c r="AH116" s="583"/>
      <c r="AI116" s="584"/>
      <c r="AJ116" s="578"/>
      <c r="AK116" s="585"/>
      <c r="AL116" s="584"/>
      <c r="AM116" s="584"/>
      <c r="AN116" s="578"/>
      <c r="AO116" s="585"/>
      <c r="AP116" s="584"/>
      <c r="AQ116" s="584"/>
      <c r="AR116" s="578"/>
      <c r="AS116" s="585"/>
      <c r="AT116" s="586"/>
      <c r="AU116" s="586"/>
      <c r="AV116" s="578"/>
      <c r="AW116" s="585"/>
      <c r="AX116" s="584"/>
      <c r="AY116" s="584"/>
      <c r="AZ116" s="578"/>
      <c r="BA116" s="585"/>
      <c r="BB116" s="583"/>
      <c r="BC116" s="584"/>
      <c r="BD116" s="578"/>
      <c r="BE116" s="585"/>
    </row>
    <row r="117" spans="1:58" s="87" customFormat="1" ht="54" hidden="1" customHeight="1" x14ac:dyDescent="0.25">
      <c r="A117" s="255" t="s">
        <v>922</v>
      </c>
      <c r="B117" s="256">
        <v>1</v>
      </c>
      <c r="C117" s="260" t="s">
        <v>256</v>
      </c>
      <c r="D117" s="261" t="s">
        <v>257</v>
      </c>
      <c r="E117" s="256" t="s">
        <v>923</v>
      </c>
      <c r="F117" s="850" t="s">
        <v>259</v>
      </c>
      <c r="G117" s="257" t="s">
        <v>229</v>
      </c>
      <c r="H117" s="258" t="s">
        <v>260</v>
      </c>
      <c r="I117" s="259" t="s">
        <v>261</v>
      </c>
      <c r="J117" s="260" t="s">
        <v>140</v>
      </c>
      <c r="K117" s="261" t="s">
        <v>140</v>
      </c>
      <c r="L117" s="851" t="s">
        <v>924</v>
      </c>
      <c r="M117" s="262" t="s">
        <v>142</v>
      </c>
      <c r="N117" s="263" t="s">
        <v>143</v>
      </c>
      <c r="O117" s="260" t="s">
        <v>144</v>
      </c>
      <c r="P117" s="260" t="s">
        <v>144</v>
      </c>
      <c r="Q117" s="258" t="s">
        <v>262</v>
      </c>
      <c r="R117" s="259" t="s">
        <v>263</v>
      </c>
      <c r="S117" s="170" t="s">
        <v>233</v>
      </c>
      <c r="T117" s="264" t="s">
        <v>234</v>
      </c>
      <c r="U117" s="265" t="s">
        <v>235</v>
      </c>
      <c r="V117" s="852">
        <v>8</v>
      </c>
      <c r="W117" s="853" t="s">
        <v>144</v>
      </c>
      <c r="X117" s="264" t="s">
        <v>925</v>
      </c>
      <c r="Y117" s="264" t="s">
        <v>144</v>
      </c>
      <c r="Z117" s="241" t="s">
        <v>144</v>
      </c>
      <c r="AA117" s="615" t="s">
        <v>733</v>
      </c>
      <c r="AB117" s="262" t="s">
        <v>140</v>
      </c>
      <c r="AC117" s="854" t="s">
        <v>265</v>
      </c>
      <c r="AD117" s="852" t="s">
        <v>144</v>
      </c>
      <c r="AE117" s="852" t="s">
        <v>144</v>
      </c>
      <c r="AF117" s="855" t="s">
        <v>144</v>
      </c>
      <c r="AG117" s="838"/>
      <c r="AH117" s="856" t="s">
        <v>266</v>
      </c>
      <c r="AI117" s="266" t="s">
        <v>267</v>
      </c>
      <c r="AJ117" s="857"/>
      <c r="AK117" s="858" t="s">
        <v>268</v>
      </c>
      <c r="AL117" s="859"/>
      <c r="AM117" s="266"/>
      <c r="AN117" s="857"/>
      <c r="AO117" s="858"/>
      <c r="AP117" s="859" t="s">
        <v>926</v>
      </c>
      <c r="AQ117" s="266" t="s">
        <v>270</v>
      </c>
      <c r="AR117" s="857"/>
      <c r="AS117" s="858" t="s">
        <v>271</v>
      </c>
      <c r="AT117" s="859" t="s">
        <v>272</v>
      </c>
      <c r="AU117" s="266" t="s">
        <v>273</v>
      </c>
      <c r="AV117" s="857"/>
      <c r="AW117" s="171" t="s">
        <v>274</v>
      </c>
      <c r="AX117" s="859"/>
      <c r="AY117" s="266"/>
      <c r="AZ117" s="857"/>
      <c r="BA117" s="858"/>
      <c r="BB117" s="856"/>
      <c r="BC117" s="266"/>
      <c r="BD117" s="857"/>
      <c r="BE117" s="858"/>
      <c r="BF117" s="860"/>
    </row>
    <row r="118" spans="1:58" s="87" customFormat="1" ht="54" hidden="1" customHeight="1" x14ac:dyDescent="0.25">
      <c r="A118" s="267" t="s">
        <v>922</v>
      </c>
      <c r="B118" s="268">
        <v>2</v>
      </c>
      <c r="C118" s="240" t="s">
        <v>256</v>
      </c>
      <c r="D118" s="270" t="s">
        <v>257</v>
      </c>
      <c r="E118" s="268" t="s">
        <v>927</v>
      </c>
      <c r="F118" s="861" t="s">
        <v>276</v>
      </c>
      <c r="G118" s="269" t="s">
        <v>277</v>
      </c>
      <c r="H118" s="845" t="s">
        <v>928</v>
      </c>
      <c r="I118" s="208" t="s">
        <v>279</v>
      </c>
      <c r="J118" s="240" t="s">
        <v>140</v>
      </c>
      <c r="K118" s="270" t="s">
        <v>140</v>
      </c>
      <c r="L118" s="862" t="s">
        <v>929</v>
      </c>
      <c r="M118" s="206" t="s">
        <v>142</v>
      </c>
      <c r="N118" s="211" t="s">
        <v>143</v>
      </c>
      <c r="O118" s="240" t="s">
        <v>179</v>
      </c>
      <c r="P118" s="240" t="s">
        <v>280</v>
      </c>
      <c r="Q118" s="863" t="s">
        <v>144</v>
      </c>
      <c r="R118" s="271" t="s">
        <v>144</v>
      </c>
      <c r="S118" s="864" t="s">
        <v>147</v>
      </c>
      <c r="T118" s="212" t="s">
        <v>144</v>
      </c>
      <c r="U118" s="213" t="s">
        <v>144</v>
      </c>
      <c r="V118" s="847">
        <v>5</v>
      </c>
      <c r="W118" s="415" t="s">
        <v>144</v>
      </c>
      <c r="X118" s="212" t="s">
        <v>925</v>
      </c>
      <c r="Y118" s="212" t="s">
        <v>144</v>
      </c>
      <c r="Z118" s="241" t="s">
        <v>144</v>
      </c>
      <c r="AA118" s="615" t="s">
        <v>733</v>
      </c>
      <c r="AB118" s="206" t="s">
        <v>140</v>
      </c>
      <c r="AC118" s="865" t="s">
        <v>265</v>
      </c>
      <c r="AD118" s="847" t="s">
        <v>144</v>
      </c>
      <c r="AE118" s="847" t="s">
        <v>144</v>
      </c>
      <c r="AF118" s="848" t="s">
        <v>144</v>
      </c>
      <c r="AG118" s="838"/>
      <c r="AH118" s="866" t="s">
        <v>266</v>
      </c>
      <c r="AI118" s="273" t="s">
        <v>267</v>
      </c>
      <c r="AJ118" s="847"/>
      <c r="AK118" s="848" t="s">
        <v>281</v>
      </c>
      <c r="AL118" s="867" t="s">
        <v>282</v>
      </c>
      <c r="AM118" s="273" t="s">
        <v>283</v>
      </c>
      <c r="AN118" s="864"/>
      <c r="AO118" s="868" t="s">
        <v>284</v>
      </c>
      <c r="AP118" s="867"/>
      <c r="AQ118" s="273"/>
      <c r="AR118" s="847"/>
      <c r="AS118" s="848"/>
      <c r="AT118" s="867"/>
      <c r="AU118" s="273"/>
      <c r="AV118" s="847"/>
      <c r="AW118" s="848"/>
      <c r="AX118" s="134" t="s">
        <v>930</v>
      </c>
      <c r="AY118" s="135" t="s">
        <v>931</v>
      </c>
      <c r="AZ118" s="847">
        <v>7</v>
      </c>
      <c r="BA118" s="848" t="s">
        <v>932</v>
      </c>
      <c r="BB118" s="866"/>
      <c r="BC118" s="273"/>
      <c r="BD118" s="847"/>
      <c r="BE118" s="848"/>
      <c r="BF118" s="860"/>
    </row>
    <row r="119" spans="1:58" s="87" customFormat="1" ht="54" hidden="1" customHeight="1" x14ac:dyDescent="0.25">
      <c r="A119" s="267" t="s">
        <v>922</v>
      </c>
      <c r="B119" s="268">
        <v>3</v>
      </c>
      <c r="C119" s="240" t="s">
        <v>256</v>
      </c>
      <c r="D119" s="270" t="s">
        <v>257</v>
      </c>
      <c r="E119" s="268" t="s">
        <v>933</v>
      </c>
      <c r="F119" s="861" t="s">
        <v>286</v>
      </c>
      <c r="G119" s="269" t="s">
        <v>287</v>
      </c>
      <c r="H119" s="845" t="s">
        <v>288</v>
      </c>
      <c r="I119" s="208" t="s">
        <v>289</v>
      </c>
      <c r="J119" s="240" t="s">
        <v>140</v>
      </c>
      <c r="K119" s="270" t="s">
        <v>140</v>
      </c>
      <c r="L119" s="862" t="s">
        <v>934</v>
      </c>
      <c r="M119" s="206" t="s">
        <v>142</v>
      </c>
      <c r="N119" s="211" t="s">
        <v>143</v>
      </c>
      <c r="O119" s="437" t="s">
        <v>144</v>
      </c>
      <c r="P119" s="240" t="s">
        <v>290</v>
      </c>
      <c r="Q119" s="209" t="s">
        <v>291</v>
      </c>
      <c r="R119" s="210" t="s">
        <v>292</v>
      </c>
      <c r="S119" s="864" t="s">
        <v>147</v>
      </c>
      <c r="T119" s="212" t="s">
        <v>144</v>
      </c>
      <c r="U119" s="213" t="s">
        <v>144</v>
      </c>
      <c r="V119" s="847">
        <v>12</v>
      </c>
      <c r="W119" s="415" t="s">
        <v>144</v>
      </c>
      <c r="X119" s="212" t="s">
        <v>925</v>
      </c>
      <c r="Y119" s="212" t="s">
        <v>144</v>
      </c>
      <c r="Z119" s="212" t="s">
        <v>144</v>
      </c>
      <c r="AA119" s="343" t="s">
        <v>148</v>
      </c>
      <c r="AB119" s="206" t="s">
        <v>140</v>
      </c>
      <c r="AC119" s="865" t="s">
        <v>265</v>
      </c>
      <c r="AD119" s="847" t="s">
        <v>144</v>
      </c>
      <c r="AE119" s="847" t="s">
        <v>144</v>
      </c>
      <c r="AF119" s="848" t="s">
        <v>144</v>
      </c>
      <c r="AG119" s="838"/>
      <c r="AH119" s="866" t="s">
        <v>266</v>
      </c>
      <c r="AI119" s="274" t="s">
        <v>267</v>
      </c>
      <c r="AJ119" s="864"/>
      <c r="AK119" s="868" t="s">
        <v>293</v>
      </c>
      <c r="AL119" s="185" t="s">
        <v>294</v>
      </c>
      <c r="AM119" s="186" t="s">
        <v>295</v>
      </c>
      <c r="AN119" s="864"/>
      <c r="AO119" s="848" t="s">
        <v>296</v>
      </c>
      <c r="AP119" s="867"/>
      <c r="AQ119" s="273"/>
      <c r="AR119" s="847"/>
      <c r="AS119" s="848"/>
      <c r="AT119" s="867"/>
      <c r="AU119" s="273"/>
      <c r="AV119" s="847"/>
      <c r="AW119" s="848"/>
      <c r="AX119" s="867"/>
      <c r="AY119" s="273"/>
      <c r="AZ119" s="847"/>
      <c r="BA119" s="848"/>
      <c r="BB119" s="866"/>
      <c r="BC119" s="273"/>
      <c r="BD119" s="847"/>
      <c r="BE119" s="848"/>
      <c r="BF119" s="838"/>
    </row>
    <row r="120" spans="1:58" s="87" customFormat="1" ht="54" hidden="1" customHeight="1" x14ac:dyDescent="0.25">
      <c r="A120" s="267" t="s">
        <v>922</v>
      </c>
      <c r="B120" s="268">
        <v>4</v>
      </c>
      <c r="C120" s="240" t="s">
        <v>297</v>
      </c>
      <c r="D120" s="270" t="s">
        <v>298</v>
      </c>
      <c r="E120" s="268" t="s">
        <v>935</v>
      </c>
      <c r="F120" s="861" t="s">
        <v>300</v>
      </c>
      <c r="G120" s="269" t="s">
        <v>301</v>
      </c>
      <c r="H120" s="209" t="s">
        <v>302</v>
      </c>
      <c r="I120" s="210" t="s">
        <v>303</v>
      </c>
      <c r="J120" s="240" t="s">
        <v>140</v>
      </c>
      <c r="K120" s="270" t="s">
        <v>140</v>
      </c>
      <c r="L120" s="862" t="s">
        <v>936</v>
      </c>
      <c r="M120" s="206" t="s">
        <v>142</v>
      </c>
      <c r="N120" s="211" t="s">
        <v>143</v>
      </c>
      <c r="O120" s="240" t="s">
        <v>144</v>
      </c>
      <c r="P120" s="240" t="s">
        <v>144</v>
      </c>
      <c r="Q120" s="209" t="s">
        <v>304</v>
      </c>
      <c r="R120" s="210" t="s">
        <v>305</v>
      </c>
      <c r="S120" s="864" t="s">
        <v>147</v>
      </c>
      <c r="T120" s="212" t="s">
        <v>144</v>
      </c>
      <c r="U120" s="213" t="s">
        <v>144</v>
      </c>
      <c r="V120" s="847">
        <v>1</v>
      </c>
      <c r="W120" s="415" t="s">
        <v>144</v>
      </c>
      <c r="X120" s="212" t="s">
        <v>925</v>
      </c>
      <c r="Y120" s="212" t="s">
        <v>144</v>
      </c>
      <c r="Z120" s="212" t="s">
        <v>144</v>
      </c>
      <c r="AA120" s="343" t="s">
        <v>148</v>
      </c>
      <c r="AB120" s="206" t="s">
        <v>140</v>
      </c>
      <c r="AC120" s="865" t="s">
        <v>265</v>
      </c>
      <c r="AD120" s="847" t="s">
        <v>144</v>
      </c>
      <c r="AE120" s="847" t="s">
        <v>144</v>
      </c>
      <c r="AF120" s="848" t="s">
        <v>144</v>
      </c>
      <c r="AG120" s="838"/>
      <c r="AH120" s="866" t="s">
        <v>266</v>
      </c>
      <c r="AI120" s="273" t="s">
        <v>267</v>
      </c>
      <c r="AJ120" s="847"/>
      <c r="AK120" s="848" t="s">
        <v>306</v>
      </c>
      <c r="AL120" s="867"/>
      <c r="AM120" s="273"/>
      <c r="AN120" s="847"/>
      <c r="AO120" s="848"/>
      <c r="AP120" s="867" t="s">
        <v>307</v>
      </c>
      <c r="AQ120" s="273" t="s">
        <v>937</v>
      </c>
      <c r="AR120" s="847"/>
      <c r="AS120" s="848" t="s">
        <v>309</v>
      </c>
      <c r="AT120" s="867"/>
      <c r="AU120" s="273"/>
      <c r="AV120" s="847"/>
      <c r="AW120" s="848"/>
      <c r="AX120" s="867"/>
      <c r="AY120" s="273"/>
      <c r="AZ120" s="847"/>
      <c r="BA120" s="848"/>
      <c r="BB120" s="866"/>
      <c r="BC120" s="273"/>
      <c r="BD120" s="847"/>
      <c r="BE120" s="848"/>
      <c r="BF120" s="838"/>
    </row>
    <row r="121" spans="1:58" s="87" customFormat="1" ht="54" hidden="1" customHeight="1" x14ac:dyDescent="0.25">
      <c r="A121" s="267" t="s">
        <v>922</v>
      </c>
      <c r="B121" s="268">
        <v>5</v>
      </c>
      <c r="C121" s="240" t="s">
        <v>297</v>
      </c>
      <c r="D121" s="270" t="s">
        <v>298</v>
      </c>
      <c r="E121" s="268" t="s">
        <v>938</v>
      </c>
      <c r="F121" s="861" t="s">
        <v>311</v>
      </c>
      <c r="G121" s="269" t="s">
        <v>312</v>
      </c>
      <c r="H121" s="209" t="s">
        <v>313</v>
      </c>
      <c r="I121" s="210" t="s">
        <v>314</v>
      </c>
      <c r="J121" s="240" t="s">
        <v>140</v>
      </c>
      <c r="K121" s="270" t="s">
        <v>140</v>
      </c>
      <c r="L121" s="862" t="s">
        <v>939</v>
      </c>
      <c r="M121" s="206" t="s">
        <v>142</v>
      </c>
      <c r="N121" s="211" t="s">
        <v>143</v>
      </c>
      <c r="O121" s="240" t="s">
        <v>144</v>
      </c>
      <c r="P121" s="240" t="s">
        <v>144</v>
      </c>
      <c r="Q121" s="209" t="s">
        <v>315</v>
      </c>
      <c r="R121" s="210" t="s">
        <v>316</v>
      </c>
      <c r="S121" s="864" t="s">
        <v>147</v>
      </c>
      <c r="T121" s="212" t="s">
        <v>144</v>
      </c>
      <c r="U121" s="213" t="s">
        <v>144</v>
      </c>
      <c r="V121" s="847">
        <v>12</v>
      </c>
      <c r="W121" s="415" t="s">
        <v>144</v>
      </c>
      <c r="X121" s="212" t="s">
        <v>925</v>
      </c>
      <c r="Y121" s="212" t="s">
        <v>144</v>
      </c>
      <c r="Z121" s="212" t="s">
        <v>144</v>
      </c>
      <c r="AA121" s="343" t="s">
        <v>148</v>
      </c>
      <c r="AB121" s="206" t="s">
        <v>140</v>
      </c>
      <c r="AC121" s="865" t="s">
        <v>265</v>
      </c>
      <c r="AD121" s="847" t="s">
        <v>144</v>
      </c>
      <c r="AE121" s="847" t="s">
        <v>144</v>
      </c>
      <c r="AF121" s="848" t="s">
        <v>144</v>
      </c>
      <c r="AG121" s="838"/>
      <c r="AH121" s="866" t="s">
        <v>266</v>
      </c>
      <c r="AI121" s="273" t="s">
        <v>267</v>
      </c>
      <c r="AJ121" s="847"/>
      <c r="AK121" s="848" t="s">
        <v>317</v>
      </c>
      <c r="AL121" s="867"/>
      <c r="AM121" s="273"/>
      <c r="AN121" s="847"/>
      <c r="AO121" s="848"/>
      <c r="AP121" s="867"/>
      <c r="AQ121" s="273"/>
      <c r="AR121" s="847"/>
      <c r="AS121" s="848"/>
      <c r="AT121" s="867" t="s">
        <v>318</v>
      </c>
      <c r="AU121" s="273" t="s">
        <v>319</v>
      </c>
      <c r="AV121" s="847"/>
      <c r="AW121" s="848" t="s">
        <v>320</v>
      </c>
      <c r="AX121" s="867"/>
      <c r="AY121" s="273"/>
      <c r="AZ121" s="847"/>
      <c r="BA121" s="848"/>
      <c r="BB121" s="866"/>
      <c r="BC121" s="273"/>
      <c r="BD121" s="847"/>
      <c r="BE121" s="848"/>
      <c r="BF121" s="838"/>
    </row>
    <row r="122" spans="1:58" s="87" customFormat="1" ht="54" hidden="1" customHeight="1" x14ac:dyDescent="0.25">
      <c r="A122" s="267" t="s">
        <v>922</v>
      </c>
      <c r="B122" s="268">
        <v>6</v>
      </c>
      <c r="C122" s="240" t="s">
        <v>297</v>
      </c>
      <c r="D122" s="270" t="s">
        <v>298</v>
      </c>
      <c r="E122" s="268" t="s">
        <v>940</v>
      </c>
      <c r="F122" s="861" t="s">
        <v>136</v>
      </c>
      <c r="G122" s="269" t="s">
        <v>322</v>
      </c>
      <c r="H122" s="846" t="s">
        <v>323</v>
      </c>
      <c r="I122" s="210" t="s">
        <v>324</v>
      </c>
      <c r="J122" s="240" t="s">
        <v>140</v>
      </c>
      <c r="K122" s="270" t="s">
        <v>140</v>
      </c>
      <c r="L122" s="862" t="s">
        <v>941</v>
      </c>
      <c r="M122" s="206" t="s">
        <v>142</v>
      </c>
      <c r="N122" s="211" t="s">
        <v>143</v>
      </c>
      <c r="O122" s="240" t="s">
        <v>144</v>
      </c>
      <c r="P122" s="240" t="s">
        <v>144</v>
      </c>
      <c r="Q122" s="863" t="s">
        <v>942</v>
      </c>
      <c r="R122" s="271" t="s">
        <v>943</v>
      </c>
      <c r="S122" s="864" t="s">
        <v>147</v>
      </c>
      <c r="T122" s="212" t="s">
        <v>144</v>
      </c>
      <c r="U122" s="213" t="s">
        <v>144</v>
      </c>
      <c r="V122" s="847">
        <v>2</v>
      </c>
      <c r="W122" s="415" t="s">
        <v>144</v>
      </c>
      <c r="X122" s="212" t="s">
        <v>925</v>
      </c>
      <c r="Y122" s="212" t="s">
        <v>144</v>
      </c>
      <c r="Z122" s="212" t="s">
        <v>144</v>
      </c>
      <c r="AA122" s="343" t="s">
        <v>148</v>
      </c>
      <c r="AB122" s="206" t="s">
        <v>140</v>
      </c>
      <c r="AC122" s="865" t="s">
        <v>265</v>
      </c>
      <c r="AD122" s="847" t="s">
        <v>144</v>
      </c>
      <c r="AE122" s="847" t="s">
        <v>144</v>
      </c>
      <c r="AF122" s="848" t="s">
        <v>144</v>
      </c>
      <c r="AG122" s="838"/>
      <c r="AH122" s="866" t="s">
        <v>266</v>
      </c>
      <c r="AI122" s="273" t="s">
        <v>267</v>
      </c>
      <c r="AJ122" s="847"/>
      <c r="AK122" s="848" t="s">
        <v>327</v>
      </c>
      <c r="AL122" s="867"/>
      <c r="AM122" s="273"/>
      <c r="AN122" s="847"/>
      <c r="AO122" s="848"/>
      <c r="AP122" s="867" t="s">
        <v>944</v>
      </c>
      <c r="AQ122" s="273" t="s">
        <v>945</v>
      </c>
      <c r="AR122" s="847"/>
      <c r="AS122" s="848" t="s">
        <v>327</v>
      </c>
      <c r="AT122" s="867"/>
      <c r="AU122" s="273"/>
      <c r="AV122" s="847"/>
      <c r="AW122" s="848"/>
      <c r="AX122" s="867"/>
      <c r="AY122" s="273"/>
      <c r="AZ122" s="847"/>
      <c r="BA122" s="848"/>
      <c r="BB122" s="866"/>
      <c r="BC122" s="273"/>
      <c r="BD122" s="847"/>
      <c r="BE122" s="848"/>
      <c r="BF122" s="838"/>
    </row>
    <row r="123" spans="1:58" s="87" customFormat="1" ht="54" hidden="1" customHeight="1" x14ac:dyDescent="0.25">
      <c r="A123" s="267" t="s">
        <v>922</v>
      </c>
      <c r="B123" s="268">
        <v>7</v>
      </c>
      <c r="C123" s="240" t="s">
        <v>256</v>
      </c>
      <c r="D123" s="270" t="s">
        <v>257</v>
      </c>
      <c r="E123" s="268" t="s">
        <v>946</v>
      </c>
      <c r="F123" s="861" t="s">
        <v>331</v>
      </c>
      <c r="G123" s="269" t="s">
        <v>332</v>
      </c>
      <c r="H123" s="845" t="s">
        <v>331</v>
      </c>
      <c r="I123" s="208" t="s">
        <v>332</v>
      </c>
      <c r="J123" s="240" t="s">
        <v>140</v>
      </c>
      <c r="K123" s="270" t="s">
        <v>140</v>
      </c>
      <c r="L123" s="862" t="s">
        <v>947</v>
      </c>
      <c r="M123" s="206" t="s">
        <v>193</v>
      </c>
      <c r="N123" s="211" t="s">
        <v>194</v>
      </c>
      <c r="O123" s="240" t="s">
        <v>144</v>
      </c>
      <c r="P123" s="240" t="s">
        <v>144</v>
      </c>
      <c r="Q123" s="863" t="s">
        <v>948</v>
      </c>
      <c r="R123" s="271" t="s">
        <v>949</v>
      </c>
      <c r="S123" s="864" t="s">
        <v>147</v>
      </c>
      <c r="T123" s="212" t="s">
        <v>144</v>
      </c>
      <c r="U123" s="213" t="s">
        <v>144</v>
      </c>
      <c r="V123" s="847">
        <v>1</v>
      </c>
      <c r="W123" s="415" t="s">
        <v>144</v>
      </c>
      <c r="X123" s="212" t="s">
        <v>925</v>
      </c>
      <c r="Y123" s="212" t="s">
        <v>144</v>
      </c>
      <c r="Z123" s="212" t="s">
        <v>144</v>
      </c>
      <c r="AA123" s="343" t="s">
        <v>148</v>
      </c>
      <c r="AB123" s="206" t="s">
        <v>140</v>
      </c>
      <c r="AC123" s="865" t="s">
        <v>265</v>
      </c>
      <c r="AD123" s="847" t="s">
        <v>144</v>
      </c>
      <c r="AE123" s="847" t="s">
        <v>144</v>
      </c>
      <c r="AF123" s="848" t="s">
        <v>144</v>
      </c>
      <c r="AG123" s="838"/>
      <c r="AH123" s="866"/>
      <c r="AI123" s="273"/>
      <c r="AJ123" s="847"/>
      <c r="AK123" s="848"/>
      <c r="AL123" s="867"/>
      <c r="AM123" s="273"/>
      <c r="AN123" s="847"/>
      <c r="AO123" s="848"/>
      <c r="AP123" s="867" t="s">
        <v>950</v>
      </c>
      <c r="AQ123" s="273" t="s">
        <v>951</v>
      </c>
      <c r="AR123" s="847"/>
      <c r="AS123" s="848" t="s">
        <v>952</v>
      </c>
      <c r="AT123" s="867" t="s">
        <v>953</v>
      </c>
      <c r="AU123" s="273" t="s">
        <v>954</v>
      </c>
      <c r="AV123" s="847"/>
      <c r="AW123" s="848" t="s">
        <v>952</v>
      </c>
      <c r="AX123" s="867"/>
      <c r="AY123" s="273"/>
      <c r="AZ123" s="847"/>
      <c r="BA123" s="848"/>
      <c r="BB123" s="866"/>
      <c r="BC123" s="273"/>
      <c r="BD123" s="847"/>
      <c r="BE123" s="848"/>
      <c r="BF123" s="838"/>
    </row>
    <row r="124" spans="1:58" s="87" customFormat="1" ht="54" hidden="1" customHeight="1" x14ac:dyDescent="0.25">
      <c r="A124" s="267" t="s">
        <v>922</v>
      </c>
      <c r="B124" s="268">
        <v>8</v>
      </c>
      <c r="C124" s="240" t="s">
        <v>256</v>
      </c>
      <c r="D124" s="270" t="s">
        <v>257</v>
      </c>
      <c r="E124" s="268" t="s">
        <v>955</v>
      </c>
      <c r="F124" s="861" t="s">
        <v>956</v>
      </c>
      <c r="G124" s="269" t="s">
        <v>957</v>
      </c>
      <c r="H124" s="845" t="s">
        <v>958</v>
      </c>
      <c r="I124" s="208" t="s">
        <v>959</v>
      </c>
      <c r="J124" s="240" t="s">
        <v>140</v>
      </c>
      <c r="K124" s="270" t="s">
        <v>140</v>
      </c>
      <c r="L124" s="862" t="s">
        <v>960</v>
      </c>
      <c r="M124" s="206" t="s">
        <v>193</v>
      </c>
      <c r="N124" s="211" t="s">
        <v>194</v>
      </c>
      <c r="O124" s="240" t="s">
        <v>961</v>
      </c>
      <c r="P124" s="240" t="s">
        <v>962</v>
      </c>
      <c r="Q124" s="863" t="s">
        <v>963</v>
      </c>
      <c r="R124" s="271" t="s">
        <v>964</v>
      </c>
      <c r="S124" s="864" t="s">
        <v>965</v>
      </c>
      <c r="T124" s="212" t="s">
        <v>144</v>
      </c>
      <c r="U124" s="213" t="s">
        <v>144</v>
      </c>
      <c r="V124" s="847">
        <v>2</v>
      </c>
      <c r="W124" s="415" t="s">
        <v>144</v>
      </c>
      <c r="X124" s="212" t="s">
        <v>925</v>
      </c>
      <c r="Y124" s="212" t="s">
        <v>144</v>
      </c>
      <c r="Z124" s="212" t="s">
        <v>144</v>
      </c>
      <c r="AA124" s="343" t="s">
        <v>148</v>
      </c>
      <c r="AB124" s="206" t="s">
        <v>140</v>
      </c>
      <c r="AC124" s="865" t="s">
        <v>265</v>
      </c>
      <c r="AD124" s="847" t="s">
        <v>144</v>
      </c>
      <c r="AE124" s="847" t="s">
        <v>144</v>
      </c>
      <c r="AF124" s="848" t="s">
        <v>144</v>
      </c>
      <c r="AG124" s="838"/>
      <c r="AH124" s="866"/>
      <c r="AI124" s="273"/>
      <c r="AJ124" s="847"/>
      <c r="AK124" s="848"/>
      <c r="AL124" s="867" t="s">
        <v>294</v>
      </c>
      <c r="AM124" s="273" t="s">
        <v>295</v>
      </c>
      <c r="AN124" s="847">
        <v>7</v>
      </c>
      <c r="AO124" s="848" t="s">
        <v>966</v>
      </c>
      <c r="AP124" s="867"/>
      <c r="AQ124" s="273"/>
      <c r="AR124" s="847"/>
      <c r="AS124" s="848"/>
      <c r="AT124" s="867"/>
      <c r="AU124" s="273"/>
      <c r="AV124" s="847"/>
      <c r="AW124" s="848"/>
      <c r="AX124" s="867"/>
      <c r="AY124" s="273"/>
      <c r="AZ124" s="847"/>
      <c r="BA124" s="848"/>
      <c r="BB124" s="866"/>
      <c r="BC124" s="273"/>
      <c r="BD124" s="847"/>
      <c r="BE124" s="848"/>
      <c r="BF124" s="838"/>
    </row>
    <row r="125" spans="1:58" s="87" customFormat="1" ht="54" hidden="1" customHeight="1" x14ac:dyDescent="0.25">
      <c r="A125" s="267" t="s">
        <v>922</v>
      </c>
      <c r="B125" s="268">
        <v>9</v>
      </c>
      <c r="C125" s="240" t="s">
        <v>256</v>
      </c>
      <c r="D125" s="270" t="s">
        <v>257</v>
      </c>
      <c r="E125" s="268" t="s">
        <v>967</v>
      </c>
      <c r="F125" s="861" t="s">
        <v>968</v>
      </c>
      <c r="G125" s="269" t="s">
        <v>969</v>
      </c>
      <c r="H125" s="845" t="s">
        <v>970</v>
      </c>
      <c r="I125" s="208" t="s">
        <v>971</v>
      </c>
      <c r="J125" s="240" t="s">
        <v>140</v>
      </c>
      <c r="K125" s="270" t="s">
        <v>140</v>
      </c>
      <c r="L125" s="862" t="s">
        <v>972</v>
      </c>
      <c r="M125" s="206" t="s">
        <v>973</v>
      </c>
      <c r="N125" s="211" t="s">
        <v>974</v>
      </c>
      <c r="O125" s="437" t="s">
        <v>144</v>
      </c>
      <c r="P125" s="240" t="s">
        <v>144</v>
      </c>
      <c r="Q125" s="863" t="s">
        <v>975</v>
      </c>
      <c r="R125" s="271" t="s">
        <v>523</v>
      </c>
      <c r="S125" s="864" t="s">
        <v>965</v>
      </c>
      <c r="T125" s="212" t="s">
        <v>144</v>
      </c>
      <c r="U125" s="213" t="s">
        <v>144</v>
      </c>
      <c r="V125" s="847">
        <v>4</v>
      </c>
      <c r="W125" s="415" t="s">
        <v>144</v>
      </c>
      <c r="X125" s="212" t="s">
        <v>925</v>
      </c>
      <c r="Y125" s="212" t="s">
        <v>144</v>
      </c>
      <c r="Z125" s="212" t="s">
        <v>144</v>
      </c>
      <c r="AA125" s="343" t="s">
        <v>148</v>
      </c>
      <c r="AB125" s="206" t="s">
        <v>140</v>
      </c>
      <c r="AC125" s="865" t="s">
        <v>265</v>
      </c>
      <c r="AD125" s="847" t="s">
        <v>144</v>
      </c>
      <c r="AE125" s="847" t="s">
        <v>144</v>
      </c>
      <c r="AF125" s="848" t="s">
        <v>144</v>
      </c>
      <c r="AG125" s="838"/>
      <c r="AH125" s="866" t="s">
        <v>976</v>
      </c>
      <c r="AI125" s="273" t="s">
        <v>977</v>
      </c>
      <c r="AJ125" s="847"/>
      <c r="AK125" s="848" t="s">
        <v>978</v>
      </c>
      <c r="AL125" s="867" t="s">
        <v>979</v>
      </c>
      <c r="AM125" s="273" t="s">
        <v>980</v>
      </c>
      <c r="AN125" s="847"/>
      <c r="AO125" s="848" t="s">
        <v>981</v>
      </c>
      <c r="AP125" s="867"/>
      <c r="AQ125" s="273"/>
      <c r="AR125" s="847"/>
      <c r="AS125" s="848"/>
      <c r="AT125" s="867"/>
      <c r="AU125" s="273"/>
      <c r="AV125" s="847"/>
      <c r="AW125" s="848"/>
      <c r="AX125" s="867"/>
      <c r="AY125" s="273"/>
      <c r="AZ125" s="847"/>
      <c r="BA125" s="848"/>
      <c r="BB125" s="866"/>
      <c r="BC125" s="273"/>
      <c r="BD125" s="847"/>
      <c r="BE125" s="848"/>
      <c r="BF125" s="838"/>
    </row>
    <row r="126" spans="1:58" s="55" customFormat="1" ht="54" customHeight="1" x14ac:dyDescent="0.25">
      <c r="A126" s="275" t="s">
        <v>922</v>
      </c>
      <c r="B126" s="276">
        <v>10</v>
      </c>
      <c r="C126" s="253" t="s">
        <v>144</v>
      </c>
      <c r="D126" s="253" t="s">
        <v>144</v>
      </c>
      <c r="E126" s="276" t="s">
        <v>982</v>
      </c>
      <c r="F126" s="277" t="s">
        <v>251</v>
      </c>
      <c r="G126" s="277" t="s">
        <v>251</v>
      </c>
      <c r="H126" s="220" t="s">
        <v>336</v>
      </c>
      <c r="I126" s="218" t="s">
        <v>337</v>
      </c>
      <c r="J126" s="253" t="s">
        <v>144</v>
      </c>
      <c r="K126" s="253" t="s">
        <v>144</v>
      </c>
      <c r="L126" s="718" t="s">
        <v>983</v>
      </c>
      <c r="M126" s="278" t="s">
        <v>144</v>
      </c>
      <c r="N126" s="253" t="s">
        <v>144</v>
      </c>
      <c r="O126" s="253" t="s">
        <v>144</v>
      </c>
      <c r="P126" s="253" t="s">
        <v>144</v>
      </c>
      <c r="Q126" s="220" t="s">
        <v>338</v>
      </c>
      <c r="R126" s="220" t="s">
        <v>339</v>
      </c>
      <c r="S126" s="276" t="s">
        <v>147</v>
      </c>
      <c r="T126" s="221" t="s">
        <v>144</v>
      </c>
      <c r="U126" s="221" t="s">
        <v>144</v>
      </c>
      <c r="V126" s="253">
        <v>3</v>
      </c>
      <c r="W126" s="217" t="s">
        <v>144</v>
      </c>
      <c r="X126" s="221" t="s">
        <v>144</v>
      </c>
      <c r="Y126" s="221" t="s">
        <v>144</v>
      </c>
      <c r="Z126" s="221" t="s">
        <v>144</v>
      </c>
      <c r="AA126" s="278" t="s">
        <v>144</v>
      </c>
      <c r="AB126" s="217" t="s">
        <v>144</v>
      </c>
      <c r="AC126" s="278" t="s">
        <v>265</v>
      </c>
      <c r="AD126" s="253" t="s">
        <v>144</v>
      </c>
      <c r="AE126" s="253" t="s">
        <v>144</v>
      </c>
      <c r="AF126" s="254" t="s">
        <v>144</v>
      </c>
      <c r="AG126" s="838"/>
      <c r="AH126" s="280"/>
      <c r="AI126" s="281"/>
      <c r="AJ126" s="253"/>
      <c r="AK126" s="254"/>
      <c r="AL126" s="281"/>
      <c r="AM126" s="281"/>
      <c r="AN126" s="253"/>
      <c r="AO126" s="254"/>
      <c r="AP126" s="281"/>
      <c r="AQ126" s="281"/>
      <c r="AR126" s="253"/>
      <c r="AS126" s="254"/>
      <c r="AT126" s="281"/>
      <c r="AU126" s="281"/>
      <c r="AV126" s="253"/>
      <c r="AW126" s="254"/>
      <c r="AX126" s="281"/>
      <c r="AY126" s="281"/>
      <c r="AZ126" s="253"/>
      <c r="BA126" s="254"/>
      <c r="BB126" s="280"/>
      <c r="BC126" s="281"/>
      <c r="BD126" s="253"/>
      <c r="BE126" s="254"/>
      <c r="BF126" s="838"/>
    </row>
    <row r="127" spans="1:58" s="55" customFormat="1" ht="54" hidden="1" customHeight="1" x14ac:dyDescent="0.25">
      <c r="A127" s="275" t="s">
        <v>922</v>
      </c>
      <c r="B127" s="276">
        <v>11</v>
      </c>
      <c r="C127" s="253" t="s">
        <v>144</v>
      </c>
      <c r="D127" s="217" t="s">
        <v>144</v>
      </c>
      <c r="E127" s="276" t="s">
        <v>984</v>
      </c>
      <c r="F127" s="277" t="s">
        <v>985</v>
      </c>
      <c r="G127" s="277" t="s">
        <v>344</v>
      </c>
      <c r="H127" s="218" t="s">
        <v>986</v>
      </c>
      <c r="I127" s="218" t="s">
        <v>987</v>
      </c>
      <c r="J127" s="253" t="s">
        <v>144</v>
      </c>
      <c r="K127" s="253" t="s">
        <v>144</v>
      </c>
      <c r="L127" s="718" t="s">
        <v>988</v>
      </c>
      <c r="M127" s="278" t="s">
        <v>144</v>
      </c>
      <c r="N127" s="253" t="s">
        <v>144</v>
      </c>
      <c r="O127" s="253" t="s">
        <v>144</v>
      </c>
      <c r="P127" s="253" t="s">
        <v>144</v>
      </c>
      <c r="Q127" s="220" t="s">
        <v>338</v>
      </c>
      <c r="R127" s="220" t="s">
        <v>339</v>
      </c>
      <c r="S127" s="276" t="s">
        <v>147</v>
      </c>
      <c r="T127" s="221" t="s">
        <v>144</v>
      </c>
      <c r="U127" s="221" t="s">
        <v>144</v>
      </c>
      <c r="V127" s="253">
        <v>20</v>
      </c>
      <c r="W127" s="217" t="s">
        <v>144</v>
      </c>
      <c r="X127" s="221" t="s">
        <v>144</v>
      </c>
      <c r="Y127" s="221">
        <v>43</v>
      </c>
      <c r="Z127" s="221" t="s">
        <v>144</v>
      </c>
      <c r="AA127" s="278" t="s">
        <v>144</v>
      </c>
      <c r="AB127" s="217" t="s">
        <v>144</v>
      </c>
      <c r="AC127" s="278" t="s">
        <v>265</v>
      </c>
      <c r="AD127" s="253" t="s">
        <v>144</v>
      </c>
      <c r="AE127" s="253" t="s">
        <v>144</v>
      </c>
      <c r="AF127" s="254" t="s">
        <v>144</v>
      </c>
      <c r="AG127" s="838"/>
      <c r="AH127" s="280"/>
      <c r="AI127" s="281"/>
      <c r="AJ127" s="253"/>
      <c r="AK127" s="254"/>
      <c r="AL127" s="281"/>
      <c r="AM127" s="281"/>
      <c r="AN127" s="253"/>
      <c r="AO127" s="254"/>
      <c r="AP127" s="281"/>
      <c r="AQ127" s="281"/>
      <c r="AR127" s="253"/>
      <c r="AS127" s="254"/>
      <c r="AT127" s="281"/>
      <c r="AU127" s="281"/>
      <c r="AV127" s="253"/>
      <c r="AW127" s="254"/>
      <c r="AX127" s="281"/>
      <c r="AY127" s="281"/>
      <c r="AZ127" s="253"/>
      <c r="BA127" s="254"/>
      <c r="BB127" s="280"/>
      <c r="BC127" s="281"/>
      <c r="BD127" s="253"/>
      <c r="BE127" s="254"/>
      <c r="BF127" s="838"/>
    </row>
    <row r="128" spans="1:58" s="55" customFormat="1" ht="54" hidden="1" customHeight="1" x14ac:dyDescent="0.25">
      <c r="A128" s="275" t="s">
        <v>922</v>
      </c>
      <c r="B128" s="276">
        <v>12</v>
      </c>
      <c r="C128" s="253" t="s">
        <v>144</v>
      </c>
      <c r="D128" s="217" t="s">
        <v>144</v>
      </c>
      <c r="E128" s="276" t="s">
        <v>989</v>
      </c>
      <c r="F128" s="277" t="s">
        <v>990</v>
      </c>
      <c r="G128" s="277" t="s">
        <v>351</v>
      </c>
      <c r="H128" s="218" t="s">
        <v>991</v>
      </c>
      <c r="I128" s="218" t="s">
        <v>992</v>
      </c>
      <c r="J128" s="253" t="s">
        <v>144</v>
      </c>
      <c r="K128" s="253" t="s">
        <v>144</v>
      </c>
      <c r="L128" s="718" t="s">
        <v>993</v>
      </c>
      <c r="M128" s="278" t="s">
        <v>144</v>
      </c>
      <c r="N128" s="253" t="s">
        <v>144</v>
      </c>
      <c r="O128" s="253" t="s">
        <v>144</v>
      </c>
      <c r="P128" s="253" t="s">
        <v>144</v>
      </c>
      <c r="Q128" s="220" t="s">
        <v>338</v>
      </c>
      <c r="R128" s="220" t="s">
        <v>339</v>
      </c>
      <c r="S128" s="276" t="s">
        <v>147</v>
      </c>
      <c r="T128" s="221" t="s">
        <v>144</v>
      </c>
      <c r="U128" s="221" t="s">
        <v>144</v>
      </c>
      <c r="V128" s="253">
        <v>10</v>
      </c>
      <c r="W128" s="217" t="s">
        <v>144</v>
      </c>
      <c r="X128" s="221" t="s">
        <v>144</v>
      </c>
      <c r="Y128" s="221">
        <v>43</v>
      </c>
      <c r="Z128" s="221" t="s">
        <v>144</v>
      </c>
      <c r="AA128" s="278" t="s">
        <v>144</v>
      </c>
      <c r="AB128" s="217" t="s">
        <v>144</v>
      </c>
      <c r="AC128" s="278" t="s">
        <v>265</v>
      </c>
      <c r="AD128" s="253" t="s">
        <v>144</v>
      </c>
      <c r="AE128" s="253" t="s">
        <v>144</v>
      </c>
      <c r="AF128" s="254" t="s">
        <v>144</v>
      </c>
      <c r="AG128" s="838"/>
      <c r="AH128" s="280"/>
      <c r="AI128" s="281"/>
      <c r="AJ128" s="253"/>
      <c r="AK128" s="254"/>
      <c r="AL128" s="281"/>
      <c r="AM128" s="281"/>
      <c r="AN128" s="253"/>
      <c r="AO128" s="254"/>
      <c r="AP128" s="281"/>
      <c r="AQ128" s="281"/>
      <c r="AR128" s="253"/>
      <c r="AS128" s="254"/>
      <c r="AT128" s="281"/>
      <c r="AU128" s="281"/>
      <c r="AV128" s="253"/>
      <c r="AW128" s="254"/>
      <c r="AX128" s="281"/>
      <c r="AY128" s="281"/>
      <c r="AZ128" s="253"/>
      <c r="BA128" s="254"/>
      <c r="BB128" s="280"/>
      <c r="BC128" s="281"/>
      <c r="BD128" s="253"/>
      <c r="BE128" s="254"/>
      <c r="BF128" s="838"/>
    </row>
    <row r="129" spans="1:58" s="87" customFormat="1" ht="54" hidden="1" customHeight="1" x14ac:dyDescent="0.25">
      <c r="A129" s="267" t="s">
        <v>922</v>
      </c>
      <c r="B129" s="268">
        <v>13</v>
      </c>
      <c r="C129" s="240" t="s">
        <v>994</v>
      </c>
      <c r="D129" s="211" t="s">
        <v>995</v>
      </c>
      <c r="E129" s="268" t="s">
        <v>996</v>
      </c>
      <c r="F129" s="861" t="s">
        <v>357</v>
      </c>
      <c r="G129" s="269" t="s">
        <v>358</v>
      </c>
      <c r="H129" s="845" t="s">
        <v>357</v>
      </c>
      <c r="I129" s="208" t="s">
        <v>997</v>
      </c>
      <c r="J129" s="240" t="s">
        <v>140</v>
      </c>
      <c r="K129" s="270" t="s">
        <v>140</v>
      </c>
      <c r="L129" s="862" t="s">
        <v>998</v>
      </c>
      <c r="M129" s="206" t="s">
        <v>142</v>
      </c>
      <c r="N129" s="211" t="s">
        <v>143</v>
      </c>
      <c r="O129" s="240" t="s">
        <v>144</v>
      </c>
      <c r="P129" s="240" t="s">
        <v>144</v>
      </c>
      <c r="Q129" s="863" t="s">
        <v>999</v>
      </c>
      <c r="R129" s="271" t="s">
        <v>1000</v>
      </c>
      <c r="S129" s="864" t="s">
        <v>147</v>
      </c>
      <c r="T129" s="212" t="s">
        <v>144</v>
      </c>
      <c r="U129" s="213" t="s">
        <v>144</v>
      </c>
      <c r="V129" s="847">
        <v>30</v>
      </c>
      <c r="W129" s="415" t="s">
        <v>144</v>
      </c>
      <c r="X129" s="212" t="s">
        <v>925</v>
      </c>
      <c r="Y129" s="212" t="s">
        <v>144</v>
      </c>
      <c r="Z129" s="241" t="s">
        <v>144</v>
      </c>
      <c r="AA129" s="616" t="s">
        <v>1001</v>
      </c>
      <c r="AB129" s="206" t="s">
        <v>140</v>
      </c>
      <c r="AC129" s="865" t="s">
        <v>265</v>
      </c>
      <c r="AD129" s="847" t="s">
        <v>144</v>
      </c>
      <c r="AE129" s="847" t="s">
        <v>144</v>
      </c>
      <c r="AF129" s="848" t="s">
        <v>144</v>
      </c>
      <c r="AG129" s="838"/>
      <c r="AH129" s="866" t="s">
        <v>266</v>
      </c>
      <c r="AI129" s="273" t="s">
        <v>267</v>
      </c>
      <c r="AJ129" s="847">
        <v>7</v>
      </c>
      <c r="AK129" s="848" t="s">
        <v>1002</v>
      </c>
      <c r="AL129" s="867"/>
      <c r="AM129" s="273"/>
      <c r="AN129" s="847"/>
      <c r="AO129" s="848"/>
      <c r="AP129" s="867"/>
      <c r="AQ129" s="273"/>
      <c r="AR129" s="847"/>
      <c r="AS129" s="848"/>
      <c r="AT129" s="867"/>
      <c r="AU129" s="273"/>
      <c r="AV129" s="847"/>
      <c r="AW129" s="848"/>
      <c r="AX129" s="867" t="s">
        <v>1003</v>
      </c>
      <c r="AY129" s="273" t="s">
        <v>1004</v>
      </c>
      <c r="AZ129" s="847">
        <v>7</v>
      </c>
      <c r="BA129" s="848" t="s">
        <v>1005</v>
      </c>
      <c r="BB129" s="866"/>
      <c r="BC129" s="273"/>
      <c r="BD129" s="847"/>
      <c r="BE129" s="848"/>
      <c r="BF129" s="838"/>
    </row>
    <row r="130" spans="1:58" s="54" customFormat="1" ht="54" hidden="1" customHeight="1" x14ac:dyDescent="0.25">
      <c r="A130" s="216" t="s">
        <v>922</v>
      </c>
      <c r="B130" s="217">
        <v>14</v>
      </c>
      <c r="C130" s="253" t="s">
        <v>256</v>
      </c>
      <c r="D130" s="217" t="s">
        <v>257</v>
      </c>
      <c r="E130" s="219" t="s">
        <v>1006</v>
      </c>
      <c r="F130" s="220" t="s">
        <v>361</v>
      </c>
      <c r="G130" s="220" t="s">
        <v>362</v>
      </c>
      <c r="H130" s="220" t="s">
        <v>361</v>
      </c>
      <c r="I130" s="220" t="s">
        <v>1007</v>
      </c>
      <c r="J130" s="217" t="s">
        <v>144</v>
      </c>
      <c r="K130" s="217" t="s">
        <v>144</v>
      </c>
      <c r="L130" s="708" t="s">
        <v>1008</v>
      </c>
      <c r="M130" s="217" t="s">
        <v>144</v>
      </c>
      <c r="N130" s="217" t="s">
        <v>144</v>
      </c>
      <c r="O130" s="219" t="s">
        <v>144</v>
      </c>
      <c r="P130" s="219" t="s">
        <v>144</v>
      </c>
      <c r="Q130" s="220" t="s">
        <v>144</v>
      </c>
      <c r="R130" s="220" t="s">
        <v>144</v>
      </c>
      <c r="S130" s="219" t="s">
        <v>147</v>
      </c>
      <c r="T130" s="221" t="s">
        <v>144</v>
      </c>
      <c r="U130" s="221" t="s">
        <v>144</v>
      </c>
      <c r="V130" s="217">
        <v>30</v>
      </c>
      <c r="W130" s="217" t="s">
        <v>144</v>
      </c>
      <c r="X130" s="222" t="s">
        <v>144</v>
      </c>
      <c r="Y130" s="222" t="s">
        <v>144</v>
      </c>
      <c r="Z130" s="222" t="s">
        <v>144</v>
      </c>
      <c r="AA130" s="217" t="s">
        <v>144</v>
      </c>
      <c r="AB130" s="217" t="s">
        <v>144</v>
      </c>
      <c r="AC130" s="217" t="s">
        <v>265</v>
      </c>
      <c r="AD130" s="217" t="s">
        <v>144</v>
      </c>
      <c r="AE130" s="217" t="s">
        <v>144</v>
      </c>
      <c r="AF130" s="223" t="s">
        <v>144</v>
      </c>
      <c r="AG130" s="838"/>
      <c r="AH130" s="224"/>
      <c r="AI130" s="225"/>
      <c r="AJ130" s="219"/>
      <c r="AK130" s="226"/>
      <c r="AL130" s="225"/>
      <c r="AM130" s="225"/>
      <c r="AN130" s="219"/>
      <c r="AO130" s="226"/>
      <c r="AP130" s="225"/>
      <c r="AQ130" s="225"/>
      <c r="AR130" s="219"/>
      <c r="AS130" s="226"/>
      <c r="AT130" s="227"/>
      <c r="AU130" s="227"/>
      <c r="AV130" s="219"/>
      <c r="AW130" s="226"/>
      <c r="AX130" s="225"/>
      <c r="AY130" s="225"/>
      <c r="AZ130" s="219"/>
      <c r="BA130" s="226"/>
      <c r="BB130" s="224"/>
      <c r="BC130" s="225"/>
      <c r="BD130" s="219"/>
      <c r="BE130" s="226"/>
      <c r="BF130" s="838"/>
    </row>
    <row r="131" spans="1:58" s="55" customFormat="1" ht="54" hidden="1" customHeight="1" x14ac:dyDescent="0.25">
      <c r="A131" s="275" t="s">
        <v>922</v>
      </c>
      <c r="B131" s="276">
        <v>15</v>
      </c>
      <c r="C131" s="253" t="s">
        <v>144</v>
      </c>
      <c r="D131" s="217" t="s">
        <v>144</v>
      </c>
      <c r="E131" s="276" t="s">
        <v>1009</v>
      </c>
      <c r="F131" s="277" t="s">
        <v>365</v>
      </c>
      <c r="G131" s="277" t="s">
        <v>366</v>
      </c>
      <c r="H131" s="218" t="s">
        <v>365</v>
      </c>
      <c r="I131" s="218" t="s">
        <v>367</v>
      </c>
      <c r="J131" s="253" t="s">
        <v>144</v>
      </c>
      <c r="K131" s="253" t="s">
        <v>144</v>
      </c>
      <c r="L131" s="718" t="s">
        <v>1010</v>
      </c>
      <c r="M131" s="253" t="s">
        <v>144</v>
      </c>
      <c r="N131" s="253" t="s">
        <v>144</v>
      </c>
      <c r="O131" s="253" t="s">
        <v>144</v>
      </c>
      <c r="P131" s="253" t="s">
        <v>144</v>
      </c>
      <c r="Q131" s="279" t="s">
        <v>144</v>
      </c>
      <c r="R131" s="279" t="s">
        <v>144</v>
      </c>
      <c r="S131" s="276" t="s">
        <v>147</v>
      </c>
      <c r="T131" s="221" t="s">
        <v>144</v>
      </c>
      <c r="U131" s="221" t="s">
        <v>144</v>
      </c>
      <c r="V131" s="253">
        <v>40</v>
      </c>
      <c r="W131" s="217" t="s">
        <v>144</v>
      </c>
      <c r="X131" s="221" t="s">
        <v>144</v>
      </c>
      <c r="Y131" s="221">
        <v>43</v>
      </c>
      <c r="Z131" s="221" t="s">
        <v>144</v>
      </c>
      <c r="AA131" s="278" t="s">
        <v>144</v>
      </c>
      <c r="AB131" s="217" t="s">
        <v>144</v>
      </c>
      <c r="AC131" s="278" t="s">
        <v>265</v>
      </c>
      <c r="AD131" s="253" t="s">
        <v>144</v>
      </c>
      <c r="AE131" s="253" t="s">
        <v>144</v>
      </c>
      <c r="AF131" s="254" t="s">
        <v>144</v>
      </c>
      <c r="AG131" s="838"/>
      <c r="AH131" s="280"/>
      <c r="AI131" s="281"/>
      <c r="AJ131" s="253"/>
      <c r="AK131" s="254"/>
      <c r="AL131" s="281"/>
      <c r="AM131" s="281"/>
      <c r="AN131" s="253"/>
      <c r="AO131" s="254"/>
      <c r="AP131" s="281"/>
      <c r="AQ131" s="281"/>
      <c r="AR131" s="253"/>
      <c r="AS131" s="254"/>
      <c r="AT131" s="281"/>
      <c r="AU131" s="281"/>
      <c r="AV131" s="253"/>
      <c r="AW131" s="254"/>
      <c r="AX131" s="281"/>
      <c r="AY131" s="281"/>
      <c r="AZ131" s="253"/>
      <c r="BA131" s="254"/>
      <c r="BB131" s="280"/>
      <c r="BC131" s="281"/>
      <c r="BD131" s="253"/>
      <c r="BE131" s="254"/>
      <c r="BF131" s="838"/>
    </row>
    <row r="132" spans="1:58" s="55" customFormat="1" ht="54" hidden="1" customHeight="1" x14ac:dyDescent="0.25">
      <c r="A132" s="275" t="s">
        <v>922</v>
      </c>
      <c r="B132" s="276">
        <v>16</v>
      </c>
      <c r="C132" s="253" t="s">
        <v>144</v>
      </c>
      <c r="D132" s="217" t="s">
        <v>144</v>
      </c>
      <c r="E132" s="276" t="s">
        <v>1011</v>
      </c>
      <c r="F132" s="277" t="s">
        <v>369</v>
      </c>
      <c r="G132" s="277" t="s">
        <v>370</v>
      </c>
      <c r="H132" s="218" t="s">
        <v>1012</v>
      </c>
      <c r="I132" s="218" t="s">
        <v>1013</v>
      </c>
      <c r="J132" s="253" t="s">
        <v>144</v>
      </c>
      <c r="K132" s="253" t="s">
        <v>144</v>
      </c>
      <c r="L132" s="718" t="s">
        <v>1014</v>
      </c>
      <c r="M132" s="278" t="s">
        <v>144</v>
      </c>
      <c r="N132" s="253" t="s">
        <v>144</v>
      </c>
      <c r="O132" s="253" t="s">
        <v>144</v>
      </c>
      <c r="P132" s="253" t="s">
        <v>144</v>
      </c>
      <c r="Q132" s="279" t="s">
        <v>144</v>
      </c>
      <c r="R132" s="279" t="s">
        <v>144</v>
      </c>
      <c r="S132" s="276" t="s">
        <v>147</v>
      </c>
      <c r="T132" s="221" t="s">
        <v>144</v>
      </c>
      <c r="U132" s="221" t="s">
        <v>144</v>
      </c>
      <c r="V132" s="253">
        <v>40</v>
      </c>
      <c r="W132" s="217" t="s">
        <v>144</v>
      </c>
      <c r="X132" s="221" t="s">
        <v>144</v>
      </c>
      <c r="Y132" s="221">
        <v>43</v>
      </c>
      <c r="Z132" s="221" t="s">
        <v>144</v>
      </c>
      <c r="AA132" s="278" t="s">
        <v>144</v>
      </c>
      <c r="AB132" s="217" t="s">
        <v>144</v>
      </c>
      <c r="AC132" s="278" t="s">
        <v>265</v>
      </c>
      <c r="AD132" s="253" t="s">
        <v>144</v>
      </c>
      <c r="AE132" s="253" t="s">
        <v>144</v>
      </c>
      <c r="AF132" s="254" t="s">
        <v>144</v>
      </c>
      <c r="AG132" s="838"/>
      <c r="AH132" s="280"/>
      <c r="AI132" s="281"/>
      <c r="AJ132" s="253"/>
      <c r="AK132" s="254"/>
      <c r="AL132" s="281"/>
      <c r="AM132" s="281"/>
      <c r="AN132" s="253"/>
      <c r="AO132" s="254"/>
      <c r="AP132" s="281"/>
      <c r="AQ132" s="281"/>
      <c r="AR132" s="253"/>
      <c r="AS132" s="254"/>
      <c r="AT132" s="281"/>
      <c r="AU132" s="281"/>
      <c r="AV132" s="253"/>
      <c r="AW132" s="254"/>
      <c r="AX132" s="281"/>
      <c r="AY132" s="281"/>
      <c r="AZ132" s="253"/>
      <c r="BA132" s="254"/>
      <c r="BB132" s="280"/>
      <c r="BC132" s="281"/>
      <c r="BD132" s="253"/>
      <c r="BE132" s="254"/>
      <c r="BF132" s="838"/>
    </row>
    <row r="133" spans="1:58" s="54" customFormat="1" ht="54" hidden="1" customHeight="1" x14ac:dyDescent="0.25">
      <c r="A133" s="216" t="s">
        <v>922</v>
      </c>
      <c r="B133" s="217">
        <v>17</v>
      </c>
      <c r="C133" s="253" t="s">
        <v>340</v>
      </c>
      <c r="D133" s="217" t="s">
        <v>341</v>
      </c>
      <c r="E133" s="219" t="s">
        <v>1015</v>
      </c>
      <c r="F133" s="220" t="s">
        <v>373</v>
      </c>
      <c r="G133" s="220" t="s">
        <v>1016</v>
      </c>
      <c r="H133" s="220" t="s">
        <v>373</v>
      </c>
      <c r="I133" s="220" t="s">
        <v>375</v>
      </c>
      <c r="J133" s="217" t="s">
        <v>144</v>
      </c>
      <c r="K133" s="217" t="s">
        <v>144</v>
      </c>
      <c r="L133" s="708" t="s">
        <v>1017</v>
      </c>
      <c r="M133" s="217" t="s">
        <v>144</v>
      </c>
      <c r="N133" s="217" t="s">
        <v>144</v>
      </c>
      <c r="O133" s="219" t="s">
        <v>144</v>
      </c>
      <c r="P133" s="219" t="s">
        <v>144</v>
      </c>
      <c r="Q133" s="220" t="s">
        <v>144</v>
      </c>
      <c r="R133" s="220" t="s">
        <v>144</v>
      </c>
      <c r="S133" s="219" t="s">
        <v>147</v>
      </c>
      <c r="T133" s="221" t="s">
        <v>144</v>
      </c>
      <c r="U133" s="221" t="s">
        <v>144</v>
      </c>
      <c r="V133" s="217">
        <v>40</v>
      </c>
      <c r="W133" s="217" t="s">
        <v>144</v>
      </c>
      <c r="X133" s="222" t="s">
        <v>144</v>
      </c>
      <c r="Y133" s="222" t="s">
        <v>144</v>
      </c>
      <c r="Z133" s="222" t="s">
        <v>144</v>
      </c>
      <c r="AA133" s="217" t="s">
        <v>148</v>
      </c>
      <c r="AB133" s="217" t="s">
        <v>144</v>
      </c>
      <c r="AC133" s="217" t="s">
        <v>265</v>
      </c>
      <c r="AD133" s="217" t="s">
        <v>144</v>
      </c>
      <c r="AE133" s="217" t="s">
        <v>144</v>
      </c>
      <c r="AF133" s="223" t="s">
        <v>144</v>
      </c>
      <c r="AG133" s="838"/>
      <c r="AH133" s="224"/>
      <c r="AI133" s="225"/>
      <c r="AJ133" s="219"/>
      <c r="AK133" s="226"/>
      <c r="AL133" s="225"/>
      <c r="AM133" s="225"/>
      <c r="AN133" s="219"/>
      <c r="AO133" s="226"/>
      <c r="AP133" s="225"/>
      <c r="AQ133" s="225"/>
      <c r="AR133" s="219"/>
      <c r="AS133" s="226"/>
      <c r="AT133" s="227"/>
      <c r="AU133" s="227"/>
      <c r="AV133" s="219"/>
      <c r="AW133" s="226"/>
      <c r="AX133" s="225"/>
      <c r="AY133" s="225"/>
      <c r="AZ133" s="219"/>
      <c r="BA133" s="226"/>
      <c r="BB133" s="224"/>
      <c r="BC133" s="225"/>
      <c r="BD133" s="219"/>
      <c r="BE133" s="226"/>
      <c r="BF133" s="838"/>
    </row>
    <row r="134" spans="1:58" s="56" customFormat="1" ht="54" customHeight="1" x14ac:dyDescent="0.25">
      <c r="A134" s="275" t="s">
        <v>922</v>
      </c>
      <c r="B134" s="276">
        <v>18</v>
      </c>
      <c r="C134" s="253" t="s">
        <v>144</v>
      </c>
      <c r="D134" s="217" t="s">
        <v>144</v>
      </c>
      <c r="E134" s="282" t="s">
        <v>1018</v>
      </c>
      <c r="F134" s="279" t="s">
        <v>251</v>
      </c>
      <c r="G134" s="279" t="s">
        <v>251</v>
      </c>
      <c r="H134" s="220" t="s">
        <v>336</v>
      </c>
      <c r="I134" s="279" t="s">
        <v>337</v>
      </c>
      <c r="J134" s="278" t="s">
        <v>144</v>
      </c>
      <c r="K134" s="278" t="s">
        <v>144</v>
      </c>
      <c r="L134" s="718" t="s">
        <v>1019</v>
      </c>
      <c r="M134" s="278" t="s">
        <v>144</v>
      </c>
      <c r="N134" s="253" t="s">
        <v>144</v>
      </c>
      <c r="O134" s="253" t="s">
        <v>144</v>
      </c>
      <c r="P134" s="253" t="s">
        <v>144</v>
      </c>
      <c r="Q134" s="220" t="s">
        <v>338</v>
      </c>
      <c r="R134" s="220" t="s">
        <v>339</v>
      </c>
      <c r="S134" s="282" t="s">
        <v>147</v>
      </c>
      <c r="T134" s="229" t="s">
        <v>144</v>
      </c>
      <c r="U134" s="229" t="s">
        <v>144</v>
      </c>
      <c r="V134" s="278">
        <v>11</v>
      </c>
      <c r="W134" s="217" t="s">
        <v>144</v>
      </c>
      <c r="X134" s="221" t="s">
        <v>144</v>
      </c>
      <c r="Y134" s="229" t="s">
        <v>144</v>
      </c>
      <c r="Z134" s="229" t="s">
        <v>144</v>
      </c>
      <c r="AA134" s="278" t="s">
        <v>144</v>
      </c>
      <c r="AB134" s="217" t="s">
        <v>144</v>
      </c>
      <c r="AC134" s="278" t="s">
        <v>265</v>
      </c>
      <c r="AD134" s="278" t="s">
        <v>144</v>
      </c>
      <c r="AE134" s="278" t="s">
        <v>144</v>
      </c>
      <c r="AF134" s="283" t="s">
        <v>144</v>
      </c>
      <c r="AG134" s="838"/>
      <c r="AH134" s="280"/>
      <c r="AI134" s="281"/>
      <c r="AJ134" s="253"/>
      <c r="AK134" s="254"/>
      <c r="AL134" s="281"/>
      <c r="AM134" s="281"/>
      <c r="AN134" s="253"/>
      <c r="AO134" s="254"/>
      <c r="AP134" s="281"/>
      <c r="AQ134" s="281"/>
      <c r="AR134" s="253"/>
      <c r="AS134" s="254"/>
      <c r="AT134" s="281"/>
      <c r="AU134" s="281"/>
      <c r="AV134" s="253"/>
      <c r="AW134" s="254"/>
      <c r="AX134" s="281"/>
      <c r="AY134" s="281"/>
      <c r="AZ134" s="253"/>
      <c r="BA134" s="254"/>
      <c r="BB134" s="280"/>
      <c r="BC134" s="281"/>
      <c r="BD134" s="253"/>
      <c r="BE134" s="254"/>
      <c r="BF134" s="838"/>
    </row>
    <row r="135" spans="1:58" s="56" customFormat="1" ht="54" customHeight="1" x14ac:dyDescent="0.25">
      <c r="A135" s="275" t="s">
        <v>922</v>
      </c>
      <c r="B135" s="276">
        <v>19</v>
      </c>
      <c r="C135" s="253" t="s">
        <v>144</v>
      </c>
      <c r="D135" s="217" t="s">
        <v>144</v>
      </c>
      <c r="E135" s="282" t="s">
        <v>1020</v>
      </c>
      <c r="F135" s="279" t="s">
        <v>251</v>
      </c>
      <c r="G135" s="279" t="s">
        <v>251</v>
      </c>
      <c r="H135" s="220" t="s">
        <v>336</v>
      </c>
      <c r="I135" s="279" t="s">
        <v>337</v>
      </c>
      <c r="J135" s="278" t="s">
        <v>144</v>
      </c>
      <c r="K135" s="278" t="s">
        <v>144</v>
      </c>
      <c r="L135" s="718" t="s">
        <v>144</v>
      </c>
      <c r="M135" s="278" t="s">
        <v>144</v>
      </c>
      <c r="N135" s="278" t="s">
        <v>144</v>
      </c>
      <c r="O135" s="253" t="s">
        <v>144</v>
      </c>
      <c r="P135" s="253" t="s">
        <v>144</v>
      </c>
      <c r="Q135" s="220" t="s">
        <v>338</v>
      </c>
      <c r="R135" s="220" t="s">
        <v>339</v>
      </c>
      <c r="S135" s="282" t="s">
        <v>147</v>
      </c>
      <c r="T135" s="229" t="s">
        <v>144</v>
      </c>
      <c r="U135" s="229" t="s">
        <v>144</v>
      </c>
      <c r="V135" s="278">
        <v>7</v>
      </c>
      <c r="W135" s="217" t="s">
        <v>144</v>
      </c>
      <c r="X135" s="221" t="s">
        <v>144</v>
      </c>
      <c r="Y135" s="229" t="s">
        <v>144</v>
      </c>
      <c r="Z135" s="229" t="s">
        <v>144</v>
      </c>
      <c r="AA135" s="278" t="s">
        <v>144</v>
      </c>
      <c r="AB135" s="217" t="s">
        <v>144</v>
      </c>
      <c r="AC135" s="278" t="s">
        <v>265</v>
      </c>
      <c r="AD135" s="278" t="s">
        <v>144</v>
      </c>
      <c r="AE135" s="278" t="s">
        <v>144</v>
      </c>
      <c r="AF135" s="283" t="s">
        <v>144</v>
      </c>
      <c r="AG135" s="838"/>
      <c r="AH135" s="280"/>
      <c r="AI135" s="281"/>
      <c r="AJ135" s="253"/>
      <c r="AK135" s="254"/>
      <c r="AL135" s="281"/>
      <c r="AM135" s="281"/>
      <c r="AN135" s="253"/>
      <c r="AO135" s="254"/>
      <c r="AP135" s="281"/>
      <c r="AQ135" s="281"/>
      <c r="AR135" s="253"/>
      <c r="AS135" s="254"/>
      <c r="AT135" s="281"/>
      <c r="AU135" s="281"/>
      <c r="AV135" s="253"/>
      <c r="AW135" s="254"/>
      <c r="AX135" s="281"/>
      <c r="AY135" s="281"/>
      <c r="AZ135" s="253"/>
      <c r="BA135" s="254"/>
      <c r="BB135" s="280"/>
      <c r="BC135" s="281"/>
      <c r="BD135" s="253"/>
      <c r="BE135" s="254"/>
      <c r="BF135" s="838"/>
    </row>
    <row r="136" spans="1:58" s="56" customFormat="1" ht="54" customHeight="1" x14ac:dyDescent="0.25">
      <c r="A136" s="275" t="s">
        <v>922</v>
      </c>
      <c r="B136" s="276">
        <v>20</v>
      </c>
      <c r="C136" s="253" t="s">
        <v>144</v>
      </c>
      <c r="D136" s="217" t="s">
        <v>144</v>
      </c>
      <c r="E136" s="282" t="s">
        <v>1021</v>
      </c>
      <c r="F136" s="279" t="s">
        <v>251</v>
      </c>
      <c r="G136" s="279" t="s">
        <v>251</v>
      </c>
      <c r="H136" s="220" t="s">
        <v>336</v>
      </c>
      <c r="I136" s="279" t="s">
        <v>337</v>
      </c>
      <c r="J136" s="278" t="s">
        <v>144</v>
      </c>
      <c r="K136" s="278" t="s">
        <v>144</v>
      </c>
      <c r="L136" s="718" t="s">
        <v>144</v>
      </c>
      <c r="M136" s="278" t="s">
        <v>144</v>
      </c>
      <c r="N136" s="278" t="s">
        <v>144</v>
      </c>
      <c r="O136" s="253" t="s">
        <v>144</v>
      </c>
      <c r="P136" s="253" t="s">
        <v>144</v>
      </c>
      <c r="Q136" s="220" t="s">
        <v>338</v>
      </c>
      <c r="R136" s="220" t="s">
        <v>339</v>
      </c>
      <c r="S136" s="282" t="s">
        <v>147</v>
      </c>
      <c r="T136" s="229" t="s">
        <v>144</v>
      </c>
      <c r="U136" s="229" t="s">
        <v>144</v>
      </c>
      <c r="V136" s="278">
        <v>2</v>
      </c>
      <c r="W136" s="217" t="s">
        <v>144</v>
      </c>
      <c r="X136" s="221" t="s">
        <v>144</v>
      </c>
      <c r="Y136" s="229" t="s">
        <v>144</v>
      </c>
      <c r="Z136" s="229" t="s">
        <v>144</v>
      </c>
      <c r="AA136" s="278" t="s">
        <v>144</v>
      </c>
      <c r="AB136" s="217" t="s">
        <v>144</v>
      </c>
      <c r="AC136" s="278" t="s">
        <v>265</v>
      </c>
      <c r="AD136" s="278" t="s">
        <v>144</v>
      </c>
      <c r="AE136" s="278" t="s">
        <v>144</v>
      </c>
      <c r="AF136" s="283" t="s">
        <v>144</v>
      </c>
      <c r="AG136" s="838"/>
      <c r="AH136" s="280"/>
      <c r="AI136" s="281"/>
      <c r="AJ136" s="253"/>
      <c r="AK136" s="254"/>
      <c r="AL136" s="281"/>
      <c r="AM136" s="281"/>
      <c r="AN136" s="253"/>
      <c r="AO136" s="254"/>
      <c r="AP136" s="281"/>
      <c r="AQ136" s="281"/>
      <c r="AR136" s="253"/>
      <c r="AS136" s="254"/>
      <c r="AT136" s="281"/>
      <c r="AU136" s="281"/>
      <c r="AV136" s="253"/>
      <c r="AW136" s="254"/>
      <c r="AX136" s="281"/>
      <c r="AY136" s="281"/>
      <c r="AZ136" s="253"/>
      <c r="BA136" s="254"/>
      <c r="BB136" s="280"/>
      <c r="BC136" s="281"/>
      <c r="BD136" s="253"/>
      <c r="BE136" s="254"/>
      <c r="BF136" s="838"/>
    </row>
    <row r="137" spans="1:58" s="87" customFormat="1" ht="54" hidden="1" customHeight="1" x14ac:dyDescent="0.25">
      <c r="A137" s="267" t="s">
        <v>922</v>
      </c>
      <c r="B137" s="268">
        <v>21</v>
      </c>
      <c r="C137" s="240" t="s">
        <v>1022</v>
      </c>
      <c r="D137" s="211" t="s">
        <v>1023</v>
      </c>
      <c r="E137" s="268" t="s">
        <v>1024</v>
      </c>
      <c r="F137" s="861" t="s">
        <v>1025</v>
      </c>
      <c r="G137" s="269" t="s">
        <v>1026</v>
      </c>
      <c r="H137" s="845" t="s">
        <v>1027</v>
      </c>
      <c r="I137" s="208" t="s">
        <v>1028</v>
      </c>
      <c r="J137" s="240" t="s">
        <v>140</v>
      </c>
      <c r="K137" s="270" t="s">
        <v>140</v>
      </c>
      <c r="L137" s="862" t="s">
        <v>1029</v>
      </c>
      <c r="M137" s="206" t="s">
        <v>193</v>
      </c>
      <c r="N137" s="211" t="s">
        <v>194</v>
      </c>
      <c r="O137" s="240" t="s">
        <v>144</v>
      </c>
      <c r="P137" s="240" t="s">
        <v>144</v>
      </c>
      <c r="Q137" s="863" t="s">
        <v>1030</v>
      </c>
      <c r="R137" s="271" t="s">
        <v>1031</v>
      </c>
      <c r="S137" s="864" t="s">
        <v>147</v>
      </c>
      <c r="T137" s="212" t="s">
        <v>144</v>
      </c>
      <c r="U137" s="213" t="s">
        <v>144</v>
      </c>
      <c r="V137" s="847">
        <v>50</v>
      </c>
      <c r="W137" s="415" t="s">
        <v>144</v>
      </c>
      <c r="X137" s="212">
        <v>40</v>
      </c>
      <c r="Y137" s="212" t="s">
        <v>144</v>
      </c>
      <c r="Z137" s="212" t="s">
        <v>144</v>
      </c>
      <c r="AA137" s="343" t="s">
        <v>148</v>
      </c>
      <c r="AB137" s="206" t="s">
        <v>140</v>
      </c>
      <c r="AC137" s="865" t="s">
        <v>265</v>
      </c>
      <c r="AD137" s="847" t="s">
        <v>144</v>
      </c>
      <c r="AE137" s="847" t="s">
        <v>144</v>
      </c>
      <c r="AF137" s="848" t="s">
        <v>144</v>
      </c>
      <c r="AG137" s="838"/>
      <c r="AH137" s="866"/>
      <c r="AI137" s="273"/>
      <c r="AJ137" s="847"/>
      <c r="AK137" s="848"/>
      <c r="AL137" s="867"/>
      <c r="AM137" s="273"/>
      <c r="AN137" s="847"/>
      <c r="AO137" s="848"/>
      <c r="AP137" s="867"/>
      <c r="AQ137" s="273"/>
      <c r="AR137" s="847"/>
      <c r="AS137" s="848"/>
      <c r="AT137" s="867"/>
      <c r="AU137" s="273"/>
      <c r="AV137" s="847"/>
      <c r="AW137" s="848"/>
      <c r="AX137" s="867"/>
      <c r="AY137" s="273"/>
      <c r="AZ137" s="847"/>
      <c r="BA137" s="848"/>
      <c r="BB137" s="866"/>
      <c r="BC137" s="273"/>
      <c r="BD137" s="847"/>
      <c r="BE137" s="848"/>
      <c r="BF137" s="838"/>
    </row>
    <row r="138" spans="1:58" s="87" customFormat="1" ht="54" hidden="1" customHeight="1" x14ac:dyDescent="0.25">
      <c r="A138" s="267" t="s">
        <v>922</v>
      </c>
      <c r="B138" s="268">
        <v>22</v>
      </c>
      <c r="C138" s="240" t="s">
        <v>1022</v>
      </c>
      <c r="D138" s="211" t="s">
        <v>1023</v>
      </c>
      <c r="E138" s="268" t="s">
        <v>1032</v>
      </c>
      <c r="F138" s="861" t="s">
        <v>1033</v>
      </c>
      <c r="G138" s="269" t="s">
        <v>1034</v>
      </c>
      <c r="H138" s="845" t="s">
        <v>1035</v>
      </c>
      <c r="I138" s="208" t="s">
        <v>1036</v>
      </c>
      <c r="J138" s="240" t="s">
        <v>140</v>
      </c>
      <c r="K138" s="270" t="s">
        <v>140</v>
      </c>
      <c r="L138" s="862" t="s">
        <v>1037</v>
      </c>
      <c r="M138" s="206" t="s">
        <v>193</v>
      </c>
      <c r="N138" s="211" t="s">
        <v>194</v>
      </c>
      <c r="O138" s="240" t="s">
        <v>179</v>
      </c>
      <c r="P138" s="240" t="s">
        <v>280</v>
      </c>
      <c r="Q138" s="863" t="s">
        <v>144</v>
      </c>
      <c r="R138" s="271" t="s">
        <v>144</v>
      </c>
      <c r="S138" s="864" t="s">
        <v>147</v>
      </c>
      <c r="T138" s="212" t="s">
        <v>144</v>
      </c>
      <c r="U138" s="213" t="s">
        <v>144</v>
      </c>
      <c r="V138" s="847">
        <v>5</v>
      </c>
      <c r="W138" s="415" t="s">
        <v>144</v>
      </c>
      <c r="X138" s="212">
        <v>40</v>
      </c>
      <c r="Y138" s="212" t="s">
        <v>144</v>
      </c>
      <c r="Z138" s="212" t="s">
        <v>144</v>
      </c>
      <c r="AA138" s="240" t="s">
        <v>148</v>
      </c>
      <c r="AB138" s="206" t="s">
        <v>140</v>
      </c>
      <c r="AC138" s="865" t="s">
        <v>265</v>
      </c>
      <c r="AD138" s="847" t="s">
        <v>144</v>
      </c>
      <c r="AE138" s="847" t="s">
        <v>144</v>
      </c>
      <c r="AF138" s="848" t="s">
        <v>144</v>
      </c>
      <c r="AG138" s="838"/>
      <c r="AH138" s="866"/>
      <c r="AI138" s="273"/>
      <c r="AJ138" s="847"/>
      <c r="AK138" s="848"/>
      <c r="AL138" s="867" t="s">
        <v>294</v>
      </c>
      <c r="AM138" s="273" t="s">
        <v>295</v>
      </c>
      <c r="AN138" s="847">
        <v>7</v>
      </c>
      <c r="AO138" s="848" t="s">
        <v>966</v>
      </c>
      <c r="AP138" s="867"/>
      <c r="AQ138" s="273"/>
      <c r="AR138" s="847"/>
      <c r="AS138" s="848"/>
      <c r="AT138" s="867"/>
      <c r="AU138" s="273"/>
      <c r="AV138" s="847"/>
      <c r="AW138" s="848"/>
      <c r="AX138" s="867"/>
      <c r="AY138" s="273"/>
      <c r="AZ138" s="847"/>
      <c r="BA138" s="848"/>
      <c r="BB138" s="866"/>
      <c r="BC138" s="273"/>
      <c r="BD138" s="847"/>
      <c r="BE138" s="848"/>
      <c r="BF138" s="838"/>
    </row>
    <row r="139" spans="1:58" s="87" customFormat="1" ht="54" hidden="1" customHeight="1" x14ac:dyDescent="0.25">
      <c r="A139" s="267" t="s">
        <v>922</v>
      </c>
      <c r="B139" s="268">
        <v>23</v>
      </c>
      <c r="C139" s="240" t="s">
        <v>1022</v>
      </c>
      <c r="D139" s="211" t="s">
        <v>1023</v>
      </c>
      <c r="E139" s="268" t="s">
        <v>1038</v>
      </c>
      <c r="F139" s="861" t="s">
        <v>1039</v>
      </c>
      <c r="G139" s="269" t="s">
        <v>1040</v>
      </c>
      <c r="H139" s="845" t="s">
        <v>1041</v>
      </c>
      <c r="I139" s="208" t="s">
        <v>1042</v>
      </c>
      <c r="J139" s="240" t="s">
        <v>140</v>
      </c>
      <c r="K139" s="270" t="s">
        <v>140</v>
      </c>
      <c r="L139" s="862" t="s">
        <v>1043</v>
      </c>
      <c r="M139" s="206" t="s">
        <v>142</v>
      </c>
      <c r="N139" s="211" t="s">
        <v>143</v>
      </c>
      <c r="O139" s="240" t="s">
        <v>144</v>
      </c>
      <c r="P139" s="240" t="s">
        <v>144</v>
      </c>
      <c r="Q139" s="863" t="s">
        <v>1044</v>
      </c>
      <c r="R139" s="271" t="s">
        <v>1045</v>
      </c>
      <c r="S139" s="864" t="s">
        <v>147</v>
      </c>
      <c r="T139" s="212" t="s">
        <v>144</v>
      </c>
      <c r="U139" s="213" t="s">
        <v>144</v>
      </c>
      <c r="V139" s="847">
        <v>20</v>
      </c>
      <c r="W139" s="415" t="s">
        <v>144</v>
      </c>
      <c r="X139" s="212">
        <v>40</v>
      </c>
      <c r="Y139" s="212" t="s">
        <v>144</v>
      </c>
      <c r="Z139" s="212" t="s">
        <v>144</v>
      </c>
      <c r="AA139" s="343" t="s">
        <v>148</v>
      </c>
      <c r="AB139" s="206" t="s">
        <v>140</v>
      </c>
      <c r="AC139" s="865" t="s">
        <v>265</v>
      </c>
      <c r="AD139" s="847" t="s">
        <v>144</v>
      </c>
      <c r="AE139" s="847" t="s">
        <v>144</v>
      </c>
      <c r="AF139" s="848" t="s">
        <v>144</v>
      </c>
      <c r="AG139" s="838"/>
      <c r="AH139" s="866" t="s">
        <v>266</v>
      </c>
      <c r="AI139" s="273" t="s">
        <v>267</v>
      </c>
      <c r="AJ139" s="847">
        <v>7</v>
      </c>
      <c r="AK139" s="848" t="s">
        <v>1046</v>
      </c>
      <c r="AL139" s="867"/>
      <c r="AM139" s="273"/>
      <c r="AN139" s="847"/>
      <c r="AO139" s="848"/>
      <c r="AP139" s="867"/>
      <c r="AQ139" s="273"/>
      <c r="AR139" s="847"/>
      <c r="AS139" s="848"/>
      <c r="AT139" s="867"/>
      <c r="AU139" s="273"/>
      <c r="AV139" s="847"/>
      <c r="AW139" s="848"/>
      <c r="AX139" s="867" t="s">
        <v>1047</v>
      </c>
      <c r="AY139" s="273" t="s">
        <v>1048</v>
      </c>
      <c r="AZ139" s="847">
        <v>7</v>
      </c>
      <c r="BA139" s="848" t="s">
        <v>1049</v>
      </c>
      <c r="BB139" s="866"/>
      <c r="BC139" s="273"/>
      <c r="BD139" s="847"/>
      <c r="BE139" s="848"/>
      <c r="BF139" s="838"/>
    </row>
    <row r="140" spans="1:58" s="87" customFormat="1" ht="54" hidden="1" customHeight="1" x14ac:dyDescent="0.25">
      <c r="A140" s="267" t="s">
        <v>922</v>
      </c>
      <c r="B140" s="268">
        <v>24</v>
      </c>
      <c r="C140" s="240" t="s">
        <v>1022</v>
      </c>
      <c r="D140" s="211" t="s">
        <v>1023</v>
      </c>
      <c r="E140" s="268" t="s">
        <v>1050</v>
      </c>
      <c r="F140" s="861" t="s">
        <v>1051</v>
      </c>
      <c r="G140" s="269" t="s">
        <v>1052</v>
      </c>
      <c r="H140" s="845" t="s">
        <v>1053</v>
      </c>
      <c r="I140" s="208" t="s">
        <v>1054</v>
      </c>
      <c r="J140" s="240" t="s">
        <v>140</v>
      </c>
      <c r="K140" s="270" t="s">
        <v>140</v>
      </c>
      <c r="L140" s="862" t="s">
        <v>1055</v>
      </c>
      <c r="M140" s="206" t="s">
        <v>193</v>
      </c>
      <c r="N140" s="211" t="s">
        <v>194</v>
      </c>
      <c r="O140" s="240" t="s">
        <v>144</v>
      </c>
      <c r="P140" s="240" t="s">
        <v>144</v>
      </c>
      <c r="Q140" s="863" t="s">
        <v>1056</v>
      </c>
      <c r="R140" s="271" t="s">
        <v>1057</v>
      </c>
      <c r="S140" s="864" t="s">
        <v>147</v>
      </c>
      <c r="T140" s="212" t="s">
        <v>144</v>
      </c>
      <c r="U140" s="213" t="s">
        <v>144</v>
      </c>
      <c r="V140" s="847">
        <v>10</v>
      </c>
      <c r="W140" s="415" t="s">
        <v>144</v>
      </c>
      <c r="X140" s="212">
        <v>40</v>
      </c>
      <c r="Y140" s="212" t="s">
        <v>144</v>
      </c>
      <c r="Z140" s="451" t="s">
        <v>29</v>
      </c>
      <c r="AA140" s="343" t="s">
        <v>1058</v>
      </c>
      <c r="AB140" s="206" t="s">
        <v>140</v>
      </c>
      <c r="AC140" s="865" t="s">
        <v>265</v>
      </c>
      <c r="AD140" s="847" t="s">
        <v>144</v>
      </c>
      <c r="AE140" s="847" t="s">
        <v>144</v>
      </c>
      <c r="AF140" s="848" t="s">
        <v>144</v>
      </c>
      <c r="AG140" s="838"/>
      <c r="AH140" s="866"/>
      <c r="AI140" s="273"/>
      <c r="AJ140" s="847"/>
      <c r="AK140" s="848"/>
      <c r="AL140" s="867"/>
      <c r="AM140" s="273"/>
      <c r="AN140" s="847"/>
      <c r="AO140" s="848"/>
      <c r="AP140" s="867"/>
      <c r="AQ140" s="273"/>
      <c r="AR140" s="847"/>
      <c r="AS140" s="848"/>
      <c r="AT140" s="867"/>
      <c r="AU140" s="273"/>
      <c r="AV140" s="847"/>
      <c r="AW140" s="848"/>
      <c r="AX140" s="869" t="s">
        <v>1059</v>
      </c>
      <c r="AY140" s="410" t="s">
        <v>1060</v>
      </c>
      <c r="AZ140" s="870" t="s">
        <v>1061</v>
      </c>
      <c r="BA140" s="871" t="s">
        <v>1062</v>
      </c>
      <c r="BB140" s="866"/>
      <c r="BC140" s="273"/>
      <c r="BD140" s="847"/>
      <c r="BE140" s="848"/>
      <c r="BF140" s="838"/>
    </row>
    <row r="141" spans="1:58" s="87" customFormat="1" ht="54" hidden="1" customHeight="1" x14ac:dyDescent="0.25">
      <c r="A141" s="267" t="s">
        <v>922</v>
      </c>
      <c r="B141" s="268">
        <v>25</v>
      </c>
      <c r="C141" s="240" t="s">
        <v>1022</v>
      </c>
      <c r="D141" s="211" t="s">
        <v>1023</v>
      </c>
      <c r="E141" s="268" t="s">
        <v>1063</v>
      </c>
      <c r="F141" s="861" t="s">
        <v>1064</v>
      </c>
      <c r="G141" s="269" t="s">
        <v>1065</v>
      </c>
      <c r="H141" s="845" t="s">
        <v>1066</v>
      </c>
      <c r="I141" s="208" t="s">
        <v>1067</v>
      </c>
      <c r="J141" s="240" t="s">
        <v>140</v>
      </c>
      <c r="K141" s="270" t="s">
        <v>140</v>
      </c>
      <c r="L141" s="862" t="s">
        <v>1068</v>
      </c>
      <c r="M141" s="206" t="s">
        <v>193</v>
      </c>
      <c r="N141" s="211" t="s">
        <v>194</v>
      </c>
      <c r="O141" s="240" t="s">
        <v>1069</v>
      </c>
      <c r="P141" s="240" t="s">
        <v>1070</v>
      </c>
      <c r="Q141" s="863" t="s">
        <v>144</v>
      </c>
      <c r="R141" s="271" t="s">
        <v>144</v>
      </c>
      <c r="S141" s="864" t="s">
        <v>746</v>
      </c>
      <c r="T141" s="212" t="s">
        <v>144</v>
      </c>
      <c r="U141" s="213" t="s">
        <v>144</v>
      </c>
      <c r="V141" s="847">
        <v>2</v>
      </c>
      <c r="W141" s="415" t="s">
        <v>144</v>
      </c>
      <c r="X141" s="212">
        <v>40</v>
      </c>
      <c r="Y141" s="212" t="s">
        <v>144</v>
      </c>
      <c r="Z141" s="241" t="s">
        <v>144</v>
      </c>
      <c r="AA141" s="616" t="s">
        <v>148</v>
      </c>
      <c r="AB141" s="206" t="s">
        <v>140</v>
      </c>
      <c r="AC141" s="865" t="s">
        <v>265</v>
      </c>
      <c r="AD141" s="847" t="s">
        <v>144</v>
      </c>
      <c r="AE141" s="847" t="s">
        <v>144</v>
      </c>
      <c r="AF141" s="848" t="s">
        <v>144</v>
      </c>
      <c r="AG141" s="838"/>
      <c r="AH141" s="866"/>
      <c r="AI141" s="273"/>
      <c r="AJ141" s="847"/>
      <c r="AK141" s="848"/>
      <c r="AL141" s="185" t="s">
        <v>294</v>
      </c>
      <c r="AM141" s="186" t="s">
        <v>295</v>
      </c>
      <c r="AN141" s="847">
        <v>7</v>
      </c>
      <c r="AO141" s="187" t="s">
        <v>966</v>
      </c>
      <c r="AP141" s="867"/>
      <c r="AQ141" s="273"/>
      <c r="AR141" s="847"/>
      <c r="AS141" s="848"/>
      <c r="AT141" s="867"/>
      <c r="AU141" s="273"/>
      <c r="AV141" s="847"/>
      <c r="AW141" s="848"/>
      <c r="AX141" s="867"/>
      <c r="AY141" s="273"/>
      <c r="AZ141" s="847"/>
      <c r="BA141" s="848"/>
      <c r="BB141" s="866"/>
      <c r="BC141" s="273"/>
      <c r="BD141" s="847"/>
      <c r="BE141" s="848"/>
      <c r="BF141" s="838"/>
    </row>
    <row r="142" spans="1:58" s="87" customFormat="1" ht="54" hidden="1" customHeight="1" x14ac:dyDescent="0.25">
      <c r="A142" s="267" t="s">
        <v>922</v>
      </c>
      <c r="B142" s="268">
        <v>26</v>
      </c>
      <c r="C142" s="240" t="s">
        <v>1022</v>
      </c>
      <c r="D142" s="211" t="s">
        <v>1023</v>
      </c>
      <c r="E142" s="268" t="s">
        <v>1071</v>
      </c>
      <c r="F142" s="861" t="s">
        <v>1072</v>
      </c>
      <c r="G142" s="269" t="s">
        <v>1073</v>
      </c>
      <c r="H142" s="845" t="s">
        <v>1074</v>
      </c>
      <c r="I142" s="208" t="s">
        <v>1075</v>
      </c>
      <c r="J142" s="240" t="s">
        <v>140</v>
      </c>
      <c r="K142" s="270" t="s">
        <v>140</v>
      </c>
      <c r="L142" s="862" t="s">
        <v>1076</v>
      </c>
      <c r="M142" s="206" t="s">
        <v>193</v>
      </c>
      <c r="N142" s="211" t="s">
        <v>194</v>
      </c>
      <c r="O142" s="240" t="s">
        <v>1077</v>
      </c>
      <c r="P142" s="240" t="s">
        <v>1078</v>
      </c>
      <c r="Q142" s="863" t="s">
        <v>144</v>
      </c>
      <c r="R142" s="271" t="s">
        <v>144</v>
      </c>
      <c r="S142" s="864" t="s">
        <v>746</v>
      </c>
      <c r="T142" s="212" t="s">
        <v>144</v>
      </c>
      <c r="U142" s="213" t="s">
        <v>144</v>
      </c>
      <c r="V142" s="847">
        <v>2</v>
      </c>
      <c r="W142" s="415" t="s">
        <v>144</v>
      </c>
      <c r="X142" s="212">
        <v>40</v>
      </c>
      <c r="Y142" s="212" t="s">
        <v>144</v>
      </c>
      <c r="Z142" s="241" t="s">
        <v>144</v>
      </c>
      <c r="AA142" s="616" t="s">
        <v>148</v>
      </c>
      <c r="AB142" s="206" t="s">
        <v>140</v>
      </c>
      <c r="AC142" s="865" t="s">
        <v>265</v>
      </c>
      <c r="AD142" s="847" t="s">
        <v>144</v>
      </c>
      <c r="AE142" s="847" t="s">
        <v>144</v>
      </c>
      <c r="AF142" s="848" t="s">
        <v>144</v>
      </c>
      <c r="AG142" s="838"/>
      <c r="AH142" s="866"/>
      <c r="AI142" s="273"/>
      <c r="AJ142" s="847"/>
      <c r="AK142" s="848"/>
      <c r="AL142" s="185" t="s">
        <v>294</v>
      </c>
      <c r="AM142" s="186" t="s">
        <v>295</v>
      </c>
      <c r="AN142" s="847">
        <v>7</v>
      </c>
      <c r="AO142" s="187" t="s">
        <v>966</v>
      </c>
      <c r="AP142" s="867"/>
      <c r="AQ142" s="273"/>
      <c r="AR142" s="847"/>
      <c r="AS142" s="848"/>
      <c r="AT142" s="867"/>
      <c r="AU142" s="273"/>
      <c r="AV142" s="847"/>
      <c r="AW142" s="848"/>
      <c r="AX142" s="867"/>
      <c r="AY142" s="273"/>
      <c r="AZ142" s="847"/>
      <c r="BA142" s="848"/>
      <c r="BB142" s="866"/>
      <c r="BC142" s="273"/>
      <c r="BD142" s="847"/>
      <c r="BE142" s="848"/>
      <c r="BF142" s="838"/>
    </row>
    <row r="143" spans="1:58" s="87" customFormat="1" ht="54" hidden="1" customHeight="1" x14ac:dyDescent="0.25">
      <c r="A143" s="267" t="s">
        <v>922</v>
      </c>
      <c r="B143" s="268">
        <v>27</v>
      </c>
      <c r="C143" s="240" t="s">
        <v>1022</v>
      </c>
      <c r="D143" s="211" t="s">
        <v>1023</v>
      </c>
      <c r="E143" s="268" t="s">
        <v>1079</v>
      </c>
      <c r="F143" s="861" t="s">
        <v>1080</v>
      </c>
      <c r="G143" s="269" t="s">
        <v>1081</v>
      </c>
      <c r="H143" s="845" t="s">
        <v>1082</v>
      </c>
      <c r="I143" s="208" t="s">
        <v>1083</v>
      </c>
      <c r="J143" s="240" t="s">
        <v>140</v>
      </c>
      <c r="K143" s="270" t="s">
        <v>140</v>
      </c>
      <c r="L143" s="862" t="s">
        <v>1084</v>
      </c>
      <c r="M143" s="206" t="s">
        <v>193</v>
      </c>
      <c r="N143" s="211" t="s">
        <v>194</v>
      </c>
      <c r="O143" s="240" t="s">
        <v>1085</v>
      </c>
      <c r="P143" s="240" t="s">
        <v>1086</v>
      </c>
      <c r="Q143" s="863" t="s">
        <v>1087</v>
      </c>
      <c r="R143" s="271" t="s">
        <v>1088</v>
      </c>
      <c r="S143" s="864" t="s">
        <v>746</v>
      </c>
      <c r="T143" s="212" t="s">
        <v>144</v>
      </c>
      <c r="U143" s="213" t="s">
        <v>144</v>
      </c>
      <c r="V143" s="847">
        <v>2</v>
      </c>
      <c r="W143" s="415" t="s">
        <v>144</v>
      </c>
      <c r="X143" s="212">
        <v>40</v>
      </c>
      <c r="Y143" s="212" t="s">
        <v>144</v>
      </c>
      <c r="Z143" s="241" t="s">
        <v>144</v>
      </c>
      <c r="AA143" s="616" t="s">
        <v>148</v>
      </c>
      <c r="AB143" s="206" t="s">
        <v>140</v>
      </c>
      <c r="AC143" s="865" t="s">
        <v>265</v>
      </c>
      <c r="AD143" s="847" t="s">
        <v>144</v>
      </c>
      <c r="AE143" s="847" t="s">
        <v>144</v>
      </c>
      <c r="AF143" s="848" t="s">
        <v>144</v>
      </c>
      <c r="AG143" s="838"/>
      <c r="AH143" s="866"/>
      <c r="AI143" s="273"/>
      <c r="AJ143" s="847"/>
      <c r="AK143" s="848"/>
      <c r="AL143" s="185" t="s">
        <v>294</v>
      </c>
      <c r="AM143" s="186" t="s">
        <v>295</v>
      </c>
      <c r="AN143" s="847">
        <v>7</v>
      </c>
      <c r="AO143" s="187" t="s">
        <v>966</v>
      </c>
      <c r="AP143" s="867"/>
      <c r="AQ143" s="273"/>
      <c r="AR143" s="847"/>
      <c r="AS143" s="848"/>
      <c r="AT143" s="867"/>
      <c r="AU143" s="273"/>
      <c r="AV143" s="847"/>
      <c r="AW143" s="848"/>
      <c r="AX143" s="867"/>
      <c r="AY143" s="273"/>
      <c r="AZ143" s="847"/>
      <c r="BA143" s="848"/>
      <c r="BB143" s="866"/>
      <c r="BC143" s="273"/>
      <c r="BD143" s="847"/>
      <c r="BE143" s="848"/>
      <c r="BF143" s="838"/>
    </row>
    <row r="144" spans="1:58" s="87" customFormat="1" ht="54" hidden="1" customHeight="1" x14ac:dyDescent="0.25">
      <c r="A144" s="267" t="s">
        <v>922</v>
      </c>
      <c r="B144" s="268">
        <v>28</v>
      </c>
      <c r="C144" s="240" t="s">
        <v>1022</v>
      </c>
      <c r="D144" s="211" t="s">
        <v>1023</v>
      </c>
      <c r="E144" s="268" t="s">
        <v>1089</v>
      </c>
      <c r="F144" s="861" t="s">
        <v>1090</v>
      </c>
      <c r="G144" s="269" t="s">
        <v>1091</v>
      </c>
      <c r="H144" s="845" t="s">
        <v>1092</v>
      </c>
      <c r="I144" s="208" t="s">
        <v>1093</v>
      </c>
      <c r="J144" s="240" t="s">
        <v>140</v>
      </c>
      <c r="K144" s="270" t="s">
        <v>140</v>
      </c>
      <c r="L144" s="862" t="s">
        <v>1094</v>
      </c>
      <c r="M144" s="206" t="s">
        <v>142</v>
      </c>
      <c r="N144" s="211" t="s">
        <v>143</v>
      </c>
      <c r="O144" s="240" t="s">
        <v>1095</v>
      </c>
      <c r="P144" s="240" t="s">
        <v>1096</v>
      </c>
      <c r="Q144" s="863" t="s">
        <v>1097</v>
      </c>
      <c r="R144" s="271" t="s">
        <v>1098</v>
      </c>
      <c r="S144" s="864" t="s">
        <v>147</v>
      </c>
      <c r="T144" s="212" t="s">
        <v>144</v>
      </c>
      <c r="U144" s="213" t="s">
        <v>144</v>
      </c>
      <c r="V144" s="847">
        <v>1</v>
      </c>
      <c r="W144" s="415" t="s">
        <v>144</v>
      </c>
      <c r="X144" s="212">
        <v>40</v>
      </c>
      <c r="Y144" s="212" t="s">
        <v>144</v>
      </c>
      <c r="Z144" s="241" t="s">
        <v>144</v>
      </c>
      <c r="AA144" s="616" t="s">
        <v>1099</v>
      </c>
      <c r="AB144" s="206" t="s">
        <v>140</v>
      </c>
      <c r="AC144" s="865" t="s">
        <v>265</v>
      </c>
      <c r="AD144" s="847" t="s">
        <v>144</v>
      </c>
      <c r="AE144" s="847" t="s">
        <v>144</v>
      </c>
      <c r="AF144" s="848" t="s">
        <v>144</v>
      </c>
      <c r="AG144" s="838"/>
      <c r="AH144" s="866" t="s">
        <v>266</v>
      </c>
      <c r="AI144" s="273" t="s">
        <v>267</v>
      </c>
      <c r="AJ144" s="847">
        <v>7</v>
      </c>
      <c r="AK144" s="848" t="s">
        <v>1046</v>
      </c>
      <c r="AL144" s="185" t="s">
        <v>294</v>
      </c>
      <c r="AM144" s="186" t="s">
        <v>295</v>
      </c>
      <c r="AN144" s="847">
        <v>7</v>
      </c>
      <c r="AO144" s="187" t="s">
        <v>966</v>
      </c>
      <c r="AP144" s="867"/>
      <c r="AQ144" s="273"/>
      <c r="AR144" s="847"/>
      <c r="AS144" s="848"/>
      <c r="AT144" s="867"/>
      <c r="AU144" s="273"/>
      <c r="AV144" s="847"/>
      <c r="AW144" s="848"/>
      <c r="AX144" s="867"/>
      <c r="AY144" s="273"/>
      <c r="AZ144" s="847"/>
      <c r="BA144" s="848"/>
      <c r="BB144" s="866"/>
      <c r="BC144" s="273"/>
      <c r="BD144" s="847"/>
      <c r="BE144" s="848"/>
      <c r="BF144" s="838"/>
    </row>
    <row r="145" spans="1:58" s="87" customFormat="1" ht="54" hidden="1" customHeight="1" x14ac:dyDescent="0.25">
      <c r="A145" s="267" t="s">
        <v>922</v>
      </c>
      <c r="B145" s="268">
        <v>29</v>
      </c>
      <c r="C145" s="240" t="s">
        <v>1022</v>
      </c>
      <c r="D145" s="211" t="s">
        <v>1023</v>
      </c>
      <c r="E145" s="268" t="s">
        <v>1100</v>
      </c>
      <c r="F145" s="861" t="s">
        <v>1101</v>
      </c>
      <c r="G145" s="269" t="s">
        <v>1102</v>
      </c>
      <c r="H145" s="861" t="s">
        <v>1101</v>
      </c>
      <c r="I145" s="269" t="s">
        <v>1102</v>
      </c>
      <c r="J145" s="240" t="s">
        <v>140</v>
      </c>
      <c r="K145" s="270" t="s">
        <v>140</v>
      </c>
      <c r="L145" s="862" t="s">
        <v>1103</v>
      </c>
      <c r="M145" s="206" t="s">
        <v>142</v>
      </c>
      <c r="N145" s="211" t="s">
        <v>143</v>
      </c>
      <c r="O145" s="240" t="s">
        <v>144</v>
      </c>
      <c r="P145" s="240" t="s">
        <v>144</v>
      </c>
      <c r="Q145" s="863" t="s">
        <v>144</v>
      </c>
      <c r="R145" s="271" t="s">
        <v>144</v>
      </c>
      <c r="S145" s="864" t="s">
        <v>746</v>
      </c>
      <c r="T145" s="212" t="s">
        <v>1104</v>
      </c>
      <c r="U145" s="213" t="s">
        <v>1105</v>
      </c>
      <c r="V145" s="847">
        <v>19</v>
      </c>
      <c r="W145" s="415" t="s">
        <v>144</v>
      </c>
      <c r="X145" s="212">
        <v>40</v>
      </c>
      <c r="Y145" s="212" t="s">
        <v>144</v>
      </c>
      <c r="Z145" s="433" t="s">
        <v>144</v>
      </c>
      <c r="AA145" s="616" t="s">
        <v>1106</v>
      </c>
      <c r="AB145" s="206" t="s">
        <v>140</v>
      </c>
      <c r="AC145" s="865" t="s">
        <v>265</v>
      </c>
      <c r="AD145" s="847" t="s">
        <v>144</v>
      </c>
      <c r="AE145" s="847" t="s">
        <v>144</v>
      </c>
      <c r="AF145" s="848" t="s">
        <v>144</v>
      </c>
      <c r="AG145" s="838"/>
      <c r="AH145" s="866" t="s">
        <v>266</v>
      </c>
      <c r="AI145" s="273" t="s">
        <v>267</v>
      </c>
      <c r="AJ145" s="847">
        <v>7</v>
      </c>
      <c r="AK145" s="848" t="s">
        <v>1046</v>
      </c>
      <c r="AL145" s="867"/>
      <c r="AM145" s="273"/>
      <c r="AN145" s="847"/>
      <c r="AO145" s="848"/>
      <c r="AP145" s="284" t="s">
        <v>1107</v>
      </c>
      <c r="AQ145" s="273" t="s">
        <v>1108</v>
      </c>
      <c r="AR145" s="285">
        <v>7</v>
      </c>
      <c r="AS145" s="286" t="s">
        <v>1109</v>
      </c>
      <c r="AT145" s="867"/>
      <c r="AU145" s="273"/>
      <c r="AV145" s="847"/>
      <c r="AW145" s="848"/>
      <c r="AX145" s="867"/>
      <c r="AY145" s="273"/>
      <c r="AZ145" s="847"/>
      <c r="BA145" s="848"/>
      <c r="BB145" s="866"/>
      <c r="BC145" s="273"/>
      <c r="BD145" s="847"/>
      <c r="BE145" s="848"/>
      <c r="BF145" s="838"/>
    </row>
    <row r="146" spans="1:58" s="87" customFormat="1" ht="54" hidden="1" customHeight="1" x14ac:dyDescent="0.25">
      <c r="A146" s="267" t="s">
        <v>922</v>
      </c>
      <c r="B146" s="268">
        <v>30</v>
      </c>
      <c r="C146" s="240" t="s">
        <v>1022</v>
      </c>
      <c r="D146" s="211" t="s">
        <v>1023</v>
      </c>
      <c r="E146" s="268" t="s">
        <v>1110</v>
      </c>
      <c r="F146" s="861" t="s">
        <v>1111</v>
      </c>
      <c r="G146" s="269" t="s">
        <v>1112</v>
      </c>
      <c r="H146" s="845" t="s">
        <v>1113</v>
      </c>
      <c r="I146" s="208" t="s">
        <v>1114</v>
      </c>
      <c r="J146" s="240" t="s">
        <v>140</v>
      </c>
      <c r="K146" s="270" t="s">
        <v>140</v>
      </c>
      <c r="L146" s="862" t="s">
        <v>1115</v>
      </c>
      <c r="M146" s="206" t="s">
        <v>142</v>
      </c>
      <c r="N146" s="211" t="s">
        <v>143</v>
      </c>
      <c r="O146" s="240" t="s">
        <v>144</v>
      </c>
      <c r="P146" s="240" t="s">
        <v>144</v>
      </c>
      <c r="Q146" s="863" t="s">
        <v>1116</v>
      </c>
      <c r="R146" s="271" t="s">
        <v>1117</v>
      </c>
      <c r="S146" s="864" t="s">
        <v>746</v>
      </c>
      <c r="T146" s="212" t="s">
        <v>1104</v>
      </c>
      <c r="U146" s="213" t="s">
        <v>1105</v>
      </c>
      <c r="V146" s="847">
        <v>19</v>
      </c>
      <c r="W146" s="415" t="s">
        <v>144</v>
      </c>
      <c r="X146" s="212">
        <v>40</v>
      </c>
      <c r="Y146" s="212" t="s">
        <v>144</v>
      </c>
      <c r="Z146" s="212" t="s">
        <v>144</v>
      </c>
      <c r="AA146" s="343" t="s">
        <v>1118</v>
      </c>
      <c r="AB146" s="206" t="s">
        <v>140</v>
      </c>
      <c r="AC146" s="865" t="s">
        <v>265</v>
      </c>
      <c r="AD146" s="847" t="s">
        <v>144</v>
      </c>
      <c r="AE146" s="847" t="s">
        <v>144</v>
      </c>
      <c r="AF146" s="848" t="s">
        <v>144</v>
      </c>
      <c r="AG146" s="838"/>
      <c r="AH146" s="866" t="s">
        <v>266</v>
      </c>
      <c r="AI146" s="273" t="s">
        <v>267</v>
      </c>
      <c r="AJ146" s="847">
        <v>7</v>
      </c>
      <c r="AK146" s="848" t="s">
        <v>1046</v>
      </c>
      <c r="AL146" s="867"/>
      <c r="AM146" s="273"/>
      <c r="AN146" s="847"/>
      <c r="AO146" s="848"/>
      <c r="AP146" s="867"/>
      <c r="AQ146" s="273"/>
      <c r="AR146" s="847"/>
      <c r="AS146" s="848"/>
      <c r="AT146" s="867"/>
      <c r="AU146" s="273"/>
      <c r="AV146" s="847"/>
      <c r="AW146" s="848"/>
      <c r="AX146" s="867"/>
      <c r="AY146" s="273"/>
      <c r="AZ146" s="847"/>
      <c r="BA146" s="848"/>
      <c r="BB146" s="866"/>
      <c r="BC146" s="273"/>
      <c r="BD146" s="847"/>
      <c r="BE146" s="848"/>
      <c r="BF146" s="838"/>
    </row>
    <row r="147" spans="1:58" s="87" customFormat="1" ht="54" hidden="1" customHeight="1" x14ac:dyDescent="0.25">
      <c r="A147" s="267" t="s">
        <v>922</v>
      </c>
      <c r="B147" s="268">
        <v>31</v>
      </c>
      <c r="C147" s="240" t="s">
        <v>1022</v>
      </c>
      <c r="D147" s="211" t="s">
        <v>1023</v>
      </c>
      <c r="E147" s="268" t="s">
        <v>1119</v>
      </c>
      <c r="F147" s="861" t="s">
        <v>1120</v>
      </c>
      <c r="G147" s="269" t="s">
        <v>1121</v>
      </c>
      <c r="H147" s="845" t="s">
        <v>1122</v>
      </c>
      <c r="I147" s="208" t="s">
        <v>1123</v>
      </c>
      <c r="J147" s="240" t="s">
        <v>140</v>
      </c>
      <c r="K147" s="270" t="s">
        <v>140</v>
      </c>
      <c r="L147" s="862" t="s">
        <v>1124</v>
      </c>
      <c r="M147" s="206" t="s">
        <v>142</v>
      </c>
      <c r="N147" s="211" t="s">
        <v>143</v>
      </c>
      <c r="O147" s="240" t="s">
        <v>814</v>
      </c>
      <c r="P147" s="240" t="s">
        <v>815</v>
      </c>
      <c r="Q147" s="863" t="s">
        <v>144</v>
      </c>
      <c r="R147" s="271" t="s">
        <v>144</v>
      </c>
      <c r="S147" s="864" t="s">
        <v>147</v>
      </c>
      <c r="T147" s="212" t="s">
        <v>144</v>
      </c>
      <c r="U147" s="213" t="s">
        <v>144</v>
      </c>
      <c r="V147" s="847">
        <v>3</v>
      </c>
      <c r="W147" s="415" t="s">
        <v>144</v>
      </c>
      <c r="X147" s="212">
        <v>40</v>
      </c>
      <c r="Y147" s="212" t="s">
        <v>144</v>
      </c>
      <c r="Z147" s="241" t="s">
        <v>144</v>
      </c>
      <c r="AA147" s="616" t="s">
        <v>1125</v>
      </c>
      <c r="AB147" s="206" t="s">
        <v>140</v>
      </c>
      <c r="AC147" s="865" t="s">
        <v>265</v>
      </c>
      <c r="AD147" s="847" t="s">
        <v>144</v>
      </c>
      <c r="AE147" s="847" t="s">
        <v>144</v>
      </c>
      <c r="AF147" s="848" t="s">
        <v>144</v>
      </c>
      <c r="AG147" s="838"/>
      <c r="AH147" s="866" t="s">
        <v>266</v>
      </c>
      <c r="AI147" s="273" t="s">
        <v>267</v>
      </c>
      <c r="AJ147" s="847">
        <v>7</v>
      </c>
      <c r="AK147" s="848" t="s">
        <v>1046</v>
      </c>
      <c r="AL147" s="185" t="s">
        <v>294</v>
      </c>
      <c r="AM147" s="186" t="s">
        <v>295</v>
      </c>
      <c r="AN147" s="847">
        <v>7</v>
      </c>
      <c r="AO147" s="187" t="s">
        <v>966</v>
      </c>
      <c r="AP147" s="867"/>
      <c r="AQ147" s="273"/>
      <c r="AR147" s="847"/>
      <c r="AS147" s="848"/>
      <c r="AT147" s="867"/>
      <c r="AU147" s="273"/>
      <c r="AV147" s="847"/>
      <c r="AW147" s="848"/>
      <c r="AX147" s="867"/>
      <c r="AY147" s="273"/>
      <c r="AZ147" s="847"/>
      <c r="BA147" s="848"/>
      <c r="BB147" s="866"/>
      <c r="BC147" s="273"/>
      <c r="BD147" s="847"/>
      <c r="BE147" s="848"/>
      <c r="BF147" s="838"/>
    </row>
    <row r="148" spans="1:58" s="87" customFormat="1" ht="54" hidden="1" customHeight="1" x14ac:dyDescent="0.25">
      <c r="A148" s="267" t="s">
        <v>922</v>
      </c>
      <c r="B148" s="268">
        <v>32</v>
      </c>
      <c r="C148" s="240" t="s">
        <v>1022</v>
      </c>
      <c r="D148" s="211" t="s">
        <v>1023</v>
      </c>
      <c r="E148" s="268" t="s">
        <v>1126</v>
      </c>
      <c r="F148" s="861" t="s">
        <v>1127</v>
      </c>
      <c r="G148" s="269" t="s">
        <v>1128</v>
      </c>
      <c r="H148" s="845" t="s">
        <v>1129</v>
      </c>
      <c r="I148" s="208" t="s">
        <v>1130</v>
      </c>
      <c r="J148" s="240" t="s">
        <v>140</v>
      </c>
      <c r="K148" s="270" t="s">
        <v>140</v>
      </c>
      <c r="L148" s="862" t="s">
        <v>1131</v>
      </c>
      <c r="M148" s="206" t="s">
        <v>193</v>
      </c>
      <c r="N148" s="211" t="s">
        <v>194</v>
      </c>
      <c r="O148" s="240" t="s">
        <v>1132</v>
      </c>
      <c r="P148" s="240" t="s">
        <v>1133</v>
      </c>
      <c r="Q148" s="863" t="s">
        <v>144</v>
      </c>
      <c r="R148" s="271" t="s">
        <v>144</v>
      </c>
      <c r="S148" s="864" t="s">
        <v>147</v>
      </c>
      <c r="T148" s="212" t="s">
        <v>144</v>
      </c>
      <c r="U148" s="213" t="s">
        <v>144</v>
      </c>
      <c r="V148" s="847">
        <v>1</v>
      </c>
      <c r="W148" s="415" t="s">
        <v>144</v>
      </c>
      <c r="X148" s="212">
        <v>40</v>
      </c>
      <c r="Y148" s="212" t="s">
        <v>144</v>
      </c>
      <c r="Z148" s="212" t="s">
        <v>144</v>
      </c>
      <c r="AA148" s="343" t="s">
        <v>398</v>
      </c>
      <c r="AB148" s="206" t="s">
        <v>140</v>
      </c>
      <c r="AC148" s="865" t="s">
        <v>265</v>
      </c>
      <c r="AD148" s="847" t="s">
        <v>144</v>
      </c>
      <c r="AE148" s="847" t="s">
        <v>144</v>
      </c>
      <c r="AF148" s="848" t="s">
        <v>144</v>
      </c>
      <c r="AG148" s="838"/>
      <c r="AH148" s="866"/>
      <c r="AI148" s="273"/>
      <c r="AJ148" s="847"/>
      <c r="AK148" s="848"/>
      <c r="AL148" s="867" t="s">
        <v>294</v>
      </c>
      <c r="AM148" s="273" t="s">
        <v>295</v>
      </c>
      <c r="AN148" s="847">
        <v>7</v>
      </c>
      <c r="AO148" s="187" t="s">
        <v>966</v>
      </c>
      <c r="AP148" s="287"/>
      <c r="AQ148" s="288"/>
      <c r="AR148" s="289"/>
      <c r="AS148" s="290"/>
      <c r="AT148" s="867"/>
      <c r="AU148" s="273"/>
      <c r="AV148" s="847"/>
      <c r="AW148" s="848"/>
      <c r="AX148" s="867"/>
      <c r="AY148" s="273"/>
      <c r="AZ148" s="847"/>
      <c r="BA148" s="848"/>
      <c r="BB148" s="866"/>
      <c r="BC148" s="273"/>
      <c r="BD148" s="847"/>
      <c r="BE148" s="848"/>
      <c r="BF148" s="838"/>
    </row>
    <row r="149" spans="1:58" s="87" customFormat="1" ht="54" hidden="1" customHeight="1" x14ac:dyDescent="0.25">
      <c r="A149" s="267" t="s">
        <v>922</v>
      </c>
      <c r="B149" s="268">
        <v>33</v>
      </c>
      <c r="C149" s="240" t="s">
        <v>1022</v>
      </c>
      <c r="D149" s="211" t="s">
        <v>1023</v>
      </c>
      <c r="E149" s="268" t="s">
        <v>1134</v>
      </c>
      <c r="F149" s="861" t="s">
        <v>968</v>
      </c>
      <c r="G149" s="269" t="s">
        <v>969</v>
      </c>
      <c r="H149" s="845" t="s">
        <v>1135</v>
      </c>
      <c r="I149" s="208" t="s">
        <v>1136</v>
      </c>
      <c r="J149" s="240" t="s">
        <v>140</v>
      </c>
      <c r="K149" s="270" t="s">
        <v>140</v>
      </c>
      <c r="L149" s="862" t="s">
        <v>1137</v>
      </c>
      <c r="M149" s="206" t="s">
        <v>193</v>
      </c>
      <c r="N149" s="211" t="s">
        <v>194</v>
      </c>
      <c r="O149" s="240" t="s">
        <v>144</v>
      </c>
      <c r="P149" s="240" t="s">
        <v>1138</v>
      </c>
      <c r="Q149" s="863" t="s">
        <v>975</v>
      </c>
      <c r="R149" s="271" t="s">
        <v>1139</v>
      </c>
      <c r="S149" s="864" t="s">
        <v>965</v>
      </c>
      <c r="T149" s="212" t="s">
        <v>144</v>
      </c>
      <c r="U149" s="213" t="s">
        <v>144</v>
      </c>
      <c r="V149" s="847">
        <v>4</v>
      </c>
      <c r="W149" s="415" t="s">
        <v>144</v>
      </c>
      <c r="X149" s="212">
        <v>42</v>
      </c>
      <c r="Y149" s="212" t="s">
        <v>144</v>
      </c>
      <c r="Z149" s="212" t="s">
        <v>144</v>
      </c>
      <c r="AA149" s="240" t="s">
        <v>148</v>
      </c>
      <c r="AB149" s="206" t="s">
        <v>140</v>
      </c>
      <c r="AC149" s="865" t="s">
        <v>265</v>
      </c>
      <c r="AD149" s="847" t="s">
        <v>144</v>
      </c>
      <c r="AE149" s="847" t="s">
        <v>144</v>
      </c>
      <c r="AF149" s="848" t="s">
        <v>144</v>
      </c>
      <c r="AG149" s="838"/>
      <c r="AH149" s="866"/>
      <c r="AI149" s="273"/>
      <c r="AJ149" s="847"/>
      <c r="AK149" s="286"/>
      <c r="AL149" s="867"/>
      <c r="AM149" s="273"/>
      <c r="AN149" s="847"/>
      <c r="AO149" s="848"/>
      <c r="AP149" s="867"/>
      <c r="AQ149" s="273"/>
      <c r="AR149" s="847"/>
      <c r="AS149" s="848"/>
      <c r="AT149" s="867"/>
      <c r="AU149" s="273"/>
      <c r="AV149" s="847"/>
      <c r="AW149" s="848"/>
      <c r="AX149" s="867"/>
      <c r="AY149" s="273"/>
      <c r="AZ149" s="847"/>
      <c r="BA149" s="848"/>
      <c r="BB149" s="866"/>
      <c r="BC149" s="273"/>
      <c r="BD149" s="847"/>
      <c r="BE149" s="848"/>
      <c r="BF149" s="838"/>
    </row>
    <row r="150" spans="1:58" s="87" customFormat="1" ht="54" hidden="1" customHeight="1" x14ac:dyDescent="0.25">
      <c r="A150" s="267" t="s">
        <v>922</v>
      </c>
      <c r="B150" s="268">
        <v>34</v>
      </c>
      <c r="C150" s="240" t="s">
        <v>1022</v>
      </c>
      <c r="D150" s="211" t="s">
        <v>1023</v>
      </c>
      <c r="E150" s="268" t="s">
        <v>1140</v>
      </c>
      <c r="F150" s="272" t="s">
        <v>1141</v>
      </c>
      <c r="G150" s="269" t="s">
        <v>1142</v>
      </c>
      <c r="H150" s="272" t="s">
        <v>1143</v>
      </c>
      <c r="I150" s="208" t="s">
        <v>1144</v>
      </c>
      <c r="J150" s="240" t="s">
        <v>140</v>
      </c>
      <c r="K150" s="270" t="s">
        <v>140</v>
      </c>
      <c r="L150" s="862" t="s">
        <v>1145</v>
      </c>
      <c r="M150" s="206" t="s">
        <v>142</v>
      </c>
      <c r="N150" s="211" t="s">
        <v>143</v>
      </c>
      <c r="O150" s="240" t="s">
        <v>1146</v>
      </c>
      <c r="P150" s="240" t="s">
        <v>1147</v>
      </c>
      <c r="Q150" s="863" t="s">
        <v>144</v>
      </c>
      <c r="R150" s="271" t="s">
        <v>144</v>
      </c>
      <c r="S150" s="864" t="s">
        <v>965</v>
      </c>
      <c r="T150" s="212" t="s">
        <v>144</v>
      </c>
      <c r="U150" s="213" t="s">
        <v>144</v>
      </c>
      <c r="V150" s="847">
        <v>6</v>
      </c>
      <c r="W150" s="415" t="s">
        <v>144</v>
      </c>
      <c r="X150" s="212">
        <v>43</v>
      </c>
      <c r="Y150" s="212" t="s">
        <v>144</v>
      </c>
      <c r="Z150" s="214" t="s">
        <v>144</v>
      </c>
      <c r="AA150" s="343" t="s">
        <v>148</v>
      </c>
      <c r="AB150" s="206" t="s">
        <v>140</v>
      </c>
      <c r="AC150" s="865" t="s">
        <v>265</v>
      </c>
      <c r="AD150" s="847" t="s">
        <v>144</v>
      </c>
      <c r="AE150" s="847" t="s">
        <v>144</v>
      </c>
      <c r="AF150" s="848" t="s">
        <v>144</v>
      </c>
      <c r="AG150" s="838"/>
      <c r="AH150" s="291" t="s">
        <v>266</v>
      </c>
      <c r="AI150" s="273" t="s">
        <v>267</v>
      </c>
      <c r="AJ150" s="240">
        <v>7</v>
      </c>
      <c r="AK150" s="848" t="s">
        <v>1046</v>
      </c>
      <c r="AL150" s="185" t="s">
        <v>294</v>
      </c>
      <c r="AM150" s="186" t="s">
        <v>295</v>
      </c>
      <c r="AN150" s="240">
        <v>7</v>
      </c>
      <c r="AO150" s="187" t="s">
        <v>966</v>
      </c>
      <c r="AP150" s="867"/>
      <c r="AQ150" s="273"/>
      <c r="AR150" s="847"/>
      <c r="AS150" s="848"/>
      <c r="AT150" s="292" t="s">
        <v>1148</v>
      </c>
      <c r="AU150" s="273" t="s">
        <v>1149</v>
      </c>
      <c r="AV150" s="240">
        <v>7</v>
      </c>
      <c r="AW150" s="848" t="s">
        <v>1150</v>
      </c>
      <c r="AX150" s="867"/>
      <c r="AY150" s="273"/>
      <c r="AZ150" s="847"/>
      <c r="BA150" s="848"/>
      <c r="BB150" s="866"/>
      <c r="BC150" s="273"/>
      <c r="BD150" s="847"/>
      <c r="BE150" s="848"/>
      <c r="BF150" s="838"/>
    </row>
    <row r="151" spans="1:58" s="55" customFormat="1" ht="54" customHeight="1" x14ac:dyDescent="0.25">
      <c r="A151" s="275" t="s">
        <v>922</v>
      </c>
      <c r="B151" s="276">
        <v>35</v>
      </c>
      <c r="C151" s="253" t="s">
        <v>144</v>
      </c>
      <c r="D151" s="217" t="s">
        <v>144</v>
      </c>
      <c r="E151" s="276" t="s">
        <v>1151</v>
      </c>
      <c r="F151" s="277" t="s">
        <v>251</v>
      </c>
      <c r="G151" s="277" t="s">
        <v>251</v>
      </c>
      <c r="H151" s="220" t="s">
        <v>336</v>
      </c>
      <c r="I151" s="218" t="s">
        <v>337</v>
      </c>
      <c r="J151" s="253" t="s">
        <v>144</v>
      </c>
      <c r="K151" s="253" t="s">
        <v>144</v>
      </c>
      <c r="L151" s="718" t="s">
        <v>1152</v>
      </c>
      <c r="M151" s="278" t="s">
        <v>144</v>
      </c>
      <c r="N151" s="253" t="s">
        <v>144</v>
      </c>
      <c r="O151" s="253" t="s">
        <v>144</v>
      </c>
      <c r="P151" s="253" t="s">
        <v>144</v>
      </c>
      <c r="Q151" s="220" t="s">
        <v>338</v>
      </c>
      <c r="R151" s="220" t="s">
        <v>339</v>
      </c>
      <c r="S151" s="276" t="s">
        <v>147</v>
      </c>
      <c r="T151" s="221" t="s">
        <v>144</v>
      </c>
      <c r="U151" s="221" t="s">
        <v>144</v>
      </c>
      <c r="V151" s="253">
        <v>10</v>
      </c>
      <c r="W151" s="217" t="s">
        <v>144</v>
      </c>
      <c r="X151" s="221" t="s">
        <v>144</v>
      </c>
      <c r="Y151" s="221" t="s">
        <v>144</v>
      </c>
      <c r="Z151" s="222" t="s">
        <v>144</v>
      </c>
      <c r="AA151" s="278" t="s">
        <v>144</v>
      </c>
      <c r="AB151" s="217" t="s">
        <v>144</v>
      </c>
      <c r="AC151" s="278" t="s">
        <v>265</v>
      </c>
      <c r="AD151" s="253" t="s">
        <v>144</v>
      </c>
      <c r="AE151" s="253" t="s">
        <v>144</v>
      </c>
      <c r="AF151" s="254" t="s">
        <v>144</v>
      </c>
      <c r="AG151" s="838"/>
      <c r="AH151" s="280"/>
      <c r="AI151" s="281"/>
      <c r="AJ151" s="253"/>
      <c r="AK151" s="254"/>
      <c r="AL151" s="281"/>
      <c r="AM151" s="281"/>
      <c r="AN151" s="253"/>
      <c r="AO151" s="254"/>
      <c r="AP151" s="281"/>
      <c r="AQ151" s="281"/>
      <c r="AR151" s="253"/>
      <c r="AS151" s="254"/>
      <c r="AT151" s="281"/>
      <c r="AU151" s="281"/>
      <c r="AV151" s="253"/>
      <c r="AW151" s="254"/>
      <c r="AX151" s="281"/>
      <c r="AY151" s="281"/>
      <c r="AZ151" s="253"/>
      <c r="BA151" s="254"/>
      <c r="BB151" s="280"/>
      <c r="BC151" s="281"/>
      <c r="BD151" s="253"/>
      <c r="BE151" s="254"/>
      <c r="BF151" s="838"/>
    </row>
    <row r="152" spans="1:58" s="87" customFormat="1" ht="54" hidden="1" customHeight="1" x14ac:dyDescent="0.25">
      <c r="A152" s="267" t="s">
        <v>922</v>
      </c>
      <c r="B152" s="268">
        <v>36</v>
      </c>
      <c r="C152" s="240" t="s">
        <v>1022</v>
      </c>
      <c r="D152" s="211" t="s">
        <v>1023</v>
      </c>
      <c r="E152" s="268" t="s">
        <v>1153</v>
      </c>
      <c r="F152" s="861" t="s">
        <v>1154</v>
      </c>
      <c r="G152" s="269" t="s">
        <v>1155</v>
      </c>
      <c r="H152" s="845" t="s">
        <v>1156</v>
      </c>
      <c r="I152" s="208" t="s">
        <v>1157</v>
      </c>
      <c r="J152" s="240" t="s">
        <v>140</v>
      </c>
      <c r="K152" s="270" t="s">
        <v>140</v>
      </c>
      <c r="L152" s="862" t="s">
        <v>1158</v>
      </c>
      <c r="M152" s="206" t="s">
        <v>142</v>
      </c>
      <c r="N152" s="211" t="s">
        <v>143</v>
      </c>
      <c r="O152" s="240" t="s">
        <v>144</v>
      </c>
      <c r="P152" s="240" t="s">
        <v>144</v>
      </c>
      <c r="Q152" s="863" t="s">
        <v>144</v>
      </c>
      <c r="R152" s="271" t="s">
        <v>144</v>
      </c>
      <c r="S152" s="181" t="s">
        <v>233</v>
      </c>
      <c r="T152" s="212" t="s">
        <v>234</v>
      </c>
      <c r="U152" s="213" t="s">
        <v>235</v>
      </c>
      <c r="V152" s="847">
        <v>8</v>
      </c>
      <c r="W152" s="415" t="s">
        <v>144</v>
      </c>
      <c r="X152" s="212">
        <v>40</v>
      </c>
      <c r="Y152" s="212" t="s">
        <v>144</v>
      </c>
      <c r="Z152" s="252" t="s">
        <v>144</v>
      </c>
      <c r="AA152" s="343" t="s">
        <v>1159</v>
      </c>
      <c r="AB152" s="206" t="s">
        <v>140</v>
      </c>
      <c r="AC152" s="865" t="s">
        <v>265</v>
      </c>
      <c r="AD152" s="847" t="s">
        <v>144</v>
      </c>
      <c r="AE152" s="847" t="s">
        <v>144</v>
      </c>
      <c r="AF152" s="848" t="s">
        <v>144</v>
      </c>
      <c r="AG152" s="838"/>
      <c r="AH152" s="866" t="s">
        <v>266</v>
      </c>
      <c r="AI152" s="273" t="s">
        <v>267</v>
      </c>
      <c r="AJ152" s="847">
        <v>7</v>
      </c>
      <c r="AK152" s="848" t="s">
        <v>1046</v>
      </c>
      <c r="AL152" s="867"/>
      <c r="AM152" s="273"/>
      <c r="AN152" s="847"/>
      <c r="AO152" s="848"/>
      <c r="AP152" s="867" t="s">
        <v>1160</v>
      </c>
      <c r="AQ152" s="273" t="s">
        <v>1161</v>
      </c>
      <c r="AR152" s="847">
        <v>7</v>
      </c>
      <c r="AS152" s="848" t="s">
        <v>1162</v>
      </c>
      <c r="AT152" s="867" t="s">
        <v>1163</v>
      </c>
      <c r="AU152" s="273" t="s">
        <v>1164</v>
      </c>
      <c r="AV152" s="847">
        <v>6</v>
      </c>
      <c r="AW152" s="286" t="s">
        <v>1165</v>
      </c>
      <c r="AX152" s="867"/>
      <c r="AY152" s="273"/>
      <c r="AZ152" s="847"/>
      <c r="BA152" s="848"/>
      <c r="BB152" s="866"/>
      <c r="BC152" s="273"/>
      <c r="BD152" s="847"/>
      <c r="BE152" s="848"/>
      <c r="BF152" s="838"/>
    </row>
    <row r="153" spans="1:58" s="87" customFormat="1" ht="54" hidden="1" customHeight="1" x14ac:dyDescent="0.25">
      <c r="A153" s="267" t="s">
        <v>922</v>
      </c>
      <c r="B153" s="268">
        <v>37</v>
      </c>
      <c r="C153" s="240" t="s">
        <v>1022</v>
      </c>
      <c r="D153" s="211" t="s">
        <v>1023</v>
      </c>
      <c r="E153" s="268" t="s">
        <v>1166</v>
      </c>
      <c r="F153" s="861" t="s">
        <v>1167</v>
      </c>
      <c r="G153" s="269" t="s">
        <v>1168</v>
      </c>
      <c r="H153" s="845" t="s">
        <v>1169</v>
      </c>
      <c r="I153" s="208" t="s">
        <v>1170</v>
      </c>
      <c r="J153" s="240" t="s">
        <v>140</v>
      </c>
      <c r="K153" s="270" t="s">
        <v>140</v>
      </c>
      <c r="L153" s="862" t="s">
        <v>1171</v>
      </c>
      <c r="M153" s="206" t="s">
        <v>193</v>
      </c>
      <c r="N153" s="211" t="s">
        <v>194</v>
      </c>
      <c r="O153" s="240" t="s">
        <v>144</v>
      </c>
      <c r="P153" s="240" t="s">
        <v>144</v>
      </c>
      <c r="Q153" s="863" t="s">
        <v>1172</v>
      </c>
      <c r="R153" s="271" t="s">
        <v>1173</v>
      </c>
      <c r="S153" s="181" t="s">
        <v>233</v>
      </c>
      <c r="T153" s="212" t="s">
        <v>234</v>
      </c>
      <c r="U153" s="213" t="s">
        <v>235</v>
      </c>
      <c r="V153" s="847">
        <v>8</v>
      </c>
      <c r="W153" s="415" t="s">
        <v>144</v>
      </c>
      <c r="X153" s="212">
        <v>40</v>
      </c>
      <c r="Y153" s="212" t="s">
        <v>144</v>
      </c>
      <c r="Z153" s="252" t="s">
        <v>144</v>
      </c>
      <c r="AA153" s="343" t="s">
        <v>148</v>
      </c>
      <c r="AB153" s="206" t="s">
        <v>140</v>
      </c>
      <c r="AC153" s="865" t="s">
        <v>265</v>
      </c>
      <c r="AD153" s="847" t="s">
        <v>144</v>
      </c>
      <c r="AE153" s="847" t="s">
        <v>144</v>
      </c>
      <c r="AF153" s="848" t="s">
        <v>144</v>
      </c>
      <c r="AG153" s="838"/>
      <c r="AH153" s="866"/>
      <c r="AI153" s="273"/>
      <c r="AJ153" s="847"/>
      <c r="AK153" s="848"/>
      <c r="AL153" s="867"/>
      <c r="AM153" s="273"/>
      <c r="AN153" s="847"/>
      <c r="AO153" s="848"/>
      <c r="AP153" s="867" t="s">
        <v>1174</v>
      </c>
      <c r="AQ153" s="273" t="s">
        <v>1175</v>
      </c>
      <c r="AR153" s="847">
        <v>7</v>
      </c>
      <c r="AS153" s="293" t="s">
        <v>1176</v>
      </c>
      <c r="AT153" s="867" t="s">
        <v>1177</v>
      </c>
      <c r="AU153" s="273" t="s">
        <v>1178</v>
      </c>
      <c r="AV153" s="847">
        <v>6</v>
      </c>
      <c r="AW153" s="286" t="s">
        <v>1179</v>
      </c>
      <c r="AX153" s="867"/>
      <c r="AY153" s="273"/>
      <c r="AZ153" s="847"/>
      <c r="BA153" s="848"/>
      <c r="BB153" s="866"/>
      <c r="BC153" s="273"/>
      <c r="BD153" s="847"/>
      <c r="BE153" s="848"/>
      <c r="BF153" s="838"/>
    </row>
    <row r="154" spans="1:58" s="87" customFormat="1" ht="54" hidden="1" customHeight="1" x14ac:dyDescent="0.25">
      <c r="A154" s="267" t="s">
        <v>922</v>
      </c>
      <c r="B154" s="268">
        <v>38</v>
      </c>
      <c r="C154" s="240" t="s">
        <v>1022</v>
      </c>
      <c r="D154" s="211" t="s">
        <v>1023</v>
      </c>
      <c r="E154" s="268" t="s">
        <v>1180</v>
      </c>
      <c r="F154" s="861" t="s">
        <v>1181</v>
      </c>
      <c r="G154" s="269" t="s">
        <v>1182</v>
      </c>
      <c r="H154" s="845" t="s">
        <v>1183</v>
      </c>
      <c r="I154" s="208" t="s">
        <v>1184</v>
      </c>
      <c r="J154" s="240" t="s">
        <v>140</v>
      </c>
      <c r="K154" s="270" t="s">
        <v>140</v>
      </c>
      <c r="L154" s="862" t="s">
        <v>1185</v>
      </c>
      <c r="M154" s="206" t="s">
        <v>142</v>
      </c>
      <c r="N154" s="211" t="s">
        <v>143</v>
      </c>
      <c r="O154" s="240" t="s">
        <v>144</v>
      </c>
      <c r="P154" s="240" t="s">
        <v>144</v>
      </c>
      <c r="Q154" s="863" t="s">
        <v>144</v>
      </c>
      <c r="R154" s="271" t="s">
        <v>144</v>
      </c>
      <c r="S154" s="181" t="s">
        <v>233</v>
      </c>
      <c r="T154" s="212" t="s">
        <v>234</v>
      </c>
      <c r="U154" s="213" t="s">
        <v>235</v>
      </c>
      <c r="V154" s="847">
        <v>8</v>
      </c>
      <c r="W154" s="415" t="s">
        <v>144</v>
      </c>
      <c r="X154" s="212">
        <v>40</v>
      </c>
      <c r="Y154" s="212" t="s">
        <v>144</v>
      </c>
      <c r="Z154" s="241" t="s">
        <v>25</v>
      </c>
      <c r="AA154" s="343" t="s">
        <v>1159</v>
      </c>
      <c r="AB154" s="206" t="s">
        <v>140</v>
      </c>
      <c r="AC154" s="865" t="s">
        <v>265</v>
      </c>
      <c r="AD154" s="847" t="s">
        <v>144</v>
      </c>
      <c r="AE154" s="847" t="s">
        <v>144</v>
      </c>
      <c r="AF154" s="848" t="s">
        <v>144</v>
      </c>
      <c r="AG154" s="838"/>
      <c r="AH154" s="866" t="s">
        <v>266</v>
      </c>
      <c r="AI154" s="273" t="s">
        <v>267</v>
      </c>
      <c r="AJ154" s="847">
        <v>7</v>
      </c>
      <c r="AK154" s="848" t="s">
        <v>1046</v>
      </c>
      <c r="AL154" s="867"/>
      <c r="AM154" s="273"/>
      <c r="AN154" s="847"/>
      <c r="AO154" s="848"/>
      <c r="AP154" s="867" t="s">
        <v>1174</v>
      </c>
      <c r="AQ154" s="273" t="s">
        <v>1175</v>
      </c>
      <c r="AR154" s="847">
        <v>7</v>
      </c>
      <c r="AS154" s="293" t="s">
        <v>1176</v>
      </c>
      <c r="AT154" s="867" t="s">
        <v>1186</v>
      </c>
      <c r="AU154" s="273" t="s">
        <v>1187</v>
      </c>
      <c r="AV154" s="872">
        <v>6</v>
      </c>
      <c r="AW154" s="286" t="s">
        <v>1188</v>
      </c>
      <c r="AX154" s="867"/>
      <c r="AY154" s="273"/>
      <c r="AZ154" s="847"/>
      <c r="BA154" s="848"/>
      <c r="BB154" s="866"/>
      <c r="BC154" s="273"/>
      <c r="BD154" s="847"/>
      <c r="BE154" s="848"/>
      <c r="BF154" s="838"/>
    </row>
    <row r="155" spans="1:58" s="87" customFormat="1" ht="54" hidden="1" customHeight="1" x14ac:dyDescent="0.25">
      <c r="A155" s="267" t="s">
        <v>922</v>
      </c>
      <c r="B155" s="268">
        <v>39</v>
      </c>
      <c r="C155" s="240" t="s">
        <v>1022</v>
      </c>
      <c r="D155" s="211" t="s">
        <v>1023</v>
      </c>
      <c r="E155" s="268" t="s">
        <v>1189</v>
      </c>
      <c r="F155" s="861" t="s">
        <v>1190</v>
      </c>
      <c r="G155" s="269" t="s">
        <v>1191</v>
      </c>
      <c r="H155" s="845" t="s">
        <v>1192</v>
      </c>
      <c r="I155" s="208" t="s">
        <v>1193</v>
      </c>
      <c r="J155" s="240" t="s">
        <v>140</v>
      </c>
      <c r="K155" s="270" t="s">
        <v>140</v>
      </c>
      <c r="L155" s="862" t="s">
        <v>1194</v>
      </c>
      <c r="M155" s="206" t="s">
        <v>193</v>
      </c>
      <c r="N155" s="211" t="s">
        <v>194</v>
      </c>
      <c r="O155" s="240" t="s">
        <v>144</v>
      </c>
      <c r="P155" s="240" t="s">
        <v>144</v>
      </c>
      <c r="Q155" s="863" t="s">
        <v>144</v>
      </c>
      <c r="R155" s="271" t="s">
        <v>144</v>
      </c>
      <c r="S155" s="181" t="s">
        <v>233</v>
      </c>
      <c r="T155" s="212" t="s">
        <v>234</v>
      </c>
      <c r="U155" s="213" t="s">
        <v>235</v>
      </c>
      <c r="V155" s="847">
        <v>8</v>
      </c>
      <c r="W155" s="415" t="s">
        <v>144</v>
      </c>
      <c r="X155" s="212">
        <v>40</v>
      </c>
      <c r="Y155" s="212" t="s">
        <v>144</v>
      </c>
      <c r="Z155" s="241" t="s">
        <v>25</v>
      </c>
      <c r="AA155" s="343" t="s">
        <v>398</v>
      </c>
      <c r="AB155" s="206" t="s">
        <v>140</v>
      </c>
      <c r="AC155" s="865" t="s">
        <v>265</v>
      </c>
      <c r="AD155" s="847" t="s">
        <v>144</v>
      </c>
      <c r="AE155" s="847" t="s">
        <v>144</v>
      </c>
      <c r="AF155" s="848" t="s">
        <v>144</v>
      </c>
      <c r="AG155" s="838"/>
      <c r="AH155" s="866"/>
      <c r="AI155" s="273"/>
      <c r="AJ155" s="847"/>
      <c r="AK155" s="848"/>
      <c r="AL155" s="867"/>
      <c r="AM155" s="273"/>
      <c r="AN155" s="847"/>
      <c r="AO155" s="848"/>
      <c r="AP155" s="867" t="s">
        <v>1174</v>
      </c>
      <c r="AQ155" s="273" t="s">
        <v>1175</v>
      </c>
      <c r="AR155" s="847">
        <v>7</v>
      </c>
      <c r="AS155" s="293" t="s">
        <v>1176</v>
      </c>
      <c r="AT155" s="873" t="s">
        <v>1195</v>
      </c>
      <c r="AU155" s="406" t="s">
        <v>1196</v>
      </c>
      <c r="AV155" s="870">
        <v>6</v>
      </c>
      <c r="AW155" s="874" t="s">
        <v>1197</v>
      </c>
      <c r="AX155" s="867"/>
      <c r="AY155" s="273"/>
      <c r="AZ155" s="847"/>
      <c r="BA155" s="848"/>
      <c r="BB155" s="866"/>
      <c r="BC155" s="273"/>
      <c r="BD155" s="847"/>
      <c r="BE155" s="848"/>
      <c r="BF155" s="838"/>
    </row>
    <row r="156" spans="1:58" s="55" customFormat="1" ht="54" customHeight="1" x14ac:dyDescent="0.25">
      <c r="A156" s="275" t="s">
        <v>922</v>
      </c>
      <c r="B156" s="276">
        <v>40</v>
      </c>
      <c r="C156" s="253" t="s">
        <v>144</v>
      </c>
      <c r="D156" s="217" t="s">
        <v>144</v>
      </c>
      <c r="E156" s="276" t="s">
        <v>1198</v>
      </c>
      <c r="F156" s="277" t="s">
        <v>251</v>
      </c>
      <c r="G156" s="277" t="s">
        <v>251</v>
      </c>
      <c r="H156" s="220" t="s">
        <v>336</v>
      </c>
      <c r="I156" s="218" t="s">
        <v>337</v>
      </c>
      <c r="J156" s="253" t="s">
        <v>144</v>
      </c>
      <c r="K156" s="253" t="s">
        <v>144</v>
      </c>
      <c r="L156" s="718" t="s">
        <v>1199</v>
      </c>
      <c r="M156" s="278" t="s">
        <v>144</v>
      </c>
      <c r="N156" s="253" t="s">
        <v>144</v>
      </c>
      <c r="O156" s="253" t="s">
        <v>144</v>
      </c>
      <c r="P156" s="253" t="s">
        <v>144</v>
      </c>
      <c r="Q156" s="220" t="s">
        <v>338</v>
      </c>
      <c r="R156" s="220" t="s">
        <v>339</v>
      </c>
      <c r="S156" s="276" t="s">
        <v>147</v>
      </c>
      <c r="T156" s="221" t="s">
        <v>144</v>
      </c>
      <c r="U156" s="221" t="s">
        <v>144</v>
      </c>
      <c r="V156" s="253">
        <v>20</v>
      </c>
      <c r="W156" s="217" t="s">
        <v>144</v>
      </c>
      <c r="X156" s="221" t="s">
        <v>144</v>
      </c>
      <c r="Y156" s="221" t="s">
        <v>144</v>
      </c>
      <c r="Z156" s="221" t="s">
        <v>144</v>
      </c>
      <c r="AA156" s="278" t="s">
        <v>144</v>
      </c>
      <c r="AB156" s="217" t="s">
        <v>144</v>
      </c>
      <c r="AC156" s="278" t="s">
        <v>265</v>
      </c>
      <c r="AD156" s="253" t="s">
        <v>144</v>
      </c>
      <c r="AE156" s="253" t="s">
        <v>144</v>
      </c>
      <c r="AF156" s="254" t="s">
        <v>144</v>
      </c>
      <c r="AG156" s="838"/>
      <c r="AH156" s="280"/>
      <c r="AI156" s="281"/>
      <c r="AJ156" s="253"/>
      <c r="AK156" s="254"/>
      <c r="AL156" s="281"/>
      <c r="AM156" s="281"/>
      <c r="AN156" s="253"/>
      <c r="AO156" s="254"/>
      <c r="AP156" s="281"/>
      <c r="AQ156" s="281"/>
      <c r="AR156" s="253"/>
      <c r="AS156" s="254"/>
      <c r="AT156" s="281"/>
      <c r="AU156" s="281"/>
      <c r="AV156" s="253"/>
      <c r="AW156" s="254"/>
      <c r="AX156" s="281"/>
      <c r="AY156" s="281"/>
      <c r="AZ156" s="253"/>
      <c r="BA156" s="254"/>
      <c r="BB156" s="280"/>
      <c r="BC156" s="281"/>
      <c r="BD156" s="253"/>
      <c r="BE156" s="254"/>
      <c r="BF156" s="838"/>
    </row>
    <row r="157" spans="1:58" s="87" customFormat="1" ht="54" hidden="1" customHeight="1" x14ac:dyDescent="0.25">
      <c r="A157" s="267" t="s">
        <v>922</v>
      </c>
      <c r="B157" s="268">
        <v>41</v>
      </c>
      <c r="C157" s="240" t="s">
        <v>1200</v>
      </c>
      <c r="D157" s="211" t="s">
        <v>1201</v>
      </c>
      <c r="E157" s="268" t="s">
        <v>1202</v>
      </c>
      <c r="F157" s="861" t="s">
        <v>1203</v>
      </c>
      <c r="G157" s="294" t="s">
        <v>1204</v>
      </c>
      <c r="H157" s="845" t="s">
        <v>1205</v>
      </c>
      <c r="I157" s="208" t="s">
        <v>1206</v>
      </c>
      <c r="J157" s="240" t="s">
        <v>140</v>
      </c>
      <c r="K157" s="270" t="s">
        <v>140</v>
      </c>
      <c r="L157" s="862" t="s">
        <v>1207</v>
      </c>
      <c r="M157" s="206" t="s">
        <v>142</v>
      </c>
      <c r="N157" s="211" t="s">
        <v>143</v>
      </c>
      <c r="O157" s="240" t="s">
        <v>1208</v>
      </c>
      <c r="P157" s="240" t="s">
        <v>1209</v>
      </c>
      <c r="Q157" s="863" t="s">
        <v>1210</v>
      </c>
      <c r="R157" s="271" t="s">
        <v>1211</v>
      </c>
      <c r="S157" s="864" t="s">
        <v>147</v>
      </c>
      <c r="T157" s="212" t="s">
        <v>144</v>
      </c>
      <c r="U157" s="213" t="s">
        <v>144</v>
      </c>
      <c r="V157" s="847">
        <v>1</v>
      </c>
      <c r="W157" s="415" t="s">
        <v>144</v>
      </c>
      <c r="X157" s="212">
        <v>40</v>
      </c>
      <c r="Y157" s="212" t="s">
        <v>144</v>
      </c>
      <c r="Z157" s="212" t="s">
        <v>144</v>
      </c>
      <c r="AA157" s="343" t="s">
        <v>1212</v>
      </c>
      <c r="AB157" s="206" t="s">
        <v>140</v>
      </c>
      <c r="AC157" s="865" t="s">
        <v>265</v>
      </c>
      <c r="AD157" s="847" t="s">
        <v>144</v>
      </c>
      <c r="AE157" s="847" t="s">
        <v>144</v>
      </c>
      <c r="AF157" s="848" t="s">
        <v>144</v>
      </c>
      <c r="AG157" s="838"/>
      <c r="AH157" s="866" t="s">
        <v>266</v>
      </c>
      <c r="AI157" s="273" t="s">
        <v>267</v>
      </c>
      <c r="AJ157" s="847">
        <v>7</v>
      </c>
      <c r="AK157" s="848" t="s">
        <v>1046</v>
      </c>
      <c r="AL157" s="185" t="s">
        <v>294</v>
      </c>
      <c r="AM157" s="186" t="s">
        <v>295</v>
      </c>
      <c r="AN157" s="847">
        <v>7</v>
      </c>
      <c r="AO157" s="187" t="s">
        <v>966</v>
      </c>
      <c r="AP157" s="292" t="s">
        <v>1213</v>
      </c>
      <c r="AQ157" s="273" t="s">
        <v>1214</v>
      </c>
      <c r="AR157" s="240">
        <v>7</v>
      </c>
      <c r="AS157" s="286" t="s">
        <v>1215</v>
      </c>
      <c r="AT157" s="292"/>
      <c r="AU157" s="273"/>
      <c r="AV157" s="240"/>
      <c r="AW157" s="295"/>
      <c r="AX157" s="867"/>
      <c r="AY157" s="273"/>
      <c r="AZ157" s="847"/>
      <c r="BA157" s="848"/>
      <c r="BB157" s="866"/>
      <c r="BC157" s="273"/>
      <c r="BD157" s="847"/>
      <c r="BE157" s="848"/>
      <c r="BF157" s="838"/>
    </row>
    <row r="158" spans="1:58" s="87" customFormat="1" ht="54" hidden="1" customHeight="1" x14ac:dyDescent="0.25">
      <c r="A158" s="267" t="s">
        <v>922</v>
      </c>
      <c r="B158" s="268">
        <v>42</v>
      </c>
      <c r="C158" s="240" t="s">
        <v>1200</v>
      </c>
      <c r="D158" s="211" t="s">
        <v>1201</v>
      </c>
      <c r="E158" s="268" t="s">
        <v>1216</v>
      </c>
      <c r="F158" s="861" t="s">
        <v>1217</v>
      </c>
      <c r="G158" s="269" t="s">
        <v>1218</v>
      </c>
      <c r="H158" s="845" t="s">
        <v>1219</v>
      </c>
      <c r="I158" s="208" t="s">
        <v>1220</v>
      </c>
      <c r="J158" s="240" t="s">
        <v>140</v>
      </c>
      <c r="K158" s="270" t="s">
        <v>140</v>
      </c>
      <c r="L158" s="862" t="s">
        <v>1221</v>
      </c>
      <c r="M158" s="206" t="s">
        <v>973</v>
      </c>
      <c r="N158" s="211" t="s">
        <v>974</v>
      </c>
      <c r="O158" s="240" t="s">
        <v>1222</v>
      </c>
      <c r="P158" s="240" t="s">
        <v>1223</v>
      </c>
      <c r="Q158" s="863" t="s">
        <v>144</v>
      </c>
      <c r="R158" s="271" t="s">
        <v>144</v>
      </c>
      <c r="S158" s="864" t="s">
        <v>147</v>
      </c>
      <c r="T158" s="212" t="s">
        <v>144</v>
      </c>
      <c r="U158" s="213" t="s">
        <v>144</v>
      </c>
      <c r="V158" s="847">
        <v>1</v>
      </c>
      <c r="W158" s="415" t="s">
        <v>144</v>
      </c>
      <c r="X158" s="212">
        <v>40</v>
      </c>
      <c r="Y158" s="212" t="s">
        <v>144</v>
      </c>
      <c r="Z158" s="212" t="s">
        <v>144</v>
      </c>
      <c r="AA158" s="343" t="s">
        <v>1224</v>
      </c>
      <c r="AB158" s="206" t="s">
        <v>140</v>
      </c>
      <c r="AC158" s="865" t="s">
        <v>265</v>
      </c>
      <c r="AD158" s="847" t="s">
        <v>144</v>
      </c>
      <c r="AE158" s="847" t="s">
        <v>144</v>
      </c>
      <c r="AF158" s="848" t="s">
        <v>144</v>
      </c>
      <c r="AG158" s="838"/>
      <c r="AH158" s="866" t="s">
        <v>1225</v>
      </c>
      <c r="AI158" s="273" t="s">
        <v>1226</v>
      </c>
      <c r="AJ158" s="240">
        <v>6</v>
      </c>
      <c r="AK158" s="848" t="s">
        <v>1227</v>
      </c>
      <c r="AL158" s="185" t="s">
        <v>294</v>
      </c>
      <c r="AM158" s="186" t="s">
        <v>295</v>
      </c>
      <c r="AN158" s="847">
        <v>7</v>
      </c>
      <c r="AO158" s="187" t="s">
        <v>966</v>
      </c>
      <c r="AP158" s="867"/>
      <c r="AQ158" s="273"/>
      <c r="AR158" s="847"/>
      <c r="AS158" s="848"/>
      <c r="AT158" s="867" t="s">
        <v>1228</v>
      </c>
      <c r="AU158" s="273"/>
      <c r="AV158" s="847"/>
      <c r="AW158" s="848"/>
      <c r="AX158" s="867"/>
      <c r="AY158" s="273"/>
      <c r="AZ158" s="847"/>
      <c r="BA158" s="848"/>
      <c r="BB158" s="866"/>
      <c r="BC158" s="273"/>
      <c r="BD158" s="847"/>
      <c r="BE158" s="848"/>
      <c r="BF158" s="838"/>
    </row>
    <row r="159" spans="1:58" s="87" customFormat="1" ht="54" hidden="1" customHeight="1" x14ac:dyDescent="0.25">
      <c r="A159" s="267" t="s">
        <v>922</v>
      </c>
      <c r="B159" s="268">
        <v>43</v>
      </c>
      <c r="C159" s="240" t="s">
        <v>1200</v>
      </c>
      <c r="D159" s="211" t="s">
        <v>1201</v>
      </c>
      <c r="E159" s="268" t="s">
        <v>1229</v>
      </c>
      <c r="F159" s="861" t="s">
        <v>1230</v>
      </c>
      <c r="G159" s="269" t="s">
        <v>1231</v>
      </c>
      <c r="H159" s="845" t="s">
        <v>1232</v>
      </c>
      <c r="I159" s="208" t="s">
        <v>1233</v>
      </c>
      <c r="J159" s="240" t="s">
        <v>140</v>
      </c>
      <c r="K159" s="270" t="s">
        <v>140</v>
      </c>
      <c r="L159" s="862" t="s">
        <v>1234</v>
      </c>
      <c r="M159" s="206" t="s">
        <v>973</v>
      </c>
      <c r="N159" s="211" t="s">
        <v>974</v>
      </c>
      <c r="O159" s="240" t="s">
        <v>179</v>
      </c>
      <c r="P159" s="240" t="s">
        <v>280</v>
      </c>
      <c r="Q159" s="863" t="s">
        <v>144</v>
      </c>
      <c r="R159" s="271" t="s">
        <v>144</v>
      </c>
      <c r="S159" s="864" t="s">
        <v>147</v>
      </c>
      <c r="T159" s="212" t="s">
        <v>144</v>
      </c>
      <c r="U159" s="213" t="s">
        <v>144</v>
      </c>
      <c r="V159" s="847">
        <v>5</v>
      </c>
      <c r="W159" s="415" t="s">
        <v>144</v>
      </c>
      <c r="X159" s="212">
        <v>40</v>
      </c>
      <c r="Y159" s="212" t="s">
        <v>144</v>
      </c>
      <c r="Z159" s="212" t="s">
        <v>144</v>
      </c>
      <c r="AA159" s="343" t="s">
        <v>398</v>
      </c>
      <c r="AB159" s="206" t="s">
        <v>140</v>
      </c>
      <c r="AC159" s="865" t="s">
        <v>265</v>
      </c>
      <c r="AD159" s="847" t="s">
        <v>144</v>
      </c>
      <c r="AE159" s="847" t="s">
        <v>144</v>
      </c>
      <c r="AF159" s="848" t="s">
        <v>144</v>
      </c>
      <c r="AG159" s="838"/>
      <c r="AH159" s="291" t="s">
        <v>1235</v>
      </c>
      <c r="AI159" s="273" t="s">
        <v>1236</v>
      </c>
      <c r="AJ159" s="240">
        <v>6</v>
      </c>
      <c r="AK159" s="286" t="s">
        <v>1237</v>
      </c>
      <c r="AL159" s="185" t="s">
        <v>294</v>
      </c>
      <c r="AM159" s="186" t="s">
        <v>295</v>
      </c>
      <c r="AN159" s="847">
        <v>7</v>
      </c>
      <c r="AO159" s="187" t="s">
        <v>966</v>
      </c>
      <c r="AP159" s="867"/>
      <c r="AQ159" s="273"/>
      <c r="AR159" s="847"/>
      <c r="AS159" s="848"/>
      <c r="AT159" s="867"/>
      <c r="AU159" s="273"/>
      <c r="AV159" s="847"/>
      <c r="AW159" s="848"/>
      <c r="AX159" s="867"/>
      <c r="AY159" s="273"/>
      <c r="AZ159" s="847"/>
      <c r="BA159" s="848"/>
      <c r="BB159" s="866"/>
      <c r="BC159" s="273"/>
      <c r="BD159" s="847"/>
      <c r="BE159" s="848"/>
      <c r="BF159" s="838"/>
    </row>
    <row r="160" spans="1:58" s="87" customFormat="1" ht="54" hidden="1" customHeight="1" x14ac:dyDescent="0.25">
      <c r="A160" s="267" t="s">
        <v>922</v>
      </c>
      <c r="B160" s="268">
        <v>44</v>
      </c>
      <c r="C160" s="240" t="s">
        <v>1200</v>
      </c>
      <c r="D160" s="211" t="s">
        <v>1201</v>
      </c>
      <c r="E160" s="268" t="s">
        <v>1238</v>
      </c>
      <c r="F160" s="861" t="s">
        <v>1239</v>
      </c>
      <c r="G160" s="269" t="s">
        <v>1240</v>
      </c>
      <c r="H160" s="845" t="s">
        <v>1241</v>
      </c>
      <c r="I160" s="208" t="s">
        <v>1242</v>
      </c>
      <c r="J160" s="240" t="s">
        <v>140</v>
      </c>
      <c r="K160" s="270" t="s">
        <v>140</v>
      </c>
      <c r="L160" s="862" t="s">
        <v>1243</v>
      </c>
      <c r="M160" s="206" t="s">
        <v>973</v>
      </c>
      <c r="N160" s="211" t="s">
        <v>974</v>
      </c>
      <c r="O160" s="240" t="s">
        <v>144</v>
      </c>
      <c r="P160" s="240" t="s">
        <v>144</v>
      </c>
      <c r="Q160" s="863" t="s">
        <v>144</v>
      </c>
      <c r="R160" s="271" t="s">
        <v>144</v>
      </c>
      <c r="S160" s="864" t="s">
        <v>147</v>
      </c>
      <c r="T160" s="212" t="s">
        <v>144</v>
      </c>
      <c r="U160" s="213" t="s">
        <v>144</v>
      </c>
      <c r="V160" s="847">
        <v>20</v>
      </c>
      <c r="W160" s="415" t="s">
        <v>144</v>
      </c>
      <c r="X160" s="212">
        <v>40</v>
      </c>
      <c r="Y160" s="212" t="s">
        <v>144</v>
      </c>
      <c r="Z160" s="212" t="s">
        <v>144</v>
      </c>
      <c r="AA160" s="343" t="s">
        <v>398</v>
      </c>
      <c r="AB160" s="206" t="s">
        <v>140</v>
      </c>
      <c r="AC160" s="865" t="s">
        <v>265</v>
      </c>
      <c r="AD160" s="847" t="s">
        <v>144</v>
      </c>
      <c r="AE160" s="847" t="s">
        <v>144</v>
      </c>
      <c r="AF160" s="848" t="s">
        <v>144</v>
      </c>
      <c r="AG160" s="838"/>
      <c r="AH160" s="866" t="s">
        <v>1244</v>
      </c>
      <c r="AI160" s="273" t="s">
        <v>1245</v>
      </c>
      <c r="AJ160" s="847">
        <v>5</v>
      </c>
      <c r="AK160" s="286" t="s">
        <v>1246</v>
      </c>
      <c r="AL160" s="867"/>
      <c r="AM160" s="273"/>
      <c r="AN160" s="847"/>
      <c r="AO160" s="848"/>
      <c r="AP160" s="867"/>
      <c r="AQ160" s="273"/>
      <c r="AR160" s="847"/>
      <c r="AS160" s="848"/>
      <c r="AT160" s="867"/>
      <c r="AU160" s="273"/>
      <c r="AV160" s="847"/>
      <c r="AW160" s="848"/>
      <c r="AX160" s="867" t="s">
        <v>1047</v>
      </c>
      <c r="AY160" s="273" t="s">
        <v>1048</v>
      </c>
      <c r="AZ160" s="847">
        <v>6</v>
      </c>
      <c r="BA160" s="848" t="s">
        <v>1049</v>
      </c>
      <c r="BB160" s="866"/>
      <c r="BC160" s="273"/>
      <c r="BD160" s="847"/>
      <c r="BE160" s="848"/>
      <c r="BF160" s="838"/>
    </row>
    <row r="161" spans="1:58" s="87" customFormat="1" ht="54" hidden="1" customHeight="1" x14ac:dyDescent="0.25">
      <c r="A161" s="267" t="s">
        <v>922</v>
      </c>
      <c r="B161" s="268">
        <v>45</v>
      </c>
      <c r="C161" s="240" t="s">
        <v>1200</v>
      </c>
      <c r="D161" s="211" t="s">
        <v>1201</v>
      </c>
      <c r="E161" s="268" t="s">
        <v>1247</v>
      </c>
      <c r="F161" s="861" t="s">
        <v>1248</v>
      </c>
      <c r="G161" s="269" t="s">
        <v>1249</v>
      </c>
      <c r="H161" s="845" t="s">
        <v>1250</v>
      </c>
      <c r="I161" s="208" t="s">
        <v>1251</v>
      </c>
      <c r="J161" s="240" t="s">
        <v>140</v>
      </c>
      <c r="K161" s="270" t="s">
        <v>140</v>
      </c>
      <c r="L161" s="862" t="s">
        <v>1252</v>
      </c>
      <c r="M161" s="206" t="s">
        <v>193</v>
      </c>
      <c r="N161" s="211" t="s">
        <v>194</v>
      </c>
      <c r="O161" s="240" t="s">
        <v>144</v>
      </c>
      <c r="P161" s="240" t="s">
        <v>144</v>
      </c>
      <c r="Q161" s="863" t="s">
        <v>1253</v>
      </c>
      <c r="R161" s="271" t="s">
        <v>1254</v>
      </c>
      <c r="S161" s="864" t="s">
        <v>147</v>
      </c>
      <c r="T161" s="212" t="s">
        <v>144</v>
      </c>
      <c r="U161" s="213" t="s">
        <v>144</v>
      </c>
      <c r="V161" s="847">
        <v>10</v>
      </c>
      <c r="W161" s="415" t="s">
        <v>144</v>
      </c>
      <c r="X161" s="212">
        <v>40</v>
      </c>
      <c r="Y161" s="212" t="s">
        <v>144</v>
      </c>
      <c r="Z161" s="451" t="s">
        <v>29</v>
      </c>
      <c r="AA161" s="343" t="s">
        <v>1255</v>
      </c>
      <c r="AB161" s="206" t="s">
        <v>140</v>
      </c>
      <c r="AC161" s="865" t="s">
        <v>265</v>
      </c>
      <c r="AD161" s="847" t="s">
        <v>144</v>
      </c>
      <c r="AE161" s="847" t="s">
        <v>144</v>
      </c>
      <c r="AF161" s="848" t="s">
        <v>144</v>
      </c>
      <c r="AG161" s="838"/>
      <c r="AH161" s="866"/>
      <c r="AI161" s="273"/>
      <c r="AJ161" s="847"/>
      <c r="AK161" s="848"/>
      <c r="AL161" s="867"/>
      <c r="AM161" s="273"/>
      <c r="AN161" s="847"/>
      <c r="AO161" s="848"/>
      <c r="AP161" s="867"/>
      <c r="AQ161" s="273"/>
      <c r="AR161" s="847"/>
      <c r="AS161" s="848"/>
      <c r="AT161" s="867"/>
      <c r="AU161" s="273"/>
      <c r="AV161" s="847"/>
      <c r="AW161" s="848"/>
      <c r="AX161" s="869" t="s">
        <v>1256</v>
      </c>
      <c r="AY161" s="410" t="s">
        <v>1257</v>
      </c>
      <c r="AZ161" s="870" t="s">
        <v>1061</v>
      </c>
      <c r="BA161" s="871" t="s">
        <v>1062</v>
      </c>
      <c r="BB161" s="866"/>
      <c r="BC161" s="273"/>
      <c r="BD161" s="847"/>
      <c r="BE161" s="848"/>
      <c r="BF161" s="838"/>
    </row>
    <row r="162" spans="1:58" s="87" customFormat="1" ht="54" hidden="1" customHeight="1" x14ac:dyDescent="0.25">
      <c r="A162" s="267" t="s">
        <v>922</v>
      </c>
      <c r="B162" s="268">
        <v>46</v>
      </c>
      <c r="C162" s="240" t="s">
        <v>1200</v>
      </c>
      <c r="D162" s="211" t="s">
        <v>1201</v>
      </c>
      <c r="E162" s="268" t="s">
        <v>1258</v>
      </c>
      <c r="F162" s="861" t="s">
        <v>1259</v>
      </c>
      <c r="G162" s="269" t="s">
        <v>1260</v>
      </c>
      <c r="H162" s="845" t="s">
        <v>1261</v>
      </c>
      <c r="I162" s="208" t="s">
        <v>1262</v>
      </c>
      <c r="J162" s="240" t="s">
        <v>140</v>
      </c>
      <c r="K162" s="270" t="s">
        <v>140</v>
      </c>
      <c r="L162" s="862" t="s">
        <v>1263</v>
      </c>
      <c r="M162" s="206" t="s">
        <v>973</v>
      </c>
      <c r="N162" s="211" t="s">
        <v>974</v>
      </c>
      <c r="O162" s="240" t="s">
        <v>144</v>
      </c>
      <c r="P162" s="240" t="s">
        <v>144</v>
      </c>
      <c r="Q162" s="863" t="s">
        <v>144</v>
      </c>
      <c r="R162" s="271" t="s">
        <v>144</v>
      </c>
      <c r="S162" s="864" t="s">
        <v>746</v>
      </c>
      <c r="T162" s="212" t="s">
        <v>1104</v>
      </c>
      <c r="U162" s="213" t="s">
        <v>1105</v>
      </c>
      <c r="V162" s="847">
        <v>19</v>
      </c>
      <c r="W162" s="415" t="s">
        <v>144</v>
      </c>
      <c r="X162" s="212">
        <v>40</v>
      </c>
      <c r="Y162" s="212" t="s">
        <v>144</v>
      </c>
      <c r="Z162" s="212" t="s">
        <v>144</v>
      </c>
      <c r="AA162" s="343" t="s">
        <v>398</v>
      </c>
      <c r="AB162" s="206" t="s">
        <v>140</v>
      </c>
      <c r="AC162" s="865" t="s">
        <v>265</v>
      </c>
      <c r="AD162" s="847" t="s">
        <v>144</v>
      </c>
      <c r="AE162" s="847" t="s">
        <v>144</v>
      </c>
      <c r="AF162" s="848" t="s">
        <v>144</v>
      </c>
      <c r="AG162" s="838"/>
      <c r="AH162" s="291" t="s">
        <v>1264</v>
      </c>
      <c r="AI162" s="273" t="s">
        <v>1265</v>
      </c>
      <c r="AJ162" s="240">
        <v>5</v>
      </c>
      <c r="AK162" s="848" t="s">
        <v>1266</v>
      </c>
      <c r="AL162" s="867"/>
      <c r="AM162" s="273"/>
      <c r="AN162" s="847"/>
      <c r="AO162" s="848"/>
      <c r="AP162" s="284" t="s">
        <v>1107</v>
      </c>
      <c r="AQ162" s="273" t="s">
        <v>1108</v>
      </c>
      <c r="AR162" s="285">
        <v>7</v>
      </c>
      <c r="AS162" s="286" t="s">
        <v>1109</v>
      </c>
      <c r="AT162" s="867"/>
      <c r="AU162" s="273"/>
      <c r="AV162" s="847"/>
      <c r="AW162" s="848"/>
      <c r="AX162" s="867"/>
      <c r="AY162" s="273"/>
      <c r="AZ162" s="847"/>
      <c r="BA162" s="848"/>
      <c r="BB162" s="866"/>
      <c r="BC162" s="273"/>
      <c r="BD162" s="847"/>
      <c r="BE162" s="848"/>
      <c r="BF162" s="838"/>
    </row>
    <row r="163" spans="1:58" s="87" customFormat="1" ht="54" hidden="1" customHeight="1" x14ac:dyDescent="0.25">
      <c r="A163" s="267" t="s">
        <v>922</v>
      </c>
      <c r="B163" s="268">
        <v>47</v>
      </c>
      <c r="C163" s="240" t="s">
        <v>1200</v>
      </c>
      <c r="D163" s="211" t="s">
        <v>1201</v>
      </c>
      <c r="E163" s="268" t="s">
        <v>1267</v>
      </c>
      <c r="F163" s="861" t="s">
        <v>1268</v>
      </c>
      <c r="G163" s="269" t="s">
        <v>1269</v>
      </c>
      <c r="H163" s="845" t="s">
        <v>1270</v>
      </c>
      <c r="I163" s="208" t="s">
        <v>1271</v>
      </c>
      <c r="J163" s="240" t="s">
        <v>140</v>
      </c>
      <c r="K163" s="270" t="s">
        <v>140</v>
      </c>
      <c r="L163" s="862" t="s">
        <v>1272</v>
      </c>
      <c r="M163" s="206" t="s">
        <v>973</v>
      </c>
      <c r="N163" s="211" t="s">
        <v>974</v>
      </c>
      <c r="O163" s="240" t="s">
        <v>144</v>
      </c>
      <c r="P163" s="240" t="s">
        <v>144</v>
      </c>
      <c r="Q163" s="863" t="s">
        <v>144</v>
      </c>
      <c r="R163" s="271" t="s">
        <v>144</v>
      </c>
      <c r="S163" s="864" t="s">
        <v>746</v>
      </c>
      <c r="T163" s="212" t="s">
        <v>1104</v>
      </c>
      <c r="U163" s="213" t="s">
        <v>1105</v>
      </c>
      <c r="V163" s="847">
        <v>19</v>
      </c>
      <c r="W163" s="415" t="s">
        <v>144</v>
      </c>
      <c r="X163" s="212">
        <v>40</v>
      </c>
      <c r="Y163" s="212" t="s">
        <v>144</v>
      </c>
      <c r="Z163" s="212" t="s">
        <v>144</v>
      </c>
      <c r="AA163" s="343" t="s">
        <v>398</v>
      </c>
      <c r="AB163" s="206" t="s">
        <v>140</v>
      </c>
      <c r="AC163" s="865" t="s">
        <v>265</v>
      </c>
      <c r="AD163" s="847" t="s">
        <v>144</v>
      </c>
      <c r="AE163" s="847" t="s">
        <v>144</v>
      </c>
      <c r="AF163" s="848" t="s">
        <v>144</v>
      </c>
      <c r="AG163" s="838"/>
      <c r="AH163" s="291" t="s">
        <v>1264</v>
      </c>
      <c r="AI163" s="273" t="s">
        <v>1265</v>
      </c>
      <c r="AJ163" s="240">
        <v>5</v>
      </c>
      <c r="AK163" s="848" t="s">
        <v>1266</v>
      </c>
      <c r="AL163" s="867"/>
      <c r="AM163" s="273"/>
      <c r="AN163" s="847"/>
      <c r="AO163" s="848"/>
      <c r="AP163" s="284" t="s">
        <v>1107</v>
      </c>
      <c r="AQ163" s="273" t="s">
        <v>1108</v>
      </c>
      <c r="AR163" s="285">
        <v>7</v>
      </c>
      <c r="AS163" s="286" t="s">
        <v>1109</v>
      </c>
      <c r="AT163" s="867"/>
      <c r="AU163" s="273"/>
      <c r="AV163" s="847"/>
      <c r="AW163" s="848"/>
      <c r="AX163" s="867"/>
      <c r="AY163" s="273"/>
      <c r="AZ163" s="847"/>
      <c r="BA163" s="848"/>
      <c r="BB163" s="866"/>
      <c r="BC163" s="273"/>
      <c r="BD163" s="847"/>
      <c r="BE163" s="848"/>
      <c r="BF163" s="838"/>
    </row>
    <row r="164" spans="1:58" s="87" customFormat="1" ht="54" hidden="1" customHeight="1" x14ac:dyDescent="0.25">
      <c r="A164" s="267" t="s">
        <v>922</v>
      </c>
      <c r="B164" s="268">
        <v>48</v>
      </c>
      <c r="C164" s="240" t="s">
        <v>1200</v>
      </c>
      <c r="D164" s="211" t="s">
        <v>1201</v>
      </c>
      <c r="E164" s="268" t="s">
        <v>1273</v>
      </c>
      <c r="F164" s="861" t="s">
        <v>1274</v>
      </c>
      <c r="G164" s="269" t="s">
        <v>1275</v>
      </c>
      <c r="H164" s="845" t="s">
        <v>1276</v>
      </c>
      <c r="I164" s="208" t="s">
        <v>1275</v>
      </c>
      <c r="J164" s="240" t="s">
        <v>140</v>
      </c>
      <c r="K164" s="270" t="s">
        <v>140</v>
      </c>
      <c r="L164" s="862" t="s">
        <v>1277</v>
      </c>
      <c r="M164" s="206" t="s">
        <v>973</v>
      </c>
      <c r="N164" s="211" t="s">
        <v>974</v>
      </c>
      <c r="O164" s="240" t="s">
        <v>814</v>
      </c>
      <c r="P164" s="240" t="s">
        <v>815</v>
      </c>
      <c r="Q164" s="863" t="s">
        <v>144</v>
      </c>
      <c r="R164" s="271" t="s">
        <v>144</v>
      </c>
      <c r="S164" s="864" t="s">
        <v>147</v>
      </c>
      <c r="T164" s="212" t="s">
        <v>144</v>
      </c>
      <c r="U164" s="213" t="s">
        <v>144</v>
      </c>
      <c r="V164" s="847">
        <v>3</v>
      </c>
      <c r="W164" s="415" t="s">
        <v>144</v>
      </c>
      <c r="X164" s="212">
        <v>40</v>
      </c>
      <c r="Y164" s="212" t="s">
        <v>144</v>
      </c>
      <c r="Z164" s="212" t="s">
        <v>144</v>
      </c>
      <c r="AA164" s="343" t="s">
        <v>398</v>
      </c>
      <c r="AB164" s="206" t="s">
        <v>140</v>
      </c>
      <c r="AC164" s="865" t="s">
        <v>265</v>
      </c>
      <c r="AD164" s="847" t="s">
        <v>144</v>
      </c>
      <c r="AE164" s="847" t="s">
        <v>144</v>
      </c>
      <c r="AF164" s="848" t="s">
        <v>144</v>
      </c>
      <c r="AG164" s="838"/>
      <c r="AH164" s="866" t="s">
        <v>1278</v>
      </c>
      <c r="AI164" s="273" t="s">
        <v>1279</v>
      </c>
      <c r="AJ164" s="240">
        <v>7</v>
      </c>
      <c r="AK164" s="848" t="s">
        <v>1280</v>
      </c>
      <c r="AL164" s="185" t="s">
        <v>294</v>
      </c>
      <c r="AM164" s="186" t="s">
        <v>295</v>
      </c>
      <c r="AN164" s="847">
        <v>7</v>
      </c>
      <c r="AO164" s="187" t="s">
        <v>966</v>
      </c>
      <c r="AP164" s="867"/>
      <c r="AQ164" s="273"/>
      <c r="AR164" s="847"/>
      <c r="AS164" s="848"/>
      <c r="AT164" s="867" t="s">
        <v>1228</v>
      </c>
      <c r="AU164" s="273"/>
      <c r="AV164" s="847"/>
      <c r="AW164" s="848"/>
      <c r="AX164" s="867"/>
      <c r="AY164" s="273"/>
      <c r="AZ164" s="847"/>
      <c r="BA164" s="848"/>
      <c r="BB164" s="866"/>
      <c r="BC164" s="273"/>
      <c r="BD164" s="847"/>
      <c r="BE164" s="848"/>
      <c r="BF164" s="838"/>
    </row>
    <row r="165" spans="1:58" s="87" customFormat="1" ht="54" hidden="1" customHeight="1" x14ac:dyDescent="0.25">
      <c r="A165" s="267" t="s">
        <v>922</v>
      </c>
      <c r="B165" s="268">
        <v>49</v>
      </c>
      <c r="C165" s="240" t="s">
        <v>1200</v>
      </c>
      <c r="D165" s="211" t="s">
        <v>1201</v>
      </c>
      <c r="E165" s="268" t="s">
        <v>1281</v>
      </c>
      <c r="F165" s="861" t="s">
        <v>1282</v>
      </c>
      <c r="G165" s="269" t="s">
        <v>1283</v>
      </c>
      <c r="H165" s="845" t="s">
        <v>1284</v>
      </c>
      <c r="I165" s="208" t="s">
        <v>1285</v>
      </c>
      <c r="J165" s="240" t="s">
        <v>140</v>
      </c>
      <c r="K165" s="270" t="s">
        <v>140</v>
      </c>
      <c r="L165" s="862" t="s">
        <v>1286</v>
      </c>
      <c r="M165" s="206" t="s">
        <v>973</v>
      </c>
      <c r="N165" s="211" t="s">
        <v>974</v>
      </c>
      <c r="O165" s="240" t="s">
        <v>144</v>
      </c>
      <c r="P165" s="240" t="s">
        <v>144</v>
      </c>
      <c r="Q165" s="863" t="s">
        <v>144</v>
      </c>
      <c r="R165" s="271" t="s">
        <v>144</v>
      </c>
      <c r="S165" s="864" t="s">
        <v>746</v>
      </c>
      <c r="T165" s="212" t="s">
        <v>1104</v>
      </c>
      <c r="U165" s="213" t="s">
        <v>1105</v>
      </c>
      <c r="V165" s="847">
        <v>19</v>
      </c>
      <c r="W165" s="415" t="s">
        <v>144</v>
      </c>
      <c r="X165" s="212">
        <v>40</v>
      </c>
      <c r="Y165" s="212" t="s">
        <v>144</v>
      </c>
      <c r="Z165" s="212" t="s">
        <v>144</v>
      </c>
      <c r="AA165" s="343" t="s">
        <v>398</v>
      </c>
      <c r="AB165" s="206" t="s">
        <v>140</v>
      </c>
      <c r="AC165" s="865" t="s">
        <v>265</v>
      </c>
      <c r="AD165" s="847" t="s">
        <v>144</v>
      </c>
      <c r="AE165" s="847" t="s">
        <v>144</v>
      </c>
      <c r="AF165" s="848" t="s">
        <v>144</v>
      </c>
      <c r="AG165" s="838"/>
      <c r="AH165" s="291" t="s">
        <v>1264</v>
      </c>
      <c r="AI165" s="273" t="s">
        <v>1265</v>
      </c>
      <c r="AJ165" s="240">
        <v>5</v>
      </c>
      <c r="AK165" s="848" t="s">
        <v>1266</v>
      </c>
      <c r="AL165" s="867"/>
      <c r="AM165" s="273"/>
      <c r="AN165" s="847"/>
      <c r="AO165" s="848"/>
      <c r="AP165" s="284" t="s">
        <v>1107</v>
      </c>
      <c r="AQ165" s="273" t="s">
        <v>1108</v>
      </c>
      <c r="AR165" s="285">
        <v>7</v>
      </c>
      <c r="AS165" s="286" t="s">
        <v>1109</v>
      </c>
      <c r="AT165" s="867"/>
      <c r="AU165" s="273"/>
      <c r="AV165" s="847"/>
      <c r="AW165" s="848"/>
      <c r="AX165" s="867"/>
      <c r="AY165" s="273"/>
      <c r="AZ165" s="847"/>
      <c r="BA165" s="848"/>
      <c r="BB165" s="866"/>
      <c r="BC165" s="273"/>
      <c r="BD165" s="847"/>
      <c r="BE165" s="848"/>
      <c r="BF165" s="838"/>
    </row>
    <row r="166" spans="1:58" s="87" customFormat="1" ht="54" hidden="1" customHeight="1" x14ac:dyDescent="0.25">
      <c r="A166" s="267" t="s">
        <v>922</v>
      </c>
      <c r="B166" s="268">
        <v>50</v>
      </c>
      <c r="C166" s="240" t="s">
        <v>1200</v>
      </c>
      <c r="D166" s="211" t="s">
        <v>1201</v>
      </c>
      <c r="E166" s="268" t="s">
        <v>1287</v>
      </c>
      <c r="F166" s="861" t="s">
        <v>1288</v>
      </c>
      <c r="G166" s="269" t="s">
        <v>1289</v>
      </c>
      <c r="H166" s="845" t="s">
        <v>1290</v>
      </c>
      <c r="I166" s="208" t="s">
        <v>1291</v>
      </c>
      <c r="J166" s="240" t="s">
        <v>140</v>
      </c>
      <c r="K166" s="270" t="s">
        <v>140</v>
      </c>
      <c r="L166" s="862" t="s">
        <v>1292</v>
      </c>
      <c r="M166" s="206" t="s">
        <v>973</v>
      </c>
      <c r="N166" s="211" t="s">
        <v>974</v>
      </c>
      <c r="O166" s="240" t="s">
        <v>144</v>
      </c>
      <c r="P166" s="240" t="s">
        <v>144</v>
      </c>
      <c r="Q166" s="863" t="s">
        <v>144</v>
      </c>
      <c r="R166" s="271" t="s">
        <v>144</v>
      </c>
      <c r="S166" s="864" t="s">
        <v>746</v>
      </c>
      <c r="T166" s="212" t="s">
        <v>1104</v>
      </c>
      <c r="U166" s="213" t="s">
        <v>1105</v>
      </c>
      <c r="V166" s="847">
        <v>19</v>
      </c>
      <c r="W166" s="415" t="s">
        <v>144</v>
      </c>
      <c r="X166" s="212">
        <v>40</v>
      </c>
      <c r="Y166" s="212" t="s">
        <v>144</v>
      </c>
      <c r="Z166" s="212" t="s">
        <v>144</v>
      </c>
      <c r="AA166" s="343" t="s">
        <v>398</v>
      </c>
      <c r="AB166" s="206" t="s">
        <v>140</v>
      </c>
      <c r="AC166" s="865" t="s">
        <v>265</v>
      </c>
      <c r="AD166" s="847" t="s">
        <v>144</v>
      </c>
      <c r="AE166" s="847" t="s">
        <v>144</v>
      </c>
      <c r="AF166" s="848" t="s">
        <v>144</v>
      </c>
      <c r="AG166" s="838"/>
      <c r="AH166" s="291" t="s">
        <v>1264</v>
      </c>
      <c r="AI166" s="273" t="s">
        <v>1265</v>
      </c>
      <c r="AJ166" s="240">
        <v>5</v>
      </c>
      <c r="AK166" s="848" t="s">
        <v>1266</v>
      </c>
      <c r="AL166" s="867"/>
      <c r="AM166" s="273"/>
      <c r="AN166" s="847"/>
      <c r="AO166" s="848"/>
      <c r="AP166" s="284" t="s">
        <v>1107</v>
      </c>
      <c r="AQ166" s="273" t="s">
        <v>1108</v>
      </c>
      <c r="AR166" s="285">
        <v>7</v>
      </c>
      <c r="AS166" s="286" t="s">
        <v>1109</v>
      </c>
      <c r="AT166" s="867"/>
      <c r="AU166" s="273"/>
      <c r="AV166" s="847"/>
      <c r="AW166" s="848"/>
      <c r="AX166" s="867"/>
      <c r="AY166" s="273"/>
      <c r="AZ166" s="847"/>
      <c r="BA166" s="848"/>
      <c r="BB166" s="866"/>
      <c r="BC166" s="273"/>
      <c r="BD166" s="847"/>
      <c r="BE166" s="848"/>
      <c r="BF166" s="838"/>
    </row>
    <row r="167" spans="1:58" s="87" customFormat="1" ht="54" hidden="1" customHeight="1" x14ac:dyDescent="0.25">
      <c r="A167" s="267" t="s">
        <v>922</v>
      </c>
      <c r="B167" s="268">
        <v>51</v>
      </c>
      <c r="C167" s="240" t="s">
        <v>1200</v>
      </c>
      <c r="D167" s="211" t="s">
        <v>1201</v>
      </c>
      <c r="E167" s="268" t="s">
        <v>1293</v>
      </c>
      <c r="F167" s="861" t="s">
        <v>1294</v>
      </c>
      <c r="G167" s="269" t="s">
        <v>1295</v>
      </c>
      <c r="H167" s="845" t="s">
        <v>1296</v>
      </c>
      <c r="I167" s="208" t="s">
        <v>1297</v>
      </c>
      <c r="J167" s="240" t="s">
        <v>140</v>
      </c>
      <c r="K167" s="270" t="s">
        <v>140</v>
      </c>
      <c r="L167" s="862" t="s">
        <v>1298</v>
      </c>
      <c r="M167" s="206" t="s">
        <v>973</v>
      </c>
      <c r="N167" s="211" t="s">
        <v>974</v>
      </c>
      <c r="O167" s="240" t="s">
        <v>814</v>
      </c>
      <c r="P167" s="240" t="s">
        <v>815</v>
      </c>
      <c r="Q167" s="863" t="s">
        <v>144</v>
      </c>
      <c r="R167" s="271" t="s">
        <v>144</v>
      </c>
      <c r="S167" s="864" t="s">
        <v>147</v>
      </c>
      <c r="T167" s="212" t="s">
        <v>144</v>
      </c>
      <c r="U167" s="213" t="s">
        <v>144</v>
      </c>
      <c r="V167" s="847">
        <v>3</v>
      </c>
      <c r="W167" s="415" t="s">
        <v>144</v>
      </c>
      <c r="X167" s="212">
        <v>40</v>
      </c>
      <c r="Y167" s="212" t="s">
        <v>144</v>
      </c>
      <c r="Z167" s="212" t="s">
        <v>144</v>
      </c>
      <c r="AA167" s="343" t="s">
        <v>398</v>
      </c>
      <c r="AB167" s="206" t="s">
        <v>140</v>
      </c>
      <c r="AC167" s="865" t="s">
        <v>265</v>
      </c>
      <c r="AD167" s="847" t="s">
        <v>144</v>
      </c>
      <c r="AE167" s="847" t="s">
        <v>144</v>
      </c>
      <c r="AF167" s="848" t="s">
        <v>144</v>
      </c>
      <c r="AG167" s="838"/>
      <c r="AH167" s="291" t="s">
        <v>1299</v>
      </c>
      <c r="AI167" s="273" t="s">
        <v>1300</v>
      </c>
      <c r="AJ167" s="240">
        <v>7</v>
      </c>
      <c r="AK167" s="848" t="s">
        <v>1280</v>
      </c>
      <c r="AL167" s="185" t="s">
        <v>294</v>
      </c>
      <c r="AM167" s="186" t="s">
        <v>295</v>
      </c>
      <c r="AN167" s="847">
        <v>7</v>
      </c>
      <c r="AO167" s="187" t="s">
        <v>966</v>
      </c>
      <c r="AP167" s="867"/>
      <c r="AQ167" s="273"/>
      <c r="AR167" s="847"/>
      <c r="AS167" s="848"/>
      <c r="AT167" s="867"/>
      <c r="AU167" s="273"/>
      <c r="AV167" s="847"/>
      <c r="AW167" s="848"/>
      <c r="AX167" s="867"/>
      <c r="AY167" s="273"/>
      <c r="AZ167" s="847"/>
      <c r="BA167" s="848"/>
      <c r="BB167" s="866"/>
      <c r="BC167" s="273"/>
      <c r="BD167" s="847"/>
      <c r="BE167" s="848"/>
      <c r="BF167" s="838"/>
    </row>
    <row r="168" spans="1:58" s="87" customFormat="1" ht="54" hidden="1" customHeight="1" x14ac:dyDescent="0.25">
      <c r="A168" s="267" t="s">
        <v>922</v>
      </c>
      <c r="B168" s="268">
        <v>52</v>
      </c>
      <c r="C168" s="240" t="s">
        <v>1200</v>
      </c>
      <c r="D168" s="211" t="s">
        <v>1201</v>
      </c>
      <c r="E168" s="268" t="s">
        <v>1301</v>
      </c>
      <c r="F168" s="861" t="s">
        <v>1302</v>
      </c>
      <c r="G168" s="269" t="s">
        <v>1303</v>
      </c>
      <c r="H168" s="845" t="s">
        <v>1304</v>
      </c>
      <c r="I168" s="208" t="s">
        <v>1305</v>
      </c>
      <c r="J168" s="240" t="s">
        <v>140</v>
      </c>
      <c r="K168" s="270" t="s">
        <v>140</v>
      </c>
      <c r="L168" s="862" t="s">
        <v>1306</v>
      </c>
      <c r="M168" s="206" t="s">
        <v>973</v>
      </c>
      <c r="N168" s="211" t="s">
        <v>974</v>
      </c>
      <c r="O168" s="240" t="s">
        <v>144</v>
      </c>
      <c r="P168" s="240" t="s">
        <v>144</v>
      </c>
      <c r="Q168" s="863" t="s">
        <v>144</v>
      </c>
      <c r="R168" s="271" t="s">
        <v>144</v>
      </c>
      <c r="S168" s="864" t="s">
        <v>746</v>
      </c>
      <c r="T168" s="212" t="s">
        <v>1307</v>
      </c>
      <c r="U168" s="213" t="s">
        <v>1308</v>
      </c>
      <c r="V168" s="847">
        <v>10</v>
      </c>
      <c r="W168" s="415" t="s">
        <v>144</v>
      </c>
      <c r="X168" s="212">
        <v>40</v>
      </c>
      <c r="Y168" s="212" t="s">
        <v>144</v>
      </c>
      <c r="Z168" s="212" t="s">
        <v>144</v>
      </c>
      <c r="AA168" s="343" t="s">
        <v>1212</v>
      </c>
      <c r="AB168" s="206" t="s">
        <v>140</v>
      </c>
      <c r="AC168" s="865" t="s">
        <v>265</v>
      </c>
      <c r="AD168" s="847" t="s">
        <v>144</v>
      </c>
      <c r="AE168" s="847" t="s">
        <v>144</v>
      </c>
      <c r="AF168" s="848" t="s">
        <v>144</v>
      </c>
      <c r="AG168" s="838"/>
      <c r="AH168" s="291" t="s">
        <v>1264</v>
      </c>
      <c r="AI168" s="273" t="s">
        <v>1265</v>
      </c>
      <c r="AJ168" s="240">
        <v>6</v>
      </c>
      <c r="AK168" s="848" t="s">
        <v>1266</v>
      </c>
      <c r="AL168" s="867"/>
      <c r="AM168" s="273"/>
      <c r="AN168" s="847"/>
      <c r="AO168" s="848"/>
      <c r="AP168" s="284" t="s">
        <v>1309</v>
      </c>
      <c r="AQ168" s="273" t="s">
        <v>1310</v>
      </c>
      <c r="AR168" s="285">
        <v>7</v>
      </c>
      <c r="AS168" s="286" t="s">
        <v>1311</v>
      </c>
      <c r="AT168" s="867"/>
      <c r="AU168" s="273"/>
      <c r="AV168" s="847"/>
      <c r="AW168" s="848"/>
      <c r="AX168" s="867"/>
      <c r="AY168" s="273"/>
      <c r="AZ168" s="847"/>
      <c r="BA168" s="848"/>
      <c r="BB168" s="866"/>
      <c r="BC168" s="273"/>
      <c r="BD168" s="847"/>
      <c r="BE168" s="848"/>
      <c r="BF168" s="838"/>
    </row>
    <row r="169" spans="1:58" s="87" customFormat="1" ht="54" hidden="1" customHeight="1" x14ac:dyDescent="0.25">
      <c r="A169" s="267" t="s">
        <v>922</v>
      </c>
      <c r="B169" s="268">
        <v>53</v>
      </c>
      <c r="C169" s="240" t="s">
        <v>1200</v>
      </c>
      <c r="D169" s="211" t="s">
        <v>1201</v>
      </c>
      <c r="E169" s="268" t="s">
        <v>1312</v>
      </c>
      <c r="F169" s="861" t="s">
        <v>1313</v>
      </c>
      <c r="G169" s="269" t="s">
        <v>1314</v>
      </c>
      <c r="H169" s="845" t="s">
        <v>1313</v>
      </c>
      <c r="I169" s="208" t="s">
        <v>1314</v>
      </c>
      <c r="J169" s="240" t="s">
        <v>140</v>
      </c>
      <c r="K169" s="270" t="s">
        <v>140</v>
      </c>
      <c r="L169" s="862" t="s">
        <v>1315</v>
      </c>
      <c r="M169" s="206" t="s">
        <v>973</v>
      </c>
      <c r="N169" s="211" t="s">
        <v>974</v>
      </c>
      <c r="O169" s="240" t="s">
        <v>144</v>
      </c>
      <c r="P169" s="240" t="s">
        <v>144</v>
      </c>
      <c r="Q169" s="863" t="s">
        <v>144</v>
      </c>
      <c r="R169" s="271" t="s">
        <v>144</v>
      </c>
      <c r="S169" s="864" t="s">
        <v>746</v>
      </c>
      <c r="T169" s="212" t="s">
        <v>1104</v>
      </c>
      <c r="U169" s="213" t="s">
        <v>1105</v>
      </c>
      <c r="V169" s="847">
        <v>19</v>
      </c>
      <c r="W169" s="415" t="s">
        <v>144</v>
      </c>
      <c r="X169" s="212">
        <v>40</v>
      </c>
      <c r="Y169" s="212" t="s">
        <v>144</v>
      </c>
      <c r="Z169" s="212" t="s">
        <v>144</v>
      </c>
      <c r="AA169" s="343" t="s">
        <v>1212</v>
      </c>
      <c r="AB169" s="206" t="s">
        <v>140</v>
      </c>
      <c r="AC169" s="865" t="s">
        <v>265</v>
      </c>
      <c r="AD169" s="847" t="s">
        <v>144</v>
      </c>
      <c r="AE169" s="847" t="s">
        <v>144</v>
      </c>
      <c r="AF169" s="848" t="s">
        <v>144</v>
      </c>
      <c r="AG169" s="838"/>
      <c r="AH169" s="866" t="s">
        <v>1225</v>
      </c>
      <c r="AI169" s="273" t="s">
        <v>1226</v>
      </c>
      <c r="AJ169" s="240">
        <v>5</v>
      </c>
      <c r="AK169" s="848" t="s">
        <v>1227</v>
      </c>
      <c r="AL169" s="867"/>
      <c r="AM169" s="273"/>
      <c r="AN169" s="847"/>
      <c r="AO169" s="848"/>
      <c r="AP169" s="284" t="s">
        <v>1107</v>
      </c>
      <c r="AQ169" s="273" t="s">
        <v>1108</v>
      </c>
      <c r="AR169" s="285">
        <v>7</v>
      </c>
      <c r="AS169" s="286" t="s">
        <v>1109</v>
      </c>
      <c r="AT169" s="867"/>
      <c r="AU169" s="273"/>
      <c r="AV169" s="847"/>
      <c r="AW169" s="848"/>
      <c r="AX169" s="867"/>
      <c r="AY169" s="273"/>
      <c r="AZ169" s="847"/>
      <c r="BA169" s="848"/>
      <c r="BB169" s="866"/>
      <c r="BC169" s="273"/>
      <c r="BD169" s="847"/>
      <c r="BE169" s="848"/>
      <c r="BF169" s="838"/>
    </row>
    <row r="170" spans="1:58" s="87" customFormat="1" ht="54" hidden="1" customHeight="1" x14ac:dyDescent="0.25">
      <c r="A170" s="267" t="s">
        <v>922</v>
      </c>
      <c r="B170" s="268">
        <v>54</v>
      </c>
      <c r="C170" s="240" t="s">
        <v>1200</v>
      </c>
      <c r="D170" s="211" t="s">
        <v>1201</v>
      </c>
      <c r="E170" s="268" t="s">
        <v>1316</v>
      </c>
      <c r="F170" s="861" t="s">
        <v>1317</v>
      </c>
      <c r="G170" s="269" t="s">
        <v>1318</v>
      </c>
      <c r="H170" s="845" t="s">
        <v>1319</v>
      </c>
      <c r="I170" s="208" t="s">
        <v>1320</v>
      </c>
      <c r="J170" s="240" t="s">
        <v>140</v>
      </c>
      <c r="K170" s="270" t="s">
        <v>140</v>
      </c>
      <c r="L170" s="862" t="s">
        <v>1321</v>
      </c>
      <c r="M170" s="206" t="s">
        <v>973</v>
      </c>
      <c r="N170" s="211" t="s">
        <v>974</v>
      </c>
      <c r="O170" s="240" t="s">
        <v>144</v>
      </c>
      <c r="P170" s="240" t="s">
        <v>144</v>
      </c>
      <c r="Q170" s="863" t="s">
        <v>144</v>
      </c>
      <c r="R170" s="271" t="s">
        <v>144</v>
      </c>
      <c r="S170" s="864" t="s">
        <v>746</v>
      </c>
      <c r="T170" s="212" t="s">
        <v>1307</v>
      </c>
      <c r="U170" s="213" t="s">
        <v>1308</v>
      </c>
      <c r="V170" s="847">
        <v>10</v>
      </c>
      <c r="W170" s="415" t="s">
        <v>144</v>
      </c>
      <c r="X170" s="212">
        <v>40</v>
      </c>
      <c r="Y170" s="212" t="s">
        <v>144</v>
      </c>
      <c r="Z170" s="212" t="s">
        <v>144</v>
      </c>
      <c r="AA170" s="343" t="s">
        <v>398</v>
      </c>
      <c r="AB170" s="206" t="s">
        <v>140</v>
      </c>
      <c r="AC170" s="865" t="s">
        <v>265</v>
      </c>
      <c r="AD170" s="847" t="s">
        <v>144</v>
      </c>
      <c r="AE170" s="847" t="s">
        <v>144</v>
      </c>
      <c r="AF170" s="848" t="s">
        <v>144</v>
      </c>
      <c r="AG170" s="838"/>
      <c r="AH170" s="866" t="s">
        <v>1225</v>
      </c>
      <c r="AI170" s="273" t="s">
        <v>1226</v>
      </c>
      <c r="AJ170" s="240">
        <v>6</v>
      </c>
      <c r="AK170" s="848" t="s">
        <v>1227</v>
      </c>
      <c r="AL170" s="867"/>
      <c r="AM170" s="273"/>
      <c r="AN170" s="847"/>
      <c r="AO170" s="848"/>
      <c r="AP170" s="284" t="s">
        <v>1309</v>
      </c>
      <c r="AQ170" s="273" t="s">
        <v>1310</v>
      </c>
      <c r="AR170" s="285">
        <v>7</v>
      </c>
      <c r="AS170" s="286" t="s">
        <v>1311</v>
      </c>
      <c r="AT170" s="867"/>
      <c r="AU170" s="273"/>
      <c r="AV170" s="847"/>
      <c r="AW170" s="848"/>
      <c r="AX170" s="867"/>
      <c r="AY170" s="273"/>
      <c r="AZ170" s="847"/>
      <c r="BA170" s="848"/>
      <c r="BB170" s="866"/>
      <c r="BC170" s="273"/>
      <c r="BD170" s="847"/>
      <c r="BE170" s="848"/>
      <c r="BF170" s="838"/>
    </row>
    <row r="171" spans="1:58" s="87" customFormat="1" ht="54" hidden="1" customHeight="1" x14ac:dyDescent="0.25">
      <c r="A171" s="267" t="s">
        <v>922</v>
      </c>
      <c r="B171" s="268">
        <v>55</v>
      </c>
      <c r="C171" s="240" t="s">
        <v>1200</v>
      </c>
      <c r="D171" s="211" t="s">
        <v>1201</v>
      </c>
      <c r="E171" s="268" t="s">
        <v>1322</v>
      </c>
      <c r="F171" s="861" t="s">
        <v>1323</v>
      </c>
      <c r="G171" s="269" t="s">
        <v>1324</v>
      </c>
      <c r="H171" s="861" t="s">
        <v>1323</v>
      </c>
      <c r="I171" s="269" t="s">
        <v>1324</v>
      </c>
      <c r="J171" s="296" t="s">
        <v>140</v>
      </c>
      <c r="K171" s="297" t="s">
        <v>140</v>
      </c>
      <c r="L171" s="862" t="s">
        <v>1325</v>
      </c>
      <c r="M171" s="206" t="s">
        <v>973</v>
      </c>
      <c r="N171" s="211" t="s">
        <v>974</v>
      </c>
      <c r="O171" s="240" t="s">
        <v>144</v>
      </c>
      <c r="P171" s="240" t="s">
        <v>144</v>
      </c>
      <c r="Q171" s="863" t="s">
        <v>144</v>
      </c>
      <c r="R171" s="271" t="s">
        <v>144</v>
      </c>
      <c r="S171" s="864" t="s">
        <v>746</v>
      </c>
      <c r="T171" s="212" t="s">
        <v>1104</v>
      </c>
      <c r="U171" s="213" t="s">
        <v>1105</v>
      </c>
      <c r="V171" s="847">
        <v>19</v>
      </c>
      <c r="W171" s="415" t="s">
        <v>144</v>
      </c>
      <c r="X171" s="212">
        <v>40</v>
      </c>
      <c r="Y171" s="212" t="s">
        <v>144</v>
      </c>
      <c r="Z171" s="212" t="s">
        <v>144</v>
      </c>
      <c r="AA171" s="343" t="s">
        <v>398</v>
      </c>
      <c r="AB171" s="206" t="s">
        <v>140</v>
      </c>
      <c r="AC171" s="865" t="s">
        <v>265</v>
      </c>
      <c r="AD171" s="847" t="s">
        <v>144</v>
      </c>
      <c r="AE171" s="847" t="s">
        <v>144</v>
      </c>
      <c r="AF171" s="848" t="s">
        <v>144</v>
      </c>
      <c r="AG171" s="838"/>
      <c r="AH171" s="866" t="s">
        <v>1225</v>
      </c>
      <c r="AI171" s="273" t="s">
        <v>1226</v>
      </c>
      <c r="AJ171" s="240">
        <v>6</v>
      </c>
      <c r="AK171" s="848" t="s">
        <v>1227</v>
      </c>
      <c r="AL171" s="867"/>
      <c r="AM171" s="273"/>
      <c r="AN171" s="847"/>
      <c r="AO171" s="848"/>
      <c r="AP171" s="284" t="s">
        <v>1107</v>
      </c>
      <c r="AQ171" s="273" t="s">
        <v>1108</v>
      </c>
      <c r="AR171" s="285">
        <v>7</v>
      </c>
      <c r="AS171" s="286" t="s">
        <v>1109</v>
      </c>
      <c r="AT171" s="867"/>
      <c r="AU171" s="273"/>
      <c r="AV171" s="847"/>
      <c r="AW171" s="848"/>
      <c r="AX171" s="867"/>
      <c r="AY171" s="273"/>
      <c r="AZ171" s="847"/>
      <c r="BA171" s="848"/>
      <c r="BB171" s="866"/>
      <c r="BC171" s="273"/>
      <c r="BD171" s="847"/>
      <c r="BE171" s="848"/>
      <c r="BF171" s="838"/>
    </row>
    <row r="172" spans="1:58" s="87" customFormat="1" ht="54" hidden="1" customHeight="1" x14ac:dyDescent="0.25">
      <c r="A172" s="267" t="s">
        <v>922</v>
      </c>
      <c r="B172" s="268">
        <v>56</v>
      </c>
      <c r="C172" s="240" t="s">
        <v>1200</v>
      </c>
      <c r="D172" s="211" t="s">
        <v>1201</v>
      </c>
      <c r="E172" s="298" t="s">
        <v>1326</v>
      </c>
      <c r="F172" s="861" t="s">
        <v>1327</v>
      </c>
      <c r="G172" s="269" t="s">
        <v>1328</v>
      </c>
      <c r="H172" s="861" t="s">
        <v>1329</v>
      </c>
      <c r="I172" s="269" t="s">
        <v>1330</v>
      </c>
      <c r="J172" s="296" t="s">
        <v>140</v>
      </c>
      <c r="K172" s="297" t="s">
        <v>140</v>
      </c>
      <c r="L172" s="862" t="s">
        <v>1331</v>
      </c>
      <c r="M172" s="206" t="s">
        <v>193</v>
      </c>
      <c r="N172" s="211" t="s">
        <v>194</v>
      </c>
      <c r="O172" s="240" t="s">
        <v>144</v>
      </c>
      <c r="P172" s="240" t="s">
        <v>1332</v>
      </c>
      <c r="Q172" s="863" t="s">
        <v>1333</v>
      </c>
      <c r="R172" s="271" t="s">
        <v>1334</v>
      </c>
      <c r="S172" s="268" t="s">
        <v>965</v>
      </c>
      <c r="T172" s="212" t="s">
        <v>144</v>
      </c>
      <c r="U172" s="213" t="s">
        <v>144</v>
      </c>
      <c r="V172" s="240">
        <v>4</v>
      </c>
      <c r="W172" s="206" t="s">
        <v>144</v>
      </c>
      <c r="X172" s="212">
        <v>42</v>
      </c>
      <c r="Y172" s="212" t="s">
        <v>144</v>
      </c>
      <c r="Z172" s="252" t="s">
        <v>144</v>
      </c>
      <c r="AA172" s="343" t="s">
        <v>398</v>
      </c>
      <c r="AB172" s="206" t="s">
        <v>140</v>
      </c>
      <c r="AC172" s="865" t="s">
        <v>265</v>
      </c>
      <c r="AD172" s="847" t="s">
        <v>144</v>
      </c>
      <c r="AE172" s="847" t="s">
        <v>144</v>
      </c>
      <c r="AF172" s="848" t="s">
        <v>144</v>
      </c>
      <c r="AG172" s="838"/>
      <c r="AH172" s="866"/>
      <c r="AI172" s="273"/>
      <c r="AJ172" s="847"/>
      <c r="AK172" s="848"/>
      <c r="AL172" s="867"/>
      <c r="AM172" s="273"/>
      <c r="AN172" s="847"/>
      <c r="AO172" s="848"/>
      <c r="AP172" s="867"/>
      <c r="AQ172" s="273"/>
      <c r="AR172" s="847"/>
      <c r="AS172" s="848"/>
      <c r="AT172" s="867"/>
      <c r="AU172" s="273"/>
      <c r="AV172" s="847"/>
      <c r="AW172" s="848"/>
      <c r="AX172" s="867"/>
      <c r="AY172" s="273"/>
      <c r="AZ172" s="847"/>
      <c r="BA172" s="848"/>
      <c r="BB172" s="866"/>
      <c r="BC172" s="273"/>
      <c r="BD172" s="847"/>
      <c r="BE172" s="848"/>
      <c r="BF172" s="838"/>
    </row>
    <row r="173" spans="1:58" s="87" customFormat="1" ht="54" hidden="1" customHeight="1" x14ac:dyDescent="0.25">
      <c r="A173" s="267" t="s">
        <v>922</v>
      </c>
      <c r="B173" s="268">
        <v>57</v>
      </c>
      <c r="C173" s="240" t="s">
        <v>1200</v>
      </c>
      <c r="D173" s="211" t="s">
        <v>1201</v>
      </c>
      <c r="E173" s="298" t="s">
        <v>1335</v>
      </c>
      <c r="F173" s="861" t="s">
        <v>1336</v>
      </c>
      <c r="G173" s="269" t="s">
        <v>1337</v>
      </c>
      <c r="H173" s="299" t="s">
        <v>1338</v>
      </c>
      <c r="I173" s="269" t="s">
        <v>1339</v>
      </c>
      <c r="J173" s="296" t="s">
        <v>140</v>
      </c>
      <c r="K173" s="297" t="s">
        <v>140</v>
      </c>
      <c r="L173" s="862" t="s">
        <v>1340</v>
      </c>
      <c r="M173" s="206" t="s">
        <v>973</v>
      </c>
      <c r="N173" s="211" t="s">
        <v>974</v>
      </c>
      <c r="O173" s="240" t="s">
        <v>1341</v>
      </c>
      <c r="P173" s="240" t="s">
        <v>1342</v>
      </c>
      <c r="Q173" s="863" t="s">
        <v>1343</v>
      </c>
      <c r="R173" s="271" t="s">
        <v>1344</v>
      </c>
      <c r="S173" s="864" t="s">
        <v>965</v>
      </c>
      <c r="T173" s="212" t="s">
        <v>144</v>
      </c>
      <c r="U173" s="213" t="s">
        <v>144</v>
      </c>
      <c r="V173" s="847">
        <v>1</v>
      </c>
      <c r="W173" s="415" t="s">
        <v>144</v>
      </c>
      <c r="X173" s="212">
        <v>42</v>
      </c>
      <c r="Y173" s="212" t="s">
        <v>144</v>
      </c>
      <c r="Z173" s="212" t="s">
        <v>144</v>
      </c>
      <c r="AA173" s="343" t="s">
        <v>1224</v>
      </c>
      <c r="AB173" s="206" t="s">
        <v>140</v>
      </c>
      <c r="AC173" s="865" t="s">
        <v>265</v>
      </c>
      <c r="AD173" s="847" t="s">
        <v>144</v>
      </c>
      <c r="AE173" s="847" t="s">
        <v>144</v>
      </c>
      <c r="AF173" s="848" t="s">
        <v>144</v>
      </c>
      <c r="AG173" s="838"/>
      <c r="AH173" s="291" t="s">
        <v>1264</v>
      </c>
      <c r="AI173" s="273" t="s">
        <v>1265</v>
      </c>
      <c r="AJ173" s="240">
        <v>6</v>
      </c>
      <c r="AK173" s="848" t="s">
        <v>1266</v>
      </c>
      <c r="AL173" s="185" t="s">
        <v>294</v>
      </c>
      <c r="AM173" s="186" t="s">
        <v>295</v>
      </c>
      <c r="AN173" s="847">
        <v>7</v>
      </c>
      <c r="AO173" s="187" t="s">
        <v>966</v>
      </c>
      <c r="AP173" s="300" t="s">
        <v>1345</v>
      </c>
      <c r="AQ173" s="301" t="s">
        <v>1346</v>
      </c>
      <c r="AR173" s="847">
        <v>6</v>
      </c>
      <c r="AS173" s="848" t="s">
        <v>1347</v>
      </c>
      <c r="AT173" s="300"/>
      <c r="AU173" s="301"/>
      <c r="AV173" s="847"/>
      <c r="AW173" s="848"/>
      <c r="AX173" s="867"/>
      <c r="AY173" s="273"/>
      <c r="AZ173" s="847"/>
      <c r="BA173" s="848"/>
      <c r="BB173" s="866"/>
      <c r="BC173" s="273"/>
      <c r="BD173" s="847"/>
      <c r="BE173" s="848"/>
      <c r="BF173" s="838"/>
    </row>
    <row r="174" spans="1:58" s="87" customFormat="1" ht="54" hidden="1" customHeight="1" x14ac:dyDescent="0.25">
      <c r="A174" s="267" t="s">
        <v>922</v>
      </c>
      <c r="B174" s="268">
        <v>58</v>
      </c>
      <c r="C174" s="240" t="s">
        <v>1200</v>
      </c>
      <c r="D174" s="211" t="s">
        <v>1201</v>
      </c>
      <c r="E174" s="268" t="s">
        <v>1348</v>
      </c>
      <c r="F174" s="861" t="s">
        <v>1349</v>
      </c>
      <c r="G174" s="269" t="s">
        <v>1350</v>
      </c>
      <c r="H174" s="845" t="s">
        <v>1351</v>
      </c>
      <c r="I174" s="208" t="s">
        <v>1352</v>
      </c>
      <c r="J174" s="240" t="s">
        <v>140</v>
      </c>
      <c r="K174" s="270" t="s">
        <v>140</v>
      </c>
      <c r="L174" s="862" t="s">
        <v>1353</v>
      </c>
      <c r="M174" s="206" t="s">
        <v>142</v>
      </c>
      <c r="N174" s="211" t="s">
        <v>143</v>
      </c>
      <c r="O174" s="240" t="s">
        <v>1354</v>
      </c>
      <c r="P174" s="240" t="s">
        <v>1355</v>
      </c>
      <c r="Q174" s="863" t="s">
        <v>1356</v>
      </c>
      <c r="R174" s="271" t="s">
        <v>1357</v>
      </c>
      <c r="S174" s="864" t="s">
        <v>147</v>
      </c>
      <c r="T174" s="212" t="s">
        <v>144</v>
      </c>
      <c r="U174" s="213" t="s">
        <v>144</v>
      </c>
      <c r="V174" s="847">
        <v>1</v>
      </c>
      <c r="W174" s="415" t="s">
        <v>144</v>
      </c>
      <c r="X174" s="212">
        <v>43</v>
      </c>
      <c r="Y174" s="212" t="s">
        <v>144</v>
      </c>
      <c r="Z174" s="214" t="s">
        <v>144</v>
      </c>
      <c r="AA174" s="343" t="s">
        <v>398</v>
      </c>
      <c r="AB174" s="206" t="s">
        <v>140</v>
      </c>
      <c r="AC174" s="865" t="s">
        <v>265</v>
      </c>
      <c r="AD174" s="847" t="s">
        <v>144</v>
      </c>
      <c r="AE174" s="847" t="s">
        <v>144</v>
      </c>
      <c r="AF174" s="848" t="s">
        <v>144</v>
      </c>
      <c r="AG174" s="838"/>
      <c r="AH174" s="866" t="s">
        <v>266</v>
      </c>
      <c r="AI174" s="273" t="s">
        <v>267</v>
      </c>
      <c r="AJ174" s="847">
        <v>7</v>
      </c>
      <c r="AK174" s="848" t="s">
        <v>1358</v>
      </c>
      <c r="AL174" s="185" t="s">
        <v>294</v>
      </c>
      <c r="AM174" s="186" t="s">
        <v>295</v>
      </c>
      <c r="AN174" s="847">
        <v>7</v>
      </c>
      <c r="AO174" s="187" t="s">
        <v>966</v>
      </c>
      <c r="AP174" s="867" t="s">
        <v>1359</v>
      </c>
      <c r="AQ174" s="273" t="s">
        <v>1360</v>
      </c>
      <c r="AR174" s="847">
        <v>7</v>
      </c>
      <c r="AS174" s="286" t="s">
        <v>1361</v>
      </c>
      <c r="AT174" s="867"/>
      <c r="AU174" s="273"/>
      <c r="AV174" s="847"/>
      <c r="AW174" s="848"/>
      <c r="AX174" s="867"/>
      <c r="AY174" s="273"/>
      <c r="AZ174" s="847"/>
      <c r="BA174" s="848"/>
      <c r="BB174" s="866"/>
      <c r="BC174" s="273"/>
      <c r="BD174" s="847"/>
      <c r="BE174" s="848"/>
      <c r="BF174" s="838"/>
    </row>
    <row r="175" spans="1:58" s="87" customFormat="1" ht="54" hidden="1" customHeight="1" x14ac:dyDescent="0.25">
      <c r="A175" s="267" t="s">
        <v>922</v>
      </c>
      <c r="B175" s="268">
        <v>59</v>
      </c>
      <c r="C175" s="240" t="s">
        <v>1200</v>
      </c>
      <c r="D175" s="211" t="s">
        <v>1201</v>
      </c>
      <c r="E175" s="268" t="s">
        <v>1362</v>
      </c>
      <c r="F175" s="861" t="s">
        <v>1363</v>
      </c>
      <c r="G175" s="269" t="s">
        <v>1364</v>
      </c>
      <c r="H175" s="845" t="s">
        <v>1365</v>
      </c>
      <c r="I175" s="208" t="s">
        <v>1366</v>
      </c>
      <c r="J175" s="240" t="s">
        <v>140</v>
      </c>
      <c r="K175" s="270" t="s">
        <v>140</v>
      </c>
      <c r="L175" s="862" t="s">
        <v>1367</v>
      </c>
      <c r="M175" s="206" t="s">
        <v>973</v>
      </c>
      <c r="N175" s="211" t="s">
        <v>974</v>
      </c>
      <c r="O175" s="240" t="s">
        <v>1368</v>
      </c>
      <c r="P175" s="240" t="s">
        <v>1369</v>
      </c>
      <c r="Q175" s="863" t="s">
        <v>144</v>
      </c>
      <c r="R175" s="271" t="s">
        <v>144</v>
      </c>
      <c r="S175" s="864" t="s">
        <v>147</v>
      </c>
      <c r="T175" s="212" t="s">
        <v>144</v>
      </c>
      <c r="U175" s="213" t="s">
        <v>144</v>
      </c>
      <c r="V175" s="847">
        <v>1</v>
      </c>
      <c r="W175" s="415" t="s">
        <v>144</v>
      </c>
      <c r="X175" s="212">
        <v>43</v>
      </c>
      <c r="Y175" s="212" t="s">
        <v>144</v>
      </c>
      <c r="Z175" s="214" t="s">
        <v>144</v>
      </c>
      <c r="AA175" s="343" t="s">
        <v>398</v>
      </c>
      <c r="AB175" s="206" t="s">
        <v>140</v>
      </c>
      <c r="AC175" s="865" t="s">
        <v>265</v>
      </c>
      <c r="AD175" s="847" t="s">
        <v>144</v>
      </c>
      <c r="AE175" s="847" t="s">
        <v>144</v>
      </c>
      <c r="AF175" s="848" t="s">
        <v>144</v>
      </c>
      <c r="AG175" s="838"/>
      <c r="AH175" s="291" t="s">
        <v>1264</v>
      </c>
      <c r="AI175" s="273" t="s">
        <v>1265</v>
      </c>
      <c r="AJ175" s="847">
        <v>6</v>
      </c>
      <c r="AK175" s="848" t="s">
        <v>1266</v>
      </c>
      <c r="AL175" s="185" t="s">
        <v>294</v>
      </c>
      <c r="AM175" s="186" t="s">
        <v>295</v>
      </c>
      <c r="AN175" s="847">
        <v>7</v>
      </c>
      <c r="AO175" s="187" t="s">
        <v>966</v>
      </c>
      <c r="AP175" s="867"/>
      <c r="AQ175" s="273"/>
      <c r="AR175" s="847"/>
      <c r="AS175" s="848"/>
      <c r="AT175" s="867"/>
      <c r="AU175" s="273"/>
      <c r="AV175" s="847"/>
      <c r="AW175" s="848"/>
      <c r="AX175" s="867"/>
      <c r="AY175" s="273"/>
      <c r="AZ175" s="847"/>
      <c r="BA175" s="848"/>
      <c r="BB175" s="866"/>
      <c r="BC175" s="273"/>
      <c r="BD175" s="847"/>
      <c r="BE175" s="848"/>
      <c r="BF175" s="838"/>
    </row>
    <row r="176" spans="1:58" s="55" customFormat="1" ht="54" customHeight="1" x14ac:dyDescent="0.25">
      <c r="A176" s="275" t="s">
        <v>922</v>
      </c>
      <c r="B176" s="276">
        <v>60</v>
      </c>
      <c r="C176" s="253" t="s">
        <v>144</v>
      </c>
      <c r="D176" s="217" t="s">
        <v>144</v>
      </c>
      <c r="E176" s="276" t="s">
        <v>1370</v>
      </c>
      <c r="F176" s="277" t="s">
        <v>251</v>
      </c>
      <c r="G176" s="277" t="s">
        <v>251</v>
      </c>
      <c r="H176" s="220" t="s">
        <v>336</v>
      </c>
      <c r="I176" s="218" t="s">
        <v>337</v>
      </c>
      <c r="J176" s="253" t="s">
        <v>144</v>
      </c>
      <c r="K176" s="253" t="s">
        <v>144</v>
      </c>
      <c r="L176" s="718" t="s">
        <v>1371</v>
      </c>
      <c r="M176" s="278" t="s">
        <v>144</v>
      </c>
      <c r="N176" s="253" t="s">
        <v>144</v>
      </c>
      <c r="O176" s="253" t="s">
        <v>144</v>
      </c>
      <c r="P176" s="253" t="s">
        <v>144</v>
      </c>
      <c r="Q176" s="220" t="s">
        <v>338</v>
      </c>
      <c r="R176" s="220" t="s">
        <v>339</v>
      </c>
      <c r="S176" s="276" t="s">
        <v>147</v>
      </c>
      <c r="T176" s="221" t="s">
        <v>144</v>
      </c>
      <c r="U176" s="221" t="s">
        <v>144</v>
      </c>
      <c r="V176" s="253">
        <v>13</v>
      </c>
      <c r="W176" s="217" t="s">
        <v>144</v>
      </c>
      <c r="X176" s="221" t="s">
        <v>144</v>
      </c>
      <c r="Y176" s="221" t="s">
        <v>144</v>
      </c>
      <c r="Z176" s="221" t="s">
        <v>144</v>
      </c>
      <c r="AA176" s="278" t="s">
        <v>144</v>
      </c>
      <c r="AB176" s="217" t="s">
        <v>144</v>
      </c>
      <c r="AC176" s="278" t="s">
        <v>265</v>
      </c>
      <c r="AD176" s="253" t="s">
        <v>144</v>
      </c>
      <c r="AE176" s="253" t="s">
        <v>144</v>
      </c>
      <c r="AF176" s="254" t="s">
        <v>144</v>
      </c>
      <c r="AG176" s="838"/>
      <c r="AH176" s="280"/>
      <c r="AI176" s="281"/>
      <c r="AJ176" s="253"/>
      <c r="AK176" s="254"/>
      <c r="AL176" s="281"/>
      <c r="AM176" s="281"/>
      <c r="AN176" s="253"/>
      <c r="AO176" s="254"/>
      <c r="AP176" s="281"/>
      <c r="AQ176" s="281"/>
      <c r="AR176" s="253"/>
      <c r="AS176" s="254"/>
      <c r="AT176" s="281"/>
      <c r="AU176" s="281"/>
      <c r="AV176" s="253"/>
      <c r="AW176" s="254"/>
      <c r="AX176" s="281"/>
      <c r="AY176" s="281"/>
      <c r="AZ176" s="253"/>
      <c r="BA176" s="254"/>
      <c r="BB176" s="280"/>
      <c r="BC176" s="281"/>
      <c r="BD176" s="253"/>
      <c r="BE176" s="254"/>
      <c r="BF176" s="838"/>
    </row>
    <row r="177" spans="1:58" s="87" customFormat="1" ht="54" hidden="1" customHeight="1" x14ac:dyDescent="0.25">
      <c r="A177" s="267" t="s">
        <v>922</v>
      </c>
      <c r="B177" s="268">
        <v>61</v>
      </c>
      <c r="C177" s="240" t="s">
        <v>1372</v>
      </c>
      <c r="D177" s="211" t="s">
        <v>1373</v>
      </c>
      <c r="E177" s="268" t="s">
        <v>1374</v>
      </c>
      <c r="F177" s="861" t="s">
        <v>1375</v>
      </c>
      <c r="G177" s="269" t="s">
        <v>1376</v>
      </c>
      <c r="H177" s="845" t="s">
        <v>1377</v>
      </c>
      <c r="I177" s="208" t="s">
        <v>1378</v>
      </c>
      <c r="J177" s="240" t="s">
        <v>140</v>
      </c>
      <c r="K177" s="270" t="s">
        <v>140</v>
      </c>
      <c r="L177" s="862" t="s">
        <v>1379</v>
      </c>
      <c r="M177" s="206" t="s">
        <v>142</v>
      </c>
      <c r="N177" s="211" t="s">
        <v>143</v>
      </c>
      <c r="O177" s="240" t="s">
        <v>1380</v>
      </c>
      <c r="P177" s="240" t="s">
        <v>1381</v>
      </c>
      <c r="Q177" s="863" t="s">
        <v>144</v>
      </c>
      <c r="R177" s="271" t="s">
        <v>144</v>
      </c>
      <c r="S177" s="864" t="s">
        <v>147</v>
      </c>
      <c r="T177" s="212" t="s">
        <v>144</v>
      </c>
      <c r="U177" s="213" t="s">
        <v>144</v>
      </c>
      <c r="V177" s="847">
        <v>1</v>
      </c>
      <c r="W177" s="415" t="s">
        <v>144</v>
      </c>
      <c r="X177" s="212">
        <v>40</v>
      </c>
      <c r="Y177" s="212" t="s">
        <v>144</v>
      </c>
      <c r="Z177" s="252" t="s">
        <v>144</v>
      </c>
      <c r="AA177" s="343" t="s">
        <v>398</v>
      </c>
      <c r="AB177" s="206" t="s">
        <v>140</v>
      </c>
      <c r="AC177" s="865" t="s">
        <v>265</v>
      </c>
      <c r="AD177" s="847" t="s">
        <v>144</v>
      </c>
      <c r="AE177" s="847" t="s">
        <v>144</v>
      </c>
      <c r="AF177" s="848" t="s">
        <v>144</v>
      </c>
      <c r="AG177" s="838"/>
      <c r="AH177" s="866" t="s">
        <v>266</v>
      </c>
      <c r="AI177" s="273" t="s">
        <v>267</v>
      </c>
      <c r="AJ177" s="847">
        <v>7</v>
      </c>
      <c r="AK177" s="848" t="s">
        <v>1046</v>
      </c>
      <c r="AL177" s="867" t="s">
        <v>294</v>
      </c>
      <c r="AM177" s="273" t="s">
        <v>295</v>
      </c>
      <c r="AN177" s="847">
        <v>7</v>
      </c>
      <c r="AO177" s="187" t="s">
        <v>966</v>
      </c>
      <c r="AP177" s="875"/>
      <c r="AQ177" s="301"/>
      <c r="AR177" s="847"/>
      <c r="AS177" s="293"/>
      <c r="AT177" s="867"/>
      <c r="AU177" s="273"/>
      <c r="AV177" s="847"/>
      <c r="AW177" s="848"/>
      <c r="AX177" s="867"/>
      <c r="AY177" s="273"/>
      <c r="AZ177" s="847"/>
      <c r="BA177" s="848"/>
      <c r="BB177" s="866"/>
      <c r="BC177" s="273"/>
      <c r="BD177" s="847"/>
      <c r="BE177" s="848"/>
      <c r="BF177" s="838"/>
    </row>
    <row r="178" spans="1:58" s="87" customFormat="1" ht="54" hidden="1" customHeight="1" x14ac:dyDescent="0.25">
      <c r="A178" s="267" t="s">
        <v>922</v>
      </c>
      <c r="B178" s="268">
        <v>62</v>
      </c>
      <c r="C178" s="240" t="s">
        <v>1372</v>
      </c>
      <c r="D178" s="211" t="s">
        <v>1373</v>
      </c>
      <c r="E178" s="268" t="s">
        <v>1382</v>
      </c>
      <c r="F178" s="861" t="s">
        <v>1383</v>
      </c>
      <c r="G178" s="269" t="s">
        <v>1384</v>
      </c>
      <c r="H178" s="845" t="s">
        <v>1385</v>
      </c>
      <c r="I178" s="208" t="s">
        <v>1386</v>
      </c>
      <c r="J178" s="240" t="s">
        <v>140</v>
      </c>
      <c r="K178" s="270" t="s">
        <v>140</v>
      </c>
      <c r="L178" s="862" t="s">
        <v>1387</v>
      </c>
      <c r="M178" s="206" t="s">
        <v>973</v>
      </c>
      <c r="N178" s="211" t="s">
        <v>974</v>
      </c>
      <c r="O178" s="240" t="s">
        <v>144</v>
      </c>
      <c r="P178" s="240" t="s">
        <v>144</v>
      </c>
      <c r="Q178" s="863" t="s">
        <v>144</v>
      </c>
      <c r="R178" s="271" t="s">
        <v>144</v>
      </c>
      <c r="S178" s="864" t="s">
        <v>147</v>
      </c>
      <c r="T178" s="212" t="s">
        <v>144</v>
      </c>
      <c r="U178" s="213" t="s">
        <v>144</v>
      </c>
      <c r="V178" s="847">
        <v>20</v>
      </c>
      <c r="W178" s="415" t="s">
        <v>144</v>
      </c>
      <c r="X178" s="212">
        <v>40</v>
      </c>
      <c r="Y178" s="212" t="s">
        <v>144</v>
      </c>
      <c r="Z178" s="212" t="s">
        <v>144</v>
      </c>
      <c r="AA178" s="343" t="s">
        <v>398</v>
      </c>
      <c r="AB178" s="206" t="s">
        <v>140</v>
      </c>
      <c r="AC178" s="865" t="s">
        <v>265</v>
      </c>
      <c r="AD178" s="847" t="s">
        <v>144</v>
      </c>
      <c r="AE178" s="847" t="s">
        <v>144</v>
      </c>
      <c r="AF178" s="848" t="s">
        <v>144</v>
      </c>
      <c r="AG178" s="838"/>
      <c r="AH178" s="866" t="s">
        <v>1388</v>
      </c>
      <c r="AI178" s="273" t="s">
        <v>1389</v>
      </c>
      <c r="AJ178" s="847">
        <v>5</v>
      </c>
      <c r="AK178" s="848" t="s">
        <v>1390</v>
      </c>
      <c r="AL178" s="867"/>
      <c r="AM178" s="273"/>
      <c r="AN178" s="847"/>
      <c r="AO178" s="848"/>
      <c r="AP178" s="867"/>
      <c r="AQ178" s="273"/>
      <c r="AR178" s="847"/>
      <c r="AS178" s="848"/>
      <c r="AT178" s="867"/>
      <c r="AU178" s="273"/>
      <c r="AV178" s="847"/>
      <c r="AW178" s="848"/>
      <c r="AX178" s="867" t="s">
        <v>1047</v>
      </c>
      <c r="AY178" s="273" t="s">
        <v>1048</v>
      </c>
      <c r="AZ178" s="847">
        <v>6</v>
      </c>
      <c r="BA178" s="848" t="s">
        <v>1049</v>
      </c>
      <c r="BB178" s="866"/>
      <c r="BC178" s="273"/>
      <c r="BD178" s="847"/>
      <c r="BE178" s="848"/>
      <c r="BF178" s="838"/>
    </row>
    <row r="179" spans="1:58" s="87" customFormat="1" ht="54" hidden="1" customHeight="1" x14ac:dyDescent="0.25">
      <c r="A179" s="267" t="s">
        <v>922</v>
      </c>
      <c r="B179" s="268">
        <v>63</v>
      </c>
      <c r="C179" s="240" t="s">
        <v>1372</v>
      </c>
      <c r="D179" s="211" t="s">
        <v>1373</v>
      </c>
      <c r="E179" s="268" t="s">
        <v>1391</v>
      </c>
      <c r="F179" s="861" t="s">
        <v>1392</v>
      </c>
      <c r="G179" s="269" t="s">
        <v>1393</v>
      </c>
      <c r="H179" s="845" t="s">
        <v>1394</v>
      </c>
      <c r="I179" s="208" t="s">
        <v>1395</v>
      </c>
      <c r="J179" s="240" t="s">
        <v>140</v>
      </c>
      <c r="K179" s="270" t="s">
        <v>140</v>
      </c>
      <c r="L179" s="862" t="s">
        <v>1396</v>
      </c>
      <c r="M179" s="206" t="s">
        <v>193</v>
      </c>
      <c r="N179" s="211" t="s">
        <v>194</v>
      </c>
      <c r="O179" s="240" t="s">
        <v>144</v>
      </c>
      <c r="P179" s="240" t="s">
        <v>144</v>
      </c>
      <c r="Q179" s="863" t="s">
        <v>1397</v>
      </c>
      <c r="R179" s="271" t="s">
        <v>1398</v>
      </c>
      <c r="S179" s="864" t="s">
        <v>147</v>
      </c>
      <c r="T179" s="212" t="s">
        <v>144</v>
      </c>
      <c r="U179" s="213" t="s">
        <v>144</v>
      </c>
      <c r="V179" s="847">
        <v>10</v>
      </c>
      <c r="W179" s="415" t="s">
        <v>144</v>
      </c>
      <c r="X179" s="212">
        <v>40</v>
      </c>
      <c r="Y179" s="212" t="s">
        <v>144</v>
      </c>
      <c r="Z179" s="252" t="s">
        <v>144</v>
      </c>
      <c r="AA179" s="343" t="s">
        <v>398</v>
      </c>
      <c r="AB179" s="206" t="s">
        <v>140</v>
      </c>
      <c r="AC179" s="865" t="s">
        <v>265</v>
      </c>
      <c r="AD179" s="847" t="s">
        <v>144</v>
      </c>
      <c r="AE179" s="847" t="s">
        <v>144</v>
      </c>
      <c r="AF179" s="848" t="s">
        <v>144</v>
      </c>
      <c r="AG179" s="838"/>
      <c r="AH179" s="866"/>
      <c r="AI179" s="273"/>
      <c r="AJ179" s="847"/>
      <c r="AK179" s="848"/>
      <c r="AL179" s="867"/>
      <c r="AM179" s="273"/>
      <c r="AN179" s="847"/>
      <c r="AO179" s="848"/>
      <c r="AP179" s="867"/>
      <c r="AQ179" s="273"/>
      <c r="AR179" s="847"/>
      <c r="AS179" s="848"/>
      <c r="AT179" s="867" t="s">
        <v>1228</v>
      </c>
      <c r="AU179" s="273"/>
      <c r="AV179" s="847"/>
      <c r="AW179" s="848"/>
      <c r="AX179" s="867" t="s">
        <v>1399</v>
      </c>
      <c r="AY179" s="273" t="s">
        <v>1400</v>
      </c>
      <c r="AZ179" s="847">
        <v>6</v>
      </c>
      <c r="BA179" s="848" t="s">
        <v>1401</v>
      </c>
      <c r="BB179" s="866"/>
      <c r="BC179" s="273"/>
      <c r="BD179" s="847"/>
      <c r="BE179" s="848"/>
      <c r="BF179" s="838"/>
    </row>
    <row r="180" spans="1:58" s="87" customFormat="1" ht="54" hidden="1" customHeight="1" x14ac:dyDescent="0.25">
      <c r="A180" s="267" t="s">
        <v>922</v>
      </c>
      <c r="B180" s="268">
        <v>64</v>
      </c>
      <c r="C180" s="240" t="s">
        <v>1372</v>
      </c>
      <c r="D180" s="211" t="s">
        <v>1373</v>
      </c>
      <c r="E180" s="268" t="s">
        <v>1402</v>
      </c>
      <c r="F180" s="861" t="s">
        <v>1403</v>
      </c>
      <c r="G180" s="269" t="s">
        <v>1404</v>
      </c>
      <c r="H180" s="845" t="s">
        <v>1405</v>
      </c>
      <c r="I180" s="208" t="s">
        <v>1406</v>
      </c>
      <c r="J180" s="240" t="s">
        <v>140</v>
      </c>
      <c r="K180" s="270" t="s">
        <v>140</v>
      </c>
      <c r="L180" s="862" t="s">
        <v>1407</v>
      </c>
      <c r="M180" s="206" t="s">
        <v>973</v>
      </c>
      <c r="N180" s="211" t="s">
        <v>974</v>
      </c>
      <c r="O180" s="240" t="s">
        <v>1408</v>
      </c>
      <c r="P180" s="240" t="s">
        <v>1409</v>
      </c>
      <c r="Q180" s="863" t="s">
        <v>144</v>
      </c>
      <c r="R180" s="271" t="s">
        <v>144</v>
      </c>
      <c r="S180" s="864" t="s">
        <v>147</v>
      </c>
      <c r="T180" s="212" t="s">
        <v>144</v>
      </c>
      <c r="U180" s="213" t="s">
        <v>144</v>
      </c>
      <c r="V180" s="847">
        <v>3</v>
      </c>
      <c r="W180" s="415" t="s">
        <v>144</v>
      </c>
      <c r="X180" s="212">
        <v>40</v>
      </c>
      <c r="Y180" s="212" t="s">
        <v>144</v>
      </c>
      <c r="Z180" s="212" t="s">
        <v>144</v>
      </c>
      <c r="AA180" s="343" t="s">
        <v>398</v>
      </c>
      <c r="AB180" s="206" t="s">
        <v>140</v>
      </c>
      <c r="AC180" s="865" t="s">
        <v>265</v>
      </c>
      <c r="AD180" s="847" t="s">
        <v>144</v>
      </c>
      <c r="AE180" s="847" t="s">
        <v>144</v>
      </c>
      <c r="AF180" s="848" t="s">
        <v>144</v>
      </c>
      <c r="AG180" s="838"/>
      <c r="AH180" s="866" t="s">
        <v>1388</v>
      </c>
      <c r="AI180" s="273" t="s">
        <v>1389</v>
      </c>
      <c r="AJ180" s="847">
        <v>5</v>
      </c>
      <c r="AK180" s="848" t="s">
        <v>1390</v>
      </c>
      <c r="AL180" s="185" t="s">
        <v>294</v>
      </c>
      <c r="AM180" s="186" t="s">
        <v>295</v>
      </c>
      <c r="AN180" s="847">
        <v>7</v>
      </c>
      <c r="AO180" s="187" t="s">
        <v>966</v>
      </c>
      <c r="AP180" s="867"/>
      <c r="AQ180" s="273"/>
      <c r="AR180" s="847"/>
      <c r="AS180" s="848"/>
      <c r="AT180" s="867" t="s">
        <v>1228</v>
      </c>
      <c r="AU180" s="273"/>
      <c r="AV180" s="847"/>
      <c r="AW180" s="848"/>
      <c r="AX180" s="867"/>
      <c r="AY180" s="273"/>
      <c r="AZ180" s="847"/>
      <c r="BA180" s="848"/>
      <c r="BB180" s="866"/>
      <c r="BC180" s="273"/>
      <c r="BD180" s="847"/>
      <c r="BE180" s="848"/>
      <c r="BF180" s="838"/>
    </row>
    <row r="181" spans="1:58" s="87" customFormat="1" ht="54" hidden="1" customHeight="1" x14ac:dyDescent="0.25">
      <c r="A181" s="267" t="s">
        <v>922</v>
      </c>
      <c r="B181" s="268">
        <v>65</v>
      </c>
      <c r="C181" s="240" t="s">
        <v>1372</v>
      </c>
      <c r="D181" s="211" t="s">
        <v>1373</v>
      </c>
      <c r="E181" s="268" t="s">
        <v>1410</v>
      </c>
      <c r="F181" s="861" t="s">
        <v>1411</v>
      </c>
      <c r="G181" s="269" t="s">
        <v>1412</v>
      </c>
      <c r="H181" s="861" t="s">
        <v>1411</v>
      </c>
      <c r="I181" s="269" t="s">
        <v>1412</v>
      </c>
      <c r="J181" s="240" t="s">
        <v>140</v>
      </c>
      <c r="K181" s="270" t="s">
        <v>140</v>
      </c>
      <c r="L181" s="862" t="s">
        <v>1413</v>
      </c>
      <c r="M181" s="206" t="s">
        <v>193</v>
      </c>
      <c r="N181" s="211" t="s">
        <v>194</v>
      </c>
      <c r="O181" s="240" t="s">
        <v>144</v>
      </c>
      <c r="P181" s="240" t="s">
        <v>144</v>
      </c>
      <c r="Q181" s="863" t="s">
        <v>144</v>
      </c>
      <c r="R181" s="271" t="s">
        <v>144</v>
      </c>
      <c r="S181" s="864" t="s">
        <v>746</v>
      </c>
      <c r="T181" s="212" t="s">
        <v>1104</v>
      </c>
      <c r="U181" s="213" t="s">
        <v>1105</v>
      </c>
      <c r="V181" s="847">
        <v>19</v>
      </c>
      <c r="W181" s="415" t="s">
        <v>144</v>
      </c>
      <c r="X181" s="212" t="s">
        <v>925</v>
      </c>
      <c r="Y181" s="212" t="s">
        <v>144</v>
      </c>
      <c r="Z181" s="212" t="s">
        <v>144</v>
      </c>
      <c r="AA181" s="343" t="s">
        <v>398</v>
      </c>
      <c r="AB181" s="206" t="s">
        <v>140</v>
      </c>
      <c r="AC181" s="865" t="s">
        <v>265</v>
      </c>
      <c r="AD181" s="847" t="s">
        <v>144</v>
      </c>
      <c r="AE181" s="847" t="s">
        <v>144</v>
      </c>
      <c r="AF181" s="848" t="s">
        <v>144</v>
      </c>
      <c r="AG181" s="838"/>
      <c r="AH181" s="866"/>
      <c r="AI181" s="273"/>
      <c r="AJ181" s="847"/>
      <c r="AK181" s="848"/>
      <c r="AL181" s="867"/>
      <c r="AM181" s="273"/>
      <c r="AN181" s="847"/>
      <c r="AO181" s="848"/>
      <c r="AP181" s="867"/>
      <c r="AQ181" s="273"/>
      <c r="AR181" s="847"/>
      <c r="AS181" s="848"/>
      <c r="AT181" s="867"/>
      <c r="AU181" s="273"/>
      <c r="AV181" s="847"/>
      <c r="AW181" s="848"/>
      <c r="AX181" s="867"/>
      <c r="AY181" s="273"/>
      <c r="AZ181" s="847"/>
      <c r="BA181" s="848"/>
      <c r="BB181" s="866"/>
      <c r="BC181" s="273"/>
      <c r="BD181" s="847"/>
      <c r="BE181" s="848"/>
      <c r="BF181" s="838"/>
    </row>
    <row r="182" spans="1:58" s="87" customFormat="1" ht="54" hidden="1" customHeight="1" x14ac:dyDescent="0.25">
      <c r="A182" s="267" t="s">
        <v>922</v>
      </c>
      <c r="B182" s="268">
        <v>66</v>
      </c>
      <c r="C182" s="240" t="s">
        <v>1372</v>
      </c>
      <c r="D182" s="211" t="s">
        <v>1373</v>
      </c>
      <c r="E182" s="268" t="s">
        <v>1414</v>
      </c>
      <c r="F182" s="861" t="s">
        <v>1415</v>
      </c>
      <c r="G182" s="269" t="s">
        <v>1416</v>
      </c>
      <c r="H182" s="861" t="s">
        <v>1417</v>
      </c>
      <c r="I182" s="269" t="s">
        <v>1418</v>
      </c>
      <c r="J182" s="240" t="s">
        <v>140</v>
      </c>
      <c r="K182" s="270" t="s">
        <v>140</v>
      </c>
      <c r="L182" s="862" t="s">
        <v>1419</v>
      </c>
      <c r="M182" s="206" t="s">
        <v>973</v>
      </c>
      <c r="N182" s="211" t="s">
        <v>974</v>
      </c>
      <c r="O182" s="240" t="s">
        <v>814</v>
      </c>
      <c r="P182" s="240" t="s">
        <v>815</v>
      </c>
      <c r="Q182" s="863" t="s">
        <v>144</v>
      </c>
      <c r="R182" s="271" t="s">
        <v>144</v>
      </c>
      <c r="S182" s="864" t="s">
        <v>147</v>
      </c>
      <c r="T182" s="212" t="s">
        <v>144</v>
      </c>
      <c r="U182" s="213" t="s">
        <v>144</v>
      </c>
      <c r="V182" s="847">
        <v>3</v>
      </c>
      <c r="W182" s="415" t="s">
        <v>144</v>
      </c>
      <c r="X182" s="212" t="s">
        <v>925</v>
      </c>
      <c r="Y182" s="212" t="s">
        <v>144</v>
      </c>
      <c r="Z182" s="212" t="s">
        <v>144</v>
      </c>
      <c r="AA182" s="343" t="s">
        <v>398</v>
      </c>
      <c r="AB182" s="206" t="s">
        <v>140</v>
      </c>
      <c r="AC182" s="865" t="s">
        <v>265</v>
      </c>
      <c r="AD182" s="847" t="s">
        <v>144</v>
      </c>
      <c r="AE182" s="847" t="s">
        <v>144</v>
      </c>
      <c r="AF182" s="848" t="s">
        <v>144</v>
      </c>
      <c r="AG182" s="838"/>
      <c r="AH182" s="866" t="s">
        <v>1420</v>
      </c>
      <c r="AI182" s="273" t="s">
        <v>1421</v>
      </c>
      <c r="AJ182" s="847">
        <v>7</v>
      </c>
      <c r="AK182" s="848" t="s">
        <v>1280</v>
      </c>
      <c r="AL182" s="185" t="s">
        <v>294</v>
      </c>
      <c r="AM182" s="186" t="s">
        <v>295</v>
      </c>
      <c r="AN182" s="847">
        <v>7</v>
      </c>
      <c r="AO182" s="187" t="s">
        <v>966</v>
      </c>
      <c r="AP182" s="867"/>
      <c r="AQ182" s="273"/>
      <c r="AR182" s="847"/>
      <c r="AS182" s="848"/>
      <c r="AT182" s="867"/>
      <c r="AU182" s="273"/>
      <c r="AV182" s="847"/>
      <c r="AW182" s="848"/>
      <c r="AX182" s="867"/>
      <c r="AY182" s="273"/>
      <c r="AZ182" s="847"/>
      <c r="BA182" s="848"/>
      <c r="BB182" s="866"/>
      <c r="BC182" s="273"/>
      <c r="BD182" s="847"/>
      <c r="BE182" s="848"/>
      <c r="BF182" s="838"/>
    </row>
    <row r="183" spans="1:58" s="55" customFormat="1" ht="54" customHeight="1" x14ac:dyDescent="0.25">
      <c r="A183" s="275" t="s">
        <v>922</v>
      </c>
      <c r="B183" s="276">
        <v>67</v>
      </c>
      <c r="C183" s="253" t="s">
        <v>144</v>
      </c>
      <c r="D183" s="217" t="s">
        <v>144</v>
      </c>
      <c r="E183" s="276" t="s">
        <v>1422</v>
      </c>
      <c r="F183" s="277" t="s">
        <v>251</v>
      </c>
      <c r="G183" s="277" t="s">
        <v>251</v>
      </c>
      <c r="H183" s="220" t="s">
        <v>336</v>
      </c>
      <c r="I183" s="218" t="s">
        <v>337</v>
      </c>
      <c r="J183" s="253" t="s">
        <v>144</v>
      </c>
      <c r="K183" s="253" t="s">
        <v>144</v>
      </c>
      <c r="L183" s="718" t="s">
        <v>1423</v>
      </c>
      <c r="M183" s="278" t="s">
        <v>144</v>
      </c>
      <c r="N183" s="253" t="s">
        <v>144</v>
      </c>
      <c r="O183" s="253" t="s">
        <v>144</v>
      </c>
      <c r="P183" s="253" t="s">
        <v>144</v>
      </c>
      <c r="Q183" s="220" t="s">
        <v>338</v>
      </c>
      <c r="R183" s="220" t="s">
        <v>339</v>
      </c>
      <c r="S183" s="276" t="s">
        <v>147</v>
      </c>
      <c r="T183" s="221" t="s">
        <v>144</v>
      </c>
      <c r="U183" s="221" t="s">
        <v>144</v>
      </c>
      <c r="V183" s="253">
        <v>20</v>
      </c>
      <c r="W183" s="217" t="s">
        <v>144</v>
      </c>
      <c r="X183" s="221" t="s">
        <v>144</v>
      </c>
      <c r="Y183" s="221" t="s">
        <v>144</v>
      </c>
      <c r="Z183" s="221" t="s">
        <v>144</v>
      </c>
      <c r="AA183" s="278" t="s">
        <v>144</v>
      </c>
      <c r="AB183" s="217" t="s">
        <v>144</v>
      </c>
      <c r="AC183" s="278" t="s">
        <v>265</v>
      </c>
      <c r="AD183" s="253" t="s">
        <v>144</v>
      </c>
      <c r="AE183" s="253" t="s">
        <v>144</v>
      </c>
      <c r="AF183" s="254" t="s">
        <v>144</v>
      </c>
      <c r="AG183" s="838"/>
      <c r="AH183" s="280"/>
      <c r="AI183" s="281"/>
      <c r="AJ183" s="253"/>
      <c r="AK183" s="254"/>
      <c r="AL183" s="281"/>
      <c r="AM183" s="281"/>
      <c r="AN183" s="253"/>
      <c r="AO183" s="254"/>
      <c r="AP183" s="281"/>
      <c r="AQ183" s="281"/>
      <c r="AR183" s="253"/>
      <c r="AS183" s="254"/>
      <c r="AT183" s="281"/>
      <c r="AU183" s="281"/>
      <c r="AV183" s="253"/>
      <c r="AW183" s="254"/>
      <c r="AX183" s="281"/>
      <c r="AY183" s="281"/>
      <c r="AZ183" s="253"/>
      <c r="BA183" s="254"/>
      <c r="BB183" s="280"/>
      <c r="BC183" s="281"/>
      <c r="BD183" s="253"/>
      <c r="BE183" s="254"/>
      <c r="BF183" s="838"/>
    </row>
    <row r="184" spans="1:58" s="87" customFormat="1" ht="54" hidden="1" customHeight="1" x14ac:dyDescent="0.25">
      <c r="A184" s="267" t="s">
        <v>922</v>
      </c>
      <c r="B184" s="268">
        <v>68</v>
      </c>
      <c r="C184" s="240" t="s">
        <v>1022</v>
      </c>
      <c r="D184" s="211" t="s">
        <v>1023</v>
      </c>
      <c r="E184" s="268" t="s">
        <v>1424</v>
      </c>
      <c r="F184" s="861" t="s">
        <v>1425</v>
      </c>
      <c r="G184" s="269" t="s">
        <v>1426</v>
      </c>
      <c r="H184" s="611" t="s">
        <v>1427</v>
      </c>
      <c r="I184" s="317" t="s">
        <v>1428</v>
      </c>
      <c r="J184" s="240" t="s">
        <v>140</v>
      </c>
      <c r="K184" s="270" t="s">
        <v>140</v>
      </c>
      <c r="L184" s="862" t="s">
        <v>1429</v>
      </c>
      <c r="M184" s="206" t="s">
        <v>142</v>
      </c>
      <c r="N184" s="211" t="s">
        <v>143</v>
      </c>
      <c r="O184" s="240" t="s">
        <v>1408</v>
      </c>
      <c r="P184" s="240" t="s">
        <v>1409</v>
      </c>
      <c r="Q184" s="863" t="s">
        <v>1430</v>
      </c>
      <c r="R184" s="271" t="s">
        <v>1431</v>
      </c>
      <c r="S184" s="864" t="s">
        <v>147</v>
      </c>
      <c r="T184" s="212" t="s">
        <v>144</v>
      </c>
      <c r="U184" s="213" t="s">
        <v>144</v>
      </c>
      <c r="V184" s="847">
        <v>3</v>
      </c>
      <c r="W184" s="415" t="s">
        <v>144</v>
      </c>
      <c r="X184" s="212">
        <v>40</v>
      </c>
      <c r="Y184" s="212" t="s">
        <v>144</v>
      </c>
      <c r="Z184" s="433" t="s">
        <v>144</v>
      </c>
      <c r="AA184" s="616" t="s">
        <v>1118</v>
      </c>
      <c r="AB184" s="206" t="s">
        <v>140</v>
      </c>
      <c r="AC184" s="865" t="s">
        <v>265</v>
      </c>
      <c r="AD184" s="847" t="s">
        <v>144</v>
      </c>
      <c r="AE184" s="847" t="s">
        <v>144</v>
      </c>
      <c r="AF184" s="848" t="s">
        <v>144</v>
      </c>
      <c r="AG184" s="838"/>
      <c r="AH184" s="866" t="s">
        <v>266</v>
      </c>
      <c r="AI184" s="273" t="s">
        <v>267</v>
      </c>
      <c r="AJ184" s="847">
        <v>5</v>
      </c>
      <c r="AK184" s="848" t="s">
        <v>1046</v>
      </c>
      <c r="AL184" s="185" t="s">
        <v>294</v>
      </c>
      <c r="AM184" s="186" t="s">
        <v>295</v>
      </c>
      <c r="AN184" s="847">
        <v>7</v>
      </c>
      <c r="AO184" s="187" t="s">
        <v>966</v>
      </c>
      <c r="AP184" s="867"/>
      <c r="AQ184" s="273"/>
      <c r="AR184" s="847"/>
      <c r="AS184" s="848"/>
      <c r="AT184" s="867"/>
      <c r="AU184" s="273"/>
      <c r="AV184" s="847"/>
      <c r="AW184" s="848"/>
      <c r="AX184" s="867"/>
      <c r="AY184" s="273"/>
      <c r="AZ184" s="847"/>
      <c r="BA184" s="848"/>
      <c r="BB184" s="866"/>
      <c r="BC184" s="273"/>
      <c r="BD184" s="847"/>
      <c r="BE184" s="848"/>
      <c r="BF184" s="838"/>
    </row>
    <row r="185" spans="1:58" s="87" customFormat="1" ht="54" hidden="1" customHeight="1" x14ac:dyDescent="0.25">
      <c r="A185" s="267" t="s">
        <v>922</v>
      </c>
      <c r="B185" s="268">
        <v>69</v>
      </c>
      <c r="C185" s="240" t="s">
        <v>684</v>
      </c>
      <c r="D185" s="211" t="s">
        <v>685</v>
      </c>
      <c r="E185" s="268" t="s">
        <v>1432</v>
      </c>
      <c r="F185" s="861" t="s">
        <v>1433</v>
      </c>
      <c r="G185" s="269" t="s">
        <v>1434</v>
      </c>
      <c r="H185" s="845" t="s">
        <v>1435</v>
      </c>
      <c r="I185" s="208" t="s">
        <v>1436</v>
      </c>
      <c r="J185" s="240" t="s">
        <v>140</v>
      </c>
      <c r="K185" s="270" t="s">
        <v>140</v>
      </c>
      <c r="L185" s="862" t="s">
        <v>1437</v>
      </c>
      <c r="M185" s="206" t="s">
        <v>193</v>
      </c>
      <c r="N185" s="211" t="s">
        <v>194</v>
      </c>
      <c r="O185" s="240" t="s">
        <v>1438</v>
      </c>
      <c r="P185" s="240" t="s">
        <v>1439</v>
      </c>
      <c r="Q185" s="863" t="s">
        <v>144</v>
      </c>
      <c r="R185" s="271" t="s">
        <v>144</v>
      </c>
      <c r="S185" s="864" t="s">
        <v>147</v>
      </c>
      <c r="T185" s="212" t="s">
        <v>144</v>
      </c>
      <c r="U185" s="213" t="s">
        <v>144</v>
      </c>
      <c r="V185" s="847">
        <v>3</v>
      </c>
      <c r="W185" s="415" t="s">
        <v>144</v>
      </c>
      <c r="X185" s="212">
        <v>40</v>
      </c>
      <c r="Y185" s="212" t="s">
        <v>144</v>
      </c>
      <c r="Z185" s="212" t="s">
        <v>144</v>
      </c>
      <c r="AA185" s="343" t="s">
        <v>1440</v>
      </c>
      <c r="AB185" s="206" t="s">
        <v>140</v>
      </c>
      <c r="AC185" s="865" t="s">
        <v>265</v>
      </c>
      <c r="AD185" s="847" t="s">
        <v>144</v>
      </c>
      <c r="AE185" s="847" t="s">
        <v>144</v>
      </c>
      <c r="AF185" s="848" t="s">
        <v>144</v>
      </c>
      <c r="AG185" s="838"/>
      <c r="AH185" s="866"/>
      <c r="AI185" s="273"/>
      <c r="AJ185" s="847"/>
      <c r="AK185" s="848"/>
      <c r="AL185" s="185" t="s">
        <v>294</v>
      </c>
      <c r="AM185" s="186" t="s">
        <v>295</v>
      </c>
      <c r="AN185" s="847">
        <v>7</v>
      </c>
      <c r="AO185" s="187" t="s">
        <v>966</v>
      </c>
      <c r="AP185" s="867"/>
      <c r="AQ185" s="273"/>
      <c r="AR185" s="847"/>
      <c r="AS185" s="848"/>
      <c r="AT185" s="867"/>
      <c r="AU185" s="273"/>
      <c r="AV185" s="847"/>
      <c r="AW185" s="848"/>
      <c r="AX185" s="867"/>
      <c r="AY185" s="273"/>
      <c r="AZ185" s="847"/>
      <c r="BA185" s="848"/>
      <c r="BB185" s="866"/>
      <c r="BC185" s="273"/>
      <c r="BD185" s="847"/>
      <c r="BE185" s="848"/>
      <c r="BF185" s="838"/>
    </row>
    <row r="186" spans="1:58" s="87" customFormat="1" ht="54" hidden="1" customHeight="1" x14ac:dyDescent="0.25">
      <c r="A186" s="267" t="s">
        <v>922</v>
      </c>
      <c r="B186" s="268">
        <v>70</v>
      </c>
      <c r="C186" s="240" t="s">
        <v>256</v>
      </c>
      <c r="D186" s="211" t="s">
        <v>257</v>
      </c>
      <c r="E186" s="268" t="s">
        <v>1441</v>
      </c>
      <c r="F186" s="861" t="s">
        <v>1442</v>
      </c>
      <c r="G186" s="269" t="s">
        <v>1443</v>
      </c>
      <c r="H186" s="845" t="s">
        <v>1444</v>
      </c>
      <c r="I186" s="208" t="s">
        <v>1445</v>
      </c>
      <c r="J186" s="240" t="s">
        <v>140</v>
      </c>
      <c r="K186" s="270" t="s">
        <v>140</v>
      </c>
      <c r="L186" s="862" t="s">
        <v>1446</v>
      </c>
      <c r="M186" s="206" t="s">
        <v>973</v>
      </c>
      <c r="N186" s="211" t="s">
        <v>974</v>
      </c>
      <c r="O186" s="240" t="s">
        <v>144</v>
      </c>
      <c r="P186" s="240" t="s">
        <v>144</v>
      </c>
      <c r="Q186" s="351" t="s">
        <v>144</v>
      </c>
      <c r="R186" s="318" t="s">
        <v>144</v>
      </c>
      <c r="S186" s="864" t="s">
        <v>147</v>
      </c>
      <c r="T186" s="212" t="s">
        <v>144</v>
      </c>
      <c r="U186" s="213" t="s">
        <v>144</v>
      </c>
      <c r="V186" s="847">
        <v>40</v>
      </c>
      <c r="W186" s="415" t="s">
        <v>144</v>
      </c>
      <c r="X186" s="212">
        <v>41</v>
      </c>
      <c r="Y186" s="212" t="s">
        <v>144</v>
      </c>
      <c r="Z186" s="212" t="s">
        <v>144</v>
      </c>
      <c r="AA186" s="343" t="s">
        <v>1447</v>
      </c>
      <c r="AB186" s="206" t="s">
        <v>140</v>
      </c>
      <c r="AC186" s="865" t="s">
        <v>265</v>
      </c>
      <c r="AD186" s="847" t="s">
        <v>144</v>
      </c>
      <c r="AE186" s="847" t="s">
        <v>144</v>
      </c>
      <c r="AF186" s="848" t="s">
        <v>144</v>
      </c>
      <c r="AG186" s="838"/>
      <c r="AH186" s="866" t="s">
        <v>1225</v>
      </c>
      <c r="AI186" s="273" t="s">
        <v>1226</v>
      </c>
      <c r="AJ186" s="847">
        <v>6</v>
      </c>
      <c r="AK186" s="848" t="s">
        <v>1227</v>
      </c>
      <c r="AL186" s="867"/>
      <c r="AM186" s="273"/>
      <c r="AN186" s="847"/>
      <c r="AO186" s="848"/>
      <c r="AP186" s="867"/>
      <c r="AQ186" s="273"/>
      <c r="AR186" s="847"/>
      <c r="AS186" s="848"/>
      <c r="AT186" s="867"/>
      <c r="AU186" s="273"/>
      <c r="AV186" s="847"/>
      <c r="AW186" s="848"/>
      <c r="AX186" s="867"/>
      <c r="AY186" s="273"/>
      <c r="AZ186" s="847"/>
      <c r="BA186" s="848"/>
      <c r="BB186" s="866"/>
      <c r="BC186" s="273"/>
      <c r="BD186" s="847"/>
      <c r="BE186" s="848"/>
      <c r="BF186" s="838"/>
    </row>
    <row r="187" spans="1:58" s="87" customFormat="1" ht="54" hidden="1" customHeight="1" x14ac:dyDescent="0.25">
      <c r="A187" s="267" t="s">
        <v>922</v>
      </c>
      <c r="B187" s="268">
        <v>71</v>
      </c>
      <c r="C187" s="240" t="s">
        <v>1022</v>
      </c>
      <c r="D187" s="211" t="s">
        <v>1023</v>
      </c>
      <c r="E187" s="268" t="s">
        <v>1448</v>
      </c>
      <c r="F187" s="861" t="s">
        <v>1449</v>
      </c>
      <c r="G187" s="269" t="s">
        <v>1450</v>
      </c>
      <c r="H187" s="845" t="s">
        <v>1451</v>
      </c>
      <c r="I187" s="208" t="s">
        <v>1452</v>
      </c>
      <c r="J187" s="240" t="s">
        <v>140</v>
      </c>
      <c r="K187" s="270" t="s">
        <v>140</v>
      </c>
      <c r="L187" s="862" t="s">
        <v>1453</v>
      </c>
      <c r="M187" s="206" t="s">
        <v>142</v>
      </c>
      <c r="N187" s="211" t="s">
        <v>143</v>
      </c>
      <c r="O187" s="240" t="s">
        <v>144</v>
      </c>
      <c r="P187" s="240" t="s">
        <v>144</v>
      </c>
      <c r="Q187" s="845" t="s">
        <v>1454</v>
      </c>
      <c r="R187" s="271" t="s">
        <v>1455</v>
      </c>
      <c r="S187" s="864" t="s">
        <v>147</v>
      </c>
      <c r="T187" s="212" t="s">
        <v>144</v>
      </c>
      <c r="U187" s="213" t="s">
        <v>144</v>
      </c>
      <c r="V187" s="847">
        <v>20</v>
      </c>
      <c r="W187" s="415" t="s">
        <v>144</v>
      </c>
      <c r="X187" s="212">
        <v>43</v>
      </c>
      <c r="Y187" s="212" t="s">
        <v>144</v>
      </c>
      <c r="Z187" s="214" t="s">
        <v>144</v>
      </c>
      <c r="AA187" s="343" t="s">
        <v>148</v>
      </c>
      <c r="AB187" s="206" t="s">
        <v>140</v>
      </c>
      <c r="AC187" s="865" t="s">
        <v>265</v>
      </c>
      <c r="AD187" s="847" t="s">
        <v>144</v>
      </c>
      <c r="AE187" s="847" t="s">
        <v>144</v>
      </c>
      <c r="AF187" s="848" t="s">
        <v>144</v>
      </c>
      <c r="AG187" s="838"/>
      <c r="AH187" s="866" t="s">
        <v>266</v>
      </c>
      <c r="AI187" s="273" t="s">
        <v>267</v>
      </c>
      <c r="AJ187" s="847">
        <v>7</v>
      </c>
      <c r="AK187" s="848" t="s">
        <v>1046</v>
      </c>
      <c r="AL187" s="867"/>
      <c r="AM187" s="273"/>
      <c r="AN187" s="847"/>
      <c r="AO187" s="848"/>
      <c r="AP187" s="867"/>
      <c r="AQ187" s="273"/>
      <c r="AR187" s="847"/>
      <c r="AS187" s="848"/>
      <c r="AT187" s="867"/>
      <c r="AU187" s="273"/>
      <c r="AV187" s="847"/>
      <c r="AW187" s="848"/>
      <c r="AX187" s="867"/>
      <c r="AY187" s="273"/>
      <c r="AZ187" s="847"/>
      <c r="BA187" s="848"/>
      <c r="BB187" s="866"/>
      <c r="BC187" s="273"/>
      <c r="BD187" s="847"/>
      <c r="BE187" s="848"/>
      <c r="BF187" s="838"/>
    </row>
    <row r="188" spans="1:58" s="87" customFormat="1" ht="54" hidden="1" customHeight="1" x14ac:dyDescent="0.25">
      <c r="A188" s="267" t="s">
        <v>922</v>
      </c>
      <c r="B188" s="268">
        <v>72</v>
      </c>
      <c r="C188" s="240" t="s">
        <v>1022</v>
      </c>
      <c r="D188" s="211" t="s">
        <v>1023</v>
      </c>
      <c r="E188" s="268" t="s">
        <v>1456</v>
      </c>
      <c r="F188" s="861" t="s">
        <v>1457</v>
      </c>
      <c r="G188" s="269" t="s">
        <v>1458</v>
      </c>
      <c r="H188" s="861" t="s">
        <v>1459</v>
      </c>
      <c r="I188" s="269" t="s">
        <v>1460</v>
      </c>
      <c r="J188" s="296" t="s">
        <v>140</v>
      </c>
      <c r="K188" s="297" t="s">
        <v>140</v>
      </c>
      <c r="L188" s="862" t="s">
        <v>1461</v>
      </c>
      <c r="M188" s="206" t="s">
        <v>193</v>
      </c>
      <c r="N188" s="211" t="s">
        <v>194</v>
      </c>
      <c r="O188" s="240" t="s">
        <v>1462</v>
      </c>
      <c r="P188" s="240" t="s">
        <v>1463</v>
      </c>
      <c r="Q188" s="863" t="s">
        <v>1464</v>
      </c>
      <c r="R188" s="271" t="s">
        <v>1465</v>
      </c>
      <c r="S188" s="864" t="s">
        <v>965</v>
      </c>
      <c r="T188" s="212" t="s">
        <v>144</v>
      </c>
      <c r="U188" s="213" t="s">
        <v>144</v>
      </c>
      <c r="V188" s="847">
        <v>5</v>
      </c>
      <c r="W188" s="415" t="s">
        <v>144</v>
      </c>
      <c r="X188" s="212">
        <v>43</v>
      </c>
      <c r="Y188" s="212" t="s">
        <v>144</v>
      </c>
      <c r="Z188" s="241" t="s">
        <v>144</v>
      </c>
      <c r="AA188" s="343" t="s">
        <v>148</v>
      </c>
      <c r="AB188" s="206" t="s">
        <v>140</v>
      </c>
      <c r="AC188" s="865" t="s">
        <v>265</v>
      </c>
      <c r="AD188" s="847" t="s">
        <v>144</v>
      </c>
      <c r="AE188" s="847" t="s">
        <v>144</v>
      </c>
      <c r="AF188" s="848" t="s">
        <v>144</v>
      </c>
      <c r="AG188" s="838"/>
      <c r="AH188" s="866"/>
      <c r="AI188" s="273"/>
      <c r="AJ188" s="847"/>
      <c r="AK188" s="848"/>
      <c r="AL188" s="185" t="s">
        <v>294</v>
      </c>
      <c r="AM188" s="186" t="s">
        <v>295</v>
      </c>
      <c r="AN188" s="847">
        <v>7</v>
      </c>
      <c r="AO188" s="187" t="s">
        <v>966</v>
      </c>
      <c r="AP188" s="867"/>
      <c r="AQ188" s="273"/>
      <c r="AR188" s="847"/>
      <c r="AS188" s="848"/>
      <c r="AT188" s="867"/>
      <c r="AU188" s="273"/>
      <c r="AV188" s="847"/>
      <c r="AW188" s="848"/>
      <c r="AX188" s="867"/>
      <c r="AY188" s="273"/>
      <c r="AZ188" s="847"/>
      <c r="BA188" s="848"/>
      <c r="BB188" s="866"/>
      <c r="BC188" s="273"/>
      <c r="BD188" s="847"/>
      <c r="BE188" s="848"/>
      <c r="BF188" s="838"/>
    </row>
    <row r="189" spans="1:58" s="60" customFormat="1" ht="54" customHeight="1" thickBot="1" x14ac:dyDescent="0.3">
      <c r="A189" s="587" t="s">
        <v>922</v>
      </c>
      <c r="B189" s="588">
        <v>73</v>
      </c>
      <c r="C189" s="576" t="s">
        <v>144</v>
      </c>
      <c r="D189" s="576" t="s">
        <v>144</v>
      </c>
      <c r="E189" s="588" t="s">
        <v>1466</v>
      </c>
      <c r="F189" s="589" t="s">
        <v>251</v>
      </c>
      <c r="G189" s="589" t="s">
        <v>251</v>
      </c>
      <c r="H189" s="577" t="s">
        <v>336</v>
      </c>
      <c r="I189" s="589" t="s">
        <v>337</v>
      </c>
      <c r="J189" s="590" t="s">
        <v>144</v>
      </c>
      <c r="K189" s="590" t="s">
        <v>144</v>
      </c>
      <c r="L189" s="719" t="s">
        <v>1467</v>
      </c>
      <c r="M189" s="591" t="s">
        <v>144</v>
      </c>
      <c r="N189" s="590" t="s">
        <v>144</v>
      </c>
      <c r="O189" s="592" t="s">
        <v>144</v>
      </c>
      <c r="P189" s="592" t="s">
        <v>144</v>
      </c>
      <c r="Q189" s="577" t="s">
        <v>338</v>
      </c>
      <c r="R189" s="577" t="s">
        <v>339</v>
      </c>
      <c r="S189" s="593" t="s">
        <v>147</v>
      </c>
      <c r="T189" s="579" t="s">
        <v>144</v>
      </c>
      <c r="U189" s="579" t="s">
        <v>144</v>
      </c>
      <c r="V189" s="607">
        <f>8000-(SUM(V117:V188)+COUNT(V117:V188))</f>
        <v>7098</v>
      </c>
      <c r="W189" s="592" t="s">
        <v>144</v>
      </c>
      <c r="X189" s="579">
        <v>43</v>
      </c>
      <c r="Y189" s="579" t="s">
        <v>144</v>
      </c>
      <c r="Z189" s="581" t="s">
        <v>25</v>
      </c>
      <c r="AA189" s="591" t="s">
        <v>144</v>
      </c>
      <c r="AB189" s="576" t="s">
        <v>144</v>
      </c>
      <c r="AC189" s="591" t="s">
        <v>265</v>
      </c>
      <c r="AD189" s="592" t="s">
        <v>144</v>
      </c>
      <c r="AE189" s="592" t="s">
        <v>144</v>
      </c>
      <c r="AF189" s="594" t="s">
        <v>144</v>
      </c>
      <c r="AG189" s="680"/>
      <c r="AH189" s="595"/>
      <c r="AI189" s="596"/>
      <c r="AJ189" s="592"/>
      <c r="AK189" s="594"/>
      <c r="AL189" s="596"/>
      <c r="AM189" s="596"/>
      <c r="AN189" s="592"/>
      <c r="AO189" s="594"/>
      <c r="AP189" s="596"/>
      <c r="AQ189" s="596"/>
      <c r="AR189" s="592"/>
      <c r="AS189" s="594"/>
      <c r="AT189" s="596"/>
      <c r="AU189" s="596"/>
      <c r="AV189" s="592"/>
      <c r="AW189" s="594"/>
      <c r="AX189" s="596"/>
      <c r="AY189" s="596"/>
      <c r="AZ189" s="592"/>
      <c r="BA189" s="594"/>
      <c r="BB189" s="595"/>
      <c r="BC189" s="596"/>
      <c r="BD189" s="592"/>
      <c r="BE189" s="594"/>
      <c r="BF189" s="680"/>
    </row>
    <row r="190" spans="1:58" s="87" customFormat="1" ht="54" hidden="1" customHeight="1" x14ac:dyDescent="0.25">
      <c r="A190" s="255" t="s">
        <v>1468</v>
      </c>
      <c r="B190" s="256">
        <v>1</v>
      </c>
      <c r="C190" s="260" t="s">
        <v>256</v>
      </c>
      <c r="D190" s="261" t="s">
        <v>257</v>
      </c>
      <c r="E190" s="256" t="s">
        <v>1469</v>
      </c>
      <c r="F190" s="850" t="s">
        <v>259</v>
      </c>
      <c r="G190" s="257" t="s">
        <v>229</v>
      </c>
      <c r="H190" s="258" t="s">
        <v>260</v>
      </c>
      <c r="I190" s="259" t="s">
        <v>261</v>
      </c>
      <c r="J190" s="260" t="s">
        <v>140</v>
      </c>
      <c r="K190" s="261" t="s">
        <v>140</v>
      </c>
      <c r="L190" s="851" t="s">
        <v>924</v>
      </c>
      <c r="M190" s="262" t="s">
        <v>142</v>
      </c>
      <c r="N190" s="263" t="s">
        <v>143</v>
      </c>
      <c r="O190" s="260" t="s">
        <v>144</v>
      </c>
      <c r="P190" s="260" t="s">
        <v>144</v>
      </c>
      <c r="Q190" s="258" t="s">
        <v>262</v>
      </c>
      <c r="R190" s="259" t="s">
        <v>263</v>
      </c>
      <c r="S190" s="170" t="s">
        <v>233</v>
      </c>
      <c r="T190" s="264" t="s">
        <v>234</v>
      </c>
      <c r="U190" s="265" t="s">
        <v>235</v>
      </c>
      <c r="V190" s="852">
        <v>8</v>
      </c>
      <c r="W190" s="853" t="s">
        <v>144</v>
      </c>
      <c r="X190" s="264" t="s">
        <v>925</v>
      </c>
      <c r="Y190" s="264" t="s">
        <v>144</v>
      </c>
      <c r="Z190" s="241" t="s">
        <v>144</v>
      </c>
      <c r="AA190" s="617" t="s">
        <v>1470</v>
      </c>
      <c r="AB190" s="262" t="s">
        <v>140</v>
      </c>
      <c r="AC190" s="852" t="s">
        <v>265</v>
      </c>
      <c r="AD190" s="852" t="s">
        <v>144</v>
      </c>
      <c r="AE190" s="852" t="s">
        <v>144</v>
      </c>
      <c r="AF190" s="855" t="s">
        <v>144</v>
      </c>
      <c r="AG190" s="838"/>
      <c r="AH190" s="856" t="s">
        <v>266</v>
      </c>
      <c r="AI190" s="266" t="s">
        <v>267</v>
      </c>
      <c r="AJ190" s="857"/>
      <c r="AK190" s="858" t="s">
        <v>268</v>
      </c>
      <c r="AL190" s="859"/>
      <c r="AM190" s="266"/>
      <c r="AN190" s="857"/>
      <c r="AO190" s="858"/>
      <c r="AP190" s="859" t="s">
        <v>926</v>
      </c>
      <c r="AQ190" s="266" t="s">
        <v>270</v>
      </c>
      <c r="AR190" s="857"/>
      <c r="AS190" s="858" t="s">
        <v>271</v>
      </c>
      <c r="AT190" s="859" t="s">
        <v>272</v>
      </c>
      <c r="AU190" s="266" t="s">
        <v>273</v>
      </c>
      <c r="AV190" s="857"/>
      <c r="AW190" s="858" t="s">
        <v>274</v>
      </c>
      <c r="AX190" s="859"/>
      <c r="AY190" s="266"/>
      <c r="AZ190" s="857"/>
      <c r="BA190" s="858"/>
      <c r="BB190" s="856"/>
      <c r="BC190" s="266"/>
      <c r="BD190" s="857"/>
      <c r="BE190" s="858"/>
      <c r="BF190" s="838"/>
    </row>
    <row r="191" spans="1:58" s="87" customFormat="1" ht="54" hidden="1" customHeight="1" x14ac:dyDescent="0.25">
      <c r="A191" s="267" t="s">
        <v>1468</v>
      </c>
      <c r="B191" s="268">
        <v>2</v>
      </c>
      <c r="C191" s="240" t="s">
        <v>256</v>
      </c>
      <c r="D191" s="270" t="s">
        <v>257</v>
      </c>
      <c r="E191" s="268" t="s">
        <v>1471</v>
      </c>
      <c r="F191" s="861" t="s">
        <v>276</v>
      </c>
      <c r="G191" s="269" t="s">
        <v>277</v>
      </c>
      <c r="H191" s="845" t="s">
        <v>278</v>
      </c>
      <c r="I191" s="208" t="s">
        <v>279</v>
      </c>
      <c r="J191" s="240" t="s">
        <v>140</v>
      </c>
      <c r="K191" s="270" t="s">
        <v>140</v>
      </c>
      <c r="L191" s="862" t="s">
        <v>929</v>
      </c>
      <c r="M191" s="206" t="s">
        <v>142</v>
      </c>
      <c r="N191" s="211" t="s">
        <v>143</v>
      </c>
      <c r="O191" s="240" t="s">
        <v>179</v>
      </c>
      <c r="P191" s="240" t="s">
        <v>280</v>
      </c>
      <c r="Q191" s="845" t="s">
        <v>144</v>
      </c>
      <c r="R191" s="208" t="s">
        <v>144</v>
      </c>
      <c r="S191" s="864" t="s">
        <v>147</v>
      </c>
      <c r="T191" s="212" t="s">
        <v>144</v>
      </c>
      <c r="U191" s="213" t="s">
        <v>144</v>
      </c>
      <c r="V191" s="847">
        <v>5</v>
      </c>
      <c r="W191" s="415" t="s">
        <v>144</v>
      </c>
      <c r="X191" s="212" t="s">
        <v>925</v>
      </c>
      <c r="Y191" s="212" t="s">
        <v>144</v>
      </c>
      <c r="Z191" s="241" t="s">
        <v>144</v>
      </c>
      <c r="AA191" s="617" t="s">
        <v>1470</v>
      </c>
      <c r="AB191" s="206" t="s">
        <v>140</v>
      </c>
      <c r="AC191" s="847" t="s">
        <v>265</v>
      </c>
      <c r="AD191" s="847" t="s">
        <v>144</v>
      </c>
      <c r="AE191" s="847" t="s">
        <v>144</v>
      </c>
      <c r="AF191" s="848" t="s">
        <v>144</v>
      </c>
      <c r="AG191" s="838"/>
      <c r="AH191" s="866" t="s">
        <v>266</v>
      </c>
      <c r="AI191" s="273" t="s">
        <v>267</v>
      </c>
      <c r="AJ191" s="847"/>
      <c r="AK191" s="848" t="s">
        <v>281</v>
      </c>
      <c r="AL191" s="867" t="s">
        <v>282</v>
      </c>
      <c r="AM191" s="273" t="s">
        <v>283</v>
      </c>
      <c r="AN191" s="864"/>
      <c r="AO191" s="868" t="s">
        <v>284</v>
      </c>
      <c r="AP191" s="867"/>
      <c r="AQ191" s="273"/>
      <c r="AR191" s="847"/>
      <c r="AS191" s="848"/>
      <c r="AT191" s="867"/>
      <c r="AU191" s="273"/>
      <c r="AV191" s="847"/>
      <c r="AW191" s="848"/>
      <c r="AX191" s="134" t="s">
        <v>930</v>
      </c>
      <c r="AY191" s="135" t="s">
        <v>931</v>
      </c>
      <c r="AZ191" s="847">
        <v>7</v>
      </c>
      <c r="BA191" s="848" t="s">
        <v>932</v>
      </c>
      <c r="BB191" s="866"/>
      <c r="BC191" s="273"/>
      <c r="BD191" s="847"/>
      <c r="BE191" s="848"/>
      <c r="BF191" s="838"/>
    </row>
    <row r="192" spans="1:58" s="87" customFormat="1" ht="54" hidden="1" customHeight="1" x14ac:dyDescent="0.25">
      <c r="A192" s="267" t="s">
        <v>1468</v>
      </c>
      <c r="B192" s="268">
        <v>3</v>
      </c>
      <c r="C192" s="240" t="s">
        <v>256</v>
      </c>
      <c r="D192" s="270" t="s">
        <v>257</v>
      </c>
      <c r="E192" s="268" t="s">
        <v>1472</v>
      </c>
      <c r="F192" s="861" t="s">
        <v>286</v>
      </c>
      <c r="G192" s="269" t="s">
        <v>287</v>
      </c>
      <c r="H192" s="845" t="s">
        <v>288</v>
      </c>
      <c r="I192" s="208" t="s">
        <v>289</v>
      </c>
      <c r="J192" s="240" t="s">
        <v>140</v>
      </c>
      <c r="K192" s="270" t="s">
        <v>140</v>
      </c>
      <c r="L192" s="862" t="s">
        <v>934</v>
      </c>
      <c r="M192" s="206" t="s">
        <v>142</v>
      </c>
      <c r="N192" s="211" t="s">
        <v>143</v>
      </c>
      <c r="O192" s="437" t="s">
        <v>144</v>
      </c>
      <c r="P192" s="181" t="s">
        <v>290</v>
      </c>
      <c r="Q192" s="209" t="s">
        <v>291</v>
      </c>
      <c r="R192" s="210" t="s">
        <v>292</v>
      </c>
      <c r="S192" s="864" t="s">
        <v>147</v>
      </c>
      <c r="T192" s="212" t="s">
        <v>144</v>
      </c>
      <c r="U192" s="213" t="s">
        <v>144</v>
      </c>
      <c r="V192" s="847">
        <v>12</v>
      </c>
      <c r="W192" s="415" t="s">
        <v>144</v>
      </c>
      <c r="X192" s="212" t="s">
        <v>925</v>
      </c>
      <c r="Y192" s="212" t="s">
        <v>144</v>
      </c>
      <c r="Z192" s="212" t="s">
        <v>144</v>
      </c>
      <c r="AA192" s="240" t="s">
        <v>148</v>
      </c>
      <c r="AB192" s="206" t="s">
        <v>140</v>
      </c>
      <c r="AC192" s="847" t="s">
        <v>265</v>
      </c>
      <c r="AD192" s="847" t="s">
        <v>144</v>
      </c>
      <c r="AE192" s="847" t="s">
        <v>144</v>
      </c>
      <c r="AF192" s="848" t="s">
        <v>144</v>
      </c>
      <c r="AG192" s="838"/>
      <c r="AH192" s="866" t="s">
        <v>266</v>
      </c>
      <c r="AI192" s="274" t="s">
        <v>267</v>
      </c>
      <c r="AJ192" s="864"/>
      <c r="AK192" s="868" t="s">
        <v>293</v>
      </c>
      <c r="AL192" s="185" t="s">
        <v>294</v>
      </c>
      <c r="AM192" s="186" t="s">
        <v>295</v>
      </c>
      <c r="AN192" s="864"/>
      <c r="AO192" s="848" t="s">
        <v>296</v>
      </c>
      <c r="AP192" s="867"/>
      <c r="AQ192" s="273"/>
      <c r="AR192" s="847"/>
      <c r="AS192" s="848"/>
      <c r="AT192" s="867"/>
      <c r="AU192" s="273"/>
      <c r="AV192" s="847"/>
      <c r="AW192" s="848"/>
      <c r="AX192" s="867"/>
      <c r="AY192" s="273"/>
      <c r="AZ192" s="847"/>
      <c r="BA192" s="848"/>
      <c r="BB192" s="866"/>
      <c r="BC192" s="273"/>
      <c r="BD192" s="847"/>
      <c r="BE192" s="848"/>
      <c r="BF192" s="838"/>
    </row>
    <row r="193" spans="1:58" s="87" customFormat="1" ht="54" hidden="1" customHeight="1" x14ac:dyDescent="0.25">
      <c r="A193" s="267" t="s">
        <v>1468</v>
      </c>
      <c r="B193" s="268">
        <v>4</v>
      </c>
      <c r="C193" s="240" t="s">
        <v>297</v>
      </c>
      <c r="D193" s="270" t="s">
        <v>298</v>
      </c>
      <c r="E193" s="268" t="s">
        <v>1473</v>
      </c>
      <c r="F193" s="861" t="s">
        <v>300</v>
      </c>
      <c r="G193" s="269" t="s">
        <v>301</v>
      </c>
      <c r="H193" s="209" t="s">
        <v>302</v>
      </c>
      <c r="I193" s="210" t="s">
        <v>303</v>
      </c>
      <c r="J193" s="240" t="s">
        <v>140</v>
      </c>
      <c r="K193" s="270" t="s">
        <v>140</v>
      </c>
      <c r="L193" s="862" t="s">
        <v>936</v>
      </c>
      <c r="M193" s="206" t="s">
        <v>142</v>
      </c>
      <c r="N193" s="211" t="s">
        <v>143</v>
      </c>
      <c r="O193" s="240" t="s">
        <v>144</v>
      </c>
      <c r="P193" s="240" t="s">
        <v>144</v>
      </c>
      <c r="Q193" s="209" t="s">
        <v>304</v>
      </c>
      <c r="R193" s="210" t="s">
        <v>305</v>
      </c>
      <c r="S193" s="864" t="s">
        <v>147</v>
      </c>
      <c r="T193" s="212" t="s">
        <v>144</v>
      </c>
      <c r="U193" s="213" t="s">
        <v>144</v>
      </c>
      <c r="V193" s="847">
        <v>1</v>
      </c>
      <c r="W193" s="415" t="s">
        <v>144</v>
      </c>
      <c r="X193" s="212" t="s">
        <v>925</v>
      </c>
      <c r="Y193" s="212" t="s">
        <v>144</v>
      </c>
      <c r="Z193" s="212" t="s">
        <v>144</v>
      </c>
      <c r="AA193" s="240" t="s">
        <v>148</v>
      </c>
      <c r="AB193" s="206" t="s">
        <v>140</v>
      </c>
      <c r="AC193" s="847" t="s">
        <v>265</v>
      </c>
      <c r="AD193" s="847" t="s">
        <v>144</v>
      </c>
      <c r="AE193" s="847" t="s">
        <v>144</v>
      </c>
      <c r="AF193" s="848" t="s">
        <v>144</v>
      </c>
      <c r="AG193" s="838"/>
      <c r="AH193" s="866" t="s">
        <v>266</v>
      </c>
      <c r="AI193" s="273" t="s">
        <v>267</v>
      </c>
      <c r="AJ193" s="847"/>
      <c r="AK193" s="848" t="s">
        <v>306</v>
      </c>
      <c r="AL193" s="867"/>
      <c r="AM193" s="273"/>
      <c r="AN193" s="847"/>
      <c r="AO193" s="848"/>
      <c r="AP193" s="867" t="s">
        <v>307</v>
      </c>
      <c r="AQ193" s="273" t="s">
        <v>937</v>
      </c>
      <c r="AR193" s="847"/>
      <c r="AS193" s="848" t="s">
        <v>309</v>
      </c>
      <c r="AT193" s="867"/>
      <c r="AU193" s="273"/>
      <c r="AV193" s="847"/>
      <c r="AW193" s="848"/>
      <c r="AX193" s="867"/>
      <c r="AY193" s="273"/>
      <c r="AZ193" s="847"/>
      <c r="BA193" s="848"/>
      <c r="BB193" s="866"/>
      <c r="BC193" s="273"/>
      <c r="BD193" s="847"/>
      <c r="BE193" s="848"/>
      <c r="BF193" s="838"/>
    </row>
    <row r="194" spans="1:58" s="87" customFormat="1" ht="54" hidden="1" customHeight="1" x14ac:dyDescent="0.25">
      <c r="A194" s="267" t="s">
        <v>1468</v>
      </c>
      <c r="B194" s="268">
        <v>5</v>
      </c>
      <c r="C194" s="240" t="s">
        <v>297</v>
      </c>
      <c r="D194" s="270" t="s">
        <v>298</v>
      </c>
      <c r="E194" s="268" t="s">
        <v>1474</v>
      </c>
      <c r="F194" s="861" t="s">
        <v>311</v>
      </c>
      <c r="G194" s="269" t="s">
        <v>312</v>
      </c>
      <c r="H194" s="209" t="s">
        <v>313</v>
      </c>
      <c r="I194" s="210" t="s">
        <v>314</v>
      </c>
      <c r="J194" s="240" t="s">
        <v>140</v>
      </c>
      <c r="K194" s="270" t="s">
        <v>140</v>
      </c>
      <c r="L194" s="862" t="s">
        <v>939</v>
      </c>
      <c r="M194" s="206" t="s">
        <v>142</v>
      </c>
      <c r="N194" s="211" t="s">
        <v>143</v>
      </c>
      <c r="O194" s="240" t="s">
        <v>144</v>
      </c>
      <c r="P194" s="240" t="s">
        <v>144</v>
      </c>
      <c r="Q194" s="209" t="s">
        <v>315</v>
      </c>
      <c r="R194" s="210" t="s">
        <v>316</v>
      </c>
      <c r="S194" s="864" t="s">
        <v>147</v>
      </c>
      <c r="T194" s="212" t="s">
        <v>144</v>
      </c>
      <c r="U194" s="213" t="s">
        <v>144</v>
      </c>
      <c r="V194" s="847">
        <v>12</v>
      </c>
      <c r="W194" s="415" t="s">
        <v>144</v>
      </c>
      <c r="X194" s="212" t="s">
        <v>925</v>
      </c>
      <c r="Y194" s="212" t="s">
        <v>144</v>
      </c>
      <c r="Z194" s="212" t="s">
        <v>144</v>
      </c>
      <c r="AA194" s="240" t="s">
        <v>148</v>
      </c>
      <c r="AB194" s="206" t="s">
        <v>140</v>
      </c>
      <c r="AC194" s="847" t="s">
        <v>265</v>
      </c>
      <c r="AD194" s="847" t="s">
        <v>144</v>
      </c>
      <c r="AE194" s="847" t="s">
        <v>144</v>
      </c>
      <c r="AF194" s="848" t="s">
        <v>144</v>
      </c>
      <c r="AG194" s="838"/>
      <c r="AH194" s="866" t="s">
        <v>266</v>
      </c>
      <c r="AI194" s="273" t="s">
        <v>267</v>
      </c>
      <c r="AJ194" s="847"/>
      <c r="AK194" s="848" t="s">
        <v>317</v>
      </c>
      <c r="AL194" s="867"/>
      <c r="AM194" s="273"/>
      <c r="AN194" s="847"/>
      <c r="AO194" s="848"/>
      <c r="AP194" s="867"/>
      <c r="AQ194" s="273"/>
      <c r="AR194" s="847"/>
      <c r="AS194" s="848"/>
      <c r="AT194" s="867" t="s">
        <v>318</v>
      </c>
      <c r="AU194" s="273" t="s">
        <v>319</v>
      </c>
      <c r="AV194" s="847"/>
      <c r="AW194" s="848" t="s">
        <v>320</v>
      </c>
      <c r="AX194" s="867"/>
      <c r="AY194" s="273"/>
      <c r="AZ194" s="847"/>
      <c r="BA194" s="848"/>
      <c r="BB194" s="866"/>
      <c r="BC194" s="273"/>
      <c r="BD194" s="847"/>
      <c r="BE194" s="848"/>
      <c r="BF194" s="838"/>
    </row>
    <row r="195" spans="1:58" s="87" customFormat="1" ht="54" hidden="1" customHeight="1" x14ac:dyDescent="0.25">
      <c r="A195" s="267" t="s">
        <v>1468</v>
      </c>
      <c r="B195" s="268">
        <v>6</v>
      </c>
      <c r="C195" s="240" t="s">
        <v>297</v>
      </c>
      <c r="D195" s="270" t="s">
        <v>298</v>
      </c>
      <c r="E195" s="268" t="s">
        <v>1475</v>
      </c>
      <c r="F195" s="861" t="s">
        <v>136</v>
      </c>
      <c r="G195" s="269" t="s">
        <v>322</v>
      </c>
      <c r="H195" s="846" t="s">
        <v>323</v>
      </c>
      <c r="I195" s="210" t="s">
        <v>324</v>
      </c>
      <c r="J195" s="240" t="s">
        <v>140</v>
      </c>
      <c r="K195" s="270" t="s">
        <v>140</v>
      </c>
      <c r="L195" s="862" t="s">
        <v>941</v>
      </c>
      <c r="M195" s="206" t="s">
        <v>142</v>
      </c>
      <c r="N195" s="211" t="s">
        <v>143</v>
      </c>
      <c r="O195" s="240" t="s">
        <v>144</v>
      </c>
      <c r="P195" s="240" t="s">
        <v>144</v>
      </c>
      <c r="Q195" s="845" t="s">
        <v>1476</v>
      </c>
      <c r="R195" s="208" t="s">
        <v>1477</v>
      </c>
      <c r="S195" s="864" t="s">
        <v>147</v>
      </c>
      <c r="T195" s="212" t="s">
        <v>144</v>
      </c>
      <c r="U195" s="213" t="s">
        <v>144</v>
      </c>
      <c r="V195" s="847">
        <v>2</v>
      </c>
      <c r="W195" s="415" t="s">
        <v>144</v>
      </c>
      <c r="X195" s="212" t="s">
        <v>925</v>
      </c>
      <c r="Y195" s="212" t="s">
        <v>144</v>
      </c>
      <c r="Z195" s="212" t="s">
        <v>144</v>
      </c>
      <c r="AA195" s="240" t="s">
        <v>148</v>
      </c>
      <c r="AB195" s="206" t="s">
        <v>140</v>
      </c>
      <c r="AC195" s="847" t="s">
        <v>265</v>
      </c>
      <c r="AD195" s="847" t="s">
        <v>144</v>
      </c>
      <c r="AE195" s="847" t="s">
        <v>144</v>
      </c>
      <c r="AF195" s="848" t="s">
        <v>144</v>
      </c>
      <c r="AG195" s="838"/>
      <c r="AH195" s="866" t="s">
        <v>266</v>
      </c>
      <c r="AI195" s="273" t="s">
        <v>267</v>
      </c>
      <c r="AJ195" s="847"/>
      <c r="AK195" s="848" t="s">
        <v>327</v>
      </c>
      <c r="AL195" s="867"/>
      <c r="AM195" s="273"/>
      <c r="AN195" s="847"/>
      <c r="AO195" s="848"/>
      <c r="AP195" s="867" t="s">
        <v>1478</v>
      </c>
      <c r="AQ195" s="273" t="s">
        <v>1479</v>
      </c>
      <c r="AR195" s="847"/>
      <c r="AS195" s="848" t="s">
        <v>327</v>
      </c>
      <c r="AT195" s="867"/>
      <c r="AU195" s="273"/>
      <c r="AV195" s="847"/>
      <c r="AW195" s="848"/>
      <c r="AX195" s="867"/>
      <c r="AY195" s="273"/>
      <c r="AZ195" s="847"/>
      <c r="BA195" s="848"/>
      <c r="BB195" s="866"/>
      <c r="BC195" s="273"/>
      <c r="BD195" s="847"/>
      <c r="BE195" s="848"/>
      <c r="BF195" s="838"/>
    </row>
    <row r="196" spans="1:58" s="87" customFormat="1" ht="54" hidden="1" customHeight="1" x14ac:dyDescent="0.25">
      <c r="A196" s="267" t="s">
        <v>1468</v>
      </c>
      <c r="B196" s="268">
        <v>7</v>
      </c>
      <c r="C196" s="240" t="s">
        <v>256</v>
      </c>
      <c r="D196" s="270" t="s">
        <v>257</v>
      </c>
      <c r="E196" s="268" t="s">
        <v>1480</v>
      </c>
      <c r="F196" s="861" t="s">
        <v>331</v>
      </c>
      <c r="G196" s="269" t="s">
        <v>332</v>
      </c>
      <c r="H196" s="845" t="s">
        <v>331</v>
      </c>
      <c r="I196" s="208" t="s">
        <v>332</v>
      </c>
      <c r="J196" s="240" t="s">
        <v>140</v>
      </c>
      <c r="K196" s="270" t="s">
        <v>140</v>
      </c>
      <c r="L196" s="862" t="s">
        <v>947</v>
      </c>
      <c r="M196" s="206" t="s">
        <v>193</v>
      </c>
      <c r="N196" s="211" t="s">
        <v>194</v>
      </c>
      <c r="O196" s="240" t="s">
        <v>144</v>
      </c>
      <c r="P196" s="240" t="s">
        <v>144</v>
      </c>
      <c r="Q196" s="863" t="s">
        <v>948</v>
      </c>
      <c r="R196" s="271" t="s">
        <v>949</v>
      </c>
      <c r="S196" s="864" t="s">
        <v>147</v>
      </c>
      <c r="T196" s="212" t="s">
        <v>144</v>
      </c>
      <c r="U196" s="213" t="s">
        <v>144</v>
      </c>
      <c r="V196" s="847">
        <v>1</v>
      </c>
      <c r="W196" s="415" t="s">
        <v>144</v>
      </c>
      <c r="X196" s="212" t="s">
        <v>925</v>
      </c>
      <c r="Y196" s="212" t="s">
        <v>144</v>
      </c>
      <c r="Z196" s="212" t="s">
        <v>144</v>
      </c>
      <c r="AA196" s="343" t="s">
        <v>148</v>
      </c>
      <c r="AB196" s="206" t="s">
        <v>140</v>
      </c>
      <c r="AC196" s="847" t="s">
        <v>265</v>
      </c>
      <c r="AD196" s="847" t="s">
        <v>144</v>
      </c>
      <c r="AE196" s="847" t="s">
        <v>144</v>
      </c>
      <c r="AF196" s="848" t="s">
        <v>144</v>
      </c>
      <c r="AG196" s="838"/>
      <c r="AH196" s="866"/>
      <c r="AI196" s="273"/>
      <c r="AJ196" s="847"/>
      <c r="AK196" s="848"/>
      <c r="AL196" s="867"/>
      <c r="AM196" s="273"/>
      <c r="AN196" s="847"/>
      <c r="AO196" s="848"/>
      <c r="AP196" s="867" t="s">
        <v>950</v>
      </c>
      <c r="AQ196" s="273" t="s">
        <v>951</v>
      </c>
      <c r="AR196" s="847"/>
      <c r="AS196" s="848" t="s">
        <v>952</v>
      </c>
      <c r="AT196" s="867" t="s">
        <v>953</v>
      </c>
      <c r="AU196" s="273" t="s">
        <v>954</v>
      </c>
      <c r="AV196" s="847"/>
      <c r="AW196" s="848" t="s">
        <v>952</v>
      </c>
      <c r="AX196" s="867"/>
      <c r="AY196" s="273"/>
      <c r="AZ196" s="847"/>
      <c r="BA196" s="848"/>
      <c r="BB196" s="866"/>
      <c r="BC196" s="273"/>
      <c r="BD196" s="847"/>
      <c r="BE196" s="848"/>
      <c r="BF196" s="838"/>
    </row>
    <row r="197" spans="1:58" s="87" customFormat="1" ht="54" hidden="1" customHeight="1" x14ac:dyDescent="0.25">
      <c r="A197" s="267" t="s">
        <v>1468</v>
      </c>
      <c r="B197" s="268">
        <v>8</v>
      </c>
      <c r="C197" s="240" t="s">
        <v>256</v>
      </c>
      <c r="D197" s="270" t="s">
        <v>257</v>
      </c>
      <c r="E197" s="268" t="s">
        <v>1481</v>
      </c>
      <c r="F197" s="861" t="s">
        <v>956</v>
      </c>
      <c r="G197" s="269" t="s">
        <v>957</v>
      </c>
      <c r="H197" s="845" t="s">
        <v>958</v>
      </c>
      <c r="I197" s="208" t="s">
        <v>959</v>
      </c>
      <c r="J197" s="240" t="s">
        <v>140</v>
      </c>
      <c r="K197" s="270" t="s">
        <v>140</v>
      </c>
      <c r="L197" s="862" t="s">
        <v>960</v>
      </c>
      <c r="M197" s="206" t="s">
        <v>193</v>
      </c>
      <c r="N197" s="211" t="s">
        <v>194</v>
      </c>
      <c r="O197" s="240" t="s">
        <v>961</v>
      </c>
      <c r="P197" s="240" t="s">
        <v>962</v>
      </c>
      <c r="Q197" s="845" t="s">
        <v>963</v>
      </c>
      <c r="R197" s="208" t="s">
        <v>964</v>
      </c>
      <c r="S197" s="864" t="s">
        <v>147</v>
      </c>
      <c r="T197" s="212" t="s">
        <v>144</v>
      </c>
      <c r="U197" s="213" t="s">
        <v>144</v>
      </c>
      <c r="V197" s="847">
        <v>2</v>
      </c>
      <c r="W197" s="415" t="s">
        <v>144</v>
      </c>
      <c r="X197" s="212" t="s">
        <v>925</v>
      </c>
      <c r="Y197" s="212" t="s">
        <v>144</v>
      </c>
      <c r="Z197" s="212" t="s">
        <v>144</v>
      </c>
      <c r="AA197" s="343" t="s">
        <v>148</v>
      </c>
      <c r="AB197" s="206" t="s">
        <v>140</v>
      </c>
      <c r="AC197" s="847" t="s">
        <v>265</v>
      </c>
      <c r="AD197" s="847" t="s">
        <v>144</v>
      </c>
      <c r="AE197" s="847" t="s">
        <v>144</v>
      </c>
      <c r="AF197" s="848" t="s">
        <v>144</v>
      </c>
      <c r="AG197" s="838"/>
      <c r="AH197" s="866"/>
      <c r="AI197" s="273"/>
      <c r="AJ197" s="847"/>
      <c r="AK197" s="848"/>
      <c r="AL197" s="867" t="s">
        <v>294</v>
      </c>
      <c r="AM197" s="273" t="s">
        <v>295</v>
      </c>
      <c r="AN197" s="847">
        <v>7</v>
      </c>
      <c r="AO197" s="187" t="s">
        <v>966</v>
      </c>
      <c r="AP197" s="867"/>
      <c r="AQ197" s="273"/>
      <c r="AR197" s="847"/>
      <c r="AS197" s="848"/>
      <c r="AT197" s="867"/>
      <c r="AU197" s="273"/>
      <c r="AV197" s="847"/>
      <c r="AW197" s="848"/>
      <c r="AX197" s="867"/>
      <c r="AY197" s="273"/>
      <c r="AZ197" s="847"/>
      <c r="BA197" s="848"/>
      <c r="BB197" s="866"/>
      <c r="BC197" s="273"/>
      <c r="BD197" s="847"/>
      <c r="BE197" s="848"/>
      <c r="BF197" s="838"/>
    </row>
    <row r="198" spans="1:58" s="87" customFormat="1" ht="54" hidden="1" customHeight="1" x14ac:dyDescent="0.25">
      <c r="A198" s="267" t="s">
        <v>1468</v>
      </c>
      <c r="B198" s="268">
        <v>9</v>
      </c>
      <c r="C198" s="240" t="s">
        <v>256</v>
      </c>
      <c r="D198" s="270" t="s">
        <v>257</v>
      </c>
      <c r="E198" s="268" t="s">
        <v>1482</v>
      </c>
      <c r="F198" s="861" t="s">
        <v>968</v>
      </c>
      <c r="G198" s="269" t="s">
        <v>969</v>
      </c>
      <c r="H198" s="845" t="s">
        <v>970</v>
      </c>
      <c r="I198" s="208" t="s">
        <v>971</v>
      </c>
      <c r="J198" s="240" t="s">
        <v>140</v>
      </c>
      <c r="K198" s="270" t="s">
        <v>140</v>
      </c>
      <c r="L198" s="862" t="s">
        <v>972</v>
      </c>
      <c r="M198" s="206" t="s">
        <v>973</v>
      </c>
      <c r="N198" s="211" t="s">
        <v>974</v>
      </c>
      <c r="O198" s="437" t="s">
        <v>144</v>
      </c>
      <c r="P198" s="240" t="s">
        <v>144</v>
      </c>
      <c r="Q198" s="863" t="s">
        <v>975</v>
      </c>
      <c r="R198" s="208" t="s">
        <v>523</v>
      </c>
      <c r="S198" s="864" t="s">
        <v>965</v>
      </c>
      <c r="T198" s="212" t="s">
        <v>144</v>
      </c>
      <c r="U198" s="213" t="s">
        <v>144</v>
      </c>
      <c r="V198" s="847">
        <v>4</v>
      </c>
      <c r="W198" s="415" t="s">
        <v>144</v>
      </c>
      <c r="X198" s="212" t="s">
        <v>925</v>
      </c>
      <c r="Y198" s="212" t="s">
        <v>144</v>
      </c>
      <c r="Z198" s="212" t="s">
        <v>144</v>
      </c>
      <c r="AA198" s="343" t="s">
        <v>148</v>
      </c>
      <c r="AB198" s="206" t="s">
        <v>140</v>
      </c>
      <c r="AC198" s="847" t="s">
        <v>265</v>
      </c>
      <c r="AD198" s="847" t="s">
        <v>144</v>
      </c>
      <c r="AE198" s="847" t="s">
        <v>144</v>
      </c>
      <c r="AF198" s="848" t="s">
        <v>144</v>
      </c>
      <c r="AG198" s="838"/>
      <c r="AH198" s="866" t="s">
        <v>1483</v>
      </c>
      <c r="AI198" s="273" t="s">
        <v>1484</v>
      </c>
      <c r="AJ198" s="847"/>
      <c r="AK198" s="848" t="s">
        <v>978</v>
      </c>
      <c r="AL198" s="867" t="s">
        <v>1485</v>
      </c>
      <c r="AM198" s="273" t="s">
        <v>1486</v>
      </c>
      <c r="AN198" s="847"/>
      <c r="AO198" s="848" t="s">
        <v>981</v>
      </c>
      <c r="AP198" s="867"/>
      <c r="AQ198" s="273"/>
      <c r="AR198" s="847"/>
      <c r="AS198" s="848"/>
      <c r="AT198" s="867"/>
      <c r="AU198" s="273"/>
      <c r="AV198" s="847"/>
      <c r="AW198" s="848"/>
      <c r="AX198" s="867"/>
      <c r="AY198" s="273"/>
      <c r="AZ198" s="847"/>
      <c r="BA198" s="848"/>
      <c r="BB198" s="866"/>
      <c r="BC198" s="273"/>
      <c r="BD198" s="847"/>
      <c r="BE198" s="848"/>
      <c r="BF198" s="838"/>
    </row>
    <row r="199" spans="1:58" s="55" customFormat="1" ht="54" customHeight="1" x14ac:dyDescent="0.25">
      <c r="A199" s="275" t="s">
        <v>1468</v>
      </c>
      <c r="B199" s="276">
        <v>10</v>
      </c>
      <c r="C199" s="253" t="s">
        <v>144</v>
      </c>
      <c r="D199" s="253" t="s">
        <v>144</v>
      </c>
      <c r="E199" s="276" t="s">
        <v>1487</v>
      </c>
      <c r="F199" s="277" t="s">
        <v>251</v>
      </c>
      <c r="G199" s="277" t="s">
        <v>251</v>
      </c>
      <c r="H199" s="220" t="s">
        <v>336</v>
      </c>
      <c r="I199" s="277" t="s">
        <v>337</v>
      </c>
      <c r="J199" s="302" t="s">
        <v>144</v>
      </c>
      <c r="K199" s="302" t="s">
        <v>144</v>
      </c>
      <c r="L199" s="718" t="s">
        <v>983</v>
      </c>
      <c r="M199" s="253" t="s">
        <v>144</v>
      </c>
      <c r="N199" s="302" t="s">
        <v>144</v>
      </c>
      <c r="O199" s="253" t="s">
        <v>144</v>
      </c>
      <c r="P199" s="253" t="s">
        <v>144</v>
      </c>
      <c r="Q199" s="220" t="s">
        <v>338</v>
      </c>
      <c r="R199" s="220" t="s">
        <v>339</v>
      </c>
      <c r="S199" s="276" t="s">
        <v>147</v>
      </c>
      <c r="T199" s="221" t="s">
        <v>144</v>
      </c>
      <c r="U199" s="221" t="s">
        <v>144</v>
      </c>
      <c r="V199" s="253">
        <v>3</v>
      </c>
      <c r="W199" s="217" t="s">
        <v>144</v>
      </c>
      <c r="X199" s="221" t="s">
        <v>144</v>
      </c>
      <c r="Y199" s="221" t="s">
        <v>144</v>
      </c>
      <c r="Z199" s="221" t="s">
        <v>144</v>
      </c>
      <c r="AA199" s="253" t="s">
        <v>144</v>
      </c>
      <c r="AB199" s="217" t="s">
        <v>144</v>
      </c>
      <c r="AC199" s="253" t="s">
        <v>265</v>
      </c>
      <c r="AD199" s="253" t="s">
        <v>144</v>
      </c>
      <c r="AE199" s="253" t="s">
        <v>144</v>
      </c>
      <c r="AF199" s="254" t="s">
        <v>144</v>
      </c>
      <c r="AG199" s="838"/>
      <c r="AH199" s="280"/>
      <c r="AI199" s="281"/>
      <c r="AJ199" s="253"/>
      <c r="AK199" s="254"/>
      <c r="AL199" s="281"/>
      <c r="AM199" s="281"/>
      <c r="AN199" s="253"/>
      <c r="AO199" s="254"/>
      <c r="AP199" s="281"/>
      <c r="AQ199" s="281"/>
      <c r="AR199" s="253"/>
      <c r="AS199" s="254"/>
      <c r="AT199" s="281"/>
      <c r="AU199" s="281"/>
      <c r="AV199" s="253"/>
      <c r="AW199" s="254"/>
      <c r="AX199" s="281"/>
      <c r="AY199" s="281"/>
      <c r="AZ199" s="253"/>
      <c r="BA199" s="254"/>
      <c r="BB199" s="280"/>
      <c r="BC199" s="281"/>
      <c r="BD199" s="253"/>
      <c r="BE199" s="254"/>
      <c r="BF199" s="838"/>
    </row>
    <row r="200" spans="1:58" s="87" customFormat="1" ht="54" hidden="1" customHeight="1" x14ac:dyDescent="0.25">
      <c r="A200" s="267" t="s">
        <v>1468</v>
      </c>
      <c r="B200" s="268">
        <v>11</v>
      </c>
      <c r="C200" s="240" t="s">
        <v>340</v>
      </c>
      <c r="D200" s="211" t="s">
        <v>341</v>
      </c>
      <c r="E200" s="268" t="s">
        <v>1488</v>
      </c>
      <c r="F200" s="861" t="s">
        <v>985</v>
      </c>
      <c r="G200" s="269" t="s">
        <v>344</v>
      </c>
      <c r="H200" s="861" t="s">
        <v>345</v>
      </c>
      <c r="I200" s="269" t="s">
        <v>346</v>
      </c>
      <c r="J200" s="296" t="s">
        <v>140</v>
      </c>
      <c r="K200" s="297" t="s">
        <v>140</v>
      </c>
      <c r="L200" s="862" t="s">
        <v>988</v>
      </c>
      <c r="M200" s="206" t="s">
        <v>142</v>
      </c>
      <c r="N200" s="211" t="s">
        <v>143</v>
      </c>
      <c r="O200" s="240" t="s">
        <v>144</v>
      </c>
      <c r="P200" s="240" t="s">
        <v>144</v>
      </c>
      <c r="Q200" s="845" t="s">
        <v>144</v>
      </c>
      <c r="R200" s="208" t="s">
        <v>144</v>
      </c>
      <c r="S200" s="864" t="s">
        <v>147</v>
      </c>
      <c r="T200" s="212" t="s">
        <v>144</v>
      </c>
      <c r="U200" s="213" t="s">
        <v>144</v>
      </c>
      <c r="V200" s="847">
        <v>20</v>
      </c>
      <c r="W200" s="415" t="s">
        <v>144</v>
      </c>
      <c r="X200" s="212" t="s">
        <v>925</v>
      </c>
      <c r="Y200" s="212" t="s">
        <v>144</v>
      </c>
      <c r="Z200" s="212" t="s">
        <v>144</v>
      </c>
      <c r="AA200" s="343" t="s">
        <v>148</v>
      </c>
      <c r="AB200" s="206" t="s">
        <v>140</v>
      </c>
      <c r="AC200" s="847" t="s">
        <v>265</v>
      </c>
      <c r="AD200" s="847" t="s">
        <v>144</v>
      </c>
      <c r="AE200" s="847" t="s">
        <v>144</v>
      </c>
      <c r="AF200" s="848" t="s">
        <v>144</v>
      </c>
      <c r="AG200" s="838"/>
      <c r="AH200" s="866" t="s">
        <v>266</v>
      </c>
      <c r="AI200" s="273" t="s">
        <v>267</v>
      </c>
      <c r="AJ200" s="847">
        <v>7</v>
      </c>
      <c r="AK200" s="848" t="s">
        <v>1046</v>
      </c>
      <c r="AL200" s="867"/>
      <c r="AM200" s="273"/>
      <c r="AN200" s="847"/>
      <c r="AO200" s="848"/>
      <c r="AP200" s="867"/>
      <c r="AQ200" s="273"/>
      <c r="AR200" s="847"/>
      <c r="AS200" s="848"/>
      <c r="AT200" s="867"/>
      <c r="AU200" s="273"/>
      <c r="AV200" s="847"/>
      <c r="AW200" s="848"/>
      <c r="AX200" s="867" t="s">
        <v>1047</v>
      </c>
      <c r="AY200" s="273" t="s">
        <v>1048</v>
      </c>
      <c r="AZ200" s="847">
        <v>7</v>
      </c>
      <c r="BA200" s="848" t="s">
        <v>1049</v>
      </c>
      <c r="BB200" s="866"/>
      <c r="BC200" s="273"/>
      <c r="BD200" s="847"/>
      <c r="BE200" s="848"/>
      <c r="BF200" s="838"/>
    </row>
    <row r="201" spans="1:58" s="87" customFormat="1" ht="54" hidden="1" customHeight="1" x14ac:dyDescent="0.25">
      <c r="A201" s="267" t="s">
        <v>1468</v>
      </c>
      <c r="B201" s="268">
        <v>12</v>
      </c>
      <c r="C201" s="240" t="s">
        <v>340</v>
      </c>
      <c r="D201" s="211" t="s">
        <v>341</v>
      </c>
      <c r="E201" s="268" t="s">
        <v>1489</v>
      </c>
      <c r="F201" s="861" t="s">
        <v>990</v>
      </c>
      <c r="G201" s="269" t="s">
        <v>351</v>
      </c>
      <c r="H201" s="845" t="s">
        <v>991</v>
      </c>
      <c r="I201" s="208" t="s">
        <v>992</v>
      </c>
      <c r="J201" s="240" t="s">
        <v>140</v>
      </c>
      <c r="K201" s="270" t="s">
        <v>140</v>
      </c>
      <c r="L201" s="862" t="s">
        <v>993</v>
      </c>
      <c r="M201" s="206" t="s">
        <v>193</v>
      </c>
      <c r="N201" s="211" t="s">
        <v>194</v>
      </c>
      <c r="O201" s="240" t="s">
        <v>144</v>
      </c>
      <c r="P201" s="240" t="s">
        <v>144</v>
      </c>
      <c r="Q201" s="845" t="s">
        <v>1490</v>
      </c>
      <c r="R201" s="208" t="s">
        <v>1057</v>
      </c>
      <c r="S201" s="864" t="s">
        <v>147</v>
      </c>
      <c r="T201" s="212" t="s">
        <v>144</v>
      </c>
      <c r="U201" s="213" t="s">
        <v>144</v>
      </c>
      <c r="V201" s="847">
        <v>10</v>
      </c>
      <c r="W201" s="415" t="s">
        <v>144</v>
      </c>
      <c r="X201" s="212" t="s">
        <v>925</v>
      </c>
      <c r="Y201" s="212" t="s">
        <v>144</v>
      </c>
      <c r="Z201" s="451" t="s">
        <v>29</v>
      </c>
      <c r="AA201" s="343" t="s">
        <v>148</v>
      </c>
      <c r="AB201" s="206" t="s">
        <v>140</v>
      </c>
      <c r="AC201" s="847" t="s">
        <v>265</v>
      </c>
      <c r="AD201" s="847" t="s">
        <v>144</v>
      </c>
      <c r="AE201" s="847" t="s">
        <v>144</v>
      </c>
      <c r="AF201" s="848" t="s">
        <v>144</v>
      </c>
      <c r="AG201" s="838"/>
      <c r="AH201" s="866"/>
      <c r="AI201" s="273"/>
      <c r="AJ201" s="847"/>
      <c r="AK201" s="848"/>
      <c r="AL201" s="867"/>
      <c r="AM201" s="273"/>
      <c r="AN201" s="847"/>
      <c r="AO201" s="848"/>
      <c r="AP201" s="867"/>
      <c r="AQ201" s="273"/>
      <c r="AR201" s="847"/>
      <c r="AS201" s="848"/>
      <c r="AT201" s="867"/>
      <c r="AU201" s="273"/>
      <c r="AV201" s="847"/>
      <c r="AW201" s="848"/>
      <c r="AX201" s="869" t="s">
        <v>1491</v>
      </c>
      <c r="AY201" s="410" t="s">
        <v>1492</v>
      </c>
      <c r="AZ201" s="870" t="s">
        <v>1061</v>
      </c>
      <c r="BA201" s="871" t="s">
        <v>1062</v>
      </c>
      <c r="BB201" s="866"/>
      <c r="BC201" s="273"/>
      <c r="BD201" s="847"/>
      <c r="BE201" s="848"/>
      <c r="BF201" s="838"/>
    </row>
    <row r="202" spans="1:58" s="87" customFormat="1" ht="54" hidden="1" customHeight="1" x14ac:dyDescent="0.25">
      <c r="A202" s="267" t="s">
        <v>1468</v>
      </c>
      <c r="B202" s="268">
        <v>13</v>
      </c>
      <c r="C202" s="240" t="s">
        <v>256</v>
      </c>
      <c r="D202" s="211" t="s">
        <v>257</v>
      </c>
      <c r="E202" s="268" t="s">
        <v>1493</v>
      </c>
      <c r="F202" s="861" t="s">
        <v>357</v>
      </c>
      <c r="G202" s="269" t="s">
        <v>358</v>
      </c>
      <c r="H202" s="845" t="s">
        <v>357</v>
      </c>
      <c r="I202" s="208" t="s">
        <v>997</v>
      </c>
      <c r="J202" s="240" t="s">
        <v>140</v>
      </c>
      <c r="K202" s="270" t="s">
        <v>140</v>
      </c>
      <c r="L202" s="862" t="s">
        <v>998</v>
      </c>
      <c r="M202" s="206" t="s">
        <v>142</v>
      </c>
      <c r="N202" s="211" t="s">
        <v>143</v>
      </c>
      <c r="O202" s="240" t="s">
        <v>144</v>
      </c>
      <c r="P202" s="240" t="s">
        <v>144</v>
      </c>
      <c r="Q202" s="845" t="s">
        <v>1494</v>
      </c>
      <c r="R202" s="208" t="s">
        <v>1495</v>
      </c>
      <c r="S202" s="864" t="s">
        <v>147</v>
      </c>
      <c r="T202" s="212" t="s">
        <v>144</v>
      </c>
      <c r="U202" s="213" t="s">
        <v>144</v>
      </c>
      <c r="V202" s="847">
        <v>30</v>
      </c>
      <c r="W202" s="415" t="s">
        <v>144</v>
      </c>
      <c r="X202" s="212" t="s">
        <v>925</v>
      </c>
      <c r="Y202" s="212" t="s">
        <v>144</v>
      </c>
      <c r="Z202" s="241" t="s">
        <v>144</v>
      </c>
      <c r="AA202" s="616" t="s">
        <v>1496</v>
      </c>
      <c r="AB202" s="206" t="s">
        <v>140</v>
      </c>
      <c r="AC202" s="847" t="s">
        <v>265</v>
      </c>
      <c r="AD202" s="847" t="s">
        <v>144</v>
      </c>
      <c r="AE202" s="847" t="s">
        <v>144</v>
      </c>
      <c r="AF202" s="848" t="s">
        <v>144</v>
      </c>
      <c r="AG202" s="838"/>
      <c r="AH202" s="866" t="s">
        <v>266</v>
      </c>
      <c r="AI202" s="273" t="s">
        <v>267</v>
      </c>
      <c r="AJ202" s="847">
        <v>7</v>
      </c>
      <c r="AK202" s="848" t="s">
        <v>1358</v>
      </c>
      <c r="AL202" s="867"/>
      <c r="AM202" s="273"/>
      <c r="AN202" s="847"/>
      <c r="AO202" s="848"/>
      <c r="AP202" s="867"/>
      <c r="AQ202" s="273"/>
      <c r="AR202" s="847"/>
      <c r="AS202" s="848"/>
      <c r="AT202" s="867"/>
      <c r="AU202" s="273"/>
      <c r="AV202" s="847"/>
      <c r="AW202" s="848"/>
      <c r="AX202" s="867" t="s">
        <v>1497</v>
      </c>
      <c r="AY202" s="273" t="s">
        <v>1498</v>
      </c>
      <c r="AZ202" s="847">
        <v>7</v>
      </c>
      <c r="BA202" s="848" t="s">
        <v>1499</v>
      </c>
      <c r="BB202" s="866"/>
      <c r="BC202" s="273"/>
      <c r="BD202" s="847"/>
      <c r="BE202" s="848"/>
      <c r="BF202" s="838"/>
    </row>
    <row r="203" spans="1:58" s="87" customFormat="1" ht="54" hidden="1" customHeight="1" x14ac:dyDescent="0.25">
      <c r="A203" s="267" t="s">
        <v>1468</v>
      </c>
      <c r="B203" s="268">
        <v>14</v>
      </c>
      <c r="C203" s="240" t="s">
        <v>994</v>
      </c>
      <c r="D203" s="211" t="s">
        <v>995</v>
      </c>
      <c r="E203" s="268" t="s">
        <v>1500</v>
      </c>
      <c r="F203" s="861" t="s">
        <v>361</v>
      </c>
      <c r="G203" s="269" t="s">
        <v>362</v>
      </c>
      <c r="H203" s="845" t="s">
        <v>361</v>
      </c>
      <c r="I203" s="208" t="s">
        <v>1007</v>
      </c>
      <c r="J203" s="240" t="s">
        <v>140</v>
      </c>
      <c r="K203" s="270" t="s">
        <v>140</v>
      </c>
      <c r="L203" s="862" t="s">
        <v>1008</v>
      </c>
      <c r="M203" s="206" t="s">
        <v>142</v>
      </c>
      <c r="N203" s="211" t="s">
        <v>143</v>
      </c>
      <c r="O203" s="240" t="s">
        <v>144</v>
      </c>
      <c r="P203" s="240" t="s">
        <v>144</v>
      </c>
      <c r="Q203" s="845" t="s">
        <v>999</v>
      </c>
      <c r="R203" s="208" t="s">
        <v>1000</v>
      </c>
      <c r="S203" s="864" t="s">
        <v>147</v>
      </c>
      <c r="T203" s="212" t="s">
        <v>144</v>
      </c>
      <c r="U203" s="213" t="s">
        <v>144</v>
      </c>
      <c r="V203" s="847">
        <v>30</v>
      </c>
      <c r="W203" s="415" t="s">
        <v>144</v>
      </c>
      <c r="X203" s="212" t="s">
        <v>925</v>
      </c>
      <c r="Y203" s="212" t="s">
        <v>144</v>
      </c>
      <c r="Z203" s="241" t="s">
        <v>144</v>
      </c>
      <c r="AA203" s="616" t="s">
        <v>1001</v>
      </c>
      <c r="AB203" s="206" t="s">
        <v>140</v>
      </c>
      <c r="AC203" s="847" t="s">
        <v>265</v>
      </c>
      <c r="AD203" s="847" t="s">
        <v>144</v>
      </c>
      <c r="AE203" s="847" t="s">
        <v>144</v>
      </c>
      <c r="AF203" s="848" t="s">
        <v>144</v>
      </c>
      <c r="AG203" s="838"/>
      <c r="AH203" s="866" t="s">
        <v>266</v>
      </c>
      <c r="AI203" s="273" t="s">
        <v>267</v>
      </c>
      <c r="AJ203" s="847">
        <v>7</v>
      </c>
      <c r="AK203" s="848" t="s">
        <v>1002</v>
      </c>
      <c r="AL203" s="867"/>
      <c r="AM203" s="273"/>
      <c r="AN203" s="847"/>
      <c r="AO203" s="848"/>
      <c r="AP203" s="867"/>
      <c r="AQ203" s="273"/>
      <c r="AR203" s="847"/>
      <c r="AS203" s="848"/>
      <c r="AT203" s="867"/>
      <c r="AU203" s="273"/>
      <c r="AV203" s="847"/>
      <c r="AW203" s="848"/>
      <c r="AX203" s="867" t="s">
        <v>1501</v>
      </c>
      <c r="AY203" s="273" t="s">
        <v>1502</v>
      </c>
      <c r="AZ203" s="847">
        <v>7</v>
      </c>
      <c r="BA203" s="848" t="s">
        <v>1503</v>
      </c>
      <c r="BB203" s="866"/>
      <c r="BC203" s="273"/>
      <c r="BD203" s="847"/>
      <c r="BE203" s="848"/>
      <c r="BF203" s="838"/>
    </row>
    <row r="204" spans="1:58" s="55" customFormat="1" ht="54" hidden="1" customHeight="1" x14ac:dyDescent="0.25">
      <c r="A204" s="275" t="s">
        <v>1468</v>
      </c>
      <c r="B204" s="276">
        <v>15</v>
      </c>
      <c r="C204" s="253" t="s">
        <v>144</v>
      </c>
      <c r="D204" s="217" t="s">
        <v>144</v>
      </c>
      <c r="E204" s="276" t="s">
        <v>1504</v>
      </c>
      <c r="F204" s="277" t="s">
        <v>365</v>
      </c>
      <c r="G204" s="277" t="s">
        <v>366</v>
      </c>
      <c r="H204" s="218" t="s">
        <v>365</v>
      </c>
      <c r="I204" s="218" t="s">
        <v>367</v>
      </c>
      <c r="J204" s="253" t="s">
        <v>144</v>
      </c>
      <c r="K204" s="253" t="s">
        <v>144</v>
      </c>
      <c r="L204" s="718" t="s">
        <v>1010</v>
      </c>
      <c r="M204" s="253" t="s">
        <v>144</v>
      </c>
      <c r="N204" s="253" t="s">
        <v>144</v>
      </c>
      <c r="O204" s="253" t="s">
        <v>144</v>
      </c>
      <c r="P204" s="253" t="s">
        <v>144</v>
      </c>
      <c r="Q204" s="218" t="s">
        <v>144</v>
      </c>
      <c r="R204" s="218" t="s">
        <v>144</v>
      </c>
      <c r="S204" s="276" t="s">
        <v>147</v>
      </c>
      <c r="T204" s="221" t="s">
        <v>144</v>
      </c>
      <c r="U204" s="221" t="s">
        <v>144</v>
      </c>
      <c r="V204" s="253">
        <v>40</v>
      </c>
      <c r="W204" s="217" t="s">
        <v>144</v>
      </c>
      <c r="X204" s="221" t="s">
        <v>144</v>
      </c>
      <c r="Y204" s="221">
        <v>43</v>
      </c>
      <c r="Z204" s="221" t="s">
        <v>144</v>
      </c>
      <c r="AA204" s="278" t="s">
        <v>144</v>
      </c>
      <c r="AB204" s="217" t="s">
        <v>144</v>
      </c>
      <c r="AC204" s="253" t="s">
        <v>265</v>
      </c>
      <c r="AD204" s="253" t="s">
        <v>144</v>
      </c>
      <c r="AE204" s="253" t="s">
        <v>144</v>
      </c>
      <c r="AF204" s="254" t="s">
        <v>144</v>
      </c>
      <c r="AG204" s="838"/>
      <c r="AH204" s="280"/>
      <c r="AI204" s="281"/>
      <c r="AJ204" s="253"/>
      <c r="AK204" s="254"/>
      <c r="AL204" s="281"/>
      <c r="AM204" s="281"/>
      <c r="AN204" s="253"/>
      <c r="AO204" s="254"/>
      <c r="AP204" s="281"/>
      <c r="AQ204" s="281"/>
      <c r="AR204" s="253"/>
      <c r="AS204" s="254"/>
      <c r="AT204" s="281"/>
      <c r="AU204" s="281"/>
      <c r="AV204" s="253"/>
      <c r="AW204" s="254"/>
      <c r="AX204" s="281"/>
      <c r="AY204" s="281"/>
      <c r="AZ204" s="253"/>
      <c r="BA204" s="254"/>
      <c r="BB204" s="280"/>
      <c r="BC204" s="281"/>
      <c r="BD204" s="253"/>
      <c r="BE204" s="254"/>
      <c r="BF204" s="838"/>
    </row>
    <row r="205" spans="1:58" s="55" customFormat="1" ht="54" hidden="1" customHeight="1" x14ac:dyDescent="0.25">
      <c r="A205" s="275" t="s">
        <v>1468</v>
      </c>
      <c r="B205" s="276">
        <v>16</v>
      </c>
      <c r="C205" s="253" t="s">
        <v>144</v>
      </c>
      <c r="D205" s="217" t="s">
        <v>144</v>
      </c>
      <c r="E205" s="276" t="s">
        <v>1505</v>
      </c>
      <c r="F205" s="277" t="s">
        <v>369</v>
      </c>
      <c r="G205" s="277" t="s">
        <v>370</v>
      </c>
      <c r="H205" s="218" t="s">
        <v>1012</v>
      </c>
      <c r="I205" s="218" t="s">
        <v>1013</v>
      </c>
      <c r="J205" s="253" t="s">
        <v>144</v>
      </c>
      <c r="K205" s="253" t="s">
        <v>144</v>
      </c>
      <c r="L205" s="718" t="s">
        <v>1014</v>
      </c>
      <c r="M205" s="278" t="s">
        <v>144</v>
      </c>
      <c r="N205" s="253" t="s">
        <v>144</v>
      </c>
      <c r="O205" s="253" t="s">
        <v>144</v>
      </c>
      <c r="P205" s="253" t="s">
        <v>144</v>
      </c>
      <c r="Q205" s="218" t="s">
        <v>144</v>
      </c>
      <c r="R205" s="218" t="s">
        <v>144</v>
      </c>
      <c r="S205" s="276" t="s">
        <v>147</v>
      </c>
      <c r="T205" s="221" t="s">
        <v>144</v>
      </c>
      <c r="U205" s="221" t="s">
        <v>144</v>
      </c>
      <c r="V205" s="253">
        <v>40</v>
      </c>
      <c r="W205" s="217" t="s">
        <v>144</v>
      </c>
      <c r="X205" s="221" t="s">
        <v>144</v>
      </c>
      <c r="Y205" s="221">
        <v>43</v>
      </c>
      <c r="Z205" s="221" t="s">
        <v>144</v>
      </c>
      <c r="AA205" s="278" t="s">
        <v>144</v>
      </c>
      <c r="AB205" s="217" t="s">
        <v>144</v>
      </c>
      <c r="AC205" s="253" t="s">
        <v>265</v>
      </c>
      <c r="AD205" s="253" t="s">
        <v>144</v>
      </c>
      <c r="AE205" s="253" t="s">
        <v>144</v>
      </c>
      <c r="AF205" s="254" t="s">
        <v>144</v>
      </c>
      <c r="AG205" s="838"/>
      <c r="AH205" s="280"/>
      <c r="AI205" s="281"/>
      <c r="AJ205" s="253"/>
      <c r="AK205" s="254"/>
      <c r="AL205" s="281"/>
      <c r="AM205" s="281"/>
      <c r="AN205" s="253"/>
      <c r="AO205" s="254"/>
      <c r="AP205" s="281"/>
      <c r="AQ205" s="281"/>
      <c r="AR205" s="253"/>
      <c r="AS205" s="254"/>
      <c r="AT205" s="281"/>
      <c r="AU205" s="281"/>
      <c r="AV205" s="253"/>
      <c r="AW205" s="254"/>
      <c r="AX205" s="281"/>
      <c r="AY205" s="281"/>
      <c r="AZ205" s="253"/>
      <c r="BA205" s="254"/>
      <c r="BB205" s="280"/>
      <c r="BC205" s="281"/>
      <c r="BD205" s="253"/>
      <c r="BE205" s="254"/>
      <c r="BF205" s="838"/>
    </row>
    <row r="206" spans="1:58" s="54" customFormat="1" ht="54" hidden="1" customHeight="1" x14ac:dyDescent="0.25">
      <c r="A206" s="216" t="s">
        <v>1468</v>
      </c>
      <c r="B206" s="217">
        <v>17</v>
      </c>
      <c r="C206" s="253" t="s">
        <v>340</v>
      </c>
      <c r="D206" s="217" t="s">
        <v>341</v>
      </c>
      <c r="E206" s="219" t="s">
        <v>1506</v>
      </c>
      <c r="F206" s="220" t="s">
        <v>373</v>
      </c>
      <c r="G206" s="220" t="s">
        <v>374</v>
      </c>
      <c r="H206" s="220" t="s">
        <v>373</v>
      </c>
      <c r="I206" s="220" t="s">
        <v>375</v>
      </c>
      <c r="J206" s="217" t="s">
        <v>144</v>
      </c>
      <c r="K206" s="217" t="s">
        <v>144</v>
      </c>
      <c r="L206" s="708" t="s">
        <v>1017</v>
      </c>
      <c r="M206" s="217" t="s">
        <v>144</v>
      </c>
      <c r="N206" s="217" t="s">
        <v>144</v>
      </c>
      <c r="O206" s="219" t="s">
        <v>144</v>
      </c>
      <c r="P206" s="219" t="s">
        <v>144</v>
      </c>
      <c r="Q206" s="220" t="s">
        <v>144</v>
      </c>
      <c r="R206" s="220" t="s">
        <v>144</v>
      </c>
      <c r="S206" s="219" t="s">
        <v>147</v>
      </c>
      <c r="T206" s="221" t="s">
        <v>144</v>
      </c>
      <c r="U206" s="221" t="s">
        <v>144</v>
      </c>
      <c r="V206" s="217">
        <v>40</v>
      </c>
      <c r="W206" s="217" t="s">
        <v>144</v>
      </c>
      <c r="X206" s="222" t="s">
        <v>144</v>
      </c>
      <c r="Y206" s="222" t="s">
        <v>144</v>
      </c>
      <c r="Z206" s="222" t="s">
        <v>144</v>
      </c>
      <c r="AA206" s="217" t="s">
        <v>148</v>
      </c>
      <c r="AB206" s="217" t="s">
        <v>144</v>
      </c>
      <c r="AC206" s="217" t="s">
        <v>265</v>
      </c>
      <c r="AD206" s="217" t="s">
        <v>144</v>
      </c>
      <c r="AE206" s="217" t="s">
        <v>144</v>
      </c>
      <c r="AF206" s="223" t="s">
        <v>144</v>
      </c>
      <c r="AG206" s="838"/>
      <c r="AH206" s="224"/>
      <c r="AI206" s="225"/>
      <c r="AJ206" s="219"/>
      <c r="AK206" s="226"/>
      <c r="AL206" s="225"/>
      <c r="AM206" s="225"/>
      <c r="AN206" s="219"/>
      <c r="AO206" s="226"/>
      <c r="AP206" s="225"/>
      <c r="AQ206" s="225"/>
      <c r="AR206" s="219"/>
      <c r="AS206" s="226"/>
      <c r="AT206" s="227"/>
      <c r="AU206" s="227"/>
      <c r="AV206" s="219"/>
      <c r="AW206" s="226"/>
      <c r="AX206" s="225"/>
      <c r="AY206" s="225"/>
      <c r="AZ206" s="219"/>
      <c r="BA206" s="226"/>
      <c r="BB206" s="224"/>
      <c r="BC206" s="225"/>
      <c r="BD206" s="219"/>
      <c r="BE206" s="226"/>
      <c r="BF206" s="838"/>
    </row>
    <row r="207" spans="1:58" s="56" customFormat="1" ht="54" customHeight="1" x14ac:dyDescent="0.25">
      <c r="A207" s="275" t="s">
        <v>1468</v>
      </c>
      <c r="B207" s="276">
        <v>18</v>
      </c>
      <c r="C207" s="253" t="s">
        <v>144</v>
      </c>
      <c r="D207" s="217" t="s">
        <v>144</v>
      </c>
      <c r="E207" s="282" t="s">
        <v>1507</v>
      </c>
      <c r="F207" s="279" t="s">
        <v>251</v>
      </c>
      <c r="G207" s="279" t="s">
        <v>251</v>
      </c>
      <c r="H207" s="220" t="s">
        <v>336</v>
      </c>
      <c r="I207" s="279" t="s">
        <v>337</v>
      </c>
      <c r="J207" s="278" t="s">
        <v>144</v>
      </c>
      <c r="K207" s="278" t="s">
        <v>144</v>
      </c>
      <c r="L207" s="718" t="s">
        <v>1019</v>
      </c>
      <c r="M207" s="253" t="s">
        <v>144</v>
      </c>
      <c r="N207" s="278" t="s">
        <v>144</v>
      </c>
      <c r="O207" s="253" t="s">
        <v>144</v>
      </c>
      <c r="P207" s="253" t="s">
        <v>144</v>
      </c>
      <c r="Q207" s="220" t="s">
        <v>338</v>
      </c>
      <c r="R207" s="220" t="s">
        <v>339</v>
      </c>
      <c r="S207" s="282" t="s">
        <v>147</v>
      </c>
      <c r="T207" s="229" t="s">
        <v>144</v>
      </c>
      <c r="U207" s="229" t="s">
        <v>144</v>
      </c>
      <c r="V207" s="278">
        <v>11</v>
      </c>
      <c r="W207" s="217" t="s">
        <v>144</v>
      </c>
      <c r="X207" s="221" t="s">
        <v>144</v>
      </c>
      <c r="Y207" s="229" t="s">
        <v>144</v>
      </c>
      <c r="Z207" s="229" t="s">
        <v>144</v>
      </c>
      <c r="AA207" s="253" t="s">
        <v>144</v>
      </c>
      <c r="AB207" s="217" t="s">
        <v>144</v>
      </c>
      <c r="AC207" s="253" t="s">
        <v>265</v>
      </c>
      <c r="AD207" s="278" t="s">
        <v>144</v>
      </c>
      <c r="AE207" s="278" t="s">
        <v>144</v>
      </c>
      <c r="AF207" s="283" t="s">
        <v>144</v>
      </c>
      <c r="AG207" s="838"/>
      <c r="AH207" s="280"/>
      <c r="AI207" s="281"/>
      <c r="AJ207" s="253"/>
      <c r="AK207" s="254"/>
      <c r="AL207" s="281"/>
      <c r="AM207" s="281"/>
      <c r="AN207" s="253"/>
      <c r="AO207" s="254"/>
      <c r="AP207" s="281"/>
      <c r="AQ207" s="281"/>
      <c r="AR207" s="253"/>
      <c r="AS207" s="254"/>
      <c r="AT207" s="281"/>
      <c r="AU207" s="281"/>
      <c r="AV207" s="253"/>
      <c r="AW207" s="254"/>
      <c r="AX207" s="281"/>
      <c r="AY207" s="281"/>
      <c r="AZ207" s="253"/>
      <c r="BA207" s="254"/>
      <c r="BB207" s="280"/>
      <c r="BC207" s="281"/>
      <c r="BD207" s="253"/>
      <c r="BE207" s="254"/>
      <c r="BF207" s="838"/>
    </row>
    <row r="208" spans="1:58" s="56" customFormat="1" ht="54" customHeight="1" x14ac:dyDescent="0.25">
      <c r="A208" s="275" t="s">
        <v>1468</v>
      </c>
      <c r="B208" s="276">
        <v>19</v>
      </c>
      <c r="C208" s="253" t="s">
        <v>144</v>
      </c>
      <c r="D208" s="217" t="s">
        <v>144</v>
      </c>
      <c r="E208" s="282" t="s">
        <v>1508</v>
      </c>
      <c r="F208" s="279" t="s">
        <v>251</v>
      </c>
      <c r="G208" s="279" t="s">
        <v>251</v>
      </c>
      <c r="H208" s="220" t="s">
        <v>336</v>
      </c>
      <c r="I208" s="279" t="s">
        <v>337</v>
      </c>
      <c r="J208" s="278" t="s">
        <v>144</v>
      </c>
      <c r="K208" s="278" t="s">
        <v>144</v>
      </c>
      <c r="L208" s="718" t="s">
        <v>144</v>
      </c>
      <c r="M208" s="253" t="s">
        <v>144</v>
      </c>
      <c r="N208" s="278" t="s">
        <v>144</v>
      </c>
      <c r="O208" s="253" t="s">
        <v>144</v>
      </c>
      <c r="P208" s="253" t="s">
        <v>144</v>
      </c>
      <c r="Q208" s="220" t="s">
        <v>338</v>
      </c>
      <c r="R208" s="220" t="s">
        <v>339</v>
      </c>
      <c r="S208" s="282" t="s">
        <v>147</v>
      </c>
      <c r="T208" s="229" t="s">
        <v>144</v>
      </c>
      <c r="U208" s="229" t="s">
        <v>144</v>
      </c>
      <c r="V208" s="278">
        <v>7</v>
      </c>
      <c r="W208" s="217" t="s">
        <v>144</v>
      </c>
      <c r="X208" s="221" t="s">
        <v>144</v>
      </c>
      <c r="Y208" s="229" t="s">
        <v>144</v>
      </c>
      <c r="Z208" s="229" t="s">
        <v>144</v>
      </c>
      <c r="AA208" s="253" t="s">
        <v>144</v>
      </c>
      <c r="AB208" s="217" t="s">
        <v>144</v>
      </c>
      <c r="AC208" s="253" t="s">
        <v>265</v>
      </c>
      <c r="AD208" s="278" t="s">
        <v>144</v>
      </c>
      <c r="AE208" s="278" t="s">
        <v>144</v>
      </c>
      <c r="AF208" s="283" t="s">
        <v>144</v>
      </c>
      <c r="AG208" s="838"/>
      <c r="AH208" s="280"/>
      <c r="AI208" s="281"/>
      <c r="AJ208" s="253"/>
      <c r="AK208" s="254"/>
      <c r="AL208" s="281"/>
      <c r="AM208" s="281"/>
      <c r="AN208" s="253"/>
      <c r="AO208" s="254"/>
      <c r="AP208" s="281"/>
      <c r="AQ208" s="281"/>
      <c r="AR208" s="253"/>
      <c r="AS208" s="254"/>
      <c r="AT208" s="281"/>
      <c r="AU208" s="281"/>
      <c r="AV208" s="253"/>
      <c r="AW208" s="254"/>
      <c r="AX208" s="281"/>
      <c r="AY208" s="281"/>
      <c r="AZ208" s="253"/>
      <c r="BA208" s="254"/>
      <c r="BB208" s="280"/>
      <c r="BC208" s="281"/>
      <c r="BD208" s="253"/>
      <c r="BE208" s="254"/>
      <c r="BF208" s="838"/>
    </row>
    <row r="209" spans="1:58" s="56" customFormat="1" ht="54" customHeight="1" x14ac:dyDescent="0.25">
      <c r="A209" s="275" t="s">
        <v>1468</v>
      </c>
      <c r="B209" s="276">
        <v>20</v>
      </c>
      <c r="C209" s="253" t="s">
        <v>144</v>
      </c>
      <c r="D209" s="217" t="s">
        <v>144</v>
      </c>
      <c r="E209" s="282" t="s">
        <v>1509</v>
      </c>
      <c r="F209" s="279" t="s">
        <v>251</v>
      </c>
      <c r="G209" s="279" t="s">
        <v>251</v>
      </c>
      <c r="H209" s="220" t="s">
        <v>336</v>
      </c>
      <c r="I209" s="279" t="s">
        <v>337</v>
      </c>
      <c r="J209" s="278" t="s">
        <v>144</v>
      </c>
      <c r="K209" s="278" t="s">
        <v>144</v>
      </c>
      <c r="L209" s="718" t="s">
        <v>144</v>
      </c>
      <c r="M209" s="253" t="s">
        <v>144</v>
      </c>
      <c r="N209" s="278" t="s">
        <v>144</v>
      </c>
      <c r="O209" s="253" t="s">
        <v>144</v>
      </c>
      <c r="P209" s="253" t="s">
        <v>144</v>
      </c>
      <c r="Q209" s="220" t="s">
        <v>338</v>
      </c>
      <c r="R209" s="220" t="s">
        <v>339</v>
      </c>
      <c r="S209" s="282" t="s">
        <v>147</v>
      </c>
      <c r="T209" s="229" t="s">
        <v>144</v>
      </c>
      <c r="U209" s="229" t="s">
        <v>144</v>
      </c>
      <c r="V209" s="278">
        <v>2</v>
      </c>
      <c r="W209" s="217" t="s">
        <v>144</v>
      </c>
      <c r="X209" s="221" t="s">
        <v>144</v>
      </c>
      <c r="Y209" s="229" t="s">
        <v>144</v>
      </c>
      <c r="Z209" s="229" t="s">
        <v>144</v>
      </c>
      <c r="AA209" s="253" t="s">
        <v>144</v>
      </c>
      <c r="AB209" s="217" t="s">
        <v>144</v>
      </c>
      <c r="AC209" s="253" t="s">
        <v>265</v>
      </c>
      <c r="AD209" s="278" t="s">
        <v>144</v>
      </c>
      <c r="AE209" s="278" t="s">
        <v>144</v>
      </c>
      <c r="AF209" s="283" t="s">
        <v>144</v>
      </c>
      <c r="AG209" s="838"/>
      <c r="AH209" s="280"/>
      <c r="AI209" s="281"/>
      <c r="AJ209" s="253"/>
      <c r="AK209" s="254"/>
      <c r="AL209" s="281"/>
      <c r="AM209" s="281"/>
      <c r="AN209" s="253"/>
      <c r="AO209" s="254"/>
      <c r="AP209" s="281"/>
      <c r="AQ209" s="281"/>
      <c r="AR209" s="253"/>
      <c r="AS209" s="254"/>
      <c r="AT209" s="281"/>
      <c r="AU209" s="281"/>
      <c r="AV209" s="253"/>
      <c r="AW209" s="254"/>
      <c r="AX209" s="281"/>
      <c r="AY209" s="281"/>
      <c r="AZ209" s="253"/>
      <c r="BA209" s="254"/>
      <c r="BB209" s="280"/>
      <c r="BC209" s="281"/>
      <c r="BD209" s="253"/>
      <c r="BE209" s="254"/>
      <c r="BF209" s="838"/>
    </row>
    <row r="210" spans="1:58" s="87" customFormat="1" ht="54" hidden="1" customHeight="1" x14ac:dyDescent="0.25">
      <c r="A210" s="267" t="s">
        <v>1468</v>
      </c>
      <c r="B210" s="268">
        <v>21</v>
      </c>
      <c r="C210" s="240" t="s">
        <v>1022</v>
      </c>
      <c r="D210" s="211" t="s">
        <v>1023</v>
      </c>
      <c r="E210" s="268" t="s">
        <v>1510</v>
      </c>
      <c r="F210" s="861" t="s">
        <v>1511</v>
      </c>
      <c r="G210" s="269" t="s">
        <v>1512</v>
      </c>
      <c r="H210" s="845" t="s">
        <v>1513</v>
      </c>
      <c r="I210" s="208" t="s">
        <v>1514</v>
      </c>
      <c r="J210" s="240" t="s">
        <v>140</v>
      </c>
      <c r="K210" s="270" t="s">
        <v>140</v>
      </c>
      <c r="L210" s="862" t="s">
        <v>1515</v>
      </c>
      <c r="M210" s="206" t="s">
        <v>142</v>
      </c>
      <c r="N210" s="211" t="s">
        <v>143</v>
      </c>
      <c r="O210" s="240" t="s">
        <v>1516</v>
      </c>
      <c r="P210" s="240" t="s">
        <v>1517</v>
      </c>
      <c r="Q210" s="845" t="s">
        <v>1518</v>
      </c>
      <c r="R210" s="208" t="s">
        <v>1519</v>
      </c>
      <c r="S210" s="864" t="s">
        <v>147</v>
      </c>
      <c r="T210" s="212" t="s">
        <v>144</v>
      </c>
      <c r="U210" s="213" t="s">
        <v>144</v>
      </c>
      <c r="V210" s="847">
        <v>6</v>
      </c>
      <c r="W210" s="415" t="s">
        <v>144</v>
      </c>
      <c r="X210" s="212">
        <v>40</v>
      </c>
      <c r="Y210" s="212" t="s">
        <v>144</v>
      </c>
      <c r="Z210" s="212" t="s">
        <v>144</v>
      </c>
      <c r="AA210" s="437" t="s">
        <v>1520</v>
      </c>
      <c r="AB210" s="206" t="s">
        <v>140</v>
      </c>
      <c r="AC210" s="847" t="s">
        <v>265</v>
      </c>
      <c r="AD210" s="847" t="s">
        <v>144</v>
      </c>
      <c r="AE210" s="847" t="s">
        <v>144</v>
      </c>
      <c r="AF210" s="848" t="s">
        <v>144</v>
      </c>
      <c r="AG210" s="838"/>
      <c r="AH210" s="866" t="s">
        <v>266</v>
      </c>
      <c r="AI210" s="273" t="s">
        <v>267</v>
      </c>
      <c r="AJ210" s="847">
        <v>7</v>
      </c>
      <c r="AK210" s="848" t="s">
        <v>1046</v>
      </c>
      <c r="AL210" s="185" t="s">
        <v>294</v>
      </c>
      <c r="AM210" s="186" t="s">
        <v>295</v>
      </c>
      <c r="AN210" s="847">
        <v>7</v>
      </c>
      <c r="AO210" s="187" t="s">
        <v>966</v>
      </c>
      <c r="AP210" s="867" t="s">
        <v>1521</v>
      </c>
      <c r="AQ210" s="273" t="s">
        <v>1522</v>
      </c>
      <c r="AR210" s="847">
        <v>7</v>
      </c>
      <c r="AS210" s="848" t="s">
        <v>1523</v>
      </c>
      <c r="AT210" s="303" t="s">
        <v>1524</v>
      </c>
      <c r="AU210" s="304" t="s">
        <v>1525</v>
      </c>
      <c r="AV210" s="305">
        <v>7</v>
      </c>
      <c r="AW210" s="306" t="s">
        <v>1526</v>
      </c>
      <c r="AX210" s="867"/>
      <c r="AY210" s="273"/>
      <c r="AZ210" s="847"/>
      <c r="BA210" s="848"/>
      <c r="BB210" s="866"/>
      <c r="BC210" s="273"/>
      <c r="BD210" s="847"/>
      <c r="BE210" s="848"/>
      <c r="BF210" s="838"/>
    </row>
    <row r="211" spans="1:58" s="87" customFormat="1" ht="54" hidden="1" customHeight="1" x14ac:dyDescent="0.25">
      <c r="A211" s="267" t="s">
        <v>1468</v>
      </c>
      <c r="B211" s="268">
        <v>22</v>
      </c>
      <c r="C211" s="240" t="s">
        <v>1022</v>
      </c>
      <c r="D211" s="211" t="s">
        <v>1023</v>
      </c>
      <c r="E211" s="268" t="s">
        <v>1527</v>
      </c>
      <c r="F211" s="861" t="s">
        <v>1528</v>
      </c>
      <c r="G211" s="269" t="s">
        <v>1529</v>
      </c>
      <c r="H211" s="861" t="s">
        <v>1528</v>
      </c>
      <c r="I211" s="269" t="s">
        <v>1529</v>
      </c>
      <c r="J211" s="240" t="s">
        <v>140</v>
      </c>
      <c r="K211" s="270" t="s">
        <v>140</v>
      </c>
      <c r="L211" s="862" t="s">
        <v>1530</v>
      </c>
      <c r="M211" s="206" t="s">
        <v>193</v>
      </c>
      <c r="N211" s="211" t="s">
        <v>194</v>
      </c>
      <c r="O211" s="240" t="s">
        <v>144</v>
      </c>
      <c r="P211" s="240" t="s">
        <v>144</v>
      </c>
      <c r="Q211" s="845" t="s">
        <v>144</v>
      </c>
      <c r="R211" s="208" t="s">
        <v>144</v>
      </c>
      <c r="S211" s="864" t="s">
        <v>746</v>
      </c>
      <c r="T211" s="212" t="s">
        <v>1104</v>
      </c>
      <c r="U211" s="213" t="s">
        <v>1105</v>
      </c>
      <c r="V211" s="847">
        <v>19</v>
      </c>
      <c r="W211" s="415" t="s">
        <v>144</v>
      </c>
      <c r="X211" s="212">
        <v>40</v>
      </c>
      <c r="Y211" s="212" t="s">
        <v>144</v>
      </c>
      <c r="Z211" s="241" t="s">
        <v>144</v>
      </c>
      <c r="AA211" s="437" t="s">
        <v>1118</v>
      </c>
      <c r="AB211" s="206" t="s">
        <v>140</v>
      </c>
      <c r="AC211" s="847" t="s">
        <v>265</v>
      </c>
      <c r="AD211" s="847" t="s">
        <v>144</v>
      </c>
      <c r="AE211" s="847" t="s">
        <v>144</v>
      </c>
      <c r="AF211" s="848" t="s">
        <v>144</v>
      </c>
      <c r="AG211" s="838"/>
      <c r="AH211" s="866"/>
      <c r="AI211" s="273"/>
      <c r="AJ211" s="847"/>
      <c r="AK211" s="848"/>
      <c r="AL211" s="867"/>
      <c r="AM211" s="273"/>
      <c r="AN211" s="847"/>
      <c r="AO211" s="848"/>
      <c r="AP211" s="284" t="s">
        <v>1107</v>
      </c>
      <c r="AQ211" s="273" t="s">
        <v>1108</v>
      </c>
      <c r="AR211" s="285">
        <v>7</v>
      </c>
      <c r="AS211" s="286" t="s">
        <v>1109</v>
      </c>
      <c r="AT211" s="867"/>
      <c r="AU211" s="273"/>
      <c r="AV211" s="847"/>
      <c r="AW211" s="848"/>
      <c r="AX211" s="867" t="s">
        <v>1531</v>
      </c>
      <c r="AY211" s="273" t="s">
        <v>1532</v>
      </c>
      <c r="AZ211" s="847">
        <v>6</v>
      </c>
      <c r="BA211" s="848" t="s">
        <v>1533</v>
      </c>
      <c r="BB211" s="866"/>
      <c r="BC211" s="273"/>
      <c r="BD211" s="847"/>
      <c r="BE211" s="848"/>
      <c r="BF211" s="838"/>
    </row>
    <row r="212" spans="1:58" s="87" customFormat="1" ht="54" hidden="1" customHeight="1" x14ac:dyDescent="0.25">
      <c r="A212" s="267" t="s">
        <v>1468</v>
      </c>
      <c r="B212" s="268">
        <v>23</v>
      </c>
      <c r="C212" s="240" t="s">
        <v>1022</v>
      </c>
      <c r="D212" s="211" t="s">
        <v>1023</v>
      </c>
      <c r="E212" s="268" t="s">
        <v>1534</v>
      </c>
      <c r="F212" s="861" t="s">
        <v>1535</v>
      </c>
      <c r="G212" s="269" t="s">
        <v>1536</v>
      </c>
      <c r="H212" s="861" t="s">
        <v>1535</v>
      </c>
      <c r="I212" s="269" t="s">
        <v>1536</v>
      </c>
      <c r="J212" s="240" t="s">
        <v>140</v>
      </c>
      <c r="K212" s="270" t="s">
        <v>140</v>
      </c>
      <c r="L212" s="862" t="s">
        <v>1537</v>
      </c>
      <c r="M212" s="206" t="s">
        <v>193</v>
      </c>
      <c r="N212" s="211" t="s">
        <v>194</v>
      </c>
      <c r="O212" s="240" t="s">
        <v>144</v>
      </c>
      <c r="P212" s="240" t="s">
        <v>144</v>
      </c>
      <c r="Q212" s="845" t="s">
        <v>144</v>
      </c>
      <c r="R212" s="208" t="s">
        <v>144</v>
      </c>
      <c r="S212" s="864" t="s">
        <v>746</v>
      </c>
      <c r="T212" s="212" t="s">
        <v>1104</v>
      </c>
      <c r="U212" s="213" t="s">
        <v>1105</v>
      </c>
      <c r="V212" s="847">
        <v>19</v>
      </c>
      <c r="W212" s="415" t="s">
        <v>144</v>
      </c>
      <c r="X212" s="212">
        <v>40</v>
      </c>
      <c r="Y212" s="212" t="s">
        <v>144</v>
      </c>
      <c r="Z212" s="241" t="s">
        <v>144</v>
      </c>
      <c r="AA212" s="437" t="s">
        <v>1118</v>
      </c>
      <c r="AB212" s="206" t="s">
        <v>140</v>
      </c>
      <c r="AC212" s="847" t="s">
        <v>265</v>
      </c>
      <c r="AD212" s="847" t="s">
        <v>144</v>
      </c>
      <c r="AE212" s="847" t="s">
        <v>144</v>
      </c>
      <c r="AF212" s="848" t="s">
        <v>144</v>
      </c>
      <c r="AG212" s="838"/>
      <c r="AH212" s="866"/>
      <c r="AI212" s="273"/>
      <c r="AJ212" s="847"/>
      <c r="AK212" s="848"/>
      <c r="AL212" s="867"/>
      <c r="AM212" s="273"/>
      <c r="AN212" s="847"/>
      <c r="AO212" s="848"/>
      <c r="AP212" s="284" t="s">
        <v>1107</v>
      </c>
      <c r="AQ212" s="273" t="s">
        <v>1108</v>
      </c>
      <c r="AR212" s="285">
        <v>7</v>
      </c>
      <c r="AS212" s="286" t="s">
        <v>1109</v>
      </c>
      <c r="AT212" s="867"/>
      <c r="AU212" s="273"/>
      <c r="AV212" s="847"/>
      <c r="AW212" s="848"/>
      <c r="AX212" s="867" t="s">
        <v>1538</v>
      </c>
      <c r="AY212" s="273" t="s">
        <v>1539</v>
      </c>
      <c r="AZ212" s="847">
        <v>6</v>
      </c>
      <c r="BA212" s="848" t="s">
        <v>1540</v>
      </c>
      <c r="BB212" s="866"/>
      <c r="BC212" s="273"/>
      <c r="BD212" s="847"/>
      <c r="BE212" s="848"/>
      <c r="BF212" s="838"/>
    </row>
    <row r="213" spans="1:58" s="87" customFormat="1" ht="54" hidden="1" customHeight="1" x14ac:dyDescent="0.25">
      <c r="A213" s="267" t="s">
        <v>1468</v>
      </c>
      <c r="B213" s="268">
        <v>24</v>
      </c>
      <c r="C213" s="240" t="s">
        <v>1022</v>
      </c>
      <c r="D213" s="211" t="s">
        <v>1023</v>
      </c>
      <c r="E213" s="268" t="s">
        <v>1541</v>
      </c>
      <c r="F213" s="861" t="s">
        <v>1542</v>
      </c>
      <c r="G213" s="269" t="s">
        <v>1543</v>
      </c>
      <c r="H213" s="861" t="s">
        <v>1542</v>
      </c>
      <c r="I213" s="269" t="s">
        <v>1543</v>
      </c>
      <c r="J213" s="240" t="s">
        <v>140</v>
      </c>
      <c r="K213" s="270" t="s">
        <v>140</v>
      </c>
      <c r="L213" s="862" t="s">
        <v>1544</v>
      </c>
      <c r="M213" s="206" t="s">
        <v>142</v>
      </c>
      <c r="N213" s="211" t="s">
        <v>143</v>
      </c>
      <c r="O213" s="240" t="s">
        <v>144</v>
      </c>
      <c r="P213" s="240" t="s">
        <v>144</v>
      </c>
      <c r="Q213" s="845" t="s">
        <v>144</v>
      </c>
      <c r="R213" s="208" t="s">
        <v>144</v>
      </c>
      <c r="S213" s="864" t="s">
        <v>746</v>
      </c>
      <c r="T213" s="212" t="s">
        <v>1104</v>
      </c>
      <c r="U213" s="213" t="s">
        <v>1105</v>
      </c>
      <c r="V213" s="847">
        <v>19</v>
      </c>
      <c r="W213" s="415" t="s">
        <v>144</v>
      </c>
      <c r="X213" s="212">
        <v>40</v>
      </c>
      <c r="Y213" s="212" t="s">
        <v>144</v>
      </c>
      <c r="Z213" s="241" t="s">
        <v>144</v>
      </c>
      <c r="AA213" s="437" t="s">
        <v>1545</v>
      </c>
      <c r="AB213" s="206" t="s">
        <v>140</v>
      </c>
      <c r="AC213" s="847" t="s">
        <v>265</v>
      </c>
      <c r="AD213" s="847" t="s">
        <v>144</v>
      </c>
      <c r="AE213" s="847" t="s">
        <v>144</v>
      </c>
      <c r="AF213" s="848" t="s">
        <v>144</v>
      </c>
      <c r="AG213" s="838"/>
      <c r="AH213" s="866" t="s">
        <v>266</v>
      </c>
      <c r="AI213" s="273" t="s">
        <v>267</v>
      </c>
      <c r="AJ213" s="847">
        <v>7</v>
      </c>
      <c r="AK213" s="848" t="s">
        <v>1046</v>
      </c>
      <c r="AL213" s="867"/>
      <c r="AM213" s="273"/>
      <c r="AN213" s="847"/>
      <c r="AO213" s="848"/>
      <c r="AP213" s="284" t="s">
        <v>1107</v>
      </c>
      <c r="AQ213" s="273" t="s">
        <v>1108</v>
      </c>
      <c r="AR213" s="285">
        <v>7</v>
      </c>
      <c r="AS213" s="286" t="s">
        <v>1109</v>
      </c>
      <c r="AT213" s="867"/>
      <c r="AU213" s="273"/>
      <c r="AV213" s="847"/>
      <c r="AW213" s="848"/>
      <c r="AX213" s="867"/>
      <c r="AY213" s="273"/>
      <c r="AZ213" s="847"/>
      <c r="BA213" s="848"/>
      <c r="BB213" s="866"/>
      <c r="BC213" s="273"/>
      <c r="BD213" s="847"/>
      <c r="BE213" s="848"/>
      <c r="BF213" s="838"/>
    </row>
    <row r="214" spans="1:58" s="87" customFormat="1" ht="54" hidden="1" customHeight="1" x14ac:dyDescent="0.25">
      <c r="A214" s="267" t="s">
        <v>1468</v>
      </c>
      <c r="B214" s="268">
        <v>25</v>
      </c>
      <c r="C214" s="240" t="s">
        <v>1022</v>
      </c>
      <c r="D214" s="211" t="s">
        <v>1023</v>
      </c>
      <c r="E214" s="268" t="s">
        <v>1546</v>
      </c>
      <c r="F214" s="861" t="s">
        <v>1547</v>
      </c>
      <c r="G214" s="269" t="s">
        <v>1548</v>
      </c>
      <c r="H214" s="845" t="s">
        <v>1547</v>
      </c>
      <c r="I214" s="208" t="s">
        <v>1548</v>
      </c>
      <c r="J214" s="240" t="s">
        <v>140</v>
      </c>
      <c r="K214" s="270" t="s">
        <v>140</v>
      </c>
      <c r="L214" s="862" t="s">
        <v>1549</v>
      </c>
      <c r="M214" s="206" t="s">
        <v>142</v>
      </c>
      <c r="N214" s="211" t="s">
        <v>143</v>
      </c>
      <c r="O214" s="240" t="s">
        <v>814</v>
      </c>
      <c r="P214" s="240" t="s">
        <v>815</v>
      </c>
      <c r="Q214" s="845" t="s">
        <v>144</v>
      </c>
      <c r="R214" s="208" t="s">
        <v>144</v>
      </c>
      <c r="S214" s="864" t="s">
        <v>147</v>
      </c>
      <c r="T214" s="212" t="s">
        <v>144</v>
      </c>
      <c r="U214" s="213" t="s">
        <v>144</v>
      </c>
      <c r="V214" s="847">
        <v>3</v>
      </c>
      <c r="W214" s="415" t="s">
        <v>144</v>
      </c>
      <c r="X214" s="212">
        <v>40</v>
      </c>
      <c r="Y214" s="212" t="s">
        <v>144</v>
      </c>
      <c r="Z214" s="241" t="s">
        <v>144</v>
      </c>
      <c r="AA214" s="437" t="s">
        <v>1550</v>
      </c>
      <c r="AB214" s="206" t="s">
        <v>140</v>
      </c>
      <c r="AC214" s="847" t="s">
        <v>265</v>
      </c>
      <c r="AD214" s="847" t="s">
        <v>144</v>
      </c>
      <c r="AE214" s="847" t="s">
        <v>144</v>
      </c>
      <c r="AF214" s="848" t="s">
        <v>144</v>
      </c>
      <c r="AG214" s="838"/>
      <c r="AH214" s="866" t="s">
        <v>266</v>
      </c>
      <c r="AI214" s="273" t="s">
        <v>267</v>
      </c>
      <c r="AJ214" s="847">
        <v>7</v>
      </c>
      <c r="AK214" s="848" t="s">
        <v>1046</v>
      </c>
      <c r="AL214" s="185" t="s">
        <v>294</v>
      </c>
      <c r="AM214" s="186" t="s">
        <v>295</v>
      </c>
      <c r="AN214" s="847">
        <v>7</v>
      </c>
      <c r="AO214" s="187" t="s">
        <v>966</v>
      </c>
      <c r="AP214" s="867"/>
      <c r="AQ214" s="273"/>
      <c r="AR214" s="847"/>
      <c r="AS214" s="848"/>
      <c r="AT214" s="867"/>
      <c r="AU214" s="273"/>
      <c r="AV214" s="847"/>
      <c r="AW214" s="848"/>
      <c r="AX214" s="867"/>
      <c r="AY214" s="273"/>
      <c r="AZ214" s="847"/>
      <c r="BA214" s="848"/>
      <c r="BB214" s="866"/>
      <c r="BC214" s="273"/>
      <c r="BD214" s="847"/>
      <c r="BE214" s="848"/>
      <c r="BF214" s="838"/>
    </row>
    <row r="215" spans="1:58" s="87" customFormat="1" ht="54" hidden="1" customHeight="1" x14ac:dyDescent="0.25">
      <c r="A215" s="267" t="s">
        <v>1468</v>
      </c>
      <c r="B215" s="268">
        <v>26</v>
      </c>
      <c r="C215" s="240" t="s">
        <v>1022</v>
      </c>
      <c r="D215" s="211" t="s">
        <v>1023</v>
      </c>
      <c r="E215" s="268" t="s">
        <v>1551</v>
      </c>
      <c r="F215" s="861" t="s">
        <v>1552</v>
      </c>
      <c r="G215" s="269" t="s">
        <v>1553</v>
      </c>
      <c r="H215" s="845" t="s">
        <v>1554</v>
      </c>
      <c r="I215" s="208" t="s">
        <v>1555</v>
      </c>
      <c r="J215" s="240" t="s">
        <v>140</v>
      </c>
      <c r="K215" s="270" t="s">
        <v>140</v>
      </c>
      <c r="L215" s="862" t="s">
        <v>1556</v>
      </c>
      <c r="M215" s="206" t="s">
        <v>193</v>
      </c>
      <c r="N215" s="211" t="s">
        <v>194</v>
      </c>
      <c r="O215" s="240" t="s">
        <v>144</v>
      </c>
      <c r="P215" s="240" t="s">
        <v>144</v>
      </c>
      <c r="Q215" s="845" t="s">
        <v>144</v>
      </c>
      <c r="R215" s="208" t="s">
        <v>144</v>
      </c>
      <c r="S215" s="864" t="s">
        <v>147</v>
      </c>
      <c r="T215" s="212" t="s">
        <v>144</v>
      </c>
      <c r="U215" s="213" t="s">
        <v>144</v>
      </c>
      <c r="V215" s="847">
        <v>20</v>
      </c>
      <c r="W215" s="415" t="s">
        <v>144</v>
      </c>
      <c r="X215" s="212">
        <v>40</v>
      </c>
      <c r="Y215" s="212" t="s">
        <v>144</v>
      </c>
      <c r="Z215" s="212" t="s">
        <v>144</v>
      </c>
      <c r="AA215" s="240" t="s">
        <v>148</v>
      </c>
      <c r="AB215" s="206" t="s">
        <v>140</v>
      </c>
      <c r="AC215" s="847" t="s">
        <v>265</v>
      </c>
      <c r="AD215" s="847" t="s">
        <v>144</v>
      </c>
      <c r="AE215" s="847" t="s">
        <v>144</v>
      </c>
      <c r="AF215" s="848" t="s">
        <v>144</v>
      </c>
      <c r="AG215" s="838"/>
      <c r="AH215" s="866"/>
      <c r="AI215" s="273"/>
      <c r="AJ215" s="847"/>
      <c r="AK215" s="848"/>
      <c r="AL215" s="867"/>
      <c r="AM215" s="273"/>
      <c r="AN215" s="847"/>
      <c r="AO215" s="848"/>
      <c r="AP215" s="867"/>
      <c r="AQ215" s="273"/>
      <c r="AR215" s="847"/>
      <c r="AS215" s="848"/>
      <c r="AT215" s="867"/>
      <c r="AU215" s="273"/>
      <c r="AV215" s="847"/>
      <c r="AW215" s="848"/>
      <c r="AX215" s="867" t="s">
        <v>1557</v>
      </c>
      <c r="AY215" s="273" t="s">
        <v>1558</v>
      </c>
      <c r="AZ215" s="847">
        <v>6</v>
      </c>
      <c r="BA215" s="848" t="s">
        <v>1049</v>
      </c>
      <c r="BB215" s="866"/>
      <c r="BC215" s="273"/>
      <c r="BD215" s="847"/>
      <c r="BE215" s="848"/>
      <c r="BF215" s="838"/>
    </row>
    <row r="216" spans="1:58" s="87" customFormat="1" ht="54" hidden="1" customHeight="1" x14ac:dyDescent="0.25">
      <c r="A216" s="267" t="s">
        <v>1468</v>
      </c>
      <c r="B216" s="268">
        <v>27</v>
      </c>
      <c r="C216" s="240" t="s">
        <v>1022</v>
      </c>
      <c r="D216" s="211" t="s">
        <v>1023</v>
      </c>
      <c r="E216" s="268" t="s">
        <v>1559</v>
      </c>
      <c r="F216" s="861" t="s">
        <v>1560</v>
      </c>
      <c r="G216" s="269" t="s">
        <v>1561</v>
      </c>
      <c r="H216" s="845" t="s">
        <v>1562</v>
      </c>
      <c r="I216" s="208" t="s">
        <v>1563</v>
      </c>
      <c r="J216" s="240" t="s">
        <v>140</v>
      </c>
      <c r="K216" s="270" t="s">
        <v>140</v>
      </c>
      <c r="L216" s="862" t="s">
        <v>1564</v>
      </c>
      <c r="M216" s="206" t="s">
        <v>193</v>
      </c>
      <c r="N216" s="211" t="s">
        <v>194</v>
      </c>
      <c r="O216" s="240" t="s">
        <v>144</v>
      </c>
      <c r="P216" s="240" t="s">
        <v>144</v>
      </c>
      <c r="Q216" s="845" t="s">
        <v>1397</v>
      </c>
      <c r="R216" s="208" t="s">
        <v>1398</v>
      </c>
      <c r="S216" s="864" t="s">
        <v>147</v>
      </c>
      <c r="T216" s="212" t="s">
        <v>144</v>
      </c>
      <c r="U216" s="213" t="s">
        <v>144</v>
      </c>
      <c r="V216" s="847">
        <v>10</v>
      </c>
      <c r="W216" s="415" t="s">
        <v>144</v>
      </c>
      <c r="X216" s="212">
        <v>40</v>
      </c>
      <c r="Y216" s="212" t="s">
        <v>144</v>
      </c>
      <c r="Z216" s="451" t="s">
        <v>29</v>
      </c>
      <c r="AA216" s="240" t="s">
        <v>148</v>
      </c>
      <c r="AB216" s="206" t="s">
        <v>140</v>
      </c>
      <c r="AC216" s="847" t="s">
        <v>265</v>
      </c>
      <c r="AD216" s="847" t="s">
        <v>144</v>
      </c>
      <c r="AE216" s="847" t="s">
        <v>144</v>
      </c>
      <c r="AF216" s="848" t="s">
        <v>144</v>
      </c>
      <c r="AG216" s="838"/>
      <c r="AH216" s="866"/>
      <c r="AI216" s="273"/>
      <c r="AJ216" s="847"/>
      <c r="AK216" s="848"/>
      <c r="AL216" s="867"/>
      <c r="AM216" s="273"/>
      <c r="AN216" s="847"/>
      <c r="AO216" s="848"/>
      <c r="AP216" s="867"/>
      <c r="AQ216" s="273"/>
      <c r="AR216" s="847"/>
      <c r="AS216" s="848"/>
      <c r="AT216" s="867"/>
      <c r="AU216" s="273"/>
      <c r="AV216" s="847"/>
      <c r="AW216" s="848"/>
      <c r="AX216" s="869" t="s">
        <v>1565</v>
      </c>
      <c r="AY216" s="410" t="s">
        <v>1566</v>
      </c>
      <c r="AZ216" s="870" t="s">
        <v>1061</v>
      </c>
      <c r="BA216" s="871" t="s">
        <v>1062</v>
      </c>
      <c r="BB216" s="866"/>
      <c r="BC216" s="273"/>
      <c r="BD216" s="847"/>
      <c r="BE216" s="848"/>
      <c r="BF216" s="838"/>
    </row>
    <row r="217" spans="1:58" s="87" customFormat="1" ht="54" hidden="1" customHeight="1" x14ac:dyDescent="0.25">
      <c r="A217" s="267" t="s">
        <v>1468</v>
      </c>
      <c r="B217" s="268">
        <v>28</v>
      </c>
      <c r="C217" s="240" t="s">
        <v>684</v>
      </c>
      <c r="D217" s="211" t="s">
        <v>685</v>
      </c>
      <c r="E217" s="268" t="s">
        <v>1567</v>
      </c>
      <c r="F217" s="861" t="s">
        <v>1568</v>
      </c>
      <c r="G217" s="269" t="s">
        <v>1569</v>
      </c>
      <c r="H217" s="845" t="s">
        <v>1570</v>
      </c>
      <c r="I217" s="208" t="s">
        <v>1571</v>
      </c>
      <c r="J217" s="240" t="s">
        <v>140</v>
      </c>
      <c r="K217" s="270" t="s">
        <v>140</v>
      </c>
      <c r="L217" s="862" t="s">
        <v>1572</v>
      </c>
      <c r="M217" s="206" t="s">
        <v>142</v>
      </c>
      <c r="N217" s="211" t="s">
        <v>143</v>
      </c>
      <c r="O217" s="240" t="s">
        <v>1573</v>
      </c>
      <c r="P217" s="240" t="s">
        <v>1574</v>
      </c>
      <c r="Q217" s="845" t="s">
        <v>144</v>
      </c>
      <c r="R217" s="208" t="s">
        <v>144</v>
      </c>
      <c r="S217" s="864" t="s">
        <v>147</v>
      </c>
      <c r="T217" s="212" t="s">
        <v>144</v>
      </c>
      <c r="U217" s="213" t="s">
        <v>144</v>
      </c>
      <c r="V217" s="307">
        <v>7</v>
      </c>
      <c r="W217" s="415" t="s">
        <v>144</v>
      </c>
      <c r="X217" s="212">
        <v>40</v>
      </c>
      <c r="Y217" s="212" t="s">
        <v>144</v>
      </c>
      <c r="Z217" s="433" t="s">
        <v>144</v>
      </c>
      <c r="AA217" s="437" t="s">
        <v>1440</v>
      </c>
      <c r="AB217" s="206" t="s">
        <v>140</v>
      </c>
      <c r="AC217" s="847" t="s">
        <v>265</v>
      </c>
      <c r="AD217" s="847" t="s">
        <v>144</v>
      </c>
      <c r="AE217" s="847" t="s">
        <v>144</v>
      </c>
      <c r="AF217" s="848" t="s">
        <v>144</v>
      </c>
      <c r="AG217" s="838"/>
      <c r="AH217" s="866" t="s">
        <v>266</v>
      </c>
      <c r="AI217" s="273" t="s">
        <v>267</v>
      </c>
      <c r="AJ217" s="847">
        <v>7</v>
      </c>
      <c r="AK217" s="848" t="s">
        <v>1046</v>
      </c>
      <c r="AL217" s="185" t="s">
        <v>294</v>
      </c>
      <c r="AM217" s="186" t="s">
        <v>295</v>
      </c>
      <c r="AN217" s="847">
        <v>7</v>
      </c>
      <c r="AO217" s="187" t="s">
        <v>966</v>
      </c>
      <c r="AP217" s="867"/>
      <c r="AQ217" s="273"/>
      <c r="AR217" s="847"/>
      <c r="AS217" s="848"/>
      <c r="AT217" s="867"/>
      <c r="AU217" s="273"/>
      <c r="AV217" s="847"/>
      <c r="AW217" s="848"/>
      <c r="AX217" s="867"/>
      <c r="AY217" s="273"/>
      <c r="AZ217" s="847"/>
      <c r="BA217" s="848"/>
      <c r="BB217" s="866"/>
      <c r="BC217" s="273"/>
      <c r="BD217" s="847"/>
      <c r="BE217" s="848"/>
      <c r="BF217" s="838"/>
    </row>
    <row r="218" spans="1:58" s="87" customFormat="1" ht="54" hidden="1" customHeight="1" x14ac:dyDescent="0.25">
      <c r="A218" s="267" t="s">
        <v>1468</v>
      </c>
      <c r="B218" s="268">
        <v>29</v>
      </c>
      <c r="C218" s="240" t="s">
        <v>684</v>
      </c>
      <c r="D218" s="211" t="s">
        <v>685</v>
      </c>
      <c r="E218" s="268" t="s">
        <v>1575</v>
      </c>
      <c r="F218" s="861" t="s">
        <v>1576</v>
      </c>
      <c r="G218" s="269" t="s">
        <v>1577</v>
      </c>
      <c r="H218" s="845" t="s">
        <v>1578</v>
      </c>
      <c r="I218" s="208" t="s">
        <v>1579</v>
      </c>
      <c r="J218" s="240" t="s">
        <v>140</v>
      </c>
      <c r="K218" s="270" t="s">
        <v>140</v>
      </c>
      <c r="L218" s="862" t="s">
        <v>1580</v>
      </c>
      <c r="M218" s="206" t="s">
        <v>142</v>
      </c>
      <c r="N218" s="211" t="s">
        <v>143</v>
      </c>
      <c r="O218" s="240" t="s">
        <v>1581</v>
      </c>
      <c r="P218" s="240" t="s">
        <v>1582</v>
      </c>
      <c r="Q218" s="845" t="s">
        <v>1583</v>
      </c>
      <c r="R218" s="208" t="s">
        <v>1584</v>
      </c>
      <c r="S218" s="864" t="s">
        <v>147</v>
      </c>
      <c r="T218" s="212" t="s">
        <v>144</v>
      </c>
      <c r="U218" s="213" t="s">
        <v>144</v>
      </c>
      <c r="V218" s="307">
        <v>2</v>
      </c>
      <c r="W218" s="415" t="s">
        <v>144</v>
      </c>
      <c r="X218" s="212">
        <v>40</v>
      </c>
      <c r="Y218" s="212" t="s">
        <v>144</v>
      </c>
      <c r="Z218" s="241" t="s">
        <v>144</v>
      </c>
      <c r="AA218" s="616" t="s">
        <v>148</v>
      </c>
      <c r="AB218" s="206" t="s">
        <v>140</v>
      </c>
      <c r="AC218" s="847" t="s">
        <v>265</v>
      </c>
      <c r="AD218" s="847" t="s">
        <v>144</v>
      </c>
      <c r="AE218" s="847" t="s">
        <v>144</v>
      </c>
      <c r="AF218" s="848" t="s">
        <v>144</v>
      </c>
      <c r="AG218" s="838"/>
      <c r="AH218" s="866" t="s">
        <v>266</v>
      </c>
      <c r="AI218" s="273" t="s">
        <v>267</v>
      </c>
      <c r="AJ218" s="847">
        <v>7</v>
      </c>
      <c r="AK218" s="848" t="s">
        <v>1046</v>
      </c>
      <c r="AL218" s="185" t="s">
        <v>294</v>
      </c>
      <c r="AM218" s="186" t="s">
        <v>295</v>
      </c>
      <c r="AN218" s="847">
        <v>7</v>
      </c>
      <c r="AO218" s="187" t="s">
        <v>966</v>
      </c>
      <c r="AP218" s="867"/>
      <c r="AQ218" s="273"/>
      <c r="AR218" s="847"/>
      <c r="AS218" s="848"/>
      <c r="AT218" s="867" t="s">
        <v>1585</v>
      </c>
      <c r="AU218" s="273" t="s">
        <v>1586</v>
      </c>
      <c r="AV218" s="847">
        <v>7</v>
      </c>
      <c r="AW218" s="286" t="s">
        <v>1587</v>
      </c>
      <c r="AX218" s="867"/>
      <c r="AY218" s="273"/>
      <c r="AZ218" s="847"/>
      <c r="BA218" s="848"/>
      <c r="BB218" s="866"/>
      <c r="BC218" s="273"/>
      <c r="BD218" s="847"/>
      <c r="BE218" s="848"/>
      <c r="BF218" s="838"/>
    </row>
    <row r="219" spans="1:58" s="87" customFormat="1" ht="54" hidden="1" customHeight="1" x14ac:dyDescent="0.25">
      <c r="A219" s="267" t="s">
        <v>1468</v>
      </c>
      <c r="B219" s="268">
        <v>30</v>
      </c>
      <c r="C219" s="240" t="s">
        <v>1022</v>
      </c>
      <c r="D219" s="211" t="s">
        <v>1023</v>
      </c>
      <c r="E219" s="268" t="s">
        <v>1588</v>
      </c>
      <c r="F219" s="272" t="s">
        <v>1141</v>
      </c>
      <c r="G219" s="269" t="s">
        <v>1142</v>
      </c>
      <c r="H219" s="272" t="s">
        <v>1143</v>
      </c>
      <c r="I219" s="208" t="s">
        <v>1144</v>
      </c>
      <c r="J219" s="240" t="s">
        <v>140</v>
      </c>
      <c r="K219" s="270" t="s">
        <v>140</v>
      </c>
      <c r="L219" s="862" t="s">
        <v>1145</v>
      </c>
      <c r="M219" s="206" t="s">
        <v>142</v>
      </c>
      <c r="N219" s="211" t="s">
        <v>143</v>
      </c>
      <c r="O219" s="240" t="s">
        <v>1146</v>
      </c>
      <c r="P219" s="240" t="s">
        <v>1147</v>
      </c>
      <c r="Q219" s="845" t="s">
        <v>144</v>
      </c>
      <c r="R219" s="271" t="s">
        <v>144</v>
      </c>
      <c r="S219" s="864" t="s">
        <v>965</v>
      </c>
      <c r="T219" s="212" t="s">
        <v>144</v>
      </c>
      <c r="U219" s="213" t="s">
        <v>144</v>
      </c>
      <c r="V219" s="847">
        <v>6</v>
      </c>
      <c r="W219" s="415" t="s">
        <v>144</v>
      </c>
      <c r="X219" s="212">
        <v>43</v>
      </c>
      <c r="Y219" s="212" t="s">
        <v>144</v>
      </c>
      <c r="Z219" s="214" t="s">
        <v>144</v>
      </c>
      <c r="AA219" s="343" t="s">
        <v>148</v>
      </c>
      <c r="AB219" s="206" t="s">
        <v>140</v>
      </c>
      <c r="AC219" s="847" t="s">
        <v>265</v>
      </c>
      <c r="AD219" s="847" t="s">
        <v>144</v>
      </c>
      <c r="AE219" s="847" t="s">
        <v>144</v>
      </c>
      <c r="AF219" s="848" t="s">
        <v>144</v>
      </c>
      <c r="AG219" s="838"/>
      <c r="AH219" s="291" t="s">
        <v>266</v>
      </c>
      <c r="AI219" s="273" t="s">
        <v>267</v>
      </c>
      <c r="AJ219" s="240">
        <v>7</v>
      </c>
      <c r="AK219" s="848" t="s">
        <v>1046</v>
      </c>
      <c r="AL219" s="185" t="s">
        <v>294</v>
      </c>
      <c r="AM219" s="186" t="s">
        <v>295</v>
      </c>
      <c r="AN219" s="240">
        <v>7</v>
      </c>
      <c r="AO219" s="187" t="s">
        <v>966</v>
      </c>
      <c r="AP219" s="867"/>
      <c r="AQ219" s="273"/>
      <c r="AR219" s="847"/>
      <c r="AS219" s="848"/>
      <c r="AT219" s="292" t="s">
        <v>1148</v>
      </c>
      <c r="AU219" s="273" t="s">
        <v>1149</v>
      </c>
      <c r="AV219" s="240">
        <v>7</v>
      </c>
      <c r="AW219" s="848" t="s">
        <v>1150</v>
      </c>
      <c r="AX219" s="867"/>
      <c r="AY219" s="273"/>
      <c r="AZ219" s="847"/>
      <c r="BA219" s="848"/>
      <c r="BB219" s="866"/>
      <c r="BC219" s="273"/>
      <c r="BD219" s="847"/>
      <c r="BE219" s="848"/>
      <c r="BF219" s="838"/>
    </row>
    <row r="220" spans="1:58" s="55" customFormat="1" ht="54" customHeight="1" x14ac:dyDescent="0.25">
      <c r="A220" s="275" t="s">
        <v>1468</v>
      </c>
      <c r="B220" s="276">
        <v>31</v>
      </c>
      <c r="C220" s="253" t="s">
        <v>144</v>
      </c>
      <c r="D220" s="217" t="s">
        <v>144</v>
      </c>
      <c r="E220" s="276" t="s">
        <v>1589</v>
      </c>
      <c r="F220" s="277" t="s">
        <v>251</v>
      </c>
      <c r="G220" s="277" t="s">
        <v>251</v>
      </c>
      <c r="H220" s="220" t="s">
        <v>336</v>
      </c>
      <c r="I220" s="218" t="s">
        <v>337</v>
      </c>
      <c r="J220" s="253" t="s">
        <v>144</v>
      </c>
      <c r="K220" s="253" t="s">
        <v>144</v>
      </c>
      <c r="L220" s="718" t="s">
        <v>1152</v>
      </c>
      <c r="M220" s="253" t="s">
        <v>144</v>
      </c>
      <c r="N220" s="253" t="s">
        <v>144</v>
      </c>
      <c r="O220" s="253" t="s">
        <v>144</v>
      </c>
      <c r="P220" s="253" t="s">
        <v>144</v>
      </c>
      <c r="Q220" s="220" t="s">
        <v>338</v>
      </c>
      <c r="R220" s="220" t="s">
        <v>339</v>
      </c>
      <c r="S220" s="276" t="s">
        <v>147</v>
      </c>
      <c r="T220" s="221" t="s">
        <v>144</v>
      </c>
      <c r="U220" s="221" t="s">
        <v>144</v>
      </c>
      <c r="V220" s="253">
        <v>5</v>
      </c>
      <c r="W220" s="217" t="s">
        <v>144</v>
      </c>
      <c r="X220" s="221" t="s">
        <v>144</v>
      </c>
      <c r="Y220" s="221" t="s">
        <v>144</v>
      </c>
      <c r="Z220" s="221" t="s">
        <v>144</v>
      </c>
      <c r="AA220" s="253" t="s">
        <v>144</v>
      </c>
      <c r="AB220" s="217" t="s">
        <v>144</v>
      </c>
      <c r="AC220" s="253" t="s">
        <v>265</v>
      </c>
      <c r="AD220" s="253" t="s">
        <v>144</v>
      </c>
      <c r="AE220" s="253" t="s">
        <v>144</v>
      </c>
      <c r="AF220" s="254" t="s">
        <v>144</v>
      </c>
      <c r="AG220" s="838"/>
      <c r="AH220" s="280"/>
      <c r="AI220" s="281"/>
      <c r="AJ220" s="253"/>
      <c r="AK220" s="254"/>
      <c r="AL220" s="281"/>
      <c r="AM220" s="281"/>
      <c r="AN220" s="253"/>
      <c r="AO220" s="254"/>
      <c r="AP220" s="281"/>
      <c r="AQ220" s="281"/>
      <c r="AR220" s="253"/>
      <c r="AS220" s="254"/>
      <c r="AT220" s="281"/>
      <c r="AU220" s="281"/>
      <c r="AV220" s="253"/>
      <c r="AW220" s="254"/>
      <c r="AX220" s="281"/>
      <c r="AY220" s="281"/>
      <c r="AZ220" s="253"/>
      <c r="BA220" s="254"/>
      <c r="BB220" s="280"/>
      <c r="BC220" s="281"/>
      <c r="BD220" s="253"/>
      <c r="BE220" s="254"/>
      <c r="BF220" s="838"/>
    </row>
    <row r="221" spans="1:58" s="87" customFormat="1" ht="54" hidden="1" customHeight="1" x14ac:dyDescent="0.25">
      <c r="A221" s="267" t="s">
        <v>1468</v>
      </c>
      <c r="B221" s="268">
        <v>32</v>
      </c>
      <c r="C221" s="240" t="s">
        <v>1022</v>
      </c>
      <c r="D221" s="211" t="s">
        <v>1023</v>
      </c>
      <c r="E221" s="268" t="s">
        <v>1590</v>
      </c>
      <c r="F221" s="861" t="s">
        <v>1591</v>
      </c>
      <c r="G221" s="269" t="s">
        <v>1592</v>
      </c>
      <c r="H221" s="845" t="s">
        <v>1156</v>
      </c>
      <c r="I221" s="208" t="s">
        <v>1157</v>
      </c>
      <c r="J221" s="240" t="s">
        <v>140</v>
      </c>
      <c r="K221" s="270" t="s">
        <v>140</v>
      </c>
      <c r="L221" s="862" t="s">
        <v>1593</v>
      </c>
      <c r="M221" s="206" t="s">
        <v>142</v>
      </c>
      <c r="N221" s="211" t="s">
        <v>143</v>
      </c>
      <c r="O221" s="240" t="s">
        <v>144</v>
      </c>
      <c r="P221" s="240" t="s">
        <v>144</v>
      </c>
      <c r="Q221" s="845" t="s">
        <v>144</v>
      </c>
      <c r="R221" s="208" t="s">
        <v>144</v>
      </c>
      <c r="S221" s="181" t="s">
        <v>233</v>
      </c>
      <c r="T221" s="212" t="s">
        <v>234</v>
      </c>
      <c r="U221" s="213" t="s">
        <v>235</v>
      </c>
      <c r="V221" s="307">
        <v>8</v>
      </c>
      <c r="W221" s="415" t="s">
        <v>144</v>
      </c>
      <c r="X221" s="212">
        <v>40</v>
      </c>
      <c r="Y221" s="212" t="s">
        <v>144</v>
      </c>
      <c r="Z221" s="212" t="s">
        <v>144</v>
      </c>
      <c r="AA221" s="240" t="s">
        <v>398</v>
      </c>
      <c r="AB221" s="206" t="s">
        <v>140</v>
      </c>
      <c r="AC221" s="847" t="s">
        <v>265</v>
      </c>
      <c r="AD221" s="847" t="s">
        <v>144</v>
      </c>
      <c r="AE221" s="847" t="s">
        <v>144</v>
      </c>
      <c r="AF221" s="848" t="s">
        <v>144</v>
      </c>
      <c r="AG221" s="838"/>
      <c r="AH221" s="866" t="s">
        <v>266</v>
      </c>
      <c r="AI221" s="273" t="s">
        <v>267</v>
      </c>
      <c r="AJ221" s="847">
        <v>7</v>
      </c>
      <c r="AK221" s="848" t="s">
        <v>1046</v>
      </c>
      <c r="AL221" s="867"/>
      <c r="AM221" s="273"/>
      <c r="AN221" s="847"/>
      <c r="AO221" s="848"/>
      <c r="AP221" s="867" t="s">
        <v>1160</v>
      </c>
      <c r="AQ221" s="273" t="s">
        <v>1161</v>
      </c>
      <c r="AR221" s="847">
        <v>7</v>
      </c>
      <c r="AS221" s="848" t="s">
        <v>1162</v>
      </c>
      <c r="AT221" s="867"/>
      <c r="AU221" s="273"/>
      <c r="AV221" s="847"/>
      <c r="AW221" s="848"/>
      <c r="AX221" s="867" t="s">
        <v>1594</v>
      </c>
      <c r="AY221" s="273" t="s">
        <v>1595</v>
      </c>
      <c r="AZ221" s="847">
        <v>7</v>
      </c>
      <c r="BA221" s="848" t="s">
        <v>1596</v>
      </c>
      <c r="BB221" s="866"/>
      <c r="BC221" s="273"/>
      <c r="BD221" s="847"/>
      <c r="BE221" s="848"/>
      <c r="BF221" s="838"/>
    </row>
    <row r="222" spans="1:58" s="87" customFormat="1" ht="54" hidden="1" customHeight="1" x14ac:dyDescent="0.25">
      <c r="A222" s="267" t="s">
        <v>1468</v>
      </c>
      <c r="B222" s="268">
        <v>33</v>
      </c>
      <c r="C222" s="240" t="s">
        <v>1022</v>
      </c>
      <c r="D222" s="211" t="s">
        <v>1023</v>
      </c>
      <c r="E222" s="268" t="s">
        <v>1597</v>
      </c>
      <c r="F222" s="861" t="s">
        <v>1598</v>
      </c>
      <c r="G222" s="269" t="s">
        <v>1599</v>
      </c>
      <c r="H222" s="845" t="s">
        <v>1169</v>
      </c>
      <c r="I222" s="208" t="s">
        <v>1170</v>
      </c>
      <c r="J222" s="240" t="s">
        <v>140</v>
      </c>
      <c r="K222" s="270" t="s">
        <v>140</v>
      </c>
      <c r="L222" s="862" t="s">
        <v>1600</v>
      </c>
      <c r="M222" s="206" t="s">
        <v>193</v>
      </c>
      <c r="N222" s="211" t="s">
        <v>194</v>
      </c>
      <c r="O222" s="240" t="s">
        <v>144</v>
      </c>
      <c r="P222" s="240" t="s">
        <v>144</v>
      </c>
      <c r="Q222" s="845" t="s">
        <v>1601</v>
      </c>
      <c r="R222" s="208" t="s">
        <v>1602</v>
      </c>
      <c r="S222" s="181" t="s">
        <v>233</v>
      </c>
      <c r="T222" s="212" t="s">
        <v>234</v>
      </c>
      <c r="U222" s="213" t="s">
        <v>235</v>
      </c>
      <c r="V222" s="307">
        <v>8</v>
      </c>
      <c r="W222" s="415" t="s">
        <v>144</v>
      </c>
      <c r="X222" s="212">
        <v>40</v>
      </c>
      <c r="Y222" s="212" t="s">
        <v>144</v>
      </c>
      <c r="Z222" s="433" t="s">
        <v>144</v>
      </c>
      <c r="AA222" s="437" t="s">
        <v>1603</v>
      </c>
      <c r="AB222" s="206" t="s">
        <v>140</v>
      </c>
      <c r="AC222" s="847" t="s">
        <v>265</v>
      </c>
      <c r="AD222" s="847" t="s">
        <v>144</v>
      </c>
      <c r="AE222" s="847" t="s">
        <v>144</v>
      </c>
      <c r="AF222" s="848" t="s">
        <v>144</v>
      </c>
      <c r="AG222" s="838"/>
      <c r="AH222" s="866"/>
      <c r="AI222" s="273"/>
      <c r="AJ222" s="847"/>
      <c r="AK222" s="848"/>
      <c r="AL222" s="867"/>
      <c r="AM222" s="273"/>
      <c r="AN222" s="847"/>
      <c r="AO222" s="848"/>
      <c r="AP222" s="867" t="s">
        <v>1174</v>
      </c>
      <c r="AQ222" s="273" t="s">
        <v>1175</v>
      </c>
      <c r="AR222" s="847">
        <v>7</v>
      </c>
      <c r="AS222" s="293" t="s">
        <v>1176</v>
      </c>
      <c r="AT222" s="867" t="s">
        <v>1604</v>
      </c>
      <c r="AU222" s="273" t="s">
        <v>1605</v>
      </c>
      <c r="AV222" s="847">
        <v>6</v>
      </c>
      <c r="AW222" s="286" t="s">
        <v>1606</v>
      </c>
      <c r="AX222" s="867" t="s">
        <v>1607</v>
      </c>
      <c r="AY222" s="273" t="s">
        <v>1608</v>
      </c>
      <c r="AZ222" s="847">
        <v>7</v>
      </c>
      <c r="BA222" s="848" t="s">
        <v>1609</v>
      </c>
      <c r="BB222" s="866"/>
      <c r="BC222" s="273"/>
      <c r="BD222" s="847"/>
      <c r="BE222" s="848"/>
      <c r="BF222" s="838"/>
    </row>
    <row r="223" spans="1:58" s="87" customFormat="1" ht="54" hidden="1" customHeight="1" x14ac:dyDescent="0.25">
      <c r="A223" s="267" t="s">
        <v>1468</v>
      </c>
      <c r="B223" s="268">
        <v>34</v>
      </c>
      <c r="C223" s="240" t="s">
        <v>1022</v>
      </c>
      <c r="D223" s="211" t="s">
        <v>1023</v>
      </c>
      <c r="E223" s="268" t="s">
        <v>1610</v>
      </c>
      <c r="F223" s="861" t="s">
        <v>1611</v>
      </c>
      <c r="G223" s="269" t="s">
        <v>1612</v>
      </c>
      <c r="H223" s="845" t="s">
        <v>1183</v>
      </c>
      <c r="I223" s="208" t="s">
        <v>1184</v>
      </c>
      <c r="J223" s="240" t="s">
        <v>140</v>
      </c>
      <c r="K223" s="270" t="s">
        <v>140</v>
      </c>
      <c r="L223" s="862" t="s">
        <v>1613</v>
      </c>
      <c r="M223" s="206" t="s">
        <v>142</v>
      </c>
      <c r="N223" s="211" t="s">
        <v>143</v>
      </c>
      <c r="O223" s="240" t="s">
        <v>144</v>
      </c>
      <c r="P223" s="240" t="s">
        <v>144</v>
      </c>
      <c r="Q223" s="845" t="s">
        <v>144</v>
      </c>
      <c r="R223" s="208" t="s">
        <v>144</v>
      </c>
      <c r="S223" s="181" t="s">
        <v>233</v>
      </c>
      <c r="T223" s="212" t="s">
        <v>234</v>
      </c>
      <c r="U223" s="213" t="s">
        <v>235</v>
      </c>
      <c r="V223" s="307">
        <v>8</v>
      </c>
      <c r="W223" s="415" t="s">
        <v>144</v>
      </c>
      <c r="X223" s="212">
        <v>40</v>
      </c>
      <c r="Y223" s="212" t="s">
        <v>144</v>
      </c>
      <c r="Z223" s="241" t="s">
        <v>25</v>
      </c>
      <c r="AA223" s="437" t="s">
        <v>1614</v>
      </c>
      <c r="AB223" s="206" t="s">
        <v>140</v>
      </c>
      <c r="AC223" s="847" t="s">
        <v>265</v>
      </c>
      <c r="AD223" s="847" t="s">
        <v>144</v>
      </c>
      <c r="AE223" s="847" t="s">
        <v>144</v>
      </c>
      <c r="AF223" s="848" t="s">
        <v>144</v>
      </c>
      <c r="AG223" s="838"/>
      <c r="AH223" s="866" t="s">
        <v>266</v>
      </c>
      <c r="AI223" s="273" t="s">
        <v>267</v>
      </c>
      <c r="AJ223" s="847">
        <v>7</v>
      </c>
      <c r="AK223" s="848" t="s">
        <v>1046</v>
      </c>
      <c r="AL223" s="867"/>
      <c r="AM223" s="273"/>
      <c r="AN223" s="847"/>
      <c r="AO223" s="848"/>
      <c r="AP223" s="867" t="s">
        <v>1174</v>
      </c>
      <c r="AQ223" s="273" t="s">
        <v>1175</v>
      </c>
      <c r="AR223" s="847">
        <v>7</v>
      </c>
      <c r="AS223" s="293" t="s">
        <v>1176</v>
      </c>
      <c r="AT223" s="284" t="s">
        <v>1186</v>
      </c>
      <c r="AU223" s="273" t="s">
        <v>1187</v>
      </c>
      <c r="AV223" s="872">
        <v>6</v>
      </c>
      <c r="AW223" s="286" t="s">
        <v>1188</v>
      </c>
      <c r="AX223" s="867" t="s">
        <v>1615</v>
      </c>
      <c r="AY223" s="273" t="s">
        <v>1616</v>
      </c>
      <c r="AZ223" s="847">
        <v>7</v>
      </c>
      <c r="BA223" s="848" t="s">
        <v>1617</v>
      </c>
      <c r="BB223" s="866"/>
      <c r="BC223" s="273"/>
      <c r="BD223" s="847"/>
      <c r="BE223" s="848"/>
      <c r="BF223" s="838"/>
    </row>
    <row r="224" spans="1:58" s="87" customFormat="1" ht="54" hidden="1" customHeight="1" x14ac:dyDescent="0.25">
      <c r="A224" s="267" t="s">
        <v>1468</v>
      </c>
      <c r="B224" s="268">
        <v>35</v>
      </c>
      <c r="C224" s="240" t="s">
        <v>1022</v>
      </c>
      <c r="D224" s="211" t="s">
        <v>1023</v>
      </c>
      <c r="E224" s="268" t="s">
        <v>1618</v>
      </c>
      <c r="F224" s="861" t="s">
        <v>1619</v>
      </c>
      <c r="G224" s="269" t="s">
        <v>1620</v>
      </c>
      <c r="H224" s="845" t="s">
        <v>1621</v>
      </c>
      <c r="I224" s="208" t="s">
        <v>1622</v>
      </c>
      <c r="J224" s="240" t="s">
        <v>140</v>
      </c>
      <c r="K224" s="270" t="s">
        <v>140</v>
      </c>
      <c r="L224" s="862" t="s">
        <v>1623</v>
      </c>
      <c r="M224" s="206" t="s">
        <v>193</v>
      </c>
      <c r="N224" s="211" t="s">
        <v>194</v>
      </c>
      <c r="O224" s="240" t="s">
        <v>144</v>
      </c>
      <c r="P224" s="240" t="s">
        <v>144</v>
      </c>
      <c r="Q224" s="845" t="s">
        <v>144</v>
      </c>
      <c r="R224" s="208" t="s">
        <v>144</v>
      </c>
      <c r="S224" s="864" t="s">
        <v>746</v>
      </c>
      <c r="T224" s="212" t="s">
        <v>144</v>
      </c>
      <c r="U224" s="213" t="s">
        <v>144</v>
      </c>
      <c r="V224" s="307">
        <v>5</v>
      </c>
      <c r="W224" s="415" t="s">
        <v>144</v>
      </c>
      <c r="X224" s="212">
        <v>40</v>
      </c>
      <c r="Y224" s="212" t="s">
        <v>144</v>
      </c>
      <c r="Z224" s="212" t="s">
        <v>144</v>
      </c>
      <c r="AA224" s="240" t="s">
        <v>398</v>
      </c>
      <c r="AB224" s="206" t="s">
        <v>140</v>
      </c>
      <c r="AC224" s="847" t="s">
        <v>265</v>
      </c>
      <c r="AD224" s="847" t="s">
        <v>144</v>
      </c>
      <c r="AE224" s="847" t="s">
        <v>144</v>
      </c>
      <c r="AF224" s="848" t="s">
        <v>144</v>
      </c>
      <c r="AG224" s="838"/>
      <c r="AH224" s="866"/>
      <c r="AI224" s="273"/>
      <c r="AJ224" s="847"/>
      <c r="AK224" s="848"/>
      <c r="AL224" s="867"/>
      <c r="AM224" s="273"/>
      <c r="AN224" s="847"/>
      <c r="AO224" s="848"/>
      <c r="AP224" s="867"/>
      <c r="AQ224" s="273"/>
      <c r="AR224" s="847"/>
      <c r="AS224" s="848"/>
      <c r="AT224" s="867"/>
      <c r="AU224" s="273"/>
      <c r="AV224" s="847"/>
      <c r="AW224" s="848"/>
      <c r="AX224" s="867"/>
      <c r="AY224" s="273"/>
      <c r="AZ224" s="847"/>
      <c r="BA224" s="848"/>
      <c r="BB224" s="866"/>
      <c r="BC224" s="273"/>
      <c r="BD224" s="847"/>
      <c r="BE224" s="848"/>
      <c r="BF224" s="838"/>
    </row>
    <row r="225" spans="1:58" s="55" customFormat="1" ht="54" customHeight="1" x14ac:dyDescent="0.25">
      <c r="A225" s="275" t="s">
        <v>1468</v>
      </c>
      <c r="B225" s="276">
        <v>36</v>
      </c>
      <c r="C225" s="253" t="s">
        <v>144</v>
      </c>
      <c r="D225" s="217" t="s">
        <v>144</v>
      </c>
      <c r="E225" s="276" t="s">
        <v>1624</v>
      </c>
      <c r="F225" s="277" t="s">
        <v>251</v>
      </c>
      <c r="G225" s="277" t="s">
        <v>251</v>
      </c>
      <c r="H225" s="220" t="s">
        <v>336</v>
      </c>
      <c r="I225" s="277" t="s">
        <v>337</v>
      </c>
      <c r="J225" s="302" t="s">
        <v>144</v>
      </c>
      <c r="K225" s="302" t="s">
        <v>144</v>
      </c>
      <c r="L225" s="718" t="s">
        <v>1199</v>
      </c>
      <c r="M225" s="253" t="s">
        <v>144</v>
      </c>
      <c r="N225" s="302" t="s">
        <v>144</v>
      </c>
      <c r="O225" s="253" t="s">
        <v>144</v>
      </c>
      <c r="P225" s="253" t="s">
        <v>144</v>
      </c>
      <c r="Q225" s="220" t="s">
        <v>338</v>
      </c>
      <c r="R225" s="220" t="s">
        <v>339</v>
      </c>
      <c r="S225" s="276" t="s">
        <v>147</v>
      </c>
      <c r="T225" s="221" t="s">
        <v>144</v>
      </c>
      <c r="U225" s="221" t="s">
        <v>144</v>
      </c>
      <c r="V225" s="253">
        <v>20</v>
      </c>
      <c r="W225" s="217" t="s">
        <v>144</v>
      </c>
      <c r="X225" s="221" t="s">
        <v>144</v>
      </c>
      <c r="Y225" s="221" t="s">
        <v>144</v>
      </c>
      <c r="Z225" s="221" t="s">
        <v>144</v>
      </c>
      <c r="AA225" s="253" t="s">
        <v>144</v>
      </c>
      <c r="AB225" s="217" t="s">
        <v>144</v>
      </c>
      <c r="AC225" s="253" t="s">
        <v>265</v>
      </c>
      <c r="AD225" s="253" t="s">
        <v>144</v>
      </c>
      <c r="AE225" s="253" t="s">
        <v>144</v>
      </c>
      <c r="AF225" s="254" t="s">
        <v>144</v>
      </c>
      <c r="AG225" s="838"/>
      <c r="AH225" s="280"/>
      <c r="AI225" s="281"/>
      <c r="AJ225" s="253"/>
      <c r="AK225" s="254"/>
      <c r="AL225" s="281"/>
      <c r="AM225" s="281"/>
      <c r="AN225" s="253"/>
      <c r="AO225" s="254"/>
      <c r="AP225" s="281"/>
      <c r="AQ225" s="281"/>
      <c r="AR225" s="253"/>
      <c r="AS225" s="254"/>
      <c r="AT225" s="281"/>
      <c r="AU225" s="281"/>
      <c r="AV225" s="253"/>
      <c r="AW225" s="254"/>
      <c r="AX225" s="281"/>
      <c r="AY225" s="281"/>
      <c r="AZ225" s="253"/>
      <c r="BA225" s="254"/>
      <c r="BB225" s="280"/>
      <c r="BC225" s="281"/>
      <c r="BD225" s="253"/>
      <c r="BE225" s="254"/>
      <c r="BF225" s="838"/>
    </row>
    <row r="226" spans="1:58" s="87" customFormat="1" ht="54" hidden="1" customHeight="1" x14ac:dyDescent="0.25">
      <c r="A226" s="267" t="s">
        <v>1468</v>
      </c>
      <c r="B226" s="268">
        <v>37</v>
      </c>
      <c r="C226" s="240" t="s">
        <v>1022</v>
      </c>
      <c r="D226" s="211" t="s">
        <v>1023</v>
      </c>
      <c r="E226" s="268" t="s">
        <v>1625</v>
      </c>
      <c r="F226" s="861" t="s">
        <v>1626</v>
      </c>
      <c r="G226" s="269" t="s">
        <v>1627</v>
      </c>
      <c r="H226" s="845" t="s">
        <v>1628</v>
      </c>
      <c r="I226" s="208" t="s">
        <v>1629</v>
      </c>
      <c r="J226" s="240" t="s">
        <v>140</v>
      </c>
      <c r="K226" s="270" t="s">
        <v>140</v>
      </c>
      <c r="L226" s="862" t="s">
        <v>1630</v>
      </c>
      <c r="M226" s="206" t="s">
        <v>193</v>
      </c>
      <c r="N226" s="211" t="s">
        <v>194</v>
      </c>
      <c r="O226" s="240" t="s">
        <v>814</v>
      </c>
      <c r="P226" s="240" t="s">
        <v>815</v>
      </c>
      <c r="Q226" s="845" t="s">
        <v>1631</v>
      </c>
      <c r="R226" s="208" t="s">
        <v>1632</v>
      </c>
      <c r="S226" s="864" t="s">
        <v>147</v>
      </c>
      <c r="T226" s="212" t="s">
        <v>144</v>
      </c>
      <c r="U226" s="213" t="s">
        <v>144</v>
      </c>
      <c r="V226" s="307">
        <v>3</v>
      </c>
      <c r="W226" s="415" t="s">
        <v>144</v>
      </c>
      <c r="X226" s="212">
        <v>40</v>
      </c>
      <c r="Y226" s="212" t="s">
        <v>144</v>
      </c>
      <c r="Z226" s="252" t="s">
        <v>144</v>
      </c>
      <c r="AA226" s="240" t="s">
        <v>1633</v>
      </c>
      <c r="AB226" s="206" t="s">
        <v>140</v>
      </c>
      <c r="AC226" s="847" t="s">
        <v>265</v>
      </c>
      <c r="AD226" s="847" t="s">
        <v>144</v>
      </c>
      <c r="AE226" s="847" t="s">
        <v>144</v>
      </c>
      <c r="AF226" s="848" t="s">
        <v>144</v>
      </c>
      <c r="AG226" s="838"/>
      <c r="AH226" s="866"/>
      <c r="AI226" s="273"/>
      <c r="AJ226" s="847"/>
      <c r="AK226" s="848"/>
      <c r="AL226" s="185" t="s">
        <v>294</v>
      </c>
      <c r="AM226" s="186" t="s">
        <v>295</v>
      </c>
      <c r="AN226" s="847">
        <v>7</v>
      </c>
      <c r="AO226" s="187" t="s">
        <v>966</v>
      </c>
      <c r="AP226" s="867"/>
      <c r="AQ226" s="273"/>
      <c r="AR226" s="847"/>
      <c r="AS226" s="848"/>
      <c r="AT226" s="867"/>
      <c r="AU226" s="273"/>
      <c r="AV226" s="847"/>
      <c r="AW226" s="848"/>
      <c r="AX226" s="867"/>
      <c r="AY226" s="273"/>
      <c r="AZ226" s="847"/>
      <c r="BA226" s="848"/>
      <c r="BB226" s="866"/>
      <c r="BC226" s="273"/>
      <c r="BD226" s="847"/>
      <c r="BE226" s="848"/>
      <c r="BF226" s="838"/>
    </row>
    <row r="227" spans="1:58" s="87" customFormat="1" ht="54" hidden="1" customHeight="1" x14ac:dyDescent="0.25">
      <c r="A227" s="267" t="s">
        <v>1468</v>
      </c>
      <c r="B227" s="268">
        <v>38</v>
      </c>
      <c r="C227" s="240" t="s">
        <v>1022</v>
      </c>
      <c r="D227" s="211" t="s">
        <v>1023</v>
      </c>
      <c r="E227" s="268" t="s">
        <v>1634</v>
      </c>
      <c r="F227" s="861" t="s">
        <v>1635</v>
      </c>
      <c r="G227" s="269" t="s">
        <v>1636</v>
      </c>
      <c r="H227" s="845" t="s">
        <v>1637</v>
      </c>
      <c r="I227" s="208" t="s">
        <v>1638</v>
      </c>
      <c r="J227" s="240" t="s">
        <v>140</v>
      </c>
      <c r="K227" s="270" t="s">
        <v>140</v>
      </c>
      <c r="L227" s="862" t="s">
        <v>1639</v>
      </c>
      <c r="M227" s="206" t="s">
        <v>193</v>
      </c>
      <c r="N227" s="211" t="s">
        <v>194</v>
      </c>
      <c r="O227" s="240" t="s">
        <v>1640</v>
      </c>
      <c r="P227" s="240" t="s">
        <v>1641</v>
      </c>
      <c r="Q227" s="845" t="s">
        <v>1642</v>
      </c>
      <c r="R227" s="208" t="s">
        <v>1643</v>
      </c>
      <c r="S227" s="864" t="s">
        <v>147</v>
      </c>
      <c r="T227" s="212" t="s">
        <v>144</v>
      </c>
      <c r="U227" s="213" t="s">
        <v>144</v>
      </c>
      <c r="V227" s="307">
        <v>1</v>
      </c>
      <c r="W227" s="415" t="s">
        <v>144</v>
      </c>
      <c r="X227" s="212">
        <v>40</v>
      </c>
      <c r="Y227" s="212" t="s">
        <v>144</v>
      </c>
      <c r="Z227" s="252" t="s">
        <v>144</v>
      </c>
      <c r="AA227" s="240" t="s">
        <v>1633</v>
      </c>
      <c r="AB227" s="206" t="s">
        <v>140</v>
      </c>
      <c r="AC227" s="847" t="s">
        <v>265</v>
      </c>
      <c r="AD227" s="847" t="s">
        <v>144</v>
      </c>
      <c r="AE227" s="847" t="s">
        <v>144</v>
      </c>
      <c r="AF227" s="848" t="s">
        <v>144</v>
      </c>
      <c r="AG227" s="838"/>
      <c r="AH227" s="866"/>
      <c r="AI227" s="273"/>
      <c r="AJ227" s="847"/>
      <c r="AK227" s="848"/>
      <c r="AL227" s="185" t="s">
        <v>294</v>
      </c>
      <c r="AM227" s="186" t="s">
        <v>295</v>
      </c>
      <c r="AN227" s="847">
        <v>7</v>
      </c>
      <c r="AO227" s="187" t="s">
        <v>966</v>
      </c>
      <c r="AP227" s="867"/>
      <c r="AQ227" s="273"/>
      <c r="AR227" s="847"/>
      <c r="AS227" s="848"/>
      <c r="AT227" s="867"/>
      <c r="AU227" s="273"/>
      <c r="AV227" s="847"/>
      <c r="AW227" s="848"/>
      <c r="AX227" s="867"/>
      <c r="AY227" s="273"/>
      <c r="AZ227" s="847"/>
      <c r="BA227" s="848"/>
      <c r="BB227" s="866"/>
      <c r="BC227" s="273"/>
      <c r="BD227" s="847"/>
      <c r="BE227" s="848"/>
      <c r="BF227" s="838"/>
    </row>
    <row r="228" spans="1:58" s="87" customFormat="1" ht="54" hidden="1" customHeight="1" x14ac:dyDescent="0.25">
      <c r="A228" s="267" t="s">
        <v>1468</v>
      </c>
      <c r="B228" s="268">
        <v>39</v>
      </c>
      <c r="C228" s="240" t="s">
        <v>1022</v>
      </c>
      <c r="D228" s="211" t="s">
        <v>1023</v>
      </c>
      <c r="E228" s="268" t="s">
        <v>1644</v>
      </c>
      <c r="F228" s="861" t="s">
        <v>1645</v>
      </c>
      <c r="G228" s="269" t="s">
        <v>1646</v>
      </c>
      <c r="H228" s="845" t="s">
        <v>1647</v>
      </c>
      <c r="I228" s="208" t="s">
        <v>1648</v>
      </c>
      <c r="J228" s="240" t="s">
        <v>140</v>
      </c>
      <c r="K228" s="270" t="s">
        <v>140</v>
      </c>
      <c r="L228" s="862" t="s">
        <v>1649</v>
      </c>
      <c r="M228" s="206" t="s">
        <v>193</v>
      </c>
      <c r="N228" s="211" t="s">
        <v>194</v>
      </c>
      <c r="O228" s="240" t="s">
        <v>617</v>
      </c>
      <c r="P228" s="240" t="s">
        <v>618</v>
      </c>
      <c r="Q228" s="845" t="s">
        <v>144</v>
      </c>
      <c r="R228" s="208" t="s">
        <v>144</v>
      </c>
      <c r="S228" s="864" t="s">
        <v>147</v>
      </c>
      <c r="T228" s="212" t="s">
        <v>144</v>
      </c>
      <c r="U228" s="213" t="s">
        <v>144</v>
      </c>
      <c r="V228" s="307">
        <v>2</v>
      </c>
      <c r="W228" s="415" t="s">
        <v>144</v>
      </c>
      <c r="X228" s="212">
        <v>40</v>
      </c>
      <c r="Y228" s="212" t="s">
        <v>144</v>
      </c>
      <c r="Z228" s="252" t="s">
        <v>144</v>
      </c>
      <c r="AA228" s="240" t="s">
        <v>1633</v>
      </c>
      <c r="AB228" s="206" t="s">
        <v>140</v>
      </c>
      <c r="AC228" s="847" t="s">
        <v>265</v>
      </c>
      <c r="AD228" s="847" t="s">
        <v>144</v>
      </c>
      <c r="AE228" s="847" t="s">
        <v>144</v>
      </c>
      <c r="AF228" s="848" t="s">
        <v>144</v>
      </c>
      <c r="AG228" s="838"/>
      <c r="AH228" s="866"/>
      <c r="AI228" s="273"/>
      <c r="AJ228" s="847"/>
      <c r="AK228" s="848"/>
      <c r="AL228" s="185" t="s">
        <v>294</v>
      </c>
      <c r="AM228" s="186" t="s">
        <v>295</v>
      </c>
      <c r="AN228" s="847">
        <v>7</v>
      </c>
      <c r="AO228" s="187" t="s">
        <v>966</v>
      </c>
      <c r="AP228" s="867"/>
      <c r="AQ228" s="273"/>
      <c r="AR228" s="847"/>
      <c r="AS228" s="848"/>
      <c r="AT228" s="867"/>
      <c r="AU228" s="273"/>
      <c r="AV228" s="847"/>
      <c r="AW228" s="848"/>
      <c r="AX228" s="867"/>
      <c r="AY228" s="273"/>
      <c r="AZ228" s="847"/>
      <c r="BA228" s="848"/>
      <c r="BB228" s="866"/>
      <c r="BC228" s="273"/>
      <c r="BD228" s="847"/>
      <c r="BE228" s="848"/>
      <c r="BF228" s="838"/>
    </row>
    <row r="229" spans="1:58" s="87" customFormat="1" ht="54" hidden="1" customHeight="1" x14ac:dyDescent="0.25">
      <c r="A229" s="267" t="s">
        <v>1468</v>
      </c>
      <c r="B229" s="268">
        <v>40</v>
      </c>
      <c r="C229" s="240" t="s">
        <v>1022</v>
      </c>
      <c r="D229" s="211" t="s">
        <v>1023</v>
      </c>
      <c r="E229" s="268" t="s">
        <v>1650</v>
      </c>
      <c r="F229" s="861" t="s">
        <v>1651</v>
      </c>
      <c r="G229" s="269" t="s">
        <v>1652</v>
      </c>
      <c r="H229" s="845" t="s">
        <v>1651</v>
      </c>
      <c r="I229" s="208" t="s">
        <v>1653</v>
      </c>
      <c r="J229" s="240" t="s">
        <v>140</v>
      </c>
      <c r="K229" s="270" t="s">
        <v>140</v>
      </c>
      <c r="L229" s="862" t="s">
        <v>1654</v>
      </c>
      <c r="M229" s="206" t="s">
        <v>193</v>
      </c>
      <c r="N229" s="211" t="s">
        <v>194</v>
      </c>
      <c r="O229" s="240" t="s">
        <v>144</v>
      </c>
      <c r="P229" s="240" t="s">
        <v>144</v>
      </c>
      <c r="Q229" s="845" t="s">
        <v>1655</v>
      </c>
      <c r="R229" s="208" t="s">
        <v>1656</v>
      </c>
      <c r="S229" s="864" t="s">
        <v>746</v>
      </c>
      <c r="T229" s="212" t="s">
        <v>1104</v>
      </c>
      <c r="U229" s="213" t="s">
        <v>1105</v>
      </c>
      <c r="V229" s="307">
        <v>19</v>
      </c>
      <c r="W229" s="415" t="s">
        <v>144</v>
      </c>
      <c r="X229" s="212">
        <v>40</v>
      </c>
      <c r="Y229" s="212" t="s">
        <v>144</v>
      </c>
      <c r="Z229" s="212" t="s">
        <v>144</v>
      </c>
      <c r="AA229" s="240" t="s">
        <v>398</v>
      </c>
      <c r="AB229" s="206" t="s">
        <v>140</v>
      </c>
      <c r="AC229" s="847" t="s">
        <v>265</v>
      </c>
      <c r="AD229" s="847" t="s">
        <v>144</v>
      </c>
      <c r="AE229" s="847" t="s">
        <v>144</v>
      </c>
      <c r="AF229" s="848" t="s">
        <v>144</v>
      </c>
      <c r="AG229" s="838"/>
      <c r="AH229" s="866"/>
      <c r="AI229" s="273"/>
      <c r="AJ229" s="847"/>
      <c r="AK229" s="848"/>
      <c r="AL229" s="867"/>
      <c r="AM229" s="273"/>
      <c r="AN229" s="847"/>
      <c r="AO229" s="848"/>
      <c r="AP229" s="284" t="s">
        <v>1107</v>
      </c>
      <c r="AQ229" s="273" t="s">
        <v>1108</v>
      </c>
      <c r="AR229" s="285">
        <v>7</v>
      </c>
      <c r="AS229" s="286" t="s">
        <v>1109</v>
      </c>
      <c r="AT229" s="867" t="s">
        <v>1657</v>
      </c>
      <c r="AU229" s="273" t="s">
        <v>1658</v>
      </c>
      <c r="AV229" s="847">
        <v>6</v>
      </c>
      <c r="AW229" s="286" t="s">
        <v>1659</v>
      </c>
      <c r="AX229" s="867"/>
      <c r="AY229" s="273"/>
      <c r="AZ229" s="847"/>
      <c r="BA229" s="848"/>
      <c r="BB229" s="866"/>
      <c r="BC229" s="273"/>
      <c r="BD229" s="847"/>
      <c r="BE229" s="848"/>
      <c r="BF229" s="838"/>
    </row>
    <row r="230" spans="1:58" s="87" customFormat="1" ht="54" hidden="1" customHeight="1" x14ac:dyDescent="0.25">
      <c r="A230" s="267" t="s">
        <v>1468</v>
      </c>
      <c r="B230" s="268">
        <v>41</v>
      </c>
      <c r="C230" s="240" t="s">
        <v>1022</v>
      </c>
      <c r="D230" s="211" t="s">
        <v>1023</v>
      </c>
      <c r="E230" s="268" t="s">
        <v>1660</v>
      </c>
      <c r="F230" s="861" t="s">
        <v>1661</v>
      </c>
      <c r="G230" s="269" t="s">
        <v>1662</v>
      </c>
      <c r="H230" s="845" t="s">
        <v>1661</v>
      </c>
      <c r="I230" s="208" t="s">
        <v>1663</v>
      </c>
      <c r="J230" s="240" t="s">
        <v>140</v>
      </c>
      <c r="K230" s="270" t="s">
        <v>140</v>
      </c>
      <c r="L230" s="862" t="s">
        <v>1664</v>
      </c>
      <c r="M230" s="206" t="s">
        <v>973</v>
      </c>
      <c r="N230" s="211" t="s">
        <v>974</v>
      </c>
      <c r="O230" s="240" t="s">
        <v>814</v>
      </c>
      <c r="P230" s="240" t="s">
        <v>815</v>
      </c>
      <c r="Q230" s="845" t="s">
        <v>144</v>
      </c>
      <c r="R230" s="208" t="s">
        <v>144</v>
      </c>
      <c r="S230" s="864" t="s">
        <v>147</v>
      </c>
      <c r="T230" s="212" t="s">
        <v>144</v>
      </c>
      <c r="U230" s="213" t="s">
        <v>144</v>
      </c>
      <c r="V230" s="307">
        <v>3</v>
      </c>
      <c r="W230" s="415" t="s">
        <v>144</v>
      </c>
      <c r="X230" s="212">
        <v>40</v>
      </c>
      <c r="Y230" s="212" t="s">
        <v>144</v>
      </c>
      <c r="Z230" s="212" t="s">
        <v>144</v>
      </c>
      <c r="AA230" s="240" t="s">
        <v>398</v>
      </c>
      <c r="AB230" s="206" t="s">
        <v>140</v>
      </c>
      <c r="AC230" s="847" t="s">
        <v>265</v>
      </c>
      <c r="AD230" s="847" t="s">
        <v>144</v>
      </c>
      <c r="AE230" s="847" t="s">
        <v>144</v>
      </c>
      <c r="AF230" s="848" t="s">
        <v>144</v>
      </c>
      <c r="AG230" s="838"/>
      <c r="AH230" s="866" t="s">
        <v>1665</v>
      </c>
      <c r="AI230" s="273" t="s">
        <v>1666</v>
      </c>
      <c r="AJ230" s="847">
        <v>7</v>
      </c>
      <c r="AK230" s="848" t="s">
        <v>1280</v>
      </c>
      <c r="AL230" s="185" t="s">
        <v>294</v>
      </c>
      <c r="AM230" s="186" t="s">
        <v>295</v>
      </c>
      <c r="AN230" s="847">
        <v>7</v>
      </c>
      <c r="AO230" s="187" t="s">
        <v>966</v>
      </c>
      <c r="AP230" s="867"/>
      <c r="AQ230" s="273"/>
      <c r="AR230" s="847"/>
      <c r="AS230" s="848"/>
      <c r="AT230" s="867"/>
      <c r="AU230" s="273"/>
      <c r="AV230" s="847"/>
      <c r="AW230" s="848"/>
      <c r="AX230" s="867"/>
      <c r="AY230" s="273"/>
      <c r="AZ230" s="847"/>
      <c r="BA230" s="848"/>
      <c r="BB230" s="866"/>
      <c r="BC230" s="273"/>
      <c r="BD230" s="847"/>
      <c r="BE230" s="848"/>
      <c r="BF230" s="838"/>
    </row>
    <row r="231" spans="1:58" s="87" customFormat="1" ht="54" hidden="1" customHeight="1" x14ac:dyDescent="0.25">
      <c r="A231" s="267" t="s">
        <v>1468</v>
      </c>
      <c r="B231" s="268">
        <v>42</v>
      </c>
      <c r="C231" s="240" t="s">
        <v>256</v>
      </c>
      <c r="D231" s="211" t="s">
        <v>257</v>
      </c>
      <c r="E231" s="268" t="s">
        <v>1667</v>
      </c>
      <c r="F231" s="861" t="s">
        <v>1442</v>
      </c>
      <c r="G231" s="269" t="s">
        <v>1443</v>
      </c>
      <c r="H231" s="845" t="s">
        <v>1668</v>
      </c>
      <c r="I231" s="208" t="s">
        <v>1443</v>
      </c>
      <c r="J231" s="240" t="s">
        <v>140</v>
      </c>
      <c r="K231" s="270" t="s">
        <v>140</v>
      </c>
      <c r="L231" s="862" t="s">
        <v>1446</v>
      </c>
      <c r="M231" s="206" t="s">
        <v>142</v>
      </c>
      <c r="N231" s="211" t="s">
        <v>143</v>
      </c>
      <c r="O231" s="240" t="s">
        <v>144</v>
      </c>
      <c r="P231" s="240" t="s">
        <v>144</v>
      </c>
      <c r="Q231" s="845" t="s">
        <v>1669</v>
      </c>
      <c r="R231" s="208" t="s">
        <v>1670</v>
      </c>
      <c r="S231" s="864" t="s">
        <v>147</v>
      </c>
      <c r="T231" s="212" t="s">
        <v>144</v>
      </c>
      <c r="U231" s="213" t="s">
        <v>144</v>
      </c>
      <c r="V231" s="847">
        <v>40</v>
      </c>
      <c r="W231" s="415" t="s">
        <v>144</v>
      </c>
      <c r="X231" s="212">
        <v>41</v>
      </c>
      <c r="Y231" s="212" t="s">
        <v>144</v>
      </c>
      <c r="Z231" s="212" t="s">
        <v>144</v>
      </c>
      <c r="AA231" s="240" t="s">
        <v>1671</v>
      </c>
      <c r="AB231" s="206" t="s">
        <v>140</v>
      </c>
      <c r="AC231" s="847" t="s">
        <v>265</v>
      </c>
      <c r="AD231" s="847" t="s">
        <v>144</v>
      </c>
      <c r="AE231" s="847" t="s">
        <v>144</v>
      </c>
      <c r="AF231" s="848" t="s">
        <v>144</v>
      </c>
      <c r="AG231" s="838"/>
      <c r="AH231" s="866" t="s">
        <v>266</v>
      </c>
      <c r="AI231" s="273" t="s">
        <v>267</v>
      </c>
      <c r="AJ231" s="847">
        <v>5</v>
      </c>
      <c r="AK231" s="848" t="s">
        <v>1046</v>
      </c>
      <c r="AL231" s="867"/>
      <c r="AM231" s="273"/>
      <c r="AN231" s="847"/>
      <c r="AO231" s="848"/>
      <c r="AP231" s="867"/>
      <c r="AQ231" s="273"/>
      <c r="AR231" s="847"/>
      <c r="AS231" s="848"/>
      <c r="AT231" s="867"/>
      <c r="AU231" s="273"/>
      <c r="AV231" s="847"/>
      <c r="AW231" s="848"/>
      <c r="AX231" s="867"/>
      <c r="AY231" s="273"/>
      <c r="AZ231" s="847"/>
      <c r="BA231" s="848"/>
      <c r="BB231" s="866"/>
      <c r="BC231" s="273"/>
      <c r="BD231" s="847"/>
      <c r="BE231" s="848"/>
      <c r="BF231" s="838"/>
    </row>
    <row r="232" spans="1:58" s="87" customFormat="1" ht="54" hidden="1" customHeight="1" x14ac:dyDescent="0.25">
      <c r="A232" s="267" t="s">
        <v>1468</v>
      </c>
      <c r="B232" s="268">
        <v>43</v>
      </c>
      <c r="C232" s="240" t="s">
        <v>1022</v>
      </c>
      <c r="D232" s="211" t="s">
        <v>1023</v>
      </c>
      <c r="E232" s="298" t="s">
        <v>1672</v>
      </c>
      <c r="F232" s="845" t="s">
        <v>1673</v>
      </c>
      <c r="G232" s="208" t="s">
        <v>1674</v>
      </c>
      <c r="H232" s="845" t="s">
        <v>1675</v>
      </c>
      <c r="I232" s="208" t="s">
        <v>1676</v>
      </c>
      <c r="J232" s="240" t="s">
        <v>140</v>
      </c>
      <c r="K232" s="270" t="s">
        <v>140</v>
      </c>
      <c r="L232" s="862" t="s">
        <v>1677</v>
      </c>
      <c r="M232" s="206" t="s">
        <v>193</v>
      </c>
      <c r="N232" s="211" t="s">
        <v>194</v>
      </c>
      <c r="O232" s="240" t="s">
        <v>144</v>
      </c>
      <c r="P232" s="240" t="s">
        <v>144</v>
      </c>
      <c r="Q232" s="845" t="s">
        <v>1678</v>
      </c>
      <c r="R232" s="208" t="s">
        <v>1679</v>
      </c>
      <c r="S232" s="864" t="s">
        <v>147</v>
      </c>
      <c r="T232" s="212" t="s">
        <v>144</v>
      </c>
      <c r="U232" s="213" t="s">
        <v>144</v>
      </c>
      <c r="V232" s="847">
        <v>5</v>
      </c>
      <c r="W232" s="415" t="s">
        <v>144</v>
      </c>
      <c r="X232" s="212">
        <v>40</v>
      </c>
      <c r="Y232" s="212" t="s">
        <v>144</v>
      </c>
      <c r="Z232" s="212" t="s">
        <v>144</v>
      </c>
      <c r="AA232" s="240" t="s">
        <v>148</v>
      </c>
      <c r="AB232" s="206" t="s">
        <v>140</v>
      </c>
      <c r="AC232" s="847" t="s">
        <v>265</v>
      </c>
      <c r="AD232" s="847" t="s">
        <v>144</v>
      </c>
      <c r="AE232" s="847" t="s">
        <v>144</v>
      </c>
      <c r="AF232" s="848" t="s">
        <v>144</v>
      </c>
      <c r="AG232" s="838"/>
      <c r="AH232" s="866"/>
      <c r="AI232" s="273"/>
      <c r="AJ232" s="847"/>
      <c r="AK232" s="848"/>
      <c r="AL232" s="867"/>
      <c r="AM232" s="273"/>
      <c r="AN232" s="847"/>
      <c r="AO232" s="848"/>
      <c r="AP232" s="867"/>
      <c r="AQ232" s="273"/>
      <c r="AR232" s="847"/>
      <c r="AS232" s="848"/>
      <c r="AT232" s="867"/>
      <c r="AU232" s="273"/>
      <c r="AV232" s="847"/>
      <c r="AW232" s="848"/>
      <c r="AX232" s="867" t="s">
        <v>1680</v>
      </c>
      <c r="AY232" s="273" t="s">
        <v>1681</v>
      </c>
      <c r="AZ232" s="847">
        <v>7</v>
      </c>
      <c r="BA232" s="848" t="s">
        <v>1682</v>
      </c>
      <c r="BB232" s="866"/>
      <c r="BC232" s="273"/>
      <c r="BD232" s="847"/>
      <c r="BE232" s="848"/>
      <c r="BF232" s="838"/>
    </row>
    <row r="233" spans="1:58" s="87" customFormat="1" ht="54" hidden="1" customHeight="1" x14ac:dyDescent="0.25">
      <c r="A233" s="267" t="s">
        <v>1468</v>
      </c>
      <c r="B233" s="268">
        <v>44</v>
      </c>
      <c r="C233" s="240" t="s">
        <v>256</v>
      </c>
      <c r="D233" s="211" t="s">
        <v>257</v>
      </c>
      <c r="E233" s="268" t="s">
        <v>1683</v>
      </c>
      <c r="F233" s="861" t="s">
        <v>1449</v>
      </c>
      <c r="G233" s="269" t="s">
        <v>1450</v>
      </c>
      <c r="H233" s="845" t="s">
        <v>1451</v>
      </c>
      <c r="I233" s="208" t="s">
        <v>1452</v>
      </c>
      <c r="J233" s="240" t="s">
        <v>140</v>
      </c>
      <c r="K233" s="270" t="s">
        <v>140</v>
      </c>
      <c r="L233" s="862" t="s">
        <v>1453</v>
      </c>
      <c r="M233" s="206" t="s">
        <v>142</v>
      </c>
      <c r="N233" s="211" t="s">
        <v>143</v>
      </c>
      <c r="O233" s="240" t="s">
        <v>144</v>
      </c>
      <c r="P233" s="240" t="s">
        <v>144</v>
      </c>
      <c r="Q233" s="845" t="s">
        <v>1454</v>
      </c>
      <c r="R233" s="208" t="s">
        <v>1455</v>
      </c>
      <c r="S233" s="864" t="s">
        <v>147</v>
      </c>
      <c r="T233" s="212" t="s">
        <v>144</v>
      </c>
      <c r="U233" s="213" t="s">
        <v>144</v>
      </c>
      <c r="V233" s="847">
        <v>20</v>
      </c>
      <c r="W233" s="415" t="s">
        <v>144</v>
      </c>
      <c r="X233" s="212">
        <v>43</v>
      </c>
      <c r="Y233" s="212" t="s">
        <v>144</v>
      </c>
      <c r="Z233" s="214" t="s">
        <v>144</v>
      </c>
      <c r="AA233" s="343" t="s">
        <v>148</v>
      </c>
      <c r="AB233" s="206" t="s">
        <v>140</v>
      </c>
      <c r="AC233" s="847" t="s">
        <v>265</v>
      </c>
      <c r="AD233" s="847" t="s">
        <v>144</v>
      </c>
      <c r="AE233" s="847" t="s">
        <v>144</v>
      </c>
      <c r="AF233" s="848" t="s">
        <v>144</v>
      </c>
      <c r="AG233" s="838"/>
      <c r="AH233" s="866" t="s">
        <v>266</v>
      </c>
      <c r="AI233" s="273" t="s">
        <v>267</v>
      </c>
      <c r="AJ233" s="847">
        <v>7</v>
      </c>
      <c r="AK233" s="848" t="s">
        <v>1046</v>
      </c>
      <c r="AL233" s="867"/>
      <c r="AM233" s="273"/>
      <c r="AN233" s="847"/>
      <c r="AO233" s="848"/>
      <c r="AP233" s="867"/>
      <c r="AQ233" s="273"/>
      <c r="AR233" s="847"/>
      <c r="AS233" s="848"/>
      <c r="AT233" s="867"/>
      <c r="AU233" s="273"/>
      <c r="AV233" s="847"/>
      <c r="AW233" s="848"/>
      <c r="AX233" s="867"/>
      <c r="AY233" s="273"/>
      <c r="AZ233" s="847"/>
      <c r="BA233" s="848"/>
      <c r="BB233" s="866"/>
      <c r="BC233" s="273"/>
      <c r="BD233" s="847"/>
      <c r="BE233" s="848"/>
      <c r="BF233" s="838"/>
    </row>
    <row r="234" spans="1:58" s="87" customFormat="1" ht="54" hidden="1" customHeight="1" x14ac:dyDescent="0.25">
      <c r="A234" s="267" t="s">
        <v>1468</v>
      </c>
      <c r="B234" s="268">
        <v>45</v>
      </c>
      <c r="C234" s="240" t="s">
        <v>1022</v>
      </c>
      <c r="D234" s="211" t="s">
        <v>1023</v>
      </c>
      <c r="E234" s="268" t="s">
        <v>1684</v>
      </c>
      <c r="F234" s="861" t="s">
        <v>1457</v>
      </c>
      <c r="G234" s="269" t="s">
        <v>1458</v>
      </c>
      <c r="H234" s="861" t="s">
        <v>1459</v>
      </c>
      <c r="I234" s="269" t="s">
        <v>1460</v>
      </c>
      <c r="J234" s="296" t="s">
        <v>140</v>
      </c>
      <c r="K234" s="297" t="s">
        <v>140</v>
      </c>
      <c r="L234" s="862" t="s">
        <v>1461</v>
      </c>
      <c r="M234" s="206" t="s">
        <v>193</v>
      </c>
      <c r="N234" s="211" t="s">
        <v>194</v>
      </c>
      <c r="O234" s="240" t="s">
        <v>1462</v>
      </c>
      <c r="P234" s="240" t="s">
        <v>1463</v>
      </c>
      <c r="Q234" s="863" t="s">
        <v>1464</v>
      </c>
      <c r="R234" s="271" t="s">
        <v>1465</v>
      </c>
      <c r="S234" s="864" t="s">
        <v>965</v>
      </c>
      <c r="T234" s="212" t="s">
        <v>144</v>
      </c>
      <c r="U234" s="213" t="s">
        <v>144</v>
      </c>
      <c r="V234" s="847">
        <v>5</v>
      </c>
      <c r="W234" s="415" t="s">
        <v>144</v>
      </c>
      <c r="X234" s="212">
        <v>43</v>
      </c>
      <c r="Y234" s="212" t="s">
        <v>144</v>
      </c>
      <c r="Z234" s="241" t="s">
        <v>144</v>
      </c>
      <c r="AA234" s="343" t="s">
        <v>148</v>
      </c>
      <c r="AB234" s="206" t="s">
        <v>140</v>
      </c>
      <c r="AC234" s="847" t="s">
        <v>265</v>
      </c>
      <c r="AD234" s="847" t="s">
        <v>144</v>
      </c>
      <c r="AE234" s="847" t="s">
        <v>144</v>
      </c>
      <c r="AF234" s="848" t="s">
        <v>144</v>
      </c>
      <c r="AG234" s="838"/>
      <c r="AH234" s="866"/>
      <c r="AI234" s="273"/>
      <c r="AJ234" s="847"/>
      <c r="AK234" s="848"/>
      <c r="AL234" s="185" t="s">
        <v>294</v>
      </c>
      <c r="AM234" s="186" t="s">
        <v>295</v>
      </c>
      <c r="AN234" s="847">
        <v>7</v>
      </c>
      <c r="AO234" s="187" t="s">
        <v>966</v>
      </c>
      <c r="AP234" s="867"/>
      <c r="AQ234" s="273"/>
      <c r="AR234" s="847"/>
      <c r="AS234" s="848"/>
      <c r="AT234" s="867"/>
      <c r="AU234" s="273"/>
      <c r="AV234" s="847"/>
      <c r="AW234" s="848"/>
      <c r="AX234" s="867"/>
      <c r="AY234" s="273"/>
      <c r="AZ234" s="847"/>
      <c r="BA234" s="848"/>
      <c r="BB234" s="866"/>
      <c r="BC234" s="273"/>
      <c r="BD234" s="847"/>
      <c r="BE234" s="848"/>
      <c r="BF234" s="838"/>
    </row>
    <row r="235" spans="1:58" s="60" customFormat="1" ht="54" customHeight="1" thickBot="1" x14ac:dyDescent="0.3">
      <c r="A235" s="587" t="s">
        <v>1468</v>
      </c>
      <c r="B235" s="588">
        <v>46</v>
      </c>
      <c r="C235" s="576" t="s">
        <v>144</v>
      </c>
      <c r="D235" s="576" t="s">
        <v>144</v>
      </c>
      <c r="E235" s="588" t="s">
        <v>1685</v>
      </c>
      <c r="F235" s="589" t="s">
        <v>251</v>
      </c>
      <c r="G235" s="589" t="s">
        <v>251</v>
      </c>
      <c r="H235" s="577" t="s">
        <v>336</v>
      </c>
      <c r="I235" s="597" t="s">
        <v>337</v>
      </c>
      <c r="J235" s="592" t="s">
        <v>144</v>
      </c>
      <c r="K235" s="592" t="s">
        <v>144</v>
      </c>
      <c r="L235" s="719" t="s">
        <v>1467</v>
      </c>
      <c r="M235" s="592" t="s">
        <v>144</v>
      </c>
      <c r="N235" s="592" t="s">
        <v>144</v>
      </c>
      <c r="O235" s="592" t="s">
        <v>144</v>
      </c>
      <c r="P235" s="592" t="s">
        <v>144</v>
      </c>
      <c r="Q235" s="577" t="s">
        <v>338</v>
      </c>
      <c r="R235" s="577" t="s">
        <v>339</v>
      </c>
      <c r="S235" s="588" t="s">
        <v>147</v>
      </c>
      <c r="T235" s="579" t="s">
        <v>144</v>
      </c>
      <c r="U235" s="579" t="s">
        <v>144</v>
      </c>
      <c r="V235" s="607">
        <f>8000-(SUM(V190:V234)+COUNT(V190:V234))</f>
        <v>7412</v>
      </c>
      <c r="W235" s="592" t="s">
        <v>144</v>
      </c>
      <c r="X235" s="579" t="s">
        <v>1686</v>
      </c>
      <c r="Y235" s="579" t="s">
        <v>144</v>
      </c>
      <c r="Z235" s="581" t="s">
        <v>25</v>
      </c>
      <c r="AA235" s="592" t="s">
        <v>144</v>
      </c>
      <c r="AB235" s="576" t="s">
        <v>144</v>
      </c>
      <c r="AC235" s="592" t="s">
        <v>265</v>
      </c>
      <c r="AD235" s="592" t="s">
        <v>144</v>
      </c>
      <c r="AE235" s="592" t="s">
        <v>144</v>
      </c>
      <c r="AF235" s="594" t="s">
        <v>144</v>
      </c>
      <c r="AG235" s="680"/>
      <c r="AH235" s="595"/>
      <c r="AI235" s="596"/>
      <c r="AJ235" s="592"/>
      <c r="AK235" s="594"/>
      <c r="AL235" s="596"/>
      <c r="AM235" s="596"/>
      <c r="AN235" s="592"/>
      <c r="AO235" s="594"/>
      <c r="AP235" s="596"/>
      <c r="AQ235" s="596"/>
      <c r="AR235" s="592"/>
      <c r="AS235" s="594"/>
      <c r="AT235" s="596"/>
      <c r="AU235" s="596"/>
      <c r="AV235" s="592"/>
      <c r="AW235" s="594"/>
      <c r="AX235" s="596"/>
      <c r="AY235" s="596"/>
      <c r="AZ235" s="592"/>
      <c r="BA235" s="594"/>
      <c r="BB235" s="595"/>
      <c r="BC235" s="596"/>
      <c r="BD235" s="592"/>
      <c r="BE235" s="594"/>
      <c r="BF235" s="680"/>
    </row>
    <row r="236" spans="1:58" s="88" customFormat="1" ht="54" hidden="1" customHeight="1" x14ac:dyDescent="0.25">
      <c r="A236" s="255" t="s">
        <v>1687</v>
      </c>
      <c r="B236" s="256">
        <v>1</v>
      </c>
      <c r="C236" s="260" t="s">
        <v>256</v>
      </c>
      <c r="D236" s="261" t="s">
        <v>257</v>
      </c>
      <c r="E236" s="256" t="s">
        <v>1688</v>
      </c>
      <c r="F236" s="850" t="s">
        <v>259</v>
      </c>
      <c r="G236" s="257" t="s">
        <v>229</v>
      </c>
      <c r="H236" s="258" t="s">
        <v>260</v>
      </c>
      <c r="I236" s="259" t="s">
        <v>261</v>
      </c>
      <c r="J236" s="308" t="s">
        <v>140</v>
      </c>
      <c r="K236" s="309" t="s">
        <v>140</v>
      </c>
      <c r="L236" s="851" t="s">
        <v>924</v>
      </c>
      <c r="M236" s="852" t="s">
        <v>142</v>
      </c>
      <c r="N236" s="263" t="s">
        <v>143</v>
      </c>
      <c r="O236" s="260" t="s">
        <v>144</v>
      </c>
      <c r="P236" s="260" t="s">
        <v>144</v>
      </c>
      <c r="Q236" s="258" t="s">
        <v>262</v>
      </c>
      <c r="R236" s="259" t="s">
        <v>263</v>
      </c>
      <c r="S236" s="170" t="s">
        <v>233</v>
      </c>
      <c r="T236" s="264" t="s">
        <v>234</v>
      </c>
      <c r="U236" s="265" t="s">
        <v>235</v>
      </c>
      <c r="V236" s="852">
        <v>8</v>
      </c>
      <c r="W236" s="853" t="s">
        <v>144</v>
      </c>
      <c r="X236" s="264" t="s">
        <v>925</v>
      </c>
      <c r="Y236" s="264" t="s">
        <v>144</v>
      </c>
      <c r="Z236" s="433" t="s">
        <v>144</v>
      </c>
      <c r="AA236" s="617" t="s">
        <v>1689</v>
      </c>
      <c r="AB236" s="262" t="s">
        <v>140</v>
      </c>
      <c r="AC236" s="852" t="s">
        <v>265</v>
      </c>
      <c r="AD236" s="852" t="s">
        <v>1690</v>
      </c>
      <c r="AE236" s="852" t="s">
        <v>144</v>
      </c>
      <c r="AF236" s="855" t="s">
        <v>144</v>
      </c>
      <c r="AG236" s="838"/>
      <c r="AH236" s="856" t="s">
        <v>266</v>
      </c>
      <c r="AI236" s="266" t="s">
        <v>267</v>
      </c>
      <c r="AJ236" s="857"/>
      <c r="AK236" s="858" t="s">
        <v>268</v>
      </c>
      <c r="AL236" s="859"/>
      <c r="AM236" s="266"/>
      <c r="AN236" s="857"/>
      <c r="AO236" s="858"/>
      <c r="AP236" s="859" t="s">
        <v>926</v>
      </c>
      <c r="AQ236" s="266" t="s">
        <v>270</v>
      </c>
      <c r="AR236" s="857"/>
      <c r="AS236" s="858" t="s">
        <v>271</v>
      </c>
      <c r="AT236" s="876" t="s">
        <v>272</v>
      </c>
      <c r="AU236" s="310" t="s">
        <v>273</v>
      </c>
      <c r="AV236" s="857"/>
      <c r="AW236" s="858" t="s">
        <v>274</v>
      </c>
      <c r="AX236" s="859"/>
      <c r="AY236" s="266"/>
      <c r="AZ236" s="857"/>
      <c r="BA236" s="858"/>
      <c r="BB236" s="856"/>
      <c r="BC236" s="266"/>
      <c r="BD236" s="857"/>
      <c r="BE236" s="858"/>
      <c r="BF236" s="838"/>
    </row>
    <row r="237" spans="1:58" s="88" customFormat="1" ht="54" hidden="1" customHeight="1" x14ac:dyDescent="0.25">
      <c r="A237" s="267" t="s">
        <v>1687</v>
      </c>
      <c r="B237" s="268">
        <v>2</v>
      </c>
      <c r="C237" s="240" t="s">
        <v>256</v>
      </c>
      <c r="D237" s="270" t="s">
        <v>257</v>
      </c>
      <c r="E237" s="268" t="s">
        <v>1691</v>
      </c>
      <c r="F237" s="861" t="s">
        <v>276</v>
      </c>
      <c r="G237" s="269" t="s">
        <v>277</v>
      </c>
      <c r="H237" s="845" t="s">
        <v>928</v>
      </c>
      <c r="I237" s="208" t="s">
        <v>1692</v>
      </c>
      <c r="J237" s="240" t="s">
        <v>140</v>
      </c>
      <c r="K237" s="270" t="s">
        <v>140</v>
      </c>
      <c r="L237" s="862" t="s">
        <v>929</v>
      </c>
      <c r="M237" s="847" t="s">
        <v>142</v>
      </c>
      <c r="N237" s="211" t="s">
        <v>143</v>
      </c>
      <c r="O237" s="240" t="s">
        <v>179</v>
      </c>
      <c r="P237" s="240" t="s">
        <v>280</v>
      </c>
      <c r="Q237" s="845" t="s">
        <v>144</v>
      </c>
      <c r="R237" s="208" t="s">
        <v>144</v>
      </c>
      <c r="S237" s="864" t="s">
        <v>147</v>
      </c>
      <c r="T237" s="212" t="s">
        <v>144</v>
      </c>
      <c r="U237" s="213" t="s">
        <v>144</v>
      </c>
      <c r="V237" s="847">
        <v>5</v>
      </c>
      <c r="W237" s="415" t="s">
        <v>144</v>
      </c>
      <c r="X237" s="212" t="s">
        <v>925</v>
      </c>
      <c r="Y237" s="212" t="s">
        <v>144</v>
      </c>
      <c r="Z237" s="433" t="s">
        <v>144</v>
      </c>
      <c r="AA237" s="437" t="s">
        <v>1693</v>
      </c>
      <c r="AB237" s="206" t="s">
        <v>140</v>
      </c>
      <c r="AC237" s="847" t="s">
        <v>265</v>
      </c>
      <c r="AD237" s="847" t="s">
        <v>1690</v>
      </c>
      <c r="AE237" s="847" t="s">
        <v>144</v>
      </c>
      <c r="AF237" s="848" t="s">
        <v>144</v>
      </c>
      <c r="AG237" s="838"/>
      <c r="AH237" s="866" t="s">
        <v>266</v>
      </c>
      <c r="AI237" s="273" t="s">
        <v>267</v>
      </c>
      <c r="AJ237" s="847"/>
      <c r="AK237" s="848" t="s">
        <v>281</v>
      </c>
      <c r="AL237" s="867" t="s">
        <v>282</v>
      </c>
      <c r="AM237" s="273" t="s">
        <v>283</v>
      </c>
      <c r="AN237" s="864"/>
      <c r="AO237" s="868" t="s">
        <v>284</v>
      </c>
      <c r="AP237" s="867"/>
      <c r="AQ237" s="273"/>
      <c r="AR237" s="847"/>
      <c r="AS237" s="848"/>
      <c r="AT237" s="867"/>
      <c r="AU237" s="273"/>
      <c r="AV237" s="847"/>
      <c r="AW237" s="848"/>
      <c r="AX237" s="134" t="s">
        <v>930</v>
      </c>
      <c r="AY237" s="135" t="s">
        <v>931</v>
      </c>
      <c r="AZ237" s="847">
        <v>7</v>
      </c>
      <c r="BA237" s="848" t="s">
        <v>932</v>
      </c>
      <c r="BB237" s="877"/>
      <c r="BC237" s="301"/>
      <c r="BD237" s="847"/>
      <c r="BE237" s="848"/>
      <c r="BF237" s="838"/>
    </row>
    <row r="238" spans="1:58" s="88" customFormat="1" ht="54" hidden="1" customHeight="1" x14ac:dyDescent="0.25">
      <c r="A238" s="267" t="s">
        <v>1687</v>
      </c>
      <c r="B238" s="268">
        <v>3</v>
      </c>
      <c r="C238" s="240" t="s">
        <v>256</v>
      </c>
      <c r="D238" s="270" t="s">
        <v>257</v>
      </c>
      <c r="E238" s="268" t="s">
        <v>1694</v>
      </c>
      <c r="F238" s="861" t="s">
        <v>286</v>
      </c>
      <c r="G238" s="269" t="s">
        <v>287</v>
      </c>
      <c r="H238" s="845" t="s">
        <v>288</v>
      </c>
      <c r="I238" s="208" t="s">
        <v>289</v>
      </c>
      <c r="J238" s="240" t="s">
        <v>140</v>
      </c>
      <c r="K238" s="270" t="s">
        <v>140</v>
      </c>
      <c r="L238" s="862" t="s">
        <v>934</v>
      </c>
      <c r="M238" s="847" t="s">
        <v>142</v>
      </c>
      <c r="N238" s="211" t="s">
        <v>143</v>
      </c>
      <c r="O238" s="437" t="s">
        <v>144</v>
      </c>
      <c r="P238" s="181" t="s">
        <v>290</v>
      </c>
      <c r="Q238" s="209" t="s">
        <v>291</v>
      </c>
      <c r="R238" s="210" t="s">
        <v>292</v>
      </c>
      <c r="S238" s="864" t="s">
        <v>147</v>
      </c>
      <c r="T238" s="212" t="s">
        <v>144</v>
      </c>
      <c r="U238" s="213" t="s">
        <v>144</v>
      </c>
      <c r="V238" s="847">
        <v>12</v>
      </c>
      <c r="W238" s="415" t="s">
        <v>144</v>
      </c>
      <c r="X238" s="212" t="s">
        <v>925</v>
      </c>
      <c r="Y238" s="212" t="s">
        <v>144</v>
      </c>
      <c r="Z238" s="212" t="s">
        <v>144</v>
      </c>
      <c r="AA238" s="240" t="s">
        <v>148</v>
      </c>
      <c r="AB238" s="206" t="s">
        <v>140</v>
      </c>
      <c r="AC238" s="847" t="s">
        <v>265</v>
      </c>
      <c r="AD238" s="847" t="s">
        <v>1690</v>
      </c>
      <c r="AE238" s="847" t="s">
        <v>144</v>
      </c>
      <c r="AF238" s="848" t="s">
        <v>144</v>
      </c>
      <c r="AG238" s="838"/>
      <c r="AH238" s="866" t="s">
        <v>266</v>
      </c>
      <c r="AI238" s="274" t="s">
        <v>267</v>
      </c>
      <c r="AJ238" s="864"/>
      <c r="AK238" s="868" t="s">
        <v>293</v>
      </c>
      <c r="AL238" s="867" t="s">
        <v>294</v>
      </c>
      <c r="AM238" s="273" t="s">
        <v>295</v>
      </c>
      <c r="AN238" s="864"/>
      <c r="AO238" s="848" t="s">
        <v>296</v>
      </c>
      <c r="AP238" s="867"/>
      <c r="AQ238" s="273"/>
      <c r="AR238" s="847"/>
      <c r="AS238" s="848"/>
      <c r="AT238" s="867"/>
      <c r="AU238" s="273"/>
      <c r="AV238" s="847"/>
      <c r="AW238" s="848"/>
      <c r="AX238" s="867"/>
      <c r="AY238" s="273"/>
      <c r="AZ238" s="847"/>
      <c r="BA238" s="848"/>
      <c r="BB238" s="866"/>
      <c r="BC238" s="273"/>
      <c r="BD238" s="847"/>
      <c r="BE238" s="848"/>
      <c r="BF238" s="838"/>
    </row>
    <row r="239" spans="1:58" s="88" customFormat="1" ht="54" hidden="1" customHeight="1" x14ac:dyDescent="0.25">
      <c r="A239" s="267" t="s">
        <v>1687</v>
      </c>
      <c r="B239" s="268">
        <v>4</v>
      </c>
      <c r="C239" s="240" t="s">
        <v>297</v>
      </c>
      <c r="D239" s="270" t="s">
        <v>298</v>
      </c>
      <c r="E239" s="268" t="s">
        <v>1695</v>
      </c>
      <c r="F239" s="861" t="s">
        <v>300</v>
      </c>
      <c r="G239" s="269" t="s">
        <v>301</v>
      </c>
      <c r="H239" s="209" t="s">
        <v>302</v>
      </c>
      <c r="I239" s="210" t="s">
        <v>303</v>
      </c>
      <c r="J239" s="296" t="s">
        <v>140</v>
      </c>
      <c r="K239" s="297" t="s">
        <v>140</v>
      </c>
      <c r="L239" s="862" t="s">
        <v>936</v>
      </c>
      <c r="M239" s="847" t="s">
        <v>142</v>
      </c>
      <c r="N239" s="211" t="s">
        <v>143</v>
      </c>
      <c r="O239" s="240" t="s">
        <v>144</v>
      </c>
      <c r="P239" s="240" t="s">
        <v>144</v>
      </c>
      <c r="Q239" s="209" t="s">
        <v>304</v>
      </c>
      <c r="R239" s="210" t="s">
        <v>305</v>
      </c>
      <c r="S239" s="864" t="s">
        <v>147</v>
      </c>
      <c r="T239" s="212" t="s">
        <v>144</v>
      </c>
      <c r="U239" s="213" t="s">
        <v>144</v>
      </c>
      <c r="V239" s="847">
        <v>1</v>
      </c>
      <c r="W239" s="415" t="s">
        <v>144</v>
      </c>
      <c r="X239" s="212" t="s">
        <v>925</v>
      </c>
      <c r="Y239" s="212" t="s">
        <v>144</v>
      </c>
      <c r="Z239" s="212" t="s">
        <v>144</v>
      </c>
      <c r="AA239" s="240" t="s">
        <v>148</v>
      </c>
      <c r="AB239" s="206" t="s">
        <v>140</v>
      </c>
      <c r="AC239" s="847" t="s">
        <v>265</v>
      </c>
      <c r="AD239" s="847" t="s">
        <v>1690</v>
      </c>
      <c r="AE239" s="847" t="s">
        <v>144</v>
      </c>
      <c r="AF239" s="848" t="s">
        <v>144</v>
      </c>
      <c r="AG239" s="838"/>
      <c r="AH239" s="866" t="s">
        <v>266</v>
      </c>
      <c r="AI239" s="273" t="s">
        <v>267</v>
      </c>
      <c r="AJ239" s="847"/>
      <c r="AK239" s="848" t="s">
        <v>306</v>
      </c>
      <c r="AL239" s="867"/>
      <c r="AM239" s="273"/>
      <c r="AN239" s="847"/>
      <c r="AO239" s="848"/>
      <c r="AP239" s="867" t="s">
        <v>307</v>
      </c>
      <c r="AQ239" s="273" t="s">
        <v>937</v>
      </c>
      <c r="AR239" s="847"/>
      <c r="AS239" s="848" t="s">
        <v>309</v>
      </c>
      <c r="AT239" s="867"/>
      <c r="AU239" s="273"/>
      <c r="AV239" s="847"/>
      <c r="AW239" s="848"/>
      <c r="AX239" s="867"/>
      <c r="AY239" s="273"/>
      <c r="AZ239" s="847"/>
      <c r="BA239" s="848"/>
      <c r="BB239" s="866"/>
      <c r="BC239" s="273"/>
      <c r="BD239" s="847"/>
      <c r="BE239" s="848"/>
      <c r="BF239" s="838"/>
    </row>
    <row r="240" spans="1:58" s="88" customFormat="1" ht="54" hidden="1" customHeight="1" x14ac:dyDescent="0.25">
      <c r="A240" s="267" t="s">
        <v>1687</v>
      </c>
      <c r="B240" s="268">
        <v>5</v>
      </c>
      <c r="C240" s="240" t="s">
        <v>297</v>
      </c>
      <c r="D240" s="270" t="s">
        <v>298</v>
      </c>
      <c r="E240" s="268" t="s">
        <v>1696</v>
      </c>
      <c r="F240" s="861" t="s">
        <v>311</v>
      </c>
      <c r="G240" s="269" t="s">
        <v>312</v>
      </c>
      <c r="H240" s="209" t="s">
        <v>313</v>
      </c>
      <c r="I240" s="210" t="s">
        <v>314</v>
      </c>
      <c r="J240" s="296" t="s">
        <v>140</v>
      </c>
      <c r="K240" s="297" t="s">
        <v>140</v>
      </c>
      <c r="L240" s="862" t="s">
        <v>939</v>
      </c>
      <c r="M240" s="847" t="s">
        <v>142</v>
      </c>
      <c r="N240" s="211" t="s">
        <v>143</v>
      </c>
      <c r="O240" s="240" t="s">
        <v>144</v>
      </c>
      <c r="P240" s="240" t="s">
        <v>144</v>
      </c>
      <c r="Q240" s="209" t="s">
        <v>315</v>
      </c>
      <c r="R240" s="210" t="s">
        <v>316</v>
      </c>
      <c r="S240" s="864" t="s">
        <v>147</v>
      </c>
      <c r="T240" s="212" t="s">
        <v>144</v>
      </c>
      <c r="U240" s="213" t="s">
        <v>144</v>
      </c>
      <c r="V240" s="847">
        <v>12</v>
      </c>
      <c r="W240" s="415" t="s">
        <v>144</v>
      </c>
      <c r="X240" s="212" t="s">
        <v>925</v>
      </c>
      <c r="Y240" s="212" t="s">
        <v>144</v>
      </c>
      <c r="Z240" s="212" t="s">
        <v>144</v>
      </c>
      <c r="AA240" s="240" t="s">
        <v>148</v>
      </c>
      <c r="AB240" s="206" t="s">
        <v>140</v>
      </c>
      <c r="AC240" s="847" t="s">
        <v>265</v>
      </c>
      <c r="AD240" s="847" t="s">
        <v>1690</v>
      </c>
      <c r="AE240" s="847" t="s">
        <v>144</v>
      </c>
      <c r="AF240" s="848" t="s">
        <v>144</v>
      </c>
      <c r="AG240" s="838"/>
      <c r="AH240" s="866" t="s">
        <v>266</v>
      </c>
      <c r="AI240" s="273" t="s">
        <v>267</v>
      </c>
      <c r="AJ240" s="847"/>
      <c r="AK240" s="848" t="s">
        <v>317</v>
      </c>
      <c r="AL240" s="867"/>
      <c r="AM240" s="273"/>
      <c r="AN240" s="847"/>
      <c r="AO240" s="848"/>
      <c r="AP240" s="867"/>
      <c r="AQ240" s="273"/>
      <c r="AR240" s="847"/>
      <c r="AS240" s="848"/>
      <c r="AT240" s="867" t="s">
        <v>318</v>
      </c>
      <c r="AU240" s="273" t="s">
        <v>319</v>
      </c>
      <c r="AV240" s="847"/>
      <c r="AW240" s="848" t="s">
        <v>320</v>
      </c>
      <c r="AX240" s="867"/>
      <c r="AY240" s="273"/>
      <c r="AZ240" s="847"/>
      <c r="BA240" s="848"/>
      <c r="BB240" s="866"/>
      <c r="BC240" s="273"/>
      <c r="BD240" s="847"/>
      <c r="BE240" s="848"/>
      <c r="BF240" s="838"/>
    </row>
    <row r="241" spans="1:58" s="88" customFormat="1" ht="54" hidden="1" customHeight="1" x14ac:dyDescent="0.25">
      <c r="A241" s="267" t="s">
        <v>1687</v>
      </c>
      <c r="B241" s="268">
        <v>6</v>
      </c>
      <c r="C241" s="240" t="s">
        <v>297</v>
      </c>
      <c r="D241" s="270" t="s">
        <v>298</v>
      </c>
      <c r="E241" s="268" t="s">
        <v>1697</v>
      </c>
      <c r="F241" s="861" t="s">
        <v>136</v>
      </c>
      <c r="G241" s="269" t="s">
        <v>322</v>
      </c>
      <c r="H241" s="846" t="s">
        <v>323</v>
      </c>
      <c r="I241" s="210" t="s">
        <v>324</v>
      </c>
      <c r="J241" s="296" t="s">
        <v>140</v>
      </c>
      <c r="K241" s="297" t="s">
        <v>140</v>
      </c>
      <c r="L241" s="862" t="s">
        <v>941</v>
      </c>
      <c r="M241" s="847" t="s">
        <v>142</v>
      </c>
      <c r="N241" s="211" t="s">
        <v>143</v>
      </c>
      <c r="O241" s="240" t="s">
        <v>144</v>
      </c>
      <c r="P241" s="240" t="s">
        <v>144</v>
      </c>
      <c r="Q241" s="845" t="s">
        <v>1698</v>
      </c>
      <c r="R241" s="208" t="s">
        <v>1699</v>
      </c>
      <c r="S241" s="864" t="s">
        <v>147</v>
      </c>
      <c r="T241" s="212" t="s">
        <v>144</v>
      </c>
      <c r="U241" s="213" t="s">
        <v>144</v>
      </c>
      <c r="V241" s="847">
        <v>2</v>
      </c>
      <c r="W241" s="415" t="s">
        <v>144</v>
      </c>
      <c r="X241" s="212" t="s">
        <v>925</v>
      </c>
      <c r="Y241" s="212" t="s">
        <v>144</v>
      </c>
      <c r="Z241" s="212" t="s">
        <v>144</v>
      </c>
      <c r="AA241" s="240" t="s">
        <v>148</v>
      </c>
      <c r="AB241" s="206" t="s">
        <v>140</v>
      </c>
      <c r="AC241" s="847" t="s">
        <v>265</v>
      </c>
      <c r="AD241" s="847" t="s">
        <v>1690</v>
      </c>
      <c r="AE241" s="847" t="s">
        <v>144</v>
      </c>
      <c r="AF241" s="848" t="s">
        <v>144</v>
      </c>
      <c r="AG241" s="838"/>
      <c r="AH241" s="866" t="s">
        <v>266</v>
      </c>
      <c r="AI241" s="273" t="s">
        <v>267</v>
      </c>
      <c r="AJ241" s="847"/>
      <c r="AK241" s="848" t="s">
        <v>327</v>
      </c>
      <c r="AL241" s="867"/>
      <c r="AM241" s="273"/>
      <c r="AN241" s="847"/>
      <c r="AO241" s="848"/>
      <c r="AP241" s="875" t="s">
        <v>1700</v>
      </c>
      <c r="AQ241" s="301" t="s">
        <v>1701</v>
      </c>
      <c r="AR241" s="847"/>
      <c r="AS241" s="848" t="s">
        <v>327</v>
      </c>
      <c r="AT241" s="867"/>
      <c r="AU241" s="273"/>
      <c r="AV241" s="847"/>
      <c r="AW241" s="848"/>
      <c r="AX241" s="867"/>
      <c r="AY241" s="273"/>
      <c r="AZ241" s="847"/>
      <c r="BA241" s="848"/>
      <c r="BB241" s="866"/>
      <c r="BC241" s="273"/>
      <c r="BD241" s="847"/>
      <c r="BE241" s="848"/>
      <c r="BF241" s="838"/>
    </row>
    <row r="242" spans="1:58" s="88" customFormat="1" ht="54" hidden="1" customHeight="1" x14ac:dyDescent="0.25">
      <c r="A242" s="267" t="s">
        <v>1687</v>
      </c>
      <c r="B242" s="268">
        <v>7</v>
      </c>
      <c r="C242" s="240" t="s">
        <v>256</v>
      </c>
      <c r="D242" s="270" t="s">
        <v>257</v>
      </c>
      <c r="E242" s="268" t="s">
        <v>1702</v>
      </c>
      <c r="F242" s="861" t="s">
        <v>331</v>
      </c>
      <c r="G242" s="269" t="s">
        <v>332</v>
      </c>
      <c r="H242" s="845" t="s">
        <v>331</v>
      </c>
      <c r="I242" s="269" t="s">
        <v>332</v>
      </c>
      <c r="J242" s="296" t="s">
        <v>140</v>
      </c>
      <c r="K242" s="297" t="s">
        <v>140</v>
      </c>
      <c r="L242" s="862" t="s">
        <v>947</v>
      </c>
      <c r="M242" s="847" t="s">
        <v>193</v>
      </c>
      <c r="N242" s="211" t="s">
        <v>194</v>
      </c>
      <c r="O242" s="240" t="s">
        <v>144</v>
      </c>
      <c r="P242" s="240" t="s">
        <v>144</v>
      </c>
      <c r="Q242" s="863" t="s">
        <v>948</v>
      </c>
      <c r="R242" s="271" t="s">
        <v>949</v>
      </c>
      <c r="S242" s="864" t="s">
        <v>147</v>
      </c>
      <c r="T242" s="212" t="s">
        <v>144</v>
      </c>
      <c r="U242" s="213" t="s">
        <v>144</v>
      </c>
      <c r="V242" s="847">
        <v>1</v>
      </c>
      <c r="W242" s="415" t="s">
        <v>144</v>
      </c>
      <c r="X242" s="212" t="s">
        <v>925</v>
      </c>
      <c r="Y242" s="212" t="s">
        <v>144</v>
      </c>
      <c r="Z242" s="212" t="s">
        <v>144</v>
      </c>
      <c r="AA242" s="343" t="s">
        <v>148</v>
      </c>
      <c r="AB242" s="206" t="s">
        <v>140</v>
      </c>
      <c r="AC242" s="847" t="s">
        <v>265</v>
      </c>
      <c r="AD242" s="847" t="s">
        <v>1690</v>
      </c>
      <c r="AE242" s="847" t="s">
        <v>144</v>
      </c>
      <c r="AF242" s="848" t="s">
        <v>144</v>
      </c>
      <c r="AG242" s="838"/>
      <c r="AH242" s="866"/>
      <c r="AI242" s="273"/>
      <c r="AJ242" s="847"/>
      <c r="AK242" s="848"/>
      <c r="AL242" s="867"/>
      <c r="AM242" s="273"/>
      <c r="AN242" s="847"/>
      <c r="AO242" s="848"/>
      <c r="AP242" s="867" t="s">
        <v>950</v>
      </c>
      <c r="AQ242" s="273" t="s">
        <v>951</v>
      </c>
      <c r="AR242" s="847"/>
      <c r="AS242" s="848" t="s">
        <v>952</v>
      </c>
      <c r="AT242" s="867" t="s">
        <v>953</v>
      </c>
      <c r="AU242" s="273" t="s">
        <v>954</v>
      </c>
      <c r="AV242" s="847"/>
      <c r="AW242" s="848" t="s">
        <v>952</v>
      </c>
      <c r="AX242" s="867"/>
      <c r="AY242" s="273"/>
      <c r="AZ242" s="847"/>
      <c r="BA242" s="848"/>
      <c r="BB242" s="866"/>
      <c r="BC242" s="273"/>
      <c r="BD242" s="847"/>
      <c r="BE242" s="848"/>
      <c r="BF242" s="838"/>
    </row>
    <row r="243" spans="1:58" s="88" customFormat="1" ht="54" hidden="1" customHeight="1" x14ac:dyDescent="0.25">
      <c r="A243" s="267" t="s">
        <v>1687</v>
      </c>
      <c r="B243" s="268">
        <v>8</v>
      </c>
      <c r="C243" s="240" t="s">
        <v>256</v>
      </c>
      <c r="D243" s="270" t="s">
        <v>257</v>
      </c>
      <c r="E243" s="268" t="s">
        <v>1703</v>
      </c>
      <c r="F243" s="861" t="s">
        <v>956</v>
      </c>
      <c r="G243" s="269" t="s">
        <v>957</v>
      </c>
      <c r="H243" s="845" t="s">
        <v>958</v>
      </c>
      <c r="I243" s="269" t="s">
        <v>959</v>
      </c>
      <c r="J243" s="296" t="s">
        <v>140</v>
      </c>
      <c r="K243" s="297" t="s">
        <v>140</v>
      </c>
      <c r="L243" s="862" t="s">
        <v>960</v>
      </c>
      <c r="M243" s="847" t="s">
        <v>973</v>
      </c>
      <c r="N243" s="270" t="s">
        <v>974</v>
      </c>
      <c r="O243" s="240" t="s">
        <v>961</v>
      </c>
      <c r="P243" s="240" t="s">
        <v>962</v>
      </c>
      <c r="Q243" s="845" t="s">
        <v>1704</v>
      </c>
      <c r="R243" s="208" t="s">
        <v>1705</v>
      </c>
      <c r="S243" s="864" t="s">
        <v>147</v>
      </c>
      <c r="T243" s="212" t="s">
        <v>144</v>
      </c>
      <c r="U243" s="213" t="s">
        <v>144</v>
      </c>
      <c r="V243" s="847">
        <v>2</v>
      </c>
      <c r="W243" s="415" t="s">
        <v>144</v>
      </c>
      <c r="X243" s="212" t="s">
        <v>925</v>
      </c>
      <c r="Y243" s="212" t="s">
        <v>144</v>
      </c>
      <c r="Z243" s="241" t="s">
        <v>25</v>
      </c>
      <c r="AA243" s="407" t="s">
        <v>1706</v>
      </c>
      <c r="AB243" s="206" t="s">
        <v>140</v>
      </c>
      <c r="AC243" s="847" t="s">
        <v>265</v>
      </c>
      <c r="AD243" s="847" t="s">
        <v>1690</v>
      </c>
      <c r="AE243" s="847" t="s">
        <v>144</v>
      </c>
      <c r="AF243" s="848" t="s">
        <v>144</v>
      </c>
      <c r="AG243" s="838"/>
      <c r="AH243" s="866" t="s">
        <v>1707</v>
      </c>
      <c r="AI243" s="273" t="s">
        <v>1708</v>
      </c>
      <c r="AJ243" s="847">
        <v>6</v>
      </c>
      <c r="AK243" s="848" t="s">
        <v>1709</v>
      </c>
      <c r="AL243" s="867" t="s">
        <v>294</v>
      </c>
      <c r="AM243" s="273" t="s">
        <v>295</v>
      </c>
      <c r="AN243" s="847">
        <v>7</v>
      </c>
      <c r="AO243" s="187" t="s">
        <v>966</v>
      </c>
      <c r="AP243" s="867"/>
      <c r="AQ243" s="273"/>
      <c r="AR243" s="847"/>
      <c r="AS243" s="848"/>
      <c r="AT243" s="867"/>
      <c r="AU243" s="273"/>
      <c r="AV243" s="847"/>
      <c r="AW243" s="848"/>
      <c r="AX243" s="867"/>
      <c r="AY243" s="273"/>
      <c r="AZ243" s="847"/>
      <c r="BA243" s="848"/>
      <c r="BB243" s="866"/>
      <c r="BC243" s="273"/>
      <c r="BD243" s="847"/>
      <c r="BE243" s="848"/>
      <c r="BF243" s="838"/>
    </row>
    <row r="244" spans="1:58" s="88" customFormat="1" ht="54" hidden="1" customHeight="1" x14ac:dyDescent="0.25">
      <c r="A244" s="267" t="s">
        <v>1687</v>
      </c>
      <c r="B244" s="268">
        <v>9</v>
      </c>
      <c r="C244" s="240" t="s">
        <v>256</v>
      </c>
      <c r="D244" s="270" t="s">
        <v>257</v>
      </c>
      <c r="E244" s="268" t="s">
        <v>1710</v>
      </c>
      <c r="F244" s="861" t="s">
        <v>968</v>
      </c>
      <c r="G244" s="269" t="s">
        <v>969</v>
      </c>
      <c r="H244" s="845" t="s">
        <v>970</v>
      </c>
      <c r="I244" s="269" t="s">
        <v>971</v>
      </c>
      <c r="J244" s="296" t="s">
        <v>140</v>
      </c>
      <c r="K244" s="297" t="s">
        <v>140</v>
      </c>
      <c r="L244" s="862" t="s">
        <v>972</v>
      </c>
      <c r="M244" s="847" t="s">
        <v>973</v>
      </c>
      <c r="N244" s="270" t="s">
        <v>974</v>
      </c>
      <c r="O244" s="437" t="s">
        <v>144</v>
      </c>
      <c r="P244" s="240" t="s">
        <v>144</v>
      </c>
      <c r="Q244" s="845" t="s">
        <v>1711</v>
      </c>
      <c r="R244" s="208" t="s">
        <v>1712</v>
      </c>
      <c r="S244" s="864" t="s">
        <v>147</v>
      </c>
      <c r="T244" s="212" t="s">
        <v>144</v>
      </c>
      <c r="U244" s="213" t="s">
        <v>144</v>
      </c>
      <c r="V244" s="847">
        <v>4</v>
      </c>
      <c r="W244" s="415" t="s">
        <v>144</v>
      </c>
      <c r="X244" s="212" t="s">
        <v>925</v>
      </c>
      <c r="Y244" s="212" t="s">
        <v>144</v>
      </c>
      <c r="Z244" s="241" t="s">
        <v>144</v>
      </c>
      <c r="AA244" s="615" t="s">
        <v>733</v>
      </c>
      <c r="AB244" s="206" t="s">
        <v>140</v>
      </c>
      <c r="AC244" s="847" t="s">
        <v>265</v>
      </c>
      <c r="AD244" s="847" t="s">
        <v>1690</v>
      </c>
      <c r="AE244" s="847" t="s">
        <v>144</v>
      </c>
      <c r="AF244" s="848" t="s">
        <v>144</v>
      </c>
      <c r="AG244" s="838"/>
      <c r="AH244" s="866" t="s">
        <v>1713</v>
      </c>
      <c r="AI244" s="273" t="s">
        <v>1714</v>
      </c>
      <c r="AJ244" s="847"/>
      <c r="AK244" s="848" t="s">
        <v>978</v>
      </c>
      <c r="AL244" s="867" t="s">
        <v>1715</v>
      </c>
      <c r="AM244" s="273" t="s">
        <v>1716</v>
      </c>
      <c r="AN244" s="847"/>
      <c r="AO244" s="848" t="s">
        <v>981</v>
      </c>
      <c r="AP244" s="867"/>
      <c r="AQ244" s="273"/>
      <c r="AR244" s="847"/>
      <c r="AS244" s="848"/>
      <c r="AT244" s="867"/>
      <c r="AU244" s="273"/>
      <c r="AV244" s="847"/>
      <c r="AW244" s="848"/>
      <c r="AX244" s="867"/>
      <c r="AY244" s="273"/>
      <c r="AZ244" s="847"/>
      <c r="BA244" s="848"/>
      <c r="BB244" s="866"/>
      <c r="BC244" s="273"/>
      <c r="BD244" s="847"/>
      <c r="BE244" s="848"/>
      <c r="BF244" s="838"/>
    </row>
    <row r="245" spans="1:58" s="57" customFormat="1" ht="54" customHeight="1" x14ac:dyDescent="0.25">
      <c r="A245" s="275" t="s">
        <v>1687</v>
      </c>
      <c r="B245" s="276">
        <v>10</v>
      </c>
      <c r="C245" s="253" t="s">
        <v>144</v>
      </c>
      <c r="D245" s="253" t="s">
        <v>144</v>
      </c>
      <c r="E245" s="276" t="s">
        <v>1717</v>
      </c>
      <c r="F245" s="277" t="s">
        <v>251</v>
      </c>
      <c r="G245" s="277" t="s">
        <v>251</v>
      </c>
      <c r="H245" s="220" t="s">
        <v>336</v>
      </c>
      <c r="I245" s="277" t="s">
        <v>337</v>
      </c>
      <c r="J245" s="302" t="s">
        <v>144</v>
      </c>
      <c r="K245" s="302" t="s">
        <v>144</v>
      </c>
      <c r="L245" s="718" t="s">
        <v>983</v>
      </c>
      <c r="M245" s="253" t="s">
        <v>144</v>
      </c>
      <c r="N245" s="217" t="s">
        <v>144</v>
      </c>
      <c r="O245" s="253" t="s">
        <v>144</v>
      </c>
      <c r="P245" s="253" t="s">
        <v>144</v>
      </c>
      <c r="Q245" s="311" t="s">
        <v>338</v>
      </c>
      <c r="R245" s="220" t="s">
        <v>339</v>
      </c>
      <c r="S245" s="276" t="s">
        <v>147</v>
      </c>
      <c r="T245" s="221" t="s">
        <v>144</v>
      </c>
      <c r="U245" s="221" t="s">
        <v>144</v>
      </c>
      <c r="V245" s="253">
        <v>3</v>
      </c>
      <c r="W245" s="217" t="s">
        <v>144</v>
      </c>
      <c r="X245" s="221" t="s">
        <v>144</v>
      </c>
      <c r="Y245" s="221" t="s">
        <v>144</v>
      </c>
      <c r="Z245" s="221" t="s">
        <v>144</v>
      </c>
      <c r="AA245" s="253" t="s">
        <v>144</v>
      </c>
      <c r="AB245" s="217" t="s">
        <v>144</v>
      </c>
      <c r="AC245" s="253" t="s">
        <v>265</v>
      </c>
      <c r="AD245" s="253" t="s">
        <v>144</v>
      </c>
      <c r="AE245" s="253" t="s">
        <v>144</v>
      </c>
      <c r="AF245" s="254" t="s">
        <v>144</v>
      </c>
      <c r="AG245" s="838"/>
      <c r="AH245" s="280"/>
      <c r="AI245" s="281"/>
      <c r="AJ245" s="253"/>
      <c r="AK245" s="254"/>
      <c r="AL245" s="281"/>
      <c r="AM245" s="281"/>
      <c r="AN245" s="253"/>
      <c r="AO245" s="254"/>
      <c r="AP245" s="281"/>
      <c r="AQ245" s="281"/>
      <c r="AR245" s="253"/>
      <c r="AS245" s="254"/>
      <c r="AT245" s="281"/>
      <c r="AU245" s="281"/>
      <c r="AV245" s="253"/>
      <c r="AW245" s="254"/>
      <c r="AX245" s="281"/>
      <c r="AY245" s="281"/>
      <c r="AZ245" s="253"/>
      <c r="BA245" s="254"/>
      <c r="BB245" s="280"/>
      <c r="BC245" s="281"/>
      <c r="BD245" s="253"/>
      <c r="BE245" s="254"/>
      <c r="BF245" s="838"/>
    </row>
    <row r="246" spans="1:58" s="88" customFormat="1" ht="54" hidden="1" customHeight="1" x14ac:dyDescent="0.25">
      <c r="A246" s="267" t="s">
        <v>1687</v>
      </c>
      <c r="B246" s="268">
        <v>11</v>
      </c>
      <c r="C246" s="240" t="s">
        <v>340</v>
      </c>
      <c r="D246" s="211" t="s">
        <v>341</v>
      </c>
      <c r="E246" s="268" t="s">
        <v>1718</v>
      </c>
      <c r="F246" s="861" t="s">
        <v>985</v>
      </c>
      <c r="G246" s="269" t="s">
        <v>344</v>
      </c>
      <c r="H246" s="861" t="s">
        <v>345</v>
      </c>
      <c r="I246" s="269" t="s">
        <v>346</v>
      </c>
      <c r="J246" s="240" t="s">
        <v>140</v>
      </c>
      <c r="K246" s="270" t="s">
        <v>140</v>
      </c>
      <c r="L246" s="720" t="s">
        <v>988</v>
      </c>
      <c r="M246" s="847" t="s">
        <v>142</v>
      </c>
      <c r="N246" s="211" t="s">
        <v>143</v>
      </c>
      <c r="O246" s="240" t="s">
        <v>144</v>
      </c>
      <c r="P246" s="240" t="s">
        <v>144</v>
      </c>
      <c r="Q246" s="207" t="s">
        <v>1719</v>
      </c>
      <c r="R246" s="208" t="s">
        <v>1720</v>
      </c>
      <c r="S246" s="864" t="s">
        <v>147</v>
      </c>
      <c r="T246" s="212" t="s">
        <v>144</v>
      </c>
      <c r="U246" s="213" t="s">
        <v>144</v>
      </c>
      <c r="V246" s="847">
        <v>20</v>
      </c>
      <c r="W246" s="415" t="s">
        <v>144</v>
      </c>
      <c r="X246" s="212" t="s">
        <v>925</v>
      </c>
      <c r="Y246" s="212" t="s">
        <v>144</v>
      </c>
      <c r="Z246" s="433" t="s">
        <v>144</v>
      </c>
      <c r="AA246" s="437" t="s">
        <v>1721</v>
      </c>
      <c r="AB246" s="206" t="s">
        <v>140</v>
      </c>
      <c r="AC246" s="847" t="s">
        <v>265</v>
      </c>
      <c r="AD246" s="847" t="s">
        <v>1690</v>
      </c>
      <c r="AE246" s="847" t="s">
        <v>144</v>
      </c>
      <c r="AF246" s="848" t="s">
        <v>144</v>
      </c>
      <c r="AG246" s="838"/>
      <c r="AH246" s="866" t="s">
        <v>266</v>
      </c>
      <c r="AI246" s="273" t="s">
        <v>267</v>
      </c>
      <c r="AJ246" s="847">
        <v>7</v>
      </c>
      <c r="AK246" s="848" t="s">
        <v>1046</v>
      </c>
      <c r="AL246" s="867"/>
      <c r="AM246" s="273"/>
      <c r="AN246" s="847"/>
      <c r="AO246" s="848"/>
      <c r="AP246" s="867"/>
      <c r="AQ246" s="273"/>
      <c r="AR246" s="847"/>
      <c r="AS246" s="848"/>
      <c r="AT246" s="867"/>
      <c r="AU246" s="273"/>
      <c r="AV246" s="847"/>
      <c r="AW246" s="848"/>
      <c r="AX246" s="867" t="s">
        <v>1722</v>
      </c>
      <c r="AY246" s="273" t="s">
        <v>1723</v>
      </c>
      <c r="AZ246" s="847" t="s">
        <v>1724</v>
      </c>
      <c r="BA246" s="848" t="s">
        <v>1725</v>
      </c>
      <c r="BB246" s="866"/>
      <c r="BC246" s="273"/>
      <c r="BD246" s="847"/>
      <c r="BE246" s="848"/>
      <c r="BF246" s="838"/>
    </row>
    <row r="247" spans="1:58" s="88" customFormat="1" ht="54" hidden="1" customHeight="1" x14ac:dyDescent="0.25">
      <c r="A247" s="267" t="s">
        <v>1687</v>
      </c>
      <c r="B247" s="268">
        <v>12</v>
      </c>
      <c r="C247" s="240" t="s">
        <v>340</v>
      </c>
      <c r="D247" s="211" t="s">
        <v>341</v>
      </c>
      <c r="E247" s="268" t="s">
        <v>1726</v>
      </c>
      <c r="F247" s="861" t="s">
        <v>990</v>
      </c>
      <c r="G247" s="269" t="s">
        <v>351</v>
      </c>
      <c r="H247" s="845" t="s">
        <v>991</v>
      </c>
      <c r="I247" s="269" t="s">
        <v>992</v>
      </c>
      <c r="J247" s="296" t="s">
        <v>140</v>
      </c>
      <c r="K247" s="297" t="s">
        <v>140</v>
      </c>
      <c r="L247" s="862" t="s">
        <v>993</v>
      </c>
      <c r="M247" s="847" t="s">
        <v>193</v>
      </c>
      <c r="N247" s="270" t="s">
        <v>194</v>
      </c>
      <c r="O247" s="240" t="s">
        <v>144</v>
      </c>
      <c r="P247" s="240" t="s">
        <v>144</v>
      </c>
      <c r="Q247" s="845" t="s">
        <v>1727</v>
      </c>
      <c r="R247" s="208" t="s">
        <v>1728</v>
      </c>
      <c r="S247" s="864" t="s">
        <v>147</v>
      </c>
      <c r="T247" s="212" t="s">
        <v>144</v>
      </c>
      <c r="U247" s="213" t="s">
        <v>144</v>
      </c>
      <c r="V247" s="847">
        <v>10</v>
      </c>
      <c r="W247" s="415" t="s">
        <v>144</v>
      </c>
      <c r="X247" s="212" t="s">
        <v>925</v>
      </c>
      <c r="Y247" s="212" t="s">
        <v>144</v>
      </c>
      <c r="Z247" s="433" t="s">
        <v>25</v>
      </c>
      <c r="AA247" s="437" t="s">
        <v>1729</v>
      </c>
      <c r="AB247" s="206" t="s">
        <v>140</v>
      </c>
      <c r="AC247" s="847" t="s">
        <v>265</v>
      </c>
      <c r="AD247" s="847" t="s">
        <v>1690</v>
      </c>
      <c r="AE247" s="847" t="s">
        <v>144</v>
      </c>
      <c r="AF247" s="848" t="s">
        <v>144</v>
      </c>
      <c r="AG247" s="838"/>
      <c r="AH247" s="866"/>
      <c r="AI247" s="273"/>
      <c r="AJ247" s="847"/>
      <c r="AK247" s="848"/>
      <c r="AL247" s="867"/>
      <c r="AM247" s="273"/>
      <c r="AN247" s="847"/>
      <c r="AO247" s="868"/>
      <c r="AP247" s="867"/>
      <c r="AQ247" s="273"/>
      <c r="AR247" s="847"/>
      <c r="AS247" s="848"/>
      <c r="AT247" s="867"/>
      <c r="AU247" s="273"/>
      <c r="AV247" s="847"/>
      <c r="AW247" s="848"/>
      <c r="AX247" s="873" t="s">
        <v>1730</v>
      </c>
      <c r="AY247" s="406" t="s">
        <v>1731</v>
      </c>
      <c r="AZ247" s="872" t="s">
        <v>1061</v>
      </c>
      <c r="BA247" s="878" t="s">
        <v>1732</v>
      </c>
      <c r="BB247" s="866"/>
      <c r="BC247" s="273"/>
      <c r="BD247" s="847"/>
      <c r="BE247" s="848"/>
      <c r="BF247" s="838"/>
    </row>
    <row r="248" spans="1:58" s="57" customFormat="1" ht="54" hidden="1" customHeight="1" x14ac:dyDescent="0.25">
      <c r="A248" s="275" t="s">
        <v>1687</v>
      </c>
      <c r="B248" s="276">
        <v>13</v>
      </c>
      <c r="C248" s="253" t="s">
        <v>144</v>
      </c>
      <c r="D248" s="217" t="s">
        <v>144</v>
      </c>
      <c r="E248" s="276" t="s">
        <v>1733</v>
      </c>
      <c r="F248" s="277" t="s">
        <v>357</v>
      </c>
      <c r="G248" s="277" t="s">
        <v>1734</v>
      </c>
      <c r="H248" s="311" t="s">
        <v>1735</v>
      </c>
      <c r="I248" s="277" t="s">
        <v>359</v>
      </c>
      <c r="J248" s="302" t="s">
        <v>144</v>
      </c>
      <c r="K248" s="302" t="s">
        <v>144</v>
      </c>
      <c r="L248" s="718" t="s">
        <v>998</v>
      </c>
      <c r="M248" s="217" t="s">
        <v>144</v>
      </c>
      <c r="N248" s="217" t="s">
        <v>144</v>
      </c>
      <c r="O248" s="253" t="s">
        <v>144</v>
      </c>
      <c r="P248" s="253" t="s">
        <v>144</v>
      </c>
      <c r="Q248" s="220" t="s">
        <v>338</v>
      </c>
      <c r="R248" s="220" t="s">
        <v>339</v>
      </c>
      <c r="S248" s="276" t="s">
        <v>147</v>
      </c>
      <c r="T248" s="221" t="s">
        <v>144</v>
      </c>
      <c r="U248" s="221" t="s">
        <v>144</v>
      </c>
      <c r="V248" s="253">
        <v>30</v>
      </c>
      <c r="W248" s="217" t="s">
        <v>144</v>
      </c>
      <c r="X248" s="221" t="s">
        <v>144</v>
      </c>
      <c r="Y248" s="221">
        <v>43</v>
      </c>
      <c r="Z248" s="221" t="s">
        <v>144</v>
      </c>
      <c r="AA248" s="253" t="s">
        <v>144</v>
      </c>
      <c r="AB248" s="217" t="s">
        <v>144</v>
      </c>
      <c r="AC248" s="253" t="s">
        <v>265</v>
      </c>
      <c r="AD248" s="253" t="s">
        <v>144</v>
      </c>
      <c r="AE248" s="253" t="s">
        <v>144</v>
      </c>
      <c r="AF248" s="254" t="s">
        <v>144</v>
      </c>
      <c r="AG248" s="838"/>
      <c r="AH248" s="280"/>
      <c r="AI248" s="281"/>
      <c r="AJ248" s="253"/>
      <c r="AK248" s="254"/>
      <c r="AL248" s="281"/>
      <c r="AM248" s="281"/>
      <c r="AN248" s="253"/>
      <c r="AO248" s="254"/>
      <c r="AP248" s="281"/>
      <c r="AQ248" s="281"/>
      <c r="AR248" s="253"/>
      <c r="AS248" s="254"/>
      <c r="AT248" s="281"/>
      <c r="AU248" s="281"/>
      <c r="AV248" s="253"/>
      <c r="AW248" s="254"/>
      <c r="AX248" s="281"/>
      <c r="AY248" s="281"/>
      <c r="AZ248" s="253"/>
      <c r="BA248" s="254"/>
      <c r="BB248" s="280"/>
      <c r="BC248" s="281"/>
      <c r="BD248" s="253"/>
      <c r="BE248" s="254"/>
      <c r="BF248" s="838"/>
    </row>
    <row r="249" spans="1:58" s="88" customFormat="1" ht="54" hidden="1" customHeight="1" x14ac:dyDescent="0.25">
      <c r="A249" s="267" t="s">
        <v>1687</v>
      </c>
      <c r="B249" s="268">
        <v>14</v>
      </c>
      <c r="C249" s="240" t="s">
        <v>256</v>
      </c>
      <c r="D249" s="211" t="s">
        <v>257</v>
      </c>
      <c r="E249" s="268" t="s">
        <v>1736</v>
      </c>
      <c r="F249" s="861" t="s">
        <v>361</v>
      </c>
      <c r="G249" s="269" t="s">
        <v>362</v>
      </c>
      <c r="H249" s="845" t="s">
        <v>361</v>
      </c>
      <c r="I249" s="269" t="s">
        <v>363</v>
      </c>
      <c r="J249" s="296" t="s">
        <v>140</v>
      </c>
      <c r="K249" s="297" t="s">
        <v>140</v>
      </c>
      <c r="L249" s="862" t="s">
        <v>1008</v>
      </c>
      <c r="M249" s="847" t="s">
        <v>193</v>
      </c>
      <c r="N249" s="211" t="s">
        <v>194</v>
      </c>
      <c r="O249" s="240" t="s">
        <v>144</v>
      </c>
      <c r="P249" s="240" t="s">
        <v>144</v>
      </c>
      <c r="Q249" s="846" t="s">
        <v>1737</v>
      </c>
      <c r="R249" s="208" t="s">
        <v>1738</v>
      </c>
      <c r="S249" s="864" t="s">
        <v>147</v>
      </c>
      <c r="T249" s="212" t="s">
        <v>144</v>
      </c>
      <c r="U249" s="213" t="s">
        <v>144</v>
      </c>
      <c r="V249" s="847">
        <v>30</v>
      </c>
      <c r="W249" s="415" t="s">
        <v>144</v>
      </c>
      <c r="X249" s="212" t="s">
        <v>925</v>
      </c>
      <c r="Y249" s="212" t="s">
        <v>144</v>
      </c>
      <c r="Z249" s="433" t="s">
        <v>144</v>
      </c>
      <c r="AA249" s="437" t="s">
        <v>1739</v>
      </c>
      <c r="AB249" s="206" t="s">
        <v>140</v>
      </c>
      <c r="AC249" s="847" t="s">
        <v>265</v>
      </c>
      <c r="AD249" s="847" t="s">
        <v>1740</v>
      </c>
      <c r="AE249" s="847" t="s">
        <v>144</v>
      </c>
      <c r="AF249" s="848" t="s">
        <v>144</v>
      </c>
      <c r="AG249" s="838"/>
      <c r="AH249" s="866"/>
      <c r="AI249" s="273"/>
      <c r="AJ249" s="847"/>
      <c r="AK249" s="848"/>
      <c r="AL249" s="867"/>
      <c r="AM249" s="273"/>
      <c r="AN249" s="847"/>
      <c r="AO249" s="868"/>
      <c r="AP249" s="867"/>
      <c r="AQ249" s="273"/>
      <c r="AR249" s="847"/>
      <c r="AS249" s="848"/>
      <c r="AT249" s="867"/>
      <c r="AU249" s="273"/>
      <c r="AV249" s="847"/>
      <c r="AW249" s="848"/>
      <c r="AX249" s="867" t="s">
        <v>1741</v>
      </c>
      <c r="AY249" s="273" t="s">
        <v>1742</v>
      </c>
      <c r="AZ249" s="847">
        <v>7</v>
      </c>
      <c r="BA249" s="848" t="s">
        <v>1743</v>
      </c>
      <c r="BB249" s="866"/>
      <c r="BC249" s="273"/>
      <c r="BD249" s="847"/>
      <c r="BE249" s="848"/>
      <c r="BF249" s="838"/>
    </row>
    <row r="250" spans="1:58" s="57" customFormat="1" ht="54" hidden="1" customHeight="1" x14ac:dyDescent="0.25">
      <c r="A250" s="275" t="s">
        <v>1687</v>
      </c>
      <c r="B250" s="276">
        <v>15</v>
      </c>
      <c r="C250" s="253" t="s">
        <v>1744</v>
      </c>
      <c r="D250" s="217" t="s">
        <v>1745</v>
      </c>
      <c r="E250" s="276" t="s">
        <v>1746</v>
      </c>
      <c r="F250" s="277" t="s">
        <v>365</v>
      </c>
      <c r="G250" s="277" t="s">
        <v>366</v>
      </c>
      <c r="H250" s="218" t="s">
        <v>365</v>
      </c>
      <c r="I250" s="277" t="s">
        <v>1747</v>
      </c>
      <c r="J250" s="302" t="s">
        <v>144</v>
      </c>
      <c r="K250" s="302" t="s">
        <v>144</v>
      </c>
      <c r="L250" s="718" t="s">
        <v>1010</v>
      </c>
      <c r="M250" s="253" t="s">
        <v>144</v>
      </c>
      <c r="N250" s="217" t="s">
        <v>144</v>
      </c>
      <c r="O250" s="253" t="s">
        <v>144</v>
      </c>
      <c r="P250" s="253" t="s">
        <v>144</v>
      </c>
      <c r="Q250" s="311" t="s">
        <v>338</v>
      </c>
      <c r="R250" s="218" t="s">
        <v>1748</v>
      </c>
      <c r="S250" s="276" t="s">
        <v>147</v>
      </c>
      <c r="T250" s="221" t="s">
        <v>144</v>
      </c>
      <c r="U250" s="221" t="s">
        <v>144</v>
      </c>
      <c r="V250" s="253">
        <v>40</v>
      </c>
      <c r="W250" s="217" t="s">
        <v>144</v>
      </c>
      <c r="X250" s="221" t="s">
        <v>144</v>
      </c>
      <c r="Y250" s="221">
        <v>42</v>
      </c>
      <c r="Z250" s="221" t="s">
        <v>144</v>
      </c>
      <c r="AA250" s="253" t="s">
        <v>144</v>
      </c>
      <c r="AB250" s="217" t="s">
        <v>144</v>
      </c>
      <c r="AC250" s="253" t="s">
        <v>265</v>
      </c>
      <c r="AD250" s="253" t="s">
        <v>144</v>
      </c>
      <c r="AE250" s="253" t="s">
        <v>144</v>
      </c>
      <c r="AF250" s="254" t="s">
        <v>144</v>
      </c>
      <c r="AG250" s="838"/>
      <c r="AH250" s="280"/>
      <c r="AI250" s="281"/>
      <c r="AJ250" s="253"/>
      <c r="AK250" s="254"/>
      <c r="AL250" s="281"/>
      <c r="AM250" s="281"/>
      <c r="AN250" s="253"/>
      <c r="AO250" s="254"/>
      <c r="AP250" s="281"/>
      <c r="AQ250" s="281"/>
      <c r="AR250" s="253"/>
      <c r="AS250" s="254"/>
      <c r="AT250" s="281"/>
      <c r="AU250" s="281"/>
      <c r="AV250" s="253"/>
      <c r="AW250" s="254"/>
      <c r="AX250" s="281"/>
      <c r="AY250" s="281"/>
      <c r="AZ250" s="253"/>
      <c r="BA250" s="254"/>
      <c r="BB250" s="280"/>
      <c r="BC250" s="281"/>
      <c r="BD250" s="253"/>
      <c r="BE250" s="254"/>
      <c r="BF250" s="838"/>
    </row>
    <row r="251" spans="1:58" s="88" customFormat="1" ht="54" hidden="1" customHeight="1" x14ac:dyDescent="0.25">
      <c r="A251" s="267" t="s">
        <v>1687</v>
      </c>
      <c r="B251" s="268">
        <v>16</v>
      </c>
      <c r="C251" s="240" t="s">
        <v>994</v>
      </c>
      <c r="D251" s="211" t="s">
        <v>995</v>
      </c>
      <c r="E251" s="268" t="s">
        <v>1749</v>
      </c>
      <c r="F251" s="861" t="s">
        <v>369</v>
      </c>
      <c r="G251" s="269" t="s">
        <v>1750</v>
      </c>
      <c r="H251" s="845" t="s">
        <v>1012</v>
      </c>
      <c r="I251" s="208" t="s">
        <v>1013</v>
      </c>
      <c r="J251" s="296" t="s">
        <v>140</v>
      </c>
      <c r="K251" s="297" t="s">
        <v>140</v>
      </c>
      <c r="L251" s="862" t="s">
        <v>1014</v>
      </c>
      <c r="M251" s="847" t="s">
        <v>142</v>
      </c>
      <c r="N251" s="211" t="s">
        <v>143</v>
      </c>
      <c r="O251" s="240" t="s">
        <v>144</v>
      </c>
      <c r="P251" s="240" t="s">
        <v>144</v>
      </c>
      <c r="Q251" s="845" t="s">
        <v>1751</v>
      </c>
      <c r="R251" s="208" t="s">
        <v>1752</v>
      </c>
      <c r="S251" s="864" t="s">
        <v>147</v>
      </c>
      <c r="T251" s="212" t="s">
        <v>144</v>
      </c>
      <c r="U251" s="213" t="s">
        <v>144</v>
      </c>
      <c r="V251" s="847">
        <v>40</v>
      </c>
      <c r="W251" s="415" t="s">
        <v>144</v>
      </c>
      <c r="X251" s="212" t="s">
        <v>925</v>
      </c>
      <c r="Y251" s="212" t="s">
        <v>144</v>
      </c>
      <c r="Z251" s="433" t="s">
        <v>25</v>
      </c>
      <c r="AA251" s="407" t="s">
        <v>1753</v>
      </c>
      <c r="AB251" s="206" t="s">
        <v>140</v>
      </c>
      <c r="AC251" s="847" t="s">
        <v>265</v>
      </c>
      <c r="AD251" s="847" t="s">
        <v>1690</v>
      </c>
      <c r="AE251" s="847" t="s">
        <v>144</v>
      </c>
      <c r="AF251" s="848" t="s">
        <v>144</v>
      </c>
      <c r="AG251" s="838"/>
      <c r="AH251" s="866" t="s">
        <v>266</v>
      </c>
      <c r="AI251" s="273" t="s">
        <v>267</v>
      </c>
      <c r="AJ251" s="847">
        <v>7</v>
      </c>
      <c r="AK251" s="848" t="s">
        <v>1002</v>
      </c>
      <c r="AL251" s="867"/>
      <c r="AM251" s="273"/>
      <c r="AN251" s="847"/>
      <c r="AO251" s="848"/>
      <c r="AP251" s="867"/>
      <c r="AQ251" s="273"/>
      <c r="AR251" s="847"/>
      <c r="AS251" s="848"/>
      <c r="AT251" s="867"/>
      <c r="AU251" s="273"/>
      <c r="AV251" s="847"/>
      <c r="AW251" s="848"/>
      <c r="AX251" s="867" t="s">
        <v>1754</v>
      </c>
      <c r="AY251" s="273" t="s">
        <v>1755</v>
      </c>
      <c r="AZ251" s="847">
        <v>7</v>
      </c>
      <c r="BA251" s="848" t="s">
        <v>1756</v>
      </c>
      <c r="BB251" s="249" t="s">
        <v>1757</v>
      </c>
      <c r="BC251" s="135" t="s">
        <v>1758</v>
      </c>
      <c r="BD251" s="847">
        <v>6</v>
      </c>
      <c r="BE251" s="848" t="s">
        <v>1759</v>
      </c>
      <c r="BF251" s="838"/>
    </row>
    <row r="252" spans="1:58" s="57" customFormat="1" ht="54" hidden="1" customHeight="1" x14ac:dyDescent="0.25">
      <c r="A252" s="275" t="s">
        <v>1687</v>
      </c>
      <c r="B252" s="276">
        <v>17</v>
      </c>
      <c r="C252" s="253" t="s">
        <v>340</v>
      </c>
      <c r="D252" s="217" t="s">
        <v>341</v>
      </c>
      <c r="E252" s="276" t="s">
        <v>1760</v>
      </c>
      <c r="F252" s="277" t="s">
        <v>373</v>
      </c>
      <c r="G252" s="277" t="s">
        <v>374</v>
      </c>
      <c r="H252" s="218" t="s">
        <v>373</v>
      </c>
      <c r="I252" s="277" t="s">
        <v>375</v>
      </c>
      <c r="J252" s="302" t="s">
        <v>144</v>
      </c>
      <c r="K252" s="302" t="s">
        <v>144</v>
      </c>
      <c r="L252" s="718" t="s">
        <v>1017</v>
      </c>
      <c r="M252" s="253" t="s">
        <v>144</v>
      </c>
      <c r="N252" s="217" t="s">
        <v>144</v>
      </c>
      <c r="O252" s="253" t="s">
        <v>144</v>
      </c>
      <c r="P252" s="253" t="s">
        <v>144</v>
      </c>
      <c r="Q252" s="311" t="s">
        <v>338</v>
      </c>
      <c r="R252" s="218" t="s">
        <v>1748</v>
      </c>
      <c r="S252" s="276" t="s">
        <v>147</v>
      </c>
      <c r="T252" s="221" t="s">
        <v>144</v>
      </c>
      <c r="U252" s="221" t="s">
        <v>144</v>
      </c>
      <c r="V252" s="253">
        <v>40</v>
      </c>
      <c r="W252" s="217" t="s">
        <v>144</v>
      </c>
      <c r="X252" s="221" t="s">
        <v>144</v>
      </c>
      <c r="Y252" s="221">
        <v>42</v>
      </c>
      <c r="Z252" s="221" t="s">
        <v>144</v>
      </c>
      <c r="AA252" s="253" t="s">
        <v>144</v>
      </c>
      <c r="AB252" s="217" t="s">
        <v>144</v>
      </c>
      <c r="AC252" s="253" t="s">
        <v>265</v>
      </c>
      <c r="AD252" s="253" t="s">
        <v>144</v>
      </c>
      <c r="AE252" s="253" t="s">
        <v>144</v>
      </c>
      <c r="AF252" s="254" t="s">
        <v>144</v>
      </c>
      <c r="AG252" s="838"/>
      <c r="AH252" s="280"/>
      <c r="AI252" s="281"/>
      <c r="AJ252" s="253"/>
      <c r="AK252" s="254"/>
      <c r="AL252" s="281"/>
      <c r="AM252" s="281"/>
      <c r="AN252" s="253"/>
      <c r="AO252" s="254"/>
      <c r="AP252" s="281"/>
      <c r="AQ252" s="281"/>
      <c r="AR252" s="253"/>
      <c r="AS252" s="254"/>
      <c r="AT252" s="281"/>
      <c r="AU252" s="281"/>
      <c r="AV252" s="253"/>
      <c r="AW252" s="254"/>
      <c r="AX252" s="281"/>
      <c r="AY252" s="281"/>
      <c r="AZ252" s="253"/>
      <c r="BA252" s="254"/>
      <c r="BB252" s="280"/>
      <c r="BC252" s="281"/>
      <c r="BD252" s="253"/>
      <c r="BE252" s="254"/>
      <c r="BF252" s="838"/>
    </row>
    <row r="253" spans="1:58" s="58" customFormat="1" ht="54" customHeight="1" x14ac:dyDescent="0.25">
      <c r="A253" s="275" t="s">
        <v>1687</v>
      </c>
      <c r="B253" s="276">
        <v>18</v>
      </c>
      <c r="C253" s="253" t="s">
        <v>144</v>
      </c>
      <c r="D253" s="217" t="s">
        <v>144</v>
      </c>
      <c r="E253" s="282" t="s">
        <v>1761</v>
      </c>
      <c r="F253" s="279" t="s">
        <v>251</v>
      </c>
      <c r="G253" s="279" t="s">
        <v>251</v>
      </c>
      <c r="H253" s="220" t="s">
        <v>336</v>
      </c>
      <c r="I253" s="279" t="s">
        <v>337</v>
      </c>
      <c r="J253" s="278" t="s">
        <v>144</v>
      </c>
      <c r="K253" s="278" t="s">
        <v>144</v>
      </c>
      <c r="L253" s="718" t="s">
        <v>1019</v>
      </c>
      <c r="M253" s="253" t="s">
        <v>144</v>
      </c>
      <c r="N253" s="217" t="s">
        <v>144</v>
      </c>
      <c r="O253" s="253" t="s">
        <v>144</v>
      </c>
      <c r="P253" s="253" t="s">
        <v>144</v>
      </c>
      <c r="Q253" s="311" t="s">
        <v>338</v>
      </c>
      <c r="R253" s="220" t="s">
        <v>339</v>
      </c>
      <c r="S253" s="282" t="s">
        <v>147</v>
      </c>
      <c r="T253" s="229" t="s">
        <v>144</v>
      </c>
      <c r="U253" s="229" t="s">
        <v>144</v>
      </c>
      <c r="V253" s="278">
        <v>11</v>
      </c>
      <c r="W253" s="217" t="s">
        <v>144</v>
      </c>
      <c r="X253" s="221" t="s">
        <v>144</v>
      </c>
      <c r="Y253" s="221" t="s">
        <v>144</v>
      </c>
      <c r="Z253" s="221" t="s">
        <v>144</v>
      </c>
      <c r="AA253" s="253" t="s">
        <v>144</v>
      </c>
      <c r="AB253" s="217" t="s">
        <v>144</v>
      </c>
      <c r="AC253" s="253" t="s">
        <v>265</v>
      </c>
      <c r="AD253" s="253" t="s">
        <v>144</v>
      </c>
      <c r="AE253" s="253" t="s">
        <v>144</v>
      </c>
      <c r="AF253" s="254" t="s">
        <v>144</v>
      </c>
      <c r="AG253" s="838"/>
      <c r="AH253" s="280"/>
      <c r="AI253" s="281"/>
      <c r="AJ253" s="253"/>
      <c r="AK253" s="254"/>
      <c r="AL253" s="281"/>
      <c r="AM253" s="281"/>
      <c r="AN253" s="253"/>
      <c r="AO253" s="254"/>
      <c r="AP253" s="281"/>
      <c r="AQ253" s="281"/>
      <c r="AR253" s="253"/>
      <c r="AS253" s="254"/>
      <c r="AT253" s="281"/>
      <c r="AU253" s="281"/>
      <c r="AV253" s="253"/>
      <c r="AW253" s="254"/>
      <c r="AX253" s="281"/>
      <c r="AY253" s="281"/>
      <c r="AZ253" s="253"/>
      <c r="BA253" s="254"/>
      <c r="BB253" s="280"/>
      <c r="BC253" s="281"/>
      <c r="BD253" s="253"/>
      <c r="BE253" s="254"/>
      <c r="BF253" s="838"/>
    </row>
    <row r="254" spans="1:58" s="58" customFormat="1" ht="54" customHeight="1" x14ac:dyDescent="0.25">
      <c r="A254" s="275" t="s">
        <v>1687</v>
      </c>
      <c r="B254" s="276">
        <v>19</v>
      </c>
      <c r="C254" s="253" t="s">
        <v>144</v>
      </c>
      <c r="D254" s="217" t="s">
        <v>144</v>
      </c>
      <c r="E254" s="282" t="s">
        <v>1762</v>
      </c>
      <c r="F254" s="279" t="s">
        <v>251</v>
      </c>
      <c r="G254" s="279" t="s">
        <v>251</v>
      </c>
      <c r="H254" s="220" t="s">
        <v>336</v>
      </c>
      <c r="I254" s="279" t="s">
        <v>337</v>
      </c>
      <c r="J254" s="278" t="s">
        <v>144</v>
      </c>
      <c r="K254" s="278" t="s">
        <v>144</v>
      </c>
      <c r="L254" s="718" t="s">
        <v>144</v>
      </c>
      <c r="M254" s="253" t="s">
        <v>144</v>
      </c>
      <c r="N254" s="217" t="s">
        <v>144</v>
      </c>
      <c r="O254" s="253" t="s">
        <v>144</v>
      </c>
      <c r="P254" s="253" t="s">
        <v>144</v>
      </c>
      <c r="Q254" s="311" t="s">
        <v>338</v>
      </c>
      <c r="R254" s="220" t="s">
        <v>339</v>
      </c>
      <c r="S254" s="282" t="s">
        <v>147</v>
      </c>
      <c r="T254" s="229" t="s">
        <v>144</v>
      </c>
      <c r="U254" s="229" t="s">
        <v>144</v>
      </c>
      <c r="V254" s="278">
        <v>7</v>
      </c>
      <c r="W254" s="217" t="s">
        <v>144</v>
      </c>
      <c r="X254" s="221" t="s">
        <v>144</v>
      </c>
      <c r="Y254" s="221" t="s">
        <v>144</v>
      </c>
      <c r="Z254" s="221" t="s">
        <v>144</v>
      </c>
      <c r="AA254" s="253" t="s">
        <v>144</v>
      </c>
      <c r="AB254" s="217" t="s">
        <v>144</v>
      </c>
      <c r="AC254" s="253" t="s">
        <v>265</v>
      </c>
      <c r="AD254" s="253" t="s">
        <v>144</v>
      </c>
      <c r="AE254" s="253" t="s">
        <v>144</v>
      </c>
      <c r="AF254" s="254" t="s">
        <v>144</v>
      </c>
      <c r="AG254" s="838"/>
      <c r="AH254" s="280"/>
      <c r="AI254" s="281"/>
      <c r="AJ254" s="253"/>
      <c r="AK254" s="254"/>
      <c r="AL254" s="281"/>
      <c r="AM254" s="281"/>
      <c r="AN254" s="253"/>
      <c r="AO254" s="254"/>
      <c r="AP254" s="281"/>
      <c r="AQ254" s="281"/>
      <c r="AR254" s="253"/>
      <c r="AS254" s="254"/>
      <c r="AT254" s="281"/>
      <c r="AU254" s="281"/>
      <c r="AV254" s="253"/>
      <c r="AW254" s="254"/>
      <c r="AX254" s="281"/>
      <c r="AY254" s="281"/>
      <c r="AZ254" s="253"/>
      <c r="BA254" s="254"/>
      <c r="BB254" s="280"/>
      <c r="BC254" s="281"/>
      <c r="BD254" s="253"/>
      <c r="BE254" s="254"/>
      <c r="BF254" s="838"/>
    </row>
    <row r="255" spans="1:58" s="58" customFormat="1" ht="54" customHeight="1" x14ac:dyDescent="0.25">
      <c r="A255" s="275" t="s">
        <v>1687</v>
      </c>
      <c r="B255" s="276">
        <v>20</v>
      </c>
      <c r="C255" s="253" t="s">
        <v>144</v>
      </c>
      <c r="D255" s="217" t="s">
        <v>144</v>
      </c>
      <c r="E255" s="282" t="s">
        <v>1763</v>
      </c>
      <c r="F255" s="279" t="s">
        <v>251</v>
      </c>
      <c r="G255" s="279" t="s">
        <v>251</v>
      </c>
      <c r="H255" s="220" t="s">
        <v>336</v>
      </c>
      <c r="I255" s="279" t="s">
        <v>337</v>
      </c>
      <c r="J255" s="278" t="s">
        <v>144</v>
      </c>
      <c r="K255" s="278" t="s">
        <v>144</v>
      </c>
      <c r="L255" s="718" t="s">
        <v>144</v>
      </c>
      <c r="M255" s="253" t="s">
        <v>144</v>
      </c>
      <c r="N255" s="217" t="s">
        <v>144</v>
      </c>
      <c r="O255" s="253" t="s">
        <v>144</v>
      </c>
      <c r="P255" s="253" t="s">
        <v>144</v>
      </c>
      <c r="Q255" s="311" t="s">
        <v>338</v>
      </c>
      <c r="R255" s="220" t="s">
        <v>339</v>
      </c>
      <c r="S255" s="282" t="s">
        <v>147</v>
      </c>
      <c r="T255" s="229" t="s">
        <v>144</v>
      </c>
      <c r="U255" s="229" t="s">
        <v>144</v>
      </c>
      <c r="V255" s="278">
        <v>2</v>
      </c>
      <c r="W255" s="217" t="s">
        <v>144</v>
      </c>
      <c r="X255" s="221" t="s">
        <v>144</v>
      </c>
      <c r="Y255" s="221" t="s">
        <v>144</v>
      </c>
      <c r="Z255" s="221" t="s">
        <v>144</v>
      </c>
      <c r="AA255" s="253" t="s">
        <v>144</v>
      </c>
      <c r="AB255" s="217" t="s">
        <v>144</v>
      </c>
      <c r="AC255" s="253" t="s">
        <v>265</v>
      </c>
      <c r="AD255" s="253" t="s">
        <v>144</v>
      </c>
      <c r="AE255" s="253" t="s">
        <v>144</v>
      </c>
      <c r="AF255" s="254" t="s">
        <v>144</v>
      </c>
      <c r="AG255" s="838"/>
      <c r="AH255" s="280"/>
      <c r="AI255" s="281"/>
      <c r="AJ255" s="253"/>
      <c r="AK255" s="254"/>
      <c r="AL255" s="281"/>
      <c r="AM255" s="281"/>
      <c r="AN255" s="253"/>
      <c r="AO255" s="254"/>
      <c r="AP255" s="281"/>
      <c r="AQ255" s="281"/>
      <c r="AR255" s="253"/>
      <c r="AS255" s="254"/>
      <c r="AT255" s="281"/>
      <c r="AU255" s="281"/>
      <c r="AV255" s="253"/>
      <c r="AW255" s="254"/>
      <c r="AX255" s="281"/>
      <c r="AY255" s="281"/>
      <c r="AZ255" s="253"/>
      <c r="BA255" s="254"/>
      <c r="BB255" s="280"/>
      <c r="BC255" s="281"/>
      <c r="BD255" s="253"/>
      <c r="BE255" s="254"/>
      <c r="BF255" s="838"/>
    </row>
    <row r="256" spans="1:58" s="88" customFormat="1" ht="54" hidden="1" customHeight="1" x14ac:dyDescent="0.25">
      <c r="A256" s="267" t="s">
        <v>1687</v>
      </c>
      <c r="B256" s="268">
        <v>21</v>
      </c>
      <c r="C256" s="240" t="s">
        <v>684</v>
      </c>
      <c r="D256" s="211" t="s">
        <v>685</v>
      </c>
      <c r="E256" s="268" t="s">
        <v>1764</v>
      </c>
      <c r="F256" s="861" t="s">
        <v>1568</v>
      </c>
      <c r="G256" s="269" t="s">
        <v>1569</v>
      </c>
      <c r="H256" s="845" t="s">
        <v>1570</v>
      </c>
      <c r="I256" s="269" t="s">
        <v>1765</v>
      </c>
      <c r="J256" s="296" t="s">
        <v>140</v>
      </c>
      <c r="K256" s="297" t="s">
        <v>140</v>
      </c>
      <c r="L256" s="862" t="s">
        <v>1572</v>
      </c>
      <c r="M256" s="847" t="s">
        <v>142</v>
      </c>
      <c r="N256" s="211" t="s">
        <v>143</v>
      </c>
      <c r="O256" s="240" t="s">
        <v>1573</v>
      </c>
      <c r="P256" s="240" t="s">
        <v>1574</v>
      </c>
      <c r="Q256" s="845" t="s">
        <v>144</v>
      </c>
      <c r="R256" s="208" t="s">
        <v>144</v>
      </c>
      <c r="S256" s="864" t="s">
        <v>147</v>
      </c>
      <c r="T256" s="212" t="s">
        <v>144</v>
      </c>
      <c r="U256" s="213" t="s">
        <v>144</v>
      </c>
      <c r="V256" s="847">
        <v>7</v>
      </c>
      <c r="W256" s="415" t="s">
        <v>144</v>
      </c>
      <c r="X256" s="212">
        <v>40</v>
      </c>
      <c r="Y256" s="212" t="s">
        <v>144</v>
      </c>
      <c r="Z256" s="433" t="s">
        <v>144</v>
      </c>
      <c r="AA256" s="437" t="s">
        <v>1766</v>
      </c>
      <c r="AB256" s="206" t="s">
        <v>140</v>
      </c>
      <c r="AC256" s="847" t="s">
        <v>265</v>
      </c>
      <c r="AD256" s="847" t="s">
        <v>1690</v>
      </c>
      <c r="AE256" s="847" t="s">
        <v>144</v>
      </c>
      <c r="AF256" s="848" t="s">
        <v>144</v>
      </c>
      <c r="AG256" s="838"/>
      <c r="AH256" s="866" t="s">
        <v>266</v>
      </c>
      <c r="AI256" s="273" t="s">
        <v>267</v>
      </c>
      <c r="AJ256" s="847">
        <v>7</v>
      </c>
      <c r="AK256" s="848" t="s">
        <v>1046</v>
      </c>
      <c r="AL256" s="867" t="s">
        <v>294</v>
      </c>
      <c r="AM256" s="273" t="s">
        <v>295</v>
      </c>
      <c r="AN256" s="847">
        <v>7</v>
      </c>
      <c r="AO256" s="187" t="s">
        <v>966</v>
      </c>
      <c r="AP256" s="867" t="s">
        <v>1767</v>
      </c>
      <c r="AQ256" s="273" t="s">
        <v>1768</v>
      </c>
      <c r="AR256" s="847">
        <v>7</v>
      </c>
      <c r="AS256" s="848" t="s">
        <v>1769</v>
      </c>
      <c r="AT256" s="292"/>
      <c r="AU256" s="273"/>
      <c r="AV256" s="240"/>
      <c r="AW256" s="848"/>
      <c r="AX256" s="867"/>
      <c r="AY256" s="273"/>
      <c r="AZ256" s="847"/>
      <c r="BA256" s="847"/>
      <c r="BB256" s="866"/>
      <c r="BC256" s="273"/>
      <c r="BD256" s="847"/>
      <c r="BE256" s="848"/>
      <c r="BF256" s="838"/>
    </row>
    <row r="257" spans="1:58" s="88" customFormat="1" ht="54" hidden="1" customHeight="1" x14ac:dyDescent="0.25">
      <c r="A257" s="267" t="s">
        <v>1687</v>
      </c>
      <c r="B257" s="268">
        <v>22</v>
      </c>
      <c r="C257" s="240" t="s">
        <v>684</v>
      </c>
      <c r="D257" s="211" t="s">
        <v>685</v>
      </c>
      <c r="E257" s="268" t="s">
        <v>1770</v>
      </c>
      <c r="F257" s="861" t="s">
        <v>1576</v>
      </c>
      <c r="G257" s="269" t="s">
        <v>1577</v>
      </c>
      <c r="H257" s="845" t="s">
        <v>1771</v>
      </c>
      <c r="I257" s="269" t="s">
        <v>1772</v>
      </c>
      <c r="J257" s="296" t="s">
        <v>140</v>
      </c>
      <c r="K257" s="297" t="s">
        <v>140</v>
      </c>
      <c r="L257" s="862" t="s">
        <v>1580</v>
      </c>
      <c r="M257" s="847" t="s">
        <v>142</v>
      </c>
      <c r="N257" s="211" t="s">
        <v>143</v>
      </c>
      <c r="O257" s="240" t="s">
        <v>1581</v>
      </c>
      <c r="P257" s="240" t="s">
        <v>1582</v>
      </c>
      <c r="Q257" s="845" t="s">
        <v>1773</v>
      </c>
      <c r="R257" s="208" t="s">
        <v>1774</v>
      </c>
      <c r="S257" s="864" t="s">
        <v>147</v>
      </c>
      <c r="T257" s="212" t="s">
        <v>144</v>
      </c>
      <c r="U257" s="213" t="s">
        <v>144</v>
      </c>
      <c r="V257" s="847">
        <v>2</v>
      </c>
      <c r="W257" s="415" t="s">
        <v>144</v>
      </c>
      <c r="X257" s="212">
        <v>40</v>
      </c>
      <c r="Y257" s="212" t="s">
        <v>144</v>
      </c>
      <c r="Z257" s="241" t="s">
        <v>144</v>
      </c>
      <c r="AA257" s="437" t="s">
        <v>1775</v>
      </c>
      <c r="AB257" s="206" t="s">
        <v>140</v>
      </c>
      <c r="AC257" s="847" t="s">
        <v>265</v>
      </c>
      <c r="AD257" s="847" t="s">
        <v>1690</v>
      </c>
      <c r="AE257" s="847" t="s">
        <v>144</v>
      </c>
      <c r="AF257" s="848" t="s">
        <v>144</v>
      </c>
      <c r="AG257" s="838"/>
      <c r="AH257" s="866" t="s">
        <v>266</v>
      </c>
      <c r="AI257" s="273" t="s">
        <v>267</v>
      </c>
      <c r="AJ257" s="847">
        <v>7</v>
      </c>
      <c r="AK257" s="848" t="s">
        <v>1046</v>
      </c>
      <c r="AL257" s="867" t="s">
        <v>294</v>
      </c>
      <c r="AM257" s="273" t="s">
        <v>295</v>
      </c>
      <c r="AN257" s="847">
        <v>7</v>
      </c>
      <c r="AO257" s="187" t="s">
        <v>966</v>
      </c>
      <c r="AP257" s="867" t="s">
        <v>1776</v>
      </c>
      <c r="AQ257" s="273" t="s">
        <v>1777</v>
      </c>
      <c r="AR257" s="847">
        <v>7</v>
      </c>
      <c r="AS257" s="286" t="s">
        <v>1778</v>
      </c>
      <c r="AT257" s="867" t="s">
        <v>1779</v>
      </c>
      <c r="AU257" s="273" t="s">
        <v>1780</v>
      </c>
      <c r="AV257" s="847">
        <v>7</v>
      </c>
      <c r="AW257" s="848" t="s">
        <v>1781</v>
      </c>
      <c r="AX257" s="867"/>
      <c r="AY257" s="273"/>
      <c r="AZ257" s="847"/>
      <c r="BA257" s="847"/>
      <c r="BB257" s="866"/>
      <c r="BC257" s="273"/>
      <c r="BD257" s="847"/>
      <c r="BE257" s="848"/>
      <c r="BF257" s="838"/>
    </row>
    <row r="258" spans="1:58" s="88" customFormat="1" ht="54" hidden="1" customHeight="1" x14ac:dyDescent="0.25">
      <c r="A258" s="267" t="s">
        <v>1687</v>
      </c>
      <c r="B258" s="268">
        <v>23</v>
      </c>
      <c r="C258" s="240" t="s">
        <v>1022</v>
      </c>
      <c r="D258" s="211" t="s">
        <v>1023</v>
      </c>
      <c r="E258" s="268" t="s">
        <v>1782</v>
      </c>
      <c r="F258" s="861" t="s">
        <v>1783</v>
      </c>
      <c r="G258" s="269" t="s">
        <v>1784</v>
      </c>
      <c r="H258" s="845" t="s">
        <v>1785</v>
      </c>
      <c r="I258" s="269" t="s">
        <v>1786</v>
      </c>
      <c r="J258" s="296" t="s">
        <v>140</v>
      </c>
      <c r="K258" s="297" t="s">
        <v>140</v>
      </c>
      <c r="L258" s="862" t="s">
        <v>1787</v>
      </c>
      <c r="M258" s="847" t="s">
        <v>142</v>
      </c>
      <c r="N258" s="211" t="s">
        <v>143</v>
      </c>
      <c r="O258" s="240" t="s">
        <v>144</v>
      </c>
      <c r="P258" s="240" t="s">
        <v>144</v>
      </c>
      <c r="Q258" s="845" t="s">
        <v>1788</v>
      </c>
      <c r="R258" s="208" t="s">
        <v>1789</v>
      </c>
      <c r="S258" s="864" t="s">
        <v>147</v>
      </c>
      <c r="T258" s="212" t="s">
        <v>144</v>
      </c>
      <c r="U258" s="213" t="s">
        <v>144</v>
      </c>
      <c r="V258" s="847">
        <v>1</v>
      </c>
      <c r="W258" s="415" t="s">
        <v>144</v>
      </c>
      <c r="X258" s="212">
        <v>40</v>
      </c>
      <c r="Y258" s="212" t="s">
        <v>144</v>
      </c>
      <c r="Z258" s="212" t="s">
        <v>29</v>
      </c>
      <c r="AA258" s="240" t="s">
        <v>1790</v>
      </c>
      <c r="AB258" s="206" t="s">
        <v>140</v>
      </c>
      <c r="AC258" s="847" t="s">
        <v>265</v>
      </c>
      <c r="AD258" s="847" t="s">
        <v>1690</v>
      </c>
      <c r="AE258" s="847" t="s">
        <v>144</v>
      </c>
      <c r="AF258" s="848" t="s">
        <v>144</v>
      </c>
      <c r="AG258" s="838"/>
      <c r="AH258" s="866" t="s">
        <v>266</v>
      </c>
      <c r="AI258" s="273" t="s">
        <v>267</v>
      </c>
      <c r="AJ258" s="847">
        <v>7</v>
      </c>
      <c r="AK258" s="848" t="s">
        <v>1046</v>
      </c>
      <c r="AL258" s="312"/>
      <c r="AM258" s="313"/>
      <c r="AN258" s="289"/>
      <c r="AO258" s="314"/>
      <c r="AP258" s="879"/>
      <c r="AQ258" s="746"/>
      <c r="AR258" s="880"/>
      <c r="AS258" s="881"/>
      <c r="AT258" s="867"/>
      <c r="AU258" s="273"/>
      <c r="AV258" s="847"/>
      <c r="AW258" s="848"/>
      <c r="AX258" s="867"/>
      <c r="AY258" s="273"/>
      <c r="AZ258" s="847"/>
      <c r="BA258" s="848"/>
      <c r="BB258" s="866"/>
      <c r="BC258" s="273"/>
      <c r="BD258" s="847"/>
      <c r="BE258" s="848"/>
      <c r="BF258" s="838"/>
    </row>
    <row r="259" spans="1:58" s="88" customFormat="1" ht="54" hidden="1" customHeight="1" x14ac:dyDescent="0.25">
      <c r="A259" s="267" t="s">
        <v>1687</v>
      </c>
      <c r="B259" s="268">
        <v>24</v>
      </c>
      <c r="C259" s="240" t="s">
        <v>1022</v>
      </c>
      <c r="D259" s="211" t="s">
        <v>1023</v>
      </c>
      <c r="E259" s="268" t="s">
        <v>1791</v>
      </c>
      <c r="F259" s="861" t="s">
        <v>1511</v>
      </c>
      <c r="G259" s="269" t="s">
        <v>1512</v>
      </c>
      <c r="H259" s="845" t="s">
        <v>1792</v>
      </c>
      <c r="I259" s="269" t="s">
        <v>1793</v>
      </c>
      <c r="J259" s="296" t="s">
        <v>140</v>
      </c>
      <c r="K259" s="297" t="s">
        <v>140</v>
      </c>
      <c r="L259" s="862" t="s">
        <v>1515</v>
      </c>
      <c r="M259" s="847" t="s">
        <v>142</v>
      </c>
      <c r="N259" s="211" t="s">
        <v>143</v>
      </c>
      <c r="O259" s="240" t="s">
        <v>1516</v>
      </c>
      <c r="P259" s="240" t="s">
        <v>1517</v>
      </c>
      <c r="Q259" s="845" t="s">
        <v>1794</v>
      </c>
      <c r="R259" s="208" t="s">
        <v>1795</v>
      </c>
      <c r="S259" s="864" t="s">
        <v>147</v>
      </c>
      <c r="T259" s="212" t="s">
        <v>144</v>
      </c>
      <c r="U259" s="213" t="s">
        <v>144</v>
      </c>
      <c r="V259" s="847">
        <v>6</v>
      </c>
      <c r="W259" s="415" t="s">
        <v>144</v>
      </c>
      <c r="X259" s="212">
        <v>40</v>
      </c>
      <c r="Y259" s="212" t="s">
        <v>144</v>
      </c>
      <c r="Z259" s="241" t="s">
        <v>144</v>
      </c>
      <c r="AA259" s="437" t="s">
        <v>1796</v>
      </c>
      <c r="AB259" s="206" t="s">
        <v>140</v>
      </c>
      <c r="AC259" s="847" t="s">
        <v>265</v>
      </c>
      <c r="AD259" s="847" t="s">
        <v>1690</v>
      </c>
      <c r="AE259" s="847" t="s">
        <v>144</v>
      </c>
      <c r="AF259" s="848" t="s">
        <v>144</v>
      </c>
      <c r="AG259" s="838"/>
      <c r="AH259" s="866" t="s">
        <v>266</v>
      </c>
      <c r="AI259" s="273" t="s">
        <v>267</v>
      </c>
      <c r="AJ259" s="847">
        <v>7</v>
      </c>
      <c r="AK259" s="848" t="s">
        <v>1046</v>
      </c>
      <c r="AL259" s="867" t="s">
        <v>294</v>
      </c>
      <c r="AM259" s="273" t="s">
        <v>295</v>
      </c>
      <c r="AN259" s="847">
        <v>7</v>
      </c>
      <c r="AO259" s="187" t="s">
        <v>966</v>
      </c>
      <c r="AP259" s="867" t="s">
        <v>1521</v>
      </c>
      <c r="AQ259" s="273" t="s">
        <v>1522</v>
      </c>
      <c r="AR259" s="847">
        <v>7</v>
      </c>
      <c r="AS259" s="848" t="s">
        <v>1523</v>
      </c>
      <c r="AT259" s="303" t="s">
        <v>1524</v>
      </c>
      <c r="AU259" s="304" t="s">
        <v>1525</v>
      </c>
      <c r="AV259" s="305">
        <v>7</v>
      </c>
      <c r="AW259" s="306" t="s">
        <v>1526</v>
      </c>
      <c r="AX259" s="867" t="s">
        <v>1797</v>
      </c>
      <c r="AY259" s="273" t="s">
        <v>1798</v>
      </c>
      <c r="AZ259" s="847">
        <v>6</v>
      </c>
      <c r="BA259" s="848" t="s">
        <v>1799</v>
      </c>
      <c r="BB259" s="249" t="s">
        <v>1800</v>
      </c>
      <c r="BC259" s="135" t="s">
        <v>1801</v>
      </c>
      <c r="BD259" s="847">
        <v>6</v>
      </c>
      <c r="BE259" s="306" t="s">
        <v>1802</v>
      </c>
      <c r="BF259" s="838"/>
    </row>
    <row r="260" spans="1:58" s="88" customFormat="1" ht="54" hidden="1" customHeight="1" x14ac:dyDescent="0.25">
      <c r="A260" s="267" t="s">
        <v>1687</v>
      </c>
      <c r="B260" s="268">
        <v>25</v>
      </c>
      <c r="C260" s="240" t="s">
        <v>1022</v>
      </c>
      <c r="D260" s="211" t="s">
        <v>1023</v>
      </c>
      <c r="E260" s="268" t="s">
        <v>1803</v>
      </c>
      <c r="F260" s="861" t="s">
        <v>1804</v>
      </c>
      <c r="G260" s="269" t="s">
        <v>1805</v>
      </c>
      <c r="H260" s="845" t="s">
        <v>1806</v>
      </c>
      <c r="I260" s="269" t="s">
        <v>1807</v>
      </c>
      <c r="J260" s="296" t="s">
        <v>140</v>
      </c>
      <c r="K260" s="297" t="s">
        <v>140</v>
      </c>
      <c r="L260" s="862" t="s">
        <v>1808</v>
      </c>
      <c r="M260" s="847" t="s">
        <v>142</v>
      </c>
      <c r="N260" s="211" t="s">
        <v>143</v>
      </c>
      <c r="O260" s="240" t="s">
        <v>1809</v>
      </c>
      <c r="P260" s="240" t="s">
        <v>1810</v>
      </c>
      <c r="Q260" s="845" t="s">
        <v>144</v>
      </c>
      <c r="R260" s="208" t="s">
        <v>144</v>
      </c>
      <c r="S260" s="864" t="s">
        <v>147</v>
      </c>
      <c r="T260" s="212" t="s">
        <v>144</v>
      </c>
      <c r="U260" s="213" t="s">
        <v>144</v>
      </c>
      <c r="V260" s="847">
        <v>1</v>
      </c>
      <c r="W260" s="415" t="s">
        <v>144</v>
      </c>
      <c r="X260" s="212">
        <v>40</v>
      </c>
      <c r="Y260" s="212" t="s">
        <v>144</v>
      </c>
      <c r="Z260" s="241" t="s">
        <v>25</v>
      </c>
      <c r="AA260" s="407" t="s">
        <v>1811</v>
      </c>
      <c r="AB260" s="206" t="s">
        <v>140</v>
      </c>
      <c r="AC260" s="847" t="s">
        <v>265</v>
      </c>
      <c r="AD260" s="847" t="s">
        <v>1690</v>
      </c>
      <c r="AE260" s="847" t="s">
        <v>144</v>
      </c>
      <c r="AF260" s="848" t="s">
        <v>144</v>
      </c>
      <c r="AG260" s="838"/>
      <c r="AH260" s="866" t="s">
        <v>266</v>
      </c>
      <c r="AI260" s="273" t="s">
        <v>267</v>
      </c>
      <c r="AJ260" s="847">
        <v>7</v>
      </c>
      <c r="AK260" s="848" t="s">
        <v>1046</v>
      </c>
      <c r="AL260" s="867" t="s">
        <v>294</v>
      </c>
      <c r="AM260" s="273" t="s">
        <v>295</v>
      </c>
      <c r="AN260" s="847">
        <v>7</v>
      </c>
      <c r="AO260" s="187" t="s">
        <v>966</v>
      </c>
      <c r="AP260" s="867" t="s">
        <v>1812</v>
      </c>
      <c r="AQ260" s="273" t="s">
        <v>1813</v>
      </c>
      <c r="AR260" s="847">
        <v>7</v>
      </c>
      <c r="AS260" s="848" t="s">
        <v>1814</v>
      </c>
      <c r="AT260" s="867"/>
      <c r="AU260" s="273"/>
      <c r="AV260" s="847"/>
      <c r="AW260" s="848"/>
      <c r="AX260" s="867"/>
      <c r="AY260" s="273"/>
      <c r="AZ260" s="847"/>
      <c r="BA260" s="848"/>
      <c r="BB260" s="866"/>
      <c r="BC260" s="273"/>
      <c r="BD260" s="847"/>
      <c r="BE260" s="848"/>
      <c r="BF260" s="838"/>
    </row>
    <row r="261" spans="1:58" s="88" customFormat="1" ht="54" hidden="1" customHeight="1" x14ac:dyDescent="0.25">
      <c r="A261" s="267" t="s">
        <v>1687</v>
      </c>
      <c r="B261" s="268">
        <v>26</v>
      </c>
      <c r="C261" s="240" t="s">
        <v>1022</v>
      </c>
      <c r="D261" s="211" t="s">
        <v>1023</v>
      </c>
      <c r="E261" s="268" t="s">
        <v>1815</v>
      </c>
      <c r="F261" s="861" t="s">
        <v>1816</v>
      </c>
      <c r="G261" s="269" t="s">
        <v>1817</v>
      </c>
      <c r="H261" s="845" t="s">
        <v>1818</v>
      </c>
      <c r="I261" s="269" t="s">
        <v>1819</v>
      </c>
      <c r="J261" s="296" t="s">
        <v>140</v>
      </c>
      <c r="K261" s="297" t="s">
        <v>140</v>
      </c>
      <c r="L261" s="862" t="s">
        <v>1820</v>
      </c>
      <c r="M261" s="872" t="s">
        <v>1821</v>
      </c>
      <c r="N261" s="443" t="s">
        <v>1822</v>
      </c>
      <c r="O261" s="240" t="s">
        <v>1823</v>
      </c>
      <c r="P261" s="240" t="s">
        <v>1824</v>
      </c>
      <c r="Q261" s="882" t="s">
        <v>1825</v>
      </c>
      <c r="R261" s="613" t="s">
        <v>1826</v>
      </c>
      <c r="S261" s="864" t="s">
        <v>147</v>
      </c>
      <c r="T261" s="212" t="s">
        <v>144</v>
      </c>
      <c r="U261" s="213" t="s">
        <v>144</v>
      </c>
      <c r="V261" s="847">
        <v>5</v>
      </c>
      <c r="W261" s="415" t="s">
        <v>144</v>
      </c>
      <c r="X261" s="212">
        <v>40</v>
      </c>
      <c r="Y261" s="212" t="s">
        <v>144</v>
      </c>
      <c r="Z261" s="433" t="s">
        <v>25</v>
      </c>
      <c r="AA261" s="407" t="s">
        <v>1827</v>
      </c>
      <c r="AB261" s="206" t="s">
        <v>140</v>
      </c>
      <c r="AC261" s="847" t="s">
        <v>265</v>
      </c>
      <c r="AD261" s="847" t="s">
        <v>1690</v>
      </c>
      <c r="AE261" s="847" t="s">
        <v>144</v>
      </c>
      <c r="AF261" s="848" t="s">
        <v>144</v>
      </c>
      <c r="AG261" s="838"/>
      <c r="AH261" s="866"/>
      <c r="AI261" s="273"/>
      <c r="AJ261" s="847"/>
      <c r="AK261" s="848"/>
      <c r="AL261" s="867" t="s">
        <v>294</v>
      </c>
      <c r="AM261" s="273" t="s">
        <v>295</v>
      </c>
      <c r="AN261" s="847">
        <v>7</v>
      </c>
      <c r="AO261" s="187" t="s">
        <v>966</v>
      </c>
      <c r="AP261" s="867"/>
      <c r="AQ261" s="273"/>
      <c r="AR261" s="847"/>
      <c r="AS261" s="848"/>
      <c r="AT261" s="867"/>
      <c r="AU261" s="273"/>
      <c r="AV261" s="847"/>
      <c r="AW261" s="848"/>
      <c r="AX261" s="867"/>
      <c r="AY261" s="273"/>
      <c r="AZ261" s="847"/>
      <c r="BA261" s="848"/>
      <c r="BB261" s="866"/>
      <c r="BC261" s="273"/>
      <c r="BD261" s="847"/>
      <c r="BE261" s="848"/>
      <c r="BF261" s="838"/>
    </row>
    <row r="262" spans="1:58" s="88" customFormat="1" ht="54" hidden="1" customHeight="1" x14ac:dyDescent="0.25">
      <c r="A262" s="267" t="s">
        <v>1687</v>
      </c>
      <c r="B262" s="268">
        <v>27</v>
      </c>
      <c r="C262" s="240" t="s">
        <v>684</v>
      </c>
      <c r="D262" s="211" t="s">
        <v>685</v>
      </c>
      <c r="E262" s="268" t="s">
        <v>1828</v>
      </c>
      <c r="F262" s="861" t="s">
        <v>1829</v>
      </c>
      <c r="G262" s="269" t="s">
        <v>1830</v>
      </c>
      <c r="H262" s="845" t="s">
        <v>1831</v>
      </c>
      <c r="I262" s="208" t="s">
        <v>1832</v>
      </c>
      <c r="J262" s="240" t="s">
        <v>140</v>
      </c>
      <c r="K262" s="270" t="s">
        <v>140</v>
      </c>
      <c r="L262" s="862" t="s">
        <v>1437</v>
      </c>
      <c r="M262" s="206" t="s">
        <v>973</v>
      </c>
      <c r="N262" s="211" t="s">
        <v>974</v>
      </c>
      <c r="O262" s="240" t="s">
        <v>1438</v>
      </c>
      <c r="P262" s="240" t="s">
        <v>1439</v>
      </c>
      <c r="Q262" s="845" t="s">
        <v>144</v>
      </c>
      <c r="R262" s="208" t="s">
        <v>144</v>
      </c>
      <c r="S262" s="864" t="s">
        <v>147</v>
      </c>
      <c r="T262" s="212" t="s">
        <v>144</v>
      </c>
      <c r="U262" s="213" t="s">
        <v>144</v>
      </c>
      <c r="V262" s="847">
        <v>3</v>
      </c>
      <c r="W262" s="415" t="s">
        <v>144</v>
      </c>
      <c r="X262" s="212">
        <v>40</v>
      </c>
      <c r="Y262" s="212" t="s">
        <v>144</v>
      </c>
      <c r="Z262" s="451" t="s">
        <v>29</v>
      </c>
      <c r="AA262" s="437" t="s">
        <v>1833</v>
      </c>
      <c r="AB262" s="206" t="s">
        <v>140</v>
      </c>
      <c r="AC262" s="847" t="s">
        <v>265</v>
      </c>
      <c r="AD262" s="847" t="s">
        <v>1834</v>
      </c>
      <c r="AE262" s="847" t="s">
        <v>144</v>
      </c>
      <c r="AF262" s="848" t="s">
        <v>144</v>
      </c>
      <c r="AG262" s="838"/>
      <c r="AH262" s="866" t="s">
        <v>1835</v>
      </c>
      <c r="AI262" s="273" t="s">
        <v>1836</v>
      </c>
      <c r="AJ262" s="847">
        <v>7</v>
      </c>
      <c r="AK262" s="848" t="s">
        <v>1837</v>
      </c>
      <c r="AL262" s="867" t="s">
        <v>294</v>
      </c>
      <c r="AM262" s="273" t="s">
        <v>295</v>
      </c>
      <c r="AN262" s="847">
        <v>7</v>
      </c>
      <c r="AO262" s="187" t="s">
        <v>966</v>
      </c>
      <c r="AP262" s="883" t="s">
        <v>1838</v>
      </c>
      <c r="AQ262" s="726" t="s">
        <v>1839</v>
      </c>
      <c r="AR262" s="872">
        <v>7</v>
      </c>
      <c r="AS262" s="848" t="s">
        <v>1840</v>
      </c>
      <c r="AT262" s="883" t="s">
        <v>1841</v>
      </c>
      <c r="AU262" s="726" t="s">
        <v>1842</v>
      </c>
      <c r="AV262" s="847">
        <v>7</v>
      </c>
      <c r="AW262" s="848" t="s">
        <v>1843</v>
      </c>
      <c r="AX262" s="867"/>
      <c r="AY262" s="273"/>
      <c r="AZ262" s="847"/>
      <c r="BA262" s="848"/>
      <c r="BB262" s="249" t="s">
        <v>1844</v>
      </c>
      <c r="BC262" s="135" t="s">
        <v>1845</v>
      </c>
      <c r="BD262" s="847">
        <v>6</v>
      </c>
      <c r="BE262" s="848" t="s">
        <v>1846</v>
      </c>
      <c r="BF262" s="838"/>
    </row>
    <row r="263" spans="1:58" s="88" customFormat="1" ht="54" hidden="1" customHeight="1" x14ac:dyDescent="0.25">
      <c r="A263" s="267" t="s">
        <v>1687</v>
      </c>
      <c r="B263" s="268">
        <v>28</v>
      </c>
      <c r="C263" s="240" t="s">
        <v>1022</v>
      </c>
      <c r="D263" s="211" t="s">
        <v>1023</v>
      </c>
      <c r="E263" s="268" t="s">
        <v>1847</v>
      </c>
      <c r="F263" s="861" t="s">
        <v>1848</v>
      </c>
      <c r="G263" s="269" t="s">
        <v>1849</v>
      </c>
      <c r="H263" s="845" t="s">
        <v>1850</v>
      </c>
      <c r="I263" s="269" t="s">
        <v>1851</v>
      </c>
      <c r="J263" s="296" t="s">
        <v>140</v>
      </c>
      <c r="K263" s="297" t="s">
        <v>140</v>
      </c>
      <c r="L263" s="862" t="s">
        <v>1852</v>
      </c>
      <c r="M263" s="847" t="s">
        <v>142</v>
      </c>
      <c r="N263" s="211" t="s">
        <v>143</v>
      </c>
      <c r="O263" s="240" t="s">
        <v>1853</v>
      </c>
      <c r="P263" s="240" t="s">
        <v>1854</v>
      </c>
      <c r="Q263" s="845" t="s">
        <v>1855</v>
      </c>
      <c r="R263" s="208" t="s">
        <v>1856</v>
      </c>
      <c r="S263" s="864" t="s">
        <v>147</v>
      </c>
      <c r="T263" s="212" t="s">
        <v>144</v>
      </c>
      <c r="U263" s="213" t="s">
        <v>144</v>
      </c>
      <c r="V263" s="847">
        <v>12</v>
      </c>
      <c r="W263" s="415" t="s">
        <v>144</v>
      </c>
      <c r="X263" s="212">
        <v>40</v>
      </c>
      <c r="Y263" s="212" t="s">
        <v>144</v>
      </c>
      <c r="Z263" s="241" t="s">
        <v>29</v>
      </c>
      <c r="AA263" s="437" t="s">
        <v>1857</v>
      </c>
      <c r="AB263" s="206" t="s">
        <v>140</v>
      </c>
      <c r="AC263" s="847" t="s">
        <v>265</v>
      </c>
      <c r="AD263" s="847" t="s">
        <v>1690</v>
      </c>
      <c r="AE263" s="847" t="s">
        <v>144</v>
      </c>
      <c r="AF263" s="848" t="s">
        <v>144</v>
      </c>
      <c r="AG263" s="838"/>
      <c r="AH263" s="866" t="s">
        <v>266</v>
      </c>
      <c r="AI263" s="273" t="s">
        <v>267</v>
      </c>
      <c r="AJ263" s="847">
        <v>7</v>
      </c>
      <c r="AK263" s="848" t="s">
        <v>1046</v>
      </c>
      <c r="AL263" s="867" t="s">
        <v>294</v>
      </c>
      <c r="AM263" s="273" t="s">
        <v>295</v>
      </c>
      <c r="AN263" s="847">
        <v>7</v>
      </c>
      <c r="AO263" s="187" t="s">
        <v>966</v>
      </c>
      <c r="AP263" s="312"/>
      <c r="AQ263" s="313"/>
      <c r="AR263" s="289"/>
      <c r="AS263" s="314"/>
      <c r="AT263" s="867" t="s">
        <v>1858</v>
      </c>
      <c r="AU263" s="273" t="s">
        <v>1859</v>
      </c>
      <c r="AV263" s="847">
        <v>7</v>
      </c>
      <c r="AW263" s="871" t="s">
        <v>1860</v>
      </c>
      <c r="AX263" s="867"/>
      <c r="AY263" s="273"/>
      <c r="AZ263" s="847"/>
      <c r="BA263" s="848"/>
      <c r="BB263" s="249" t="s">
        <v>1861</v>
      </c>
      <c r="BC263" s="135" t="s">
        <v>1862</v>
      </c>
      <c r="BD263" s="847">
        <v>6</v>
      </c>
      <c r="BE263" s="306" t="s">
        <v>1863</v>
      </c>
      <c r="BF263" s="838"/>
    </row>
    <row r="264" spans="1:58" s="88" customFormat="1" ht="54" hidden="1" customHeight="1" x14ac:dyDescent="0.25">
      <c r="A264" s="267" t="s">
        <v>1687</v>
      </c>
      <c r="B264" s="268">
        <v>29</v>
      </c>
      <c r="C264" s="240" t="s">
        <v>1022</v>
      </c>
      <c r="D264" s="270" t="s">
        <v>1023</v>
      </c>
      <c r="E264" s="268" t="s">
        <v>1864</v>
      </c>
      <c r="F264" s="861" t="s">
        <v>1865</v>
      </c>
      <c r="G264" s="269" t="s">
        <v>1866</v>
      </c>
      <c r="H264" s="845" t="s">
        <v>1867</v>
      </c>
      <c r="I264" s="269" t="s">
        <v>1868</v>
      </c>
      <c r="J264" s="296" t="s">
        <v>140</v>
      </c>
      <c r="K264" s="297" t="s">
        <v>140</v>
      </c>
      <c r="L264" s="862" t="s">
        <v>1593</v>
      </c>
      <c r="M264" s="847" t="s">
        <v>142</v>
      </c>
      <c r="N264" s="211" t="s">
        <v>143</v>
      </c>
      <c r="O264" s="240" t="s">
        <v>144</v>
      </c>
      <c r="P264" s="240" t="s">
        <v>144</v>
      </c>
      <c r="Q264" s="845" t="s">
        <v>1869</v>
      </c>
      <c r="R264" s="208" t="s">
        <v>1870</v>
      </c>
      <c r="S264" s="181" t="s">
        <v>233</v>
      </c>
      <c r="T264" s="212" t="s">
        <v>234</v>
      </c>
      <c r="U264" s="213" t="s">
        <v>235</v>
      </c>
      <c r="V264" s="847">
        <v>8</v>
      </c>
      <c r="W264" s="415" t="s">
        <v>144</v>
      </c>
      <c r="X264" s="212">
        <v>40</v>
      </c>
      <c r="Y264" s="212" t="s">
        <v>144</v>
      </c>
      <c r="Z264" s="241" t="s">
        <v>25</v>
      </c>
      <c r="AA264" s="407" t="s">
        <v>1871</v>
      </c>
      <c r="AB264" s="206" t="s">
        <v>140</v>
      </c>
      <c r="AC264" s="847" t="s">
        <v>265</v>
      </c>
      <c r="AD264" s="847" t="s">
        <v>1690</v>
      </c>
      <c r="AE264" s="847" t="s">
        <v>144</v>
      </c>
      <c r="AF264" s="848" t="s">
        <v>144</v>
      </c>
      <c r="AG264" s="838"/>
      <c r="AH264" s="866" t="s">
        <v>266</v>
      </c>
      <c r="AI264" s="273" t="s">
        <v>267</v>
      </c>
      <c r="AJ264" s="847">
        <v>7</v>
      </c>
      <c r="AK264" s="848" t="s">
        <v>1046</v>
      </c>
      <c r="AL264" s="867"/>
      <c r="AM264" s="273"/>
      <c r="AN264" s="847"/>
      <c r="AO264" s="848"/>
      <c r="AP264" s="867" t="s">
        <v>1160</v>
      </c>
      <c r="AQ264" s="273" t="s">
        <v>1161</v>
      </c>
      <c r="AR264" s="847">
        <v>7</v>
      </c>
      <c r="AS264" s="848" t="s">
        <v>1162</v>
      </c>
      <c r="AT264" s="867" t="s">
        <v>1872</v>
      </c>
      <c r="AU264" s="273" t="s">
        <v>1873</v>
      </c>
      <c r="AV264" s="847">
        <v>7</v>
      </c>
      <c r="AW264" s="848" t="s">
        <v>1874</v>
      </c>
      <c r="AX264" s="867"/>
      <c r="AY264" s="273"/>
      <c r="AZ264" s="847"/>
      <c r="BA264" s="848"/>
      <c r="BB264" s="866"/>
      <c r="BC264" s="273"/>
      <c r="BD264" s="847"/>
      <c r="BE264" s="848"/>
      <c r="BF264" s="838"/>
    </row>
    <row r="265" spans="1:58" s="88" customFormat="1" ht="54" hidden="1" customHeight="1" x14ac:dyDescent="0.25">
      <c r="A265" s="267" t="s">
        <v>1687</v>
      </c>
      <c r="B265" s="268">
        <v>30</v>
      </c>
      <c r="C265" s="240" t="s">
        <v>1022</v>
      </c>
      <c r="D265" s="270" t="s">
        <v>1023</v>
      </c>
      <c r="E265" s="268" t="s">
        <v>1875</v>
      </c>
      <c r="F265" s="861" t="s">
        <v>1876</v>
      </c>
      <c r="G265" s="269" t="s">
        <v>1877</v>
      </c>
      <c r="H265" s="845" t="s">
        <v>1878</v>
      </c>
      <c r="I265" s="269" t="s">
        <v>1879</v>
      </c>
      <c r="J265" s="296" t="s">
        <v>140</v>
      </c>
      <c r="K265" s="297" t="s">
        <v>140</v>
      </c>
      <c r="L265" s="862" t="s">
        <v>1613</v>
      </c>
      <c r="M265" s="847" t="s">
        <v>142</v>
      </c>
      <c r="N265" s="211" t="s">
        <v>143</v>
      </c>
      <c r="O265" s="240" t="s">
        <v>144</v>
      </c>
      <c r="P265" s="240" t="s">
        <v>144</v>
      </c>
      <c r="Q265" s="845" t="s">
        <v>1880</v>
      </c>
      <c r="R265" s="208" t="s">
        <v>1881</v>
      </c>
      <c r="S265" s="181" t="s">
        <v>233</v>
      </c>
      <c r="T265" s="212" t="s">
        <v>234</v>
      </c>
      <c r="U265" s="213" t="s">
        <v>235</v>
      </c>
      <c r="V265" s="847">
        <v>8</v>
      </c>
      <c r="W265" s="415" t="s">
        <v>144</v>
      </c>
      <c r="X265" s="212">
        <v>40</v>
      </c>
      <c r="Y265" s="212" t="s">
        <v>144</v>
      </c>
      <c r="Z265" s="241" t="s">
        <v>25</v>
      </c>
      <c r="AA265" s="407" t="s">
        <v>1882</v>
      </c>
      <c r="AB265" s="206" t="s">
        <v>140</v>
      </c>
      <c r="AC265" s="847" t="s">
        <v>265</v>
      </c>
      <c r="AD265" s="847" t="s">
        <v>1883</v>
      </c>
      <c r="AE265" s="847" t="s">
        <v>144</v>
      </c>
      <c r="AF265" s="848" t="s">
        <v>144</v>
      </c>
      <c r="AG265" s="838"/>
      <c r="AH265" s="866" t="s">
        <v>266</v>
      </c>
      <c r="AI265" s="273" t="s">
        <v>267</v>
      </c>
      <c r="AJ265" s="847">
        <v>7</v>
      </c>
      <c r="AK265" s="848" t="s">
        <v>1046</v>
      </c>
      <c r="AL265" s="867"/>
      <c r="AM265" s="273"/>
      <c r="AN265" s="847"/>
      <c r="AO265" s="848"/>
      <c r="AP265" s="867" t="s">
        <v>1884</v>
      </c>
      <c r="AQ265" s="273" t="s">
        <v>1885</v>
      </c>
      <c r="AR265" s="847" t="s">
        <v>1724</v>
      </c>
      <c r="AS265" s="848" t="s">
        <v>1886</v>
      </c>
      <c r="AT265" s="867" t="s">
        <v>1186</v>
      </c>
      <c r="AU265" s="273" t="s">
        <v>1187</v>
      </c>
      <c r="AV265" s="847">
        <v>7</v>
      </c>
      <c r="AW265" s="848" t="s">
        <v>1188</v>
      </c>
      <c r="AX265" s="867"/>
      <c r="AY265" s="273"/>
      <c r="AZ265" s="847"/>
      <c r="BA265" s="848"/>
      <c r="BB265" s="866"/>
      <c r="BC265" s="273"/>
      <c r="BD265" s="847"/>
      <c r="BE265" s="848"/>
      <c r="BF265" s="838"/>
    </row>
    <row r="266" spans="1:58" s="88" customFormat="1" ht="54" hidden="1" customHeight="1" x14ac:dyDescent="0.25">
      <c r="A266" s="267" t="s">
        <v>1687</v>
      </c>
      <c r="B266" s="268">
        <v>31</v>
      </c>
      <c r="C266" s="240" t="s">
        <v>684</v>
      </c>
      <c r="D266" s="270" t="s">
        <v>685</v>
      </c>
      <c r="E266" s="268" t="s">
        <v>1887</v>
      </c>
      <c r="F266" s="861" t="s">
        <v>1888</v>
      </c>
      <c r="G266" s="269" t="s">
        <v>1889</v>
      </c>
      <c r="H266" s="845" t="s">
        <v>1890</v>
      </c>
      <c r="I266" s="208" t="s">
        <v>1891</v>
      </c>
      <c r="J266" s="240" t="s">
        <v>140</v>
      </c>
      <c r="K266" s="270" t="s">
        <v>140</v>
      </c>
      <c r="L266" s="862" t="s">
        <v>1892</v>
      </c>
      <c r="M266" s="847" t="s">
        <v>973</v>
      </c>
      <c r="N266" s="270" t="s">
        <v>974</v>
      </c>
      <c r="O266" s="240" t="s">
        <v>144</v>
      </c>
      <c r="P266" s="240" t="s">
        <v>144</v>
      </c>
      <c r="Q266" s="845" t="s">
        <v>1893</v>
      </c>
      <c r="R266" s="208" t="s">
        <v>1894</v>
      </c>
      <c r="S266" s="864" t="s">
        <v>746</v>
      </c>
      <c r="T266" s="212" t="s">
        <v>1307</v>
      </c>
      <c r="U266" s="213" t="s">
        <v>1308</v>
      </c>
      <c r="V266" s="847">
        <v>10</v>
      </c>
      <c r="W266" s="415" t="s">
        <v>144</v>
      </c>
      <c r="X266" s="212">
        <v>40</v>
      </c>
      <c r="Y266" s="212" t="s">
        <v>144</v>
      </c>
      <c r="Z266" s="241" t="s">
        <v>144</v>
      </c>
      <c r="AA266" s="615" t="s">
        <v>733</v>
      </c>
      <c r="AB266" s="206" t="s">
        <v>140</v>
      </c>
      <c r="AC266" s="847" t="s">
        <v>265</v>
      </c>
      <c r="AD266" s="847" t="s">
        <v>1895</v>
      </c>
      <c r="AE266" s="847" t="s">
        <v>144</v>
      </c>
      <c r="AF266" s="848" t="s">
        <v>144</v>
      </c>
      <c r="AG266" s="838"/>
      <c r="AH266" s="884" t="s">
        <v>1896</v>
      </c>
      <c r="AI266" s="315" t="s">
        <v>1897</v>
      </c>
      <c r="AJ266" s="847">
        <v>6</v>
      </c>
      <c r="AK266" s="848" t="s">
        <v>1898</v>
      </c>
      <c r="AL266" s="867"/>
      <c r="AM266" s="273"/>
      <c r="AN266" s="847"/>
      <c r="AO266" s="848"/>
      <c r="AP266" s="867" t="s">
        <v>1107</v>
      </c>
      <c r="AQ266" s="273" t="s">
        <v>1108</v>
      </c>
      <c r="AR266" s="847">
        <v>7</v>
      </c>
      <c r="AS266" s="286" t="s">
        <v>1109</v>
      </c>
      <c r="AT266" s="867"/>
      <c r="AU266" s="273"/>
      <c r="AV266" s="847"/>
      <c r="AW266" s="848"/>
      <c r="AX266" s="867"/>
      <c r="AY266" s="273"/>
      <c r="AZ266" s="847"/>
      <c r="BA266" s="848"/>
      <c r="BB266" s="866"/>
      <c r="BC266" s="273"/>
      <c r="BD266" s="847"/>
      <c r="BE266" s="848"/>
      <c r="BF266" s="838"/>
    </row>
    <row r="267" spans="1:58" s="88" customFormat="1" ht="54" hidden="1" customHeight="1" x14ac:dyDescent="0.25">
      <c r="A267" s="267" t="s">
        <v>1687</v>
      </c>
      <c r="B267" s="268">
        <v>32</v>
      </c>
      <c r="C267" s="240" t="s">
        <v>684</v>
      </c>
      <c r="D267" s="270" t="s">
        <v>685</v>
      </c>
      <c r="E267" s="268" t="s">
        <v>1899</v>
      </c>
      <c r="F267" s="861" t="s">
        <v>1900</v>
      </c>
      <c r="G267" s="269" t="s">
        <v>1900</v>
      </c>
      <c r="H267" s="846" t="s">
        <v>1901</v>
      </c>
      <c r="I267" s="269" t="s">
        <v>1902</v>
      </c>
      <c r="J267" s="296" t="s">
        <v>140</v>
      </c>
      <c r="K267" s="297" t="s">
        <v>140</v>
      </c>
      <c r="L267" s="862" t="s">
        <v>1903</v>
      </c>
      <c r="M267" s="847" t="s">
        <v>973</v>
      </c>
      <c r="N267" s="270" t="s">
        <v>974</v>
      </c>
      <c r="O267" s="240" t="s">
        <v>144</v>
      </c>
      <c r="P267" s="240" t="s">
        <v>144</v>
      </c>
      <c r="Q267" s="845" t="s">
        <v>1904</v>
      </c>
      <c r="R267" s="208" t="s">
        <v>1905</v>
      </c>
      <c r="S267" s="864" t="s">
        <v>746</v>
      </c>
      <c r="T267" s="212" t="s">
        <v>1307</v>
      </c>
      <c r="U267" s="213" t="s">
        <v>1308</v>
      </c>
      <c r="V267" s="847">
        <v>10</v>
      </c>
      <c r="W267" s="415" t="s">
        <v>144</v>
      </c>
      <c r="X267" s="212">
        <v>40</v>
      </c>
      <c r="Y267" s="212" t="s">
        <v>144</v>
      </c>
      <c r="Z267" s="241" t="s">
        <v>144</v>
      </c>
      <c r="AA267" s="437" t="s">
        <v>1906</v>
      </c>
      <c r="AB267" s="206" t="s">
        <v>140</v>
      </c>
      <c r="AC267" s="847" t="s">
        <v>265</v>
      </c>
      <c r="AD267" s="847" t="s">
        <v>1907</v>
      </c>
      <c r="AE267" s="847" t="s">
        <v>144</v>
      </c>
      <c r="AF267" s="848" t="s">
        <v>144</v>
      </c>
      <c r="AG267" s="838"/>
      <c r="AH267" s="866" t="s">
        <v>1908</v>
      </c>
      <c r="AI267" s="273" t="s">
        <v>1909</v>
      </c>
      <c r="AJ267" s="847">
        <v>6</v>
      </c>
      <c r="AK267" s="848" t="s">
        <v>1910</v>
      </c>
      <c r="AL267" s="867"/>
      <c r="AM267" s="273"/>
      <c r="AN267" s="847"/>
      <c r="AO267" s="848"/>
      <c r="AP267" s="867" t="s">
        <v>1911</v>
      </c>
      <c r="AQ267" s="273" t="s">
        <v>1912</v>
      </c>
      <c r="AR267" s="847">
        <v>7</v>
      </c>
      <c r="AS267" s="848" t="s">
        <v>1913</v>
      </c>
      <c r="AT267" s="867"/>
      <c r="AU267" s="273"/>
      <c r="AV267" s="847"/>
      <c r="AW267" s="848"/>
      <c r="AX267" s="867"/>
      <c r="AY267" s="273"/>
      <c r="AZ267" s="847"/>
      <c r="BA267" s="848"/>
      <c r="BB267" s="866"/>
      <c r="BC267" s="273"/>
      <c r="BD267" s="847"/>
      <c r="BE267" s="848"/>
      <c r="BF267" s="838"/>
    </row>
    <row r="268" spans="1:58" s="88" customFormat="1" ht="54" hidden="1" customHeight="1" x14ac:dyDescent="0.25">
      <c r="A268" s="267" t="s">
        <v>1687</v>
      </c>
      <c r="B268" s="268">
        <v>33</v>
      </c>
      <c r="C268" s="240" t="s">
        <v>684</v>
      </c>
      <c r="D268" s="270" t="s">
        <v>685</v>
      </c>
      <c r="E268" s="268" t="s">
        <v>1914</v>
      </c>
      <c r="F268" s="861" t="s">
        <v>1915</v>
      </c>
      <c r="G268" s="269" t="s">
        <v>1916</v>
      </c>
      <c r="H268" s="845" t="s">
        <v>1917</v>
      </c>
      <c r="I268" s="269" t="s">
        <v>1918</v>
      </c>
      <c r="J268" s="296" t="s">
        <v>140</v>
      </c>
      <c r="K268" s="297" t="s">
        <v>140</v>
      </c>
      <c r="L268" s="862" t="s">
        <v>1919</v>
      </c>
      <c r="M268" s="847" t="s">
        <v>1821</v>
      </c>
      <c r="N268" s="270" t="s">
        <v>1822</v>
      </c>
      <c r="O268" s="240" t="s">
        <v>144</v>
      </c>
      <c r="P268" s="240" t="s">
        <v>144</v>
      </c>
      <c r="Q268" s="845" t="s">
        <v>1920</v>
      </c>
      <c r="R268" s="208" t="s">
        <v>1921</v>
      </c>
      <c r="S268" s="864" t="s">
        <v>746</v>
      </c>
      <c r="T268" s="212" t="s">
        <v>1307</v>
      </c>
      <c r="U268" s="213" t="s">
        <v>1308</v>
      </c>
      <c r="V268" s="847">
        <v>10</v>
      </c>
      <c r="W268" s="415" t="s">
        <v>144</v>
      </c>
      <c r="X268" s="212">
        <v>40</v>
      </c>
      <c r="Y268" s="212" t="s">
        <v>144</v>
      </c>
      <c r="Z268" s="241" t="s">
        <v>144</v>
      </c>
      <c r="AA268" s="437" t="s">
        <v>1906</v>
      </c>
      <c r="AB268" s="206" t="s">
        <v>140</v>
      </c>
      <c r="AC268" s="847" t="s">
        <v>265</v>
      </c>
      <c r="AD268" s="847" t="s">
        <v>1922</v>
      </c>
      <c r="AE268" s="847" t="s">
        <v>144</v>
      </c>
      <c r="AF268" s="848" t="s">
        <v>144</v>
      </c>
      <c r="AG268" s="838"/>
      <c r="AH268" s="866"/>
      <c r="AI268" s="273"/>
      <c r="AJ268" s="847"/>
      <c r="AK268" s="848"/>
      <c r="AL268" s="867"/>
      <c r="AM268" s="273"/>
      <c r="AN268" s="847"/>
      <c r="AO268" s="848"/>
      <c r="AP268" s="867" t="s">
        <v>1107</v>
      </c>
      <c r="AQ268" s="301" t="s">
        <v>1108</v>
      </c>
      <c r="AR268" s="847">
        <v>7</v>
      </c>
      <c r="AS268" s="848" t="s">
        <v>1109</v>
      </c>
      <c r="AT268" s="867"/>
      <c r="AU268" s="273"/>
      <c r="AV268" s="847"/>
      <c r="AW268" s="848"/>
      <c r="AX268" s="867"/>
      <c r="AY268" s="273"/>
      <c r="AZ268" s="847"/>
      <c r="BA268" s="848"/>
      <c r="BB268" s="866"/>
      <c r="BC268" s="273"/>
      <c r="BD268" s="847"/>
      <c r="BE268" s="848"/>
      <c r="BF268" s="838"/>
    </row>
    <row r="269" spans="1:58" s="88" customFormat="1" ht="54" hidden="1" customHeight="1" x14ac:dyDescent="0.25">
      <c r="A269" s="267" t="s">
        <v>1687</v>
      </c>
      <c r="B269" s="268">
        <v>34</v>
      </c>
      <c r="C269" s="240" t="s">
        <v>684</v>
      </c>
      <c r="D269" s="270" t="s">
        <v>685</v>
      </c>
      <c r="E269" s="268" t="s">
        <v>1923</v>
      </c>
      <c r="F269" s="249" t="s">
        <v>1924</v>
      </c>
      <c r="G269" s="135" t="s">
        <v>1925</v>
      </c>
      <c r="H269" s="249" t="s">
        <v>1924</v>
      </c>
      <c r="I269" s="135" t="s">
        <v>1925</v>
      </c>
      <c r="J269" s="296" t="s">
        <v>140</v>
      </c>
      <c r="K269" s="297" t="s">
        <v>140</v>
      </c>
      <c r="L269" s="862" t="s">
        <v>1926</v>
      </c>
      <c r="M269" s="847" t="s">
        <v>973</v>
      </c>
      <c r="N269" s="211" t="s">
        <v>974</v>
      </c>
      <c r="O269" s="240" t="s">
        <v>144</v>
      </c>
      <c r="P269" s="240" t="s">
        <v>144</v>
      </c>
      <c r="Q269" s="845" t="s">
        <v>1927</v>
      </c>
      <c r="R269" s="208" t="s">
        <v>1928</v>
      </c>
      <c r="S269" s="864" t="s">
        <v>746</v>
      </c>
      <c r="T269" s="212" t="s">
        <v>1104</v>
      </c>
      <c r="U269" s="213" t="s">
        <v>1105</v>
      </c>
      <c r="V269" s="847">
        <v>19</v>
      </c>
      <c r="W269" s="415" t="s">
        <v>144</v>
      </c>
      <c r="X269" s="212">
        <v>40</v>
      </c>
      <c r="Y269" s="212" t="s">
        <v>144</v>
      </c>
      <c r="Z269" s="252" t="s">
        <v>144</v>
      </c>
      <c r="AA269" s="437" t="s">
        <v>1929</v>
      </c>
      <c r="AB269" s="206" t="s">
        <v>140</v>
      </c>
      <c r="AC269" s="847" t="s">
        <v>265</v>
      </c>
      <c r="AD269" s="847" t="s">
        <v>1930</v>
      </c>
      <c r="AE269" s="847" t="s">
        <v>144</v>
      </c>
      <c r="AF269" s="848" t="s">
        <v>144</v>
      </c>
      <c r="AG269" s="838"/>
      <c r="AH269" s="866" t="s">
        <v>1931</v>
      </c>
      <c r="AI269" s="273" t="s">
        <v>1932</v>
      </c>
      <c r="AJ269" s="847">
        <v>6</v>
      </c>
      <c r="AK269" s="848" t="s">
        <v>1933</v>
      </c>
      <c r="AL269" s="867"/>
      <c r="AM269" s="273"/>
      <c r="AN269" s="847"/>
      <c r="AO269" s="848"/>
      <c r="AP269" s="867" t="s">
        <v>1107</v>
      </c>
      <c r="AQ269" s="301" t="s">
        <v>1108</v>
      </c>
      <c r="AR269" s="847">
        <v>7</v>
      </c>
      <c r="AS269" s="286" t="s">
        <v>1109</v>
      </c>
      <c r="AT269" s="867"/>
      <c r="AU269" s="273"/>
      <c r="AV269" s="847"/>
      <c r="AW269" s="848"/>
      <c r="AX269" s="867"/>
      <c r="AY269" s="273"/>
      <c r="AZ269" s="847"/>
      <c r="BA269" s="848"/>
      <c r="BB269" s="866"/>
      <c r="BC269" s="273"/>
      <c r="BD269" s="847"/>
      <c r="BE269" s="848"/>
      <c r="BF269" s="838"/>
    </row>
    <row r="270" spans="1:58" s="88" customFormat="1" ht="54" hidden="1" customHeight="1" x14ac:dyDescent="0.25">
      <c r="A270" s="267" t="s">
        <v>1687</v>
      </c>
      <c r="B270" s="268">
        <v>35</v>
      </c>
      <c r="C270" s="240" t="s">
        <v>684</v>
      </c>
      <c r="D270" s="270" t="s">
        <v>685</v>
      </c>
      <c r="E270" s="268" t="s">
        <v>1934</v>
      </c>
      <c r="F270" s="249" t="s">
        <v>1935</v>
      </c>
      <c r="G270" s="135" t="s">
        <v>1936</v>
      </c>
      <c r="H270" s="249" t="s">
        <v>1935</v>
      </c>
      <c r="I270" s="135" t="s">
        <v>1936</v>
      </c>
      <c r="J270" s="296" t="s">
        <v>140</v>
      </c>
      <c r="K270" s="297" t="s">
        <v>140</v>
      </c>
      <c r="L270" s="862" t="s">
        <v>1937</v>
      </c>
      <c r="M270" s="847" t="s">
        <v>973</v>
      </c>
      <c r="N270" s="211" t="s">
        <v>974</v>
      </c>
      <c r="O270" s="240" t="s">
        <v>814</v>
      </c>
      <c r="P270" s="240" t="s">
        <v>815</v>
      </c>
      <c r="Q270" s="845" t="s">
        <v>144</v>
      </c>
      <c r="R270" s="208" t="s">
        <v>144</v>
      </c>
      <c r="S270" s="864" t="s">
        <v>147</v>
      </c>
      <c r="T270" s="212" t="s">
        <v>144</v>
      </c>
      <c r="U270" s="213" t="s">
        <v>144</v>
      </c>
      <c r="V270" s="847">
        <v>3</v>
      </c>
      <c r="W270" s="415" t="s">
        <v>144</v>
      </c>
      <c r="X270" s="212">
        <v>40</v>
      </c>
      <c r="Y270" s="212" t="s">
        <v>144</v>
      </c>
      <c r="Z270" s="241" t="s">
        <v>144</v>
      </c>
      <c r="AA270" s="615" t="s">
        <v>733</v>
      </c>
      <c r="AB270" s="206" t="s">
        <v>140</v>
      </c>
      <c r="AC270" s="847" t="s">
        <v>265</v>
      </c>
      <c r="AD270" s="847" t="s">
        <v>1930</v>
      </c>
      <c r="AE270" s="847" t="s">
        <v>144</v>
      </c>
      <c r="AF270" s="848" t="s">
        <v>144</v>
      </c>
      <c r="AG270" s="838"/>
      <c r="AH270" s="866" t="s">
        <v>1938</v>
      </c>
      <c r="AI270" s="273" t="s">
        <v>1939</v>
      </c>
      <c r="AJ270" s="847">
        <v>7</v>
      </c>
      <c r="AK270" s="848" t="s">
        <v>1280</v>
      </c>
      <c r="AL270" s="867" t="s">
        <v>294</v>
      </c>
      <c r="AM270" s="273" t="s">
        <v>295</v>
      </c>
      <c r="AN270" s="847">
        <v>7</v>
      </c>
      <c r="AO270" s="187" t="s">
        <v>966</v>
      </c>
      <c r="AP270" s="867"/>
      <c r="AQ270" s="273"/>
      <c r="AR270" s="847"/>
      <c r="AS270" s="848"/>
      <c r="AT270" s="867"/>
      <c r="AU270" s="273"/>
      <c r="AV270" s="847"/>
      <c r="AW270" s="848"/>
      <c r="AX270" s="867"/>
      <c r="AY270" s="273"/>
      <c r="AZ270" s="847"/>
      <c r="BA270" s="848"/>
      <c r="BB270" s="866"/>
      <c r="BC270" s="273"/>
      <c r="BD270" s="847"/>
      <c r="BE270" s="848"/>
      <c r="BF270" s="838"/>
    </row>
    <row r="271" spans="1:58" s="88" customFormat="1" ht="54" hidden="1" customHeight="1" x14ac:dyDescent="0.25">
      <c r="A271" s="267" t="s">
        <v>1687</v>
      </c>
      <c r="B271" s="268">
        <v>36</v>
      </c>
      <c r="C271" s="240" t="s">
        <v>1022</v>
      </c>
      <c r="D271" s="270" t="s">
        <v>1023</v>
      </c>
      <c r="E271" s="268" t="s">
        <v>1940</v>
      </c>
      <c r="F271" s="861" t="s">
        <v>1941</v>
      </c>
      <c r="G271" s="269" t="s">
        <v>1942</v>
      </c>
      <c r="H271" s="845" t="s">
        <v>1943</v>
      </c>
      <c r="I271" s="269" t="s">
        <v>1944</v>
      </c>
      <c r="J271" s="296" t="s">
        <v>140</v>
      </c>
      <c r="K271" s="297" t="s">
        <v>140</v>
      </c>
      <c r="L271" s="862" t="s">
        <v>1945</v>
      </c>
      <c r="M271" s="206" t="s">
        <v>142</v>
      </c>
      <c r="N271" s="211" t="s">
        <v>143</v>
      </c>
      <c r="O271" s="240" t="s">
        <v>814</v>
      </c>
      <c r="P271" s="240" t="s">
        <v>815</v>
      </c>
      <c r="Q271" s="845" t="s">
        <v>1946</v>
      </c>
      <c r="R271" s="208" t="s">
        <v>1947</v>
      </c>
      <c r="S271" s="864" t="s">
        <v>147</v>
      </c>
      <c r="T271" s="212" t="s">
        <v>144</v>
      </c>
      <c r="U271" s="213" t="s">
        <v>144</v>
      </c>
      <c r="V271" s="847">
        <v>3</v>
      </c>
      <c r="W271" s="415" t="s">
        <v>144</v>
      </c>
      <c r="X271" s="212">
        <v>40</v>
      </c>
      <c r="Y271" s="212" t="s">
        <v>144</v>
      </c>
      <c r="Z271" s="241" t="s">
        <v>25</v>
      </c>
      <c r="AA271" s="407" t="s">
        <v>1948</v>
      </c>
      <c r="AB271" s="206" t="s">
        <v>140</v>
      </c>
      <c r="AC271" s="847" t="s">
        <v>265</v>
      </c>
      <c r="AD271" s="847" t="s">
        <v>1690</v>
      </c>
      <c r="AE271" s="847" t="s">
        <v>144</v>
      </c>
      <c r="AF271" s="848" t="s">
        <v>144</v>
      </c>
      <c r="AG271" s="838"/>
      <c r="AH271" s="866" t="s">
        <v>266</v>
      </c>
      <c r="AI271" s="273" t="s">
        <v>267</v>
      </c>
      <c r="AJ271" s="847">
        <v>7</v>
      </c>
      <c r="AK271" s="848" t="s">
        <v>1046</v>
      </c>
      <c r="AL271" s="867" t="s">
        <v>294</v>
      </c>
      <c r="AM271" s="273" t="s">
        <v>295</v>
      </c>
      <c r="AN271" s="847">
        <v>7</v>
      </c>
      <c r="AO271" s="187" t="s">
        <v>966</v>
      </c>
      <c r="AP271" s="867"/>
      <c r="AQ271" s="273"/>
      <c r="AR271" s="847"/>
      <c r="AS271" s="848"/>
      <c r="AT271" s="867"/>
      <c r="AU271" s="273"/>
      <c r="AV271" s="847"/>
      <c r="AW271" s="848"/>
      <c r="AX271" s="867"/>
      <c r="AY271" s="273"/>
      <c r="AZ271" s="847"/>
      <c r="BA271" s="848"/>
      <c r="BB271" s="866"/>
      <c r="BC271" s="273"/>
      <c r="BD271" s="847"/>
      <c r="BE271" s="848"/>
      <c r="BF271" s="838"/>
    </row>
    <row r="272" spans="1:58" s="88" customFormat="1" ht="54" hidden="1" customHeight="1" x14ac:dyDescent="0.25">
      <c r="A272" s="267" t="s">
        <v>1687</v>
      </c>
      <c r="B272" s="268">
        <v>37</v>
      </c>
      <c r="C272" s="240" t="s">
        <v>1022</v>
      </c>
      <c r="D272" s="270" t="s">
        <v>1023</v>
      </c>
      <c r="E272" s="268" t="s">
        <v>1949</v>
      </c>
      <c r="F272" s="861" t="s">
        <v>1950</v>
      </c>
      <c r="G272" s="269" t="s">
        <v>1951</v>
      </c>
      <c r="H272" s="845" t="s">
        <v>1950</v>
      </c>
      <c r="I272" s="269" t="s">
        <v>1951</v>
      </c>
      <c r="J272" s="296" t="s">
        <v>140</v>
      </c>
      <c r="K272" s="297" t="s">
        <v>140</v>
      </c>
      <c r="L272" s="862" t="s">
        <v>1952</v>
      </c>
      <c r="M272" s="847" t="s">
        <v>193</v>
      </c>
      <c r="N272" s="211" t="s">
        <v>194</v>
      </c>
      <c r="O272" s="240" t="s">
        <v>144</v>
      </c>
      <c r="P272" s="240" t="s">
        <v>144</v>
      </c>
      <c r="Q272" s="845" t="s">
        <v>1953</v>
      </c>
      <c r="R272" s="208" t="s">
        <v>1954</v>
      </c>
      <c r="S272" s="864" t="s">
        <v>147</v>
      </c>
      <c r="T272" s="212" t="s">
        <v>144</v>
      </c>
      <c r="U272" s="213" t="s">
        <v>144</v>
      </c>
      <c r="V272" s="847">
        <v>50</v>
      </c>
      <c r="W272" s="415" t="s">
        <v>144</v>
      </c>
      <c r="X272" s="212" t="s">
        <v>925</v>
      </c>
      <c r="Y272" s="212" t="s">
        <v>144</v>
      </c>
      <c r="Z272" s="212" t="s">
        <v>144</v>
      </c>
      <c r="AA272" s="240" t="s">
        <v>148</v>
      </c>
      <c r="AB272" s="206" t="s">
        <v>140</v>
      </c>
      <c r="AC272" s="847" t="s">
        <v>265</v>
      </c>
      <c r="AD272" s="847" t="s">
        <v>1690</v>
      </c>
      <c r="AE272" s="847" t="s">
        <v>144</v>
      </c>
      <c r="AF272" s="848" t="s">
        <v>144</v>
      </c>
      <c r="AG272" s="838"/>
      <c r="AH272" s="866"/>
      <c r="AI272" s="273"/>
      <c r="AJ272" s="847"/>
      <c r="AK272" s="848"/>
      <c r="AL272" s="867"/>
      <c r="AM272" s="273"/>
      <c r="AN272" s="847"/>
      <c r="AO272" s="848"/>
      <c r="AP272" s="867"/>
      <c r="AQ272" s="273"/>
      <c r="AR272" s="847"/>
      <c r="AS272" s="848"/>
      <c r="AT272" s="867"/>
      <c r="AU272" s="273"/>
      <c r="AV272" s="847"/>
      <c r="AW272" s="848"/>
      <c r="AX272" s="867"/>
      <c r="AY272" s="273"/>
      <c r="AZ272" s="847"/>
      <c r="BA272" s="848"/>
      <c r="BB272" s="866"/>
      <c r="BC272" s="273"/>
      <c r="BD272" s="847"/>
      <c r="BE272" s="848"/>
      <c r="BF272" s="838"/>
    </row>
    <row r="273" spans="1:58" s="88" customFormat="1" ht="54" hidden="1" customHeight="1" x14ac:dyDescent="0.25">
      <c r="A273" s="267" t="s">
        <v>1687</v>
      </c>
      <c r="B273" s="268">
        <v>38</v>
      </c>
      <c r="C273" s="240" t="s">
        <v>1955</v>
      </c>
      <c r="D273" s="270" t="s">
        <v>1956</v>
      </c>
      <c r="E273" s="268" t="s">
        <v>1957</v>
      </c>
      <c r="F273" s="861" t="s">
        <v>1958</v>
      </c>
      <c r="G273" s="269" t="s">
        <v>1959</v>
      </c>
      <c r="H273" s="845" t="s">
        <v>1960</v>
      </c>
      <c r="I273" s="269" t="s">
        <v>1961</v>
      </c>
      <c r="J273" s="296" t="s">
        <v>140</v>
      </c>
      <c r="K273" s="297" t="s">
        <v>140</v>
      </c>
      <c r="L273" s="862" t="s">
        <v>1962</v>
      </c>
      <c r="M273" s="847" t="s">
        <v>193</v>
      </c>
      <c r="N273" s="211" t="s">
        <v>194</v>
      </c>
      <c r="O273" s="240" t="s">
        <v>1963</v>
      </c>
      <c r="P273" s="240" t="s">
        <v>1964</v>
      </c>
      <c r="Q273" s="845" t="s">
        <v>1965</v>
      </c>
      <c r="R273" s="208" t="s">
        <v>1966</v>
      </c>
      <c r="S273" s="864" t="s">
        <v>147</v>
      </c>
      <c r="T273" s="212" t="s">
        <v>144</v>
      </c>
      <c r="U273" s="213" t="s">
        <v>144</v>
      </c>
      <c r="V273" s="847">
        <v>2</v>
      </c>
      <c r="W273" s="415" t="s">
        <v>144</v>
      </c>
      <c r="X273" s="212">
        <v>40</v>
      </c>
      <c r="Y273" s="212" t="s">
        <v>144</v>
      </c>
      <c r="Z273" s="212" t="s">
        <v>144</v>
      </c>
      <c r="AA273" s="240" t="s">
        <v>1967</v>
      </c>
      <c r="AB273" s="206" t="s">
        <v>140</v>
      </c>
      <c r="AC273" s="847" t="s">
        <v>265</v>
      </c>
      <c r="AD273" s="847" t="s">
        <v>1968</v>
      </c>
      <c r="AE273" s="847" t="s">
        <v>144</v>
      </c>
      <c r="AF273" s="848" t="s">
        <v>144</v>
      </c>
      <c r="AG273" s="838"/>
      <c r="AH273" s="866"/>
      <c r="AI273" s="273"/>
      <c r="AJ273" s="847"/>
      <c r="AK273" s="848"/>
      <c r="AL273" s="867" t="s">
        <v>294</v>
      </c>
      <c r="AM273" s="273" t="s">
        <v>295</v>
      </c>
      <c r="AN273" s="847">
        <v>7</v>
      </c>
      <c r="AO273" s="187" t="s">
        <v>966</v>
      </c>
      <c r="AP273" s="867"/>
      <c r="AQ273" s="273"/>
      <c r="AR273" s="847"/>
      <c r="AS273" s="848"/>
      <c r="AT273" s="867"/>
      <c r="AU273" s="273"/>
      <c r="AV273" s="847"/>
      <c r="AW273" s="848"/>
      <c r="AX273" s="867"/>
      <c r="AY273" s="273"/>
      <c r="AZ273" s="847"/>
      <c r="BA273" s="848"/>
      <c r="BB273" s="866"/>
      <c r="BC273" s="273"/>
      <c r="BD273" s="847"/>
      <c r="BE273" s="848"/>
      <c r="BF273" s="838"/>
    </row>
    <row r="274" spans="1:58" s="88" customFormat="1" ht="54" hidden="1" customHeight="1" x14ac:dyDescent="0.25">
      <c r="A274" s="267" t="s">
        <v>1687</v>
      </c>
      <c r="B274" s="268">
        <v>39</v>
      </c>
      <c r="C274" s="240" t="s">
        <v>1955</v>
      </c>
      <c r="D274" s="270" t="s">
        <v>1956</v>
      </c>
      <c r="E274" s="268" t="s">
        <v>1969</v>
      </c>
      <c r="F274" s="861" t="s">
        <v>1970</v>
      </c>
      <c r="G274" s="269" t="s">
        <v>1971</v>
      </c>
      <c r="H274" s="845" t="s">
        <v>1972</v>
      </c>
      <c r="I274" s="269" t="s">
        <v>1973</v>
      </c>
      <c r="J274" s="296" t="s">
        <v>140</v>
      </c>
      <c r="K274" s="297" t="s">
        <v>140</v>
      </c>
      <c r="L274" s="862" t="s">
        <v>1974</v>
      </c>
      <c r="M274" s="847" t="s">
        <v>973</v>
      </c>
      <c r="N274" s="211" t="s">
        <v>974</v>
      </c>
      <c r="O274" s="240" t="s">
        <v>144</v>
      </c>
      <c r="P274" s="240" t="s">
        <v>144</v>
      </c>
      <c r="Q274" s="845" t="s">
        <v>144</v>
      </c>
      <c r="R274" s="208" t="s">
        <v>144</v>
      </c>
      <c r="S274" s="181" t="s">
        <v>233</v>
      </c>
      <c r="T274" s="212" t="s">
        <v>234</v>
      </c>
      <c r="U274" s="213" t="s">
        <v>235</v>
      </c>
      <c r="V274" s="847">
        <v>8</v>
      </c>
      <c r="W274" s="415" t="s">
        <v>144</v>
      </c>
      <c r="X274" s="212">
        <v>40</v>
      </c>
      <c r="Y274" s="212" t="s">
        <v>144</v>
      </c>
      <c r="Z274" s="241" t="s">
        <v>25</v>
      </c>
      <c r="AA274" s="240" t="s">
        <v>1967</v>
      </c>
      <c r="AB274" s="206" t="s">
        <v>140</v>
      </c>
      <c r="AC274" s="847" t="s">
        <v>265</v>
      </c>
      <c r="AD274" s="847" t="s">
        <v>1968</v>
      </c>
      <c r="AE274" s="847" t="s">
        <v>144</v>
      </c>
      <c r="AF274" s="848" t="s">
        <v>144</v>
      </c>
      <c r="AG274" s="838"/>
      <c r="AH274" s="866" t="s">
        <v>1975</v>
      </c>
      <c r="AI274" s="273" t="s">
        <v>1976</v>
      </c>
      <c r="AJ274" s="847">
        <v>6</v>
      </c>
      <c r="AK274" s="286" t="s">
        <v>1977</v>
      </c>
      <c r="AL274" s="867"/>
      <c r="AM274" s="273"/>
      <c r="AN274" s="847"/>
      <c r="AO274" s="848"/>
      <c r="AP274" s="873" t="s">
        <v>1160</v>
      </c>
      <c r="AQ274" s="406" t="s">
        <v>1161</v>
      </c>
      <c r="AR274" s="872">
        <v>7</v>
      </c>
      <c r="AS274" s="878" t="s">
        <v>1162</v>
      </c>
      <c r="AT274" s="867" t="s">
        <v>1163</v>
      </c>
      <c r="AU274" s="273" t="s">
        <v>1164</v>
      </c>
      <c r="AV274" s="847">
        <v>6</v>
      </c>
      <c r="AW274" s="848" t="s">
        <v>1165</v>
      </c>
      <c r="AX274" s="867"/>
      <c r="AY274" s="273"/>
      <c r="AZ274" s="847"/>
      <c r="BA274" s="848"/>
      <c r="BB274" s="866"/>
      <c r="BC274" s="273"/>
      <c r="BD274" s="847"/>
      <c r="BE274" s="848"/>
      <c r="BF274" s="838"/>
    </row>
    <row r="275" spans="1:58" s="88" customFormat="1" ht="54" hidden="1" customHeight="1" x14ac:dyDescent="0.25">
      <c r="A275" s="267" t="s">
        <v>1687</v>
      </c>
      <c r="B275" s="268">
        <v>40</v>
      </c>
      <c r="C275" s="240" t="s">
        <v>1955</v>
      </c>
      <c r="D275" s="270" t="s">
        <v>1956</v>
      </c>
      <c r="E275" s="268" t="s">
        <v>1978</v>
      </c>
      <c r="F275" s="861" t="s">
        <v>1979</v>
      </c>
      <c r="G275" s="269" t="s">
        <v>1980</v>
      </c>
      <c r="H275" s="845" t="s">
        <v>1981</v>
      </c>
      <c r="I275" s="269" t="s">
        <v>1982</v>
      </c>
      <c r="J275" s="296" t="s">
        <v>140</v>
      </c>
      <c r="K275" s="297" t="s">
        <v>140</v>
      </c>
      <c r="L275" s="862" t="s">
        <v>1983</v>
      </c>
      <c r="M275" s="847" t="s">
        <v>973</v>
      </c>
      <c r="N275" s="270" t="s">
        <v>974</v>
      </c>
      <c r="O275" s="240" t="s">
        <v>1984</v>
      </c>
      <c r="P275" s="240" t="s">
        <v>1985</v>
      </c>
      <c r="Q275" s="845" t="s">
        <v>1986</v>
      </c>
      <c r="R275" s="208" t="s">
        <v>1987</v>
      </c>
      <c r="S275" s="864" t="s">
        <v>147</v>
      </c>
      <c r="T275" s="212" t="s">
        <v>144</v>
      </c>
      <c r="U275" s="213" t="s">
        <v>144</v>
      </c>
      <c r="V275" s="847">
        <v>1</v>
      </c>
      <c r="W275" s="415" t="s">
        <v>144</v>
      </c>
      <c r="X275" s="212">
        <v>40</v>
      </c>
      <c r="Y275" s="212" t="s">
        <v>144</v>
      </c>
      <c r="Z275" s="241" t="s">
        <v>25</v>
      </c>
      <c r="AA275" s="407" t="s">
        <v>1988</v>
      </c>
      <c r="AB275" s="206" t="s">
        <v>140</v>
      </c>
      <c r="AC275" s="847" t="s">
        <v>265</v>
      </c>
      <c r="AD275" s="847" t="s">
        <v>1989</v>
      </c>
      <c r="AE275" s="847" t="s">
        <v>144</v>
      </c>
      <c r="AF275" s="848" t="s">
        <v>144</v>
      </c>
      <c r="AG275" s="838"/>
      <c r="AH275" s="291" t="s">
        <v>1990</v>
      </c>
      <c r="AI275" s="273" t="s">
        <v>1991</v>
      </c>
      <c r="AJ275" s="847">
        <v>7</v>
      </c>
      <c r="AK275" s="848" t="s">
        <v>1992</v>
      </c>
      <c r="AL275" s="875" t="s">
        <v>294</v>
      </c>
      <c r="AM275" s="301" t="s">
        <v>295</v>
      </c>
      <c r="AN275" s="847">
        <v>7</v>
      </c>
      <c r="AO275" s="187" t="s">
        <v>966</v>
      </c>
      <c r="AP275" s="867" t="s">
        <v>1993</v>
      </c>
      <c r="AQ275" s="273" t="s">
        <v>1994</v>
      </c>
      <c r="AR275" s="847" t="s">
        <v>1724</v>
      </c>
      <c r="AS275" s="848" t="s">
        <v>1995</v>
      </c>
      <c r="AT275" s="867"/>
      <c r="AU275" s="273"/>
      <c r="AV275" s="847"/>
      <c r="AW275" s="848"/>
      <c r="AX275" s="867"/>
      <c r="AY275" s="273"/>
      <c r="AZ275" s="847"/>
      <c r="BA275" s="848"/>
      <c r="BB275" s="866"/>
      <c r="BC275" s="273"/>
      <c r="BD275" s="847"/>
      <c r="BE275" s="848"/>
      <c r="BF275" s="838"/>
    </row>
    <row r="276" spans="1:58" s="88" customFormat="1" ht="54" hidden="1" customHeight="1" x14ac:dyDescent="0.25">
      <c r="A276" s="267" t="s">
        <v>1687</v>
      </c>
      <c r="B276" s="268">
        <v>41</v>
      </c>
      <c r="C276" s="240" t="s">
        <v>1955</v>
      </c>
      <c r="D276" s="270" t="s">
        <v>1956</v>
      </c>
      <c r="E276" s="268" t="s">
        <v>1996</v>
      </c>
      <c r="F276" s="429" t="s">
        <v>1997</v>
      </c>
      <c r="G276" s="426" t="s">
        <v>1998</v>
      </c>
      <c r="H276" s="845" t="s">
        <v>1999</v>
      </c>
      <c r="I276" s="269" t="s">
        <v>2000</v>
      </c>
      <c r="J276" s="296" t="s">
        <v>140</v>
      </c>
      <c r="K276" s="297" t="s">
        <v>140</v>
      </c>
      <c r="L276" s="862" t="s">
        <v>2001</v>
      </c>
      <c r="M276" s="847" t="s">
        <v>973</v>
      </c>
      <c r="N276" s="211" t="s">
        <v>974</v>
      </c>
      <c r="O276" s="240" t="s">
        <v>2002</v>
      </c>
      <c r="P276" s="240" t="s">
        <v>2003</v>
      </c>
      <c r="Q276" s="845" t="s">
        <v>2004</v>
      </c>
      <c r="R276" s="208" t="s">
        <v>2005</v>
      </c>
      <c r="S276" s="864" t="s">
        <v>147</v>
      </c>
      <c r="T276" s="212" t="s">
        <v>144</v>
      </c>
      <c r="U276" s="213" t="s">
        <v>144</v>
      </c>
      <c r="V276" s="847">
        <v>1</v>
      </c>
      <c r="W276" s="415" t="s">
        <v>144</v>
      </c>
      <c r="X276" s="212">
        <v>40</v>
      </c>
      <c r="Y276" s="212" t="s">
        <v>144</v>
      </c>
      <c r="Z276" s="241" t="s">
        <v>29</v>
      </c>
      <c r="AA276" s="437" t="s">
        <v>2006</v>
      </c>
      <c r="AB276" s="206" t="s">
        <v>140</v>
      </c>
      <c r="AC276" s="847" t="s">
        <v>265</v>
      </c>
      <c r="AD276" s="847" t="s">
        <v>2007</v>
      </c>
      <c r="AE276" s="847" t="s">
        <v>144</v>
      </c>
      <c r="AF276" s="848" t="s">
        <v>144</v>
      </c>
      <c r="AG276" s="838"/>
      <c r="AH276" s="885" t="s">
        <v>2008</v>
      </c>
      <c r="AI276" s="406" t="s">
        <v>2009</v>
      </c>
      <c r="AJ276" s="872">
        <v>6</v>
      </c>
      <c r="AK276" s="871" t="s">
        <v>2010</v>
      </c>
      <c r="AL276" s="867" t="s">
        <v>294</v>
      </c>
      <c r="AM276" s="273" t="s">
        <v>295</v>
      </c>
      <c r="AN276" s="847">
        <v>7</v>
      </c>
      <c r="AO276" s="187" t="s">
        <v>966</v>
      </c>
      <c r="AP276" s="867"/>
      <c r="AQ276" s="273"/>
      <c r="AR276" s="847"/>
      <c r="AS276" s="848"/>
      <c r="AT276" s="867"/>
      <c r="AU276" s="273"/>
      <c r="AV276" s="847"/>
      <c r="AW276" s="848"/>
      <c r="AX276" s="867"/>
      <c r="AY276" s="273"/>
      <c r="AZ276" s="847"/>
      <c r="BA276" s="848"/>
      <c r="BB276" s="866"/>
      <c r="BC276" s="273"/>
      <c r="BD276" s="847"/>
      <c r="BE276" s="848"/>
      <c r="BF276" s="838"/>
    </row>
    <row r="277" spans="1:58" s="88" customFormat="1" ht="54" hidden="1" customHeight="1" x14ac:dyDescent="0.25">
      <c r="A277" s="267" t="s">
        <v>1687</v>
      </c>
      <c r="B277" s="268">
        <v>42</v>
      </c>
      <c r="C277" s="240" t="s">
        <v>1955</v>
      </c>
      <c r="D277" s="270" t="s">
        <v>1956</v>
      </c>
      <c r="E277" s="268" t="s">
        <v>2011</v>
      </c>
      <c r="F277" s="886" t="s">
        <v>2012</v>
      </c>
      <c r="G277" s="430" t="s">
        <v>2013</v>
      </c>
      <c r="H277" s="887" t="s">
        <v>2014</v>
      </c>
      <c r="I277" s="430" t="s">
        <v>2015</v>
      </c>
      <c r="J277" s="296" t="s">
        <v>140</v>
      </c>
      <c r="K277" s="297" t="s">
        <v>140</v>
      </c>
      <c r="L277" s="862" t="s">
        <v>2016</v>
      </c>
      <c r="M277" s="872" t="s">
        <v>142</v>
      </c>
      <c r="N277" s="443" t="s">
        <v>143</v>
      </c>
      <c r="O277" s="240" t="s">
        <v>2017</v>
      </c>
      <c r="P277" s="240" t="s">
        <v>2018</v>
      </c>
      <c r="Q277" s="845" t="s">
        <v>144</v>
      </c>
      <c r="R277" s="208" t="s">
        <v>144</v>
      </c>
      <c r="S277" s="864" t="s">
        <v>147</v>
      </c>
      <c r="T277" s="212" t="s">
        <v>144</v>
      </c>
      <c r="U277" s="213" t="s">
        <v>144</v>
      </c>
      <c r="V277" s="847">
        <v>1</v>
      </c>
      <c r="W277" s="415" t="s">
        <v>144</v>
      </c>
      <c r="X277" s="212">
        <v>40</v>
      </c>
      <c r="Y277" s="212" t="s">
        <v>144</v>
      </c>
      <c r="Z277" s="212" t="s">
        <v>29</v>
      </c>
      <c r="AA277" s="437" t="s">
        <v>2019</v>
      </c>
      <c r="AB277" s="206" t="s">
        <v>140</v>
      </c>
      <c r="AC277" s="847" t="s">
        <v>265</v>
      </c>
      <c r="AD277" s="847" t="s">
        <v>1690</v>
      </c>
      <c r="AE277" s="847" t="s">
        <v>144</v>
      </c>
      <c r="AF277" s="848" t="s">
        <v>144</v>
      </c>
      <c r="AG277" s="838"/>
      <c r="AH277" s="885" t="s">
        <v>266</v>
      </c>
      <c r="AI277" s="406" t="s">
        <v>267</v>
      </c>
      <c r="AJ277" s="872">
        <v>7</v>
      </c>
      <c r="AK277" s="878" t="s">
        <v>1046</v>
      </c>
      <c r="AL277" s="875" t="s">
        <v>294</v>
      </c>
      <c r="AM277" s="301" t="s">
        <v>295</v>
      </c>
      <c r="AN277" s="847">
        <v>7</v>
      </c>
      <c r="AO277" s="187" t="s">
        <v>966</v>
      </c>
      <c r="AP277" s="888" t="s">
        <v>2020</v>
      </c>
      <c r="AQ277" s="733" t="s">
        <v>2021</v>
      </c>
      <c r="AR277" s="847">
        <v>6</v>
      </c>
      <c r="AS277" s="848" t="s">
        <v>2022</v>
      </c>
      <c r="AT277" s="867"/>
      <c r="AU277" s="273"/>
      <c r="AV277" s="847"/>
      <c r="AW277" s="848"/>
      <c r="AX277" s="867"/>
      <c r="AY277" s="273"/>
      <c r="AZ277" s="847"/>
      <c r="BA277" s="848"/>
      <c r="BB277" s="249" t="s">
        <v>2023</v>
      </c>
      <c r="BC277" s="135" t="s">
        <v>2024</v>
      </c>
      <c r="BD277" s="847">
        <v>6</v>
      </c>
      <c r="BE277" s="848" t="s">
        <v>2025</v>
      </c>
      <c r="BF277" s="838"/>
    </row>
    <row r="278" spans="1:58" s="88" customFormat="1" ht="54" hidden="1" customHeight="1" x14ac:dyDescent="0.25">
      <c r="A278" s="267" t="s">
        <v>1687</v>
      </c>
      <c r="B278" s="268">
        <v>43</v>
      </c>
      <c r="C278" s="240" t="s">
        <v>1955</v>
      </c>
      <c r="D278" s="270" t="s">
        <v>1956</v>
      </c>
      <c r="E278" s="268" t="s">
        <v>2026</v>
      </c>
      <c r="F278" s="886" t="s">
        <v>2027</v>
      </c>
      <c r="G278" s="430" t="s">
        <v>2028</v>
      </c>
      <c r="H278" s="887" t="s">
        <v>2029</v>
      </c>
      <c r="I278" s="430" t="s">
        <v>2030</v>
      </c>
      <c r="J278" s="296" t="s">
        <v>140</v>
      </c>
      <c r="K278" s="297" t="s">
        <v>140</v>
      </c>
      <c r="L278" s="862" t="s">
        <v>2031</v>
      </c>
      <c r="M278" s="847" t="s">
        <v>973</v>
      </c>
      <c r="N278" s="211" t="s">
        <v>974</v>
      </c>
      <c r="O278" s="240" t="s">
        <v>144</v>
      </c>
      <c r="P278" s="240" t="s">
        <v>144</v>
      </c>
      <c r="Q278" s="845" t="s">
        <v>144</v>
      </c>
      <c r="R278" s="208" t="s">
        <v>144</v>
      </c>
      <c r="S278" s="181" t="s">
        <v>233</v>
      </c>
      <c r="T278" s="212" t="s">
        <v>234</v>
      </c>
      <c r="U278" s="213" t="s">
        <v>235</v>
      </c>
      <c r="V278" s="847">
        <v>8</v>
      </c>
      <c r="W278" s="415" t="s">
        <v>144</v>
      </c>
      <c r="X278" s="212">
        <v>40</v>
      </c>
      <c r="Y278" s="212" t="s">
        <v>144</v>
      </c>
      <c r="Z278" s="241" t="s">
        <v>25</v>
      </c>
      <c r="AA278" s="437" t="s">
        <v>2032</v>
      </c>
      <c r="AB278" s="206" t="s">
        <v>140</v>
      </c>
      <c r="AC278" s="847" t="s">
        <v>265</v>
      </c>
      <c r="AD278" s="847" t="s">
        <v>1690</v>
      </c>
      <c r="AE278" s="847" t="s">
        <v>144</v>
      </c>
      <c r="AF278" s="848" t="s">
        <v>144</v>
      </c>
      <c r="AG278" s="838"/>
      <c r="AH278" s="866" t="s">
        <v>2033</v>
      </c>
      <c r="AI278" s="273" t="s">
        <v>2034</v>
      </c>
      <c r="AJ278" s="889">
        <v>6</v>
      </c>
      <c r="AK278" s="878" t="s">
        <v>2035</v>
      </c>
      <c r="AL278" s="867"/>
      <c r="AM278" s="273"/>
      <c r="AN278" s="847"/>
      <c r="AO278" s="848"/>
      <c r="AP278" s="867" t="s">
        <v>1160</v>
      </c>
      <c r="AQ278" s="273" t="s">
        <v>1161</v>
      </c>
      <c r="AR278" s="847">
        <v>7</v>
      </c>
      <c r="AS278" s="848" t="s">
        <v>1162</v>
      </c>
      <c r="AT278" s="867" t="s">
        <v>1163</v>
      </c>
      <c r="AU278" s="273" t="s">
        <v>1164</v>
      </c>
      <c r="AV278" s="847">
        <v>6</v>
      </c>
      <c r="AW278" s="286" t="s">
        <v>1165</v>
      </c>
      <c r="AX278" s="867"/>
      <c r="AY278" s="273"/>
      <c r="AZ278" s="847"/>
      <c r="BA278" s="848"/>
      <c r="BB278" s="866"/>
      <c r="BC278" s="273"/>
      <c r="BD278" s="847"/>
      <c r="BE278" s="848"/>
      <c r="BF278" s="838"/>
    </row>
    <row r="279" spans="1:58" s="88" customFormat="1" ht="54" hidden="1" customHeight="1" x14ac:dyDescent="0.25">
      <c r="A279" s="267" t="s">
        <v>1687</v>
      </c>
      <c r="B279" s="268">
        <v>44</v>
      </c>
      <c r="C279" s="240" t="s">
        <v>1955</v>
      </c>
      <c r="D279" s="270" t="s">
        <v>1956</v>
      </c>
      <c r="E279" s="268" t="s">
        <v>2036</v>
      </c>
      <c r="F279" s="861" t="s">
        <v>2037</v>
      </c>
      <c r="G279" s="269" t="s">
        <v>2038</v>
      </c>
      <c r="H279" s="861" t="s">
        <v>2037</v>
      </c>
      <c r="I279" s="269" t="s">
        <v>2038</v>
      </c>
      <c r="J279" s="296" t="s">
        <v>140</v>
      </c>
      <c r="K279" s="297" t="s">
        <v>140</v>
      </c>
      <c r="L279" s="862" t="s">
        <v>2039</v>
      </c>
      <c r="M279" s="847" t="s">
        <v>973</v>
      </c>
      <c r="N279" s="211" t="s">
        <v>974</v>
      </c>
      <c r="O279" s="240" t="s">
        <v>144</v>
      </c>
      <c r="P279" s="240" t="s">
        <v>144</v>
      </c>
      <c r="Q279" s="845" t="s">
        <v>144</v>
      </c>
      <c r="R279" s="208" t="s">
        <v>144</v>
      </c>
      <c r="S279" s="864" t="s">
        <v>746</v>
      </c>
      <c r="T279" s="212" t="s">
        <v>1104</v>
      </c>
      <c r="U279" s="213" t="s">
        <v>1105</v>
      </c>
      <c r="V279" s="847">
        <v>19</v>
      </c>
      <c r="W279" s="415" t="s">
        <v>144</v>
      </c>
      <c r="X279" s="212">
        <v>40</v>
      </c>
      <c r="Y279" s="212" t="s">
        <v>144</v>
      </c>
      <c r="Z279" s="433" t="s">
        <v>25</v>
      </c>
      <c r="AA279" s="407" t="s">
        <v>2040</v>
      </c>
      <c r="AB279" s="206" t="s">
        <v>140</v>
      </c>
      <c r="AC279" s="847" t="s">
        <v>265</v>
      </c>
      <c r="AD279" s="847" t="s">
        <v>2041</v>
      </c>
      <c r="AE279" s="847" t="s">
        <v>144</v>
      </c>
      <c r="AF279" s="848" t="s">
        <v>144</v>
      </c>
      <c r="AG279" s="838"/>
      <c r="AH279" s="866" t="s">
        <v>2042</v>
      </c>
      <c r="AI279" s="273" t="s">
        <v>2043</v>
      </c>
      <c r="AJ279" s="847">
        <v>7</v>
      </c>
      <c r="AK279" s="878" t="s">
        <v>2044</v>
      </c>
      <c r="AL279" s="867"/>
      <c r="AM279" s="273"/>
      <c r="AN279" s="847"/>
      <c r="AO279" s="848"/>
      <c r="AP279" s="867" t="s">
        <v>1107</v>
      </c>
      <c r="AQ279" s="273" t="s">
        <v>1108</v>
      </c>
      <c r="AR279" s="847">
        <v>7</v>
      </c>
      <c r="AS279" s="286" t="s">
        <v>1109</v>
      </c>
      <c r="AT279" s="867"/>
      <c r="AU279" s="273"/>
      <c r="AV279" s="847"/>
      <c r="AW279" s="848"/>
      <c r="AX279" s="867"/>
      <c r="AY279" s="273"/>
      <c r="AZ279" s="847"/>
      <c r="BA279" s="848"/>
      <c r="BB279" s="866"/>
      <c r="BC279" s="273"/>
      <c r="BD279" s="847"/>
      <c r="BE279" s="848"/>
      <c r="BF279" s="838"/>
    </row>
    <row r="280" spans="1:58" s="88" customFormat="1" ht="54" hidden="1" customHeight="1" x14ac:dyDescent="0.25">
      <c r="A280" s="267" t="s">
        <v>1687</v>
      </c>
      <c r="B280" s="268">
        <v>45</v>
      </c>
      <c r="C280" s="240" t="s">
        <v>1955</v>
      </c>
      <c r="D280" s="270" t="s">
        <v>1956</v>
      </c>
      <c r="E280" s="268" t="s">
        <v>2045</v>
      </c>
      <c r="F280" s="861" t="s">
        <v>2046</v>
      </c>
      <c r="G280" s="269" t="s">
        <v>2047</v>
      </c>
      <c r="H280" s="861" t="s">
        <v>2046</v>
      </c>
      <c r="I280" s="269" t="s">
        <v>2047</v>
      </c>
      <c r="J280" s="296" t="s">
        <v>140</v>
      </c>
      <c r="K280" s="297" t="s">
        <v>140</v>
      </c>
      <c r="L280" s="862" t="s">
        <v>2048</v>
      </c>
      <c r="M280" s="847" t="s">
        <v>973</v>
      </c>
      <c r="N280" s="211" t="s">
        <v>974</v>
      </c>
      <c r="O280" s="240" t="s">
        <v>814</v>
      </c>
      <c r="P280" s="240" t="s">
        <v>815</v>
      </c>
      <c r="Q280" s="845" t="s">
        <v>144</v>
      </c>
      <c r="R280" s="208" t="s">
        <v>144</v>
      </c>
      <c r="S280" s="864" t="s">
        <v>147</v>
      </c>
      <c r="T280" s="212" t="s">
        <v>144</v>
      </c>
      <c r="U280" s="213" t="s">
        <v>144</v>
      </c>
      <c r="V280" s="847">
        <v>3</v>
      </c>
      <c r="W280" s="415" t="s">
        <v>144</v>
      </c>
      <c r="X280" s="212">
        <v>40</v>
      </c>
      <c r="Y280" s="212" t="s">
        <v>144</v>
      </c>
      <c r="Z280" s="433" t="s">
        <v>25</v>
      </c>
      <c r="AA280" s="407" t="s">
        <v>2049</v>
      </c>
      <c r="AB280" s="206" t="s">
        <v>140</v>
      </c>
      <c r="AC280" s="847" t="s">
        <v>265</v>
      </c>
      <c r="AD280" s="847" t="s">
        <v>2050</v>
      </c>
      <c r="AE280" s="847" t="s">
        <v>144</v>
      </c>
      <c r="AF280" s="848" t="s">
        <v>144</v>
      </c>
      <c r="AG280" s="838"/>
      <c r="AH280" s="866" t="s">
        <v>2051</v>
      </c>
      <c r="AI280" s="273" t="s">
        <v>2052</v>
      </c>
      <c r="AJ280" s="847">
        <v>7</v>
      </c>
      <c r="AK280" s="878" t="s">
        <v>1280</v>
      </c>
      <c r="AL280" s="867" t="s">
        <v>294</v>
      </c>
      <c r="AM280" s="273" t="s">
        <v>295</v>
      </c>
      <c r="AN280" s="847">
        <v>7</v>
      </c>
      <c r="AO280" s="187" t="s">
        <v>966</v>
      </c>
      <c r="AP280" s="867"/>
      <c r="AQ280" s="273"/>
      <c r="AR280" s="847"/>
      <c r="AS280" s="848"/>
      <c r="AT280" s="867"/>
      <c r="AU280" s="273"/>
      <c r="AV280" s="847"/>
      <c r="AW280" s="848"/>
      <c r="AX280" s="867"/>
      <c r="AY280" s="273"/>
      <c r="AZ280" s="847"/>
      <c r="BA280" s="848"/>
      <c r="BB280" s="866"/>
      <c r="BC280" s="273"/>
      <c r="BD280" s="847"/>
      <c r="BE280" s="848"/>
      <c r="BF280" s="838"/>
    </row>
    <row r="281" spans="1:58" s="88" customFormat="1" ht="54" hidden="1" customHeight="1" x14ac:dyDescent="0.25">
      <c r="A281" s="267" t="s">
        <v>1687</v>
      </c>
      <c r="B281" s="268">
        <v>46</v>
      </c>
      <c r="C281" s="240" t="s">
        <v>1955</v>
      </c>
      <c r="D281" s="270" t="s">
        <v>1956</v>
      </c>
      <c r="E281" s="268" t="s">
        <v>2053</v>
      </c>
      <c r="F281" s="861" t="s">
        <v>2054</v>
      </c>
      <c r="G281" s="269" t="s">
        <v>2055</v>
      </c>
      <c r="H281" s="845" t="s">
        <v>2054</v>
      </c>
      <c r="I281" s="269" t="s">
        <v>2055</v>
      </c>
      <c r="J281" s="296" t="s">
        <v>140</v>
      </c>
      <c r="K281" s="297" t="s">
        <v>140</v>
      </c>
      <c r="L281" s="862" t="s">
        <v>2056</v>
      </c>
      <c r="M281" s="847" t="s">
        <v>973</v>
      </c>
      <c r="N281" s="211" t="s">
        <v>974</v>
      </c>
      <c r="O281" s="240" t="s">
        <v>144</v>
      </c>
      <c r="P281" s="240" t="s">
        <v>144</v>
      </c>
      <c r="Q281" s="845" t="s">
        <v>2057</v>
      </c>
      <c r="R281" s="208" t="s">
        <v>2058</v>
      </c>
      <c r="S281" s="864" t="s">
        <v>746</v>
      </c>
      <c r="T281" s="212" t="s">
        <v>1104</v>
      </c>
      <c r="U281" s="213" t="s">
        <v>1105</v>
      </c>
      <c r="V281" s="847">
        <v>19</v>
      </c>
      <c r="W281" s="415" t="s">
        <v>144</v>
      </c>
      <c r="X281" s="212">
        <v>40</v>
      </c>
      <c r="Y281" s="212" t="s">
        <v>144</v>
      </c>
      <c r="Z281" s="241" t="s">
        <v>25</v>
      </c>
      <c r="AA281" s="407" t="s">
        <v>2059</v>
      </c>
      <c r="AB281" s="206" t="s">
        <v>140</v>
      </c>
      <c r="AC281" s="847" t="s">
        <v>265</v>
      </c>
      <c r="AD281" s="847" t="s">
        <v>2060</v>
      </c>
      <c r="AE281" s="847" t="s">
        <v>144</v>
      </c>
      <c r="AF281" s="848" t="s">
        <v>144</v>
      </c>
      <c r="AG281" s="838"/>
      <c r="AH281" s="866" t="s">
        <v>2061</v>
      </c>
      <c r="AI281" s="273" t="s">
        <v>2062</v>
      </c>
      <c r="AJ281" s="847">
        <v>7</v>
      </c>
      <c r="AK281" s="878" t="s">
        <v>2063</v>
      </c>
      <c r="AL281" s="867"/>
      <c r="AM281" s="273"/>
      <c r="AN281" s="847"/>
      <c r="AO281" s="848"/>
      <c r="AP281" s="867" t="s">
        <v>1107</v>
      </c>
      <c r="AQ281" s="273" t="s">
        <v>1108</v>
      </c>
      <c r="AR281" s="847">
        <v>7</v>
      </c>
      <c r="AS281" s="286" t="s">
        <v>1109</v>
      </c>
      <c r="AT281" s="867"/>
      <c r="AU281" s="273"/>
      <c r="AV281" s="847"/>
      <c r="AW281" s="848"/>
      <c r="AX281" s="867"/>
      <c r="AY281" s="273"/>
      <c r="AZ281" s="847"/>
      <c r="BA281" s="848"/>
      <c r="BB281" s="866"/>
      <c r="BC281" s="273"/>
      <c r="BD281" s="847"/>
      <c r="BE281" s="848"/>
      <c r="BF281" s="838"/>
    </row>
    <row r="282" spans="1:58" s="88" customFormat="1" ht="54" hidden="1" customHeight="1" x14ac:dyDescent="0.25">
      <c r="A282" s="267" t="s">
        <v>1687</v>
      </c>
      <c r="B282" s="268">
        <v>47</v>
      </c>
      <c r="C282" s="240" t="s">
        <v>1955</v>
      </c>
      <c r="D282" s="270" t="s">
        <v>1956</v>
      </c>
      <c r="E282" s="268" t="s">
        <v>2064</v>
      </c>
      <c r="F282" s="861" t="s">
        <v>2065</v>
      </c>
      <c r="G282" s="269" t="s">
        <v>2066</v>
      </c>
      <c r="H282" s="845" t="s">
        <v>2067</v>
      </c>
      <c r="I282" s="269" t="s">
        <v>2068</v>
      </c>
      <c r="J282" s="296" t="s">
        <v>140</v>
      </c>
      <c r="K282" s="297" t="s">
        <v>140</v>
      </c>
      <c r="L282" s="862" t="s">
        <v>2069</v>
      </c>
      <c r="M282" s="847" t="s">
        <v>973</v>
      </c>
      <c r="N282" s="211" t="s">
        <v>974</v>
      </c>
      <c r="O282" s="240" t="s">
        <v>814</v>
      </c>
      <c r="P282" s="240" t="s">
        <v>815</v>
      </c>
      <c r="Q282" s="845" t="s">
        <v>144</v>
      </c>
      <c r="R282" s="208" t="s">
        <v>144</v>
      </c>
      <c r="S282" s="864" t="s">
        <v>147</v>
      </c>
      <c r="T282" s="212" t="s">
        <v>144</v>
      </c>
      <c r="U282" s="213" t="s">
        <v>144</v>
      </c>
      <c r="V282" s="847">
        <v>3</v>
      </c>
      <c r="W282" s="415" t="s">
        <v>144</v>
      </c>
      <c r="X282" s="212">
        <v>40</v>
      </c>
      <c r="Y282" s="212" t="s">
        <v>144</v>
      </c>
      <c r="Z282" s="433" t="s">
        <v>25</v>
      </c>
      <c r="AA282" s="407" t="s">
        <v>2070</v>
      </c>
      <c r="AB282" s="206" t="s">
        <v>140</v>
      </c>
      <c r="AC282" s="847" t="s">
        <v>265</v>
      </c>
      <c r="AD282" s="847" t="s">
        <v>2060</v>
      </c>
      <c r="AE282" s="847" t="s">
        <v>144</v>
      </c>
      <c r="AF282" s="848" t="s">
        <v>144</v>
      </c>
      <c r="AG282" s="838"/>
      <c r="AH282" s="866" t="s">
        <v>2071</v>
      </c>
      <c r="AI282" s="273" t="s">
        <v>2072</v>
      </c>
      <c r="AJ282" s="847">
        <v>7</v>
      </c>
      <c r="AK282" s="878" t="s">
        <v>1280</v>
      </c>
      <c r="AL282" s="867" t="s">
        <v>294</v>
      </c>
      <c r="AM282" s="273" t="s">
        <v>295</v>
      </c>
      <c r="AN282" s="847">
        <v>7</v>
      </c>
      <c r="AO282" s="187" t="s">
        <v>966</v>
      </c>
      <c r="AP282" s="867"/>
      <c r="AQ282" s="273"/>
      <c r="AR282" s="847"/>
      <c r="AS282" s="848"/>
      <c r="AT282" s="867"/>
      <c r="AU282" s="273"/>
      <c r="AV282" s="847"/>
      <c r="AW282" s="848"/>
      <c r="AX282" s="867"/>
      <c r="AY282" s="273"/>
      <c r="AZ282" s="847"/>
      <c r="BA282" s="848"/>
      <c r="BB282" s="866"/>
      <c r="BC282" s="273"/>
      <c r="BD282" s="847"/>
      <c r="BE282" s="848"/>
      <c r="BF282" s="838"/>
    </row>
    <row r="283" spans="1:58" s="88" customFormat="1" ht="54" hidden="1" customHeight="1" x14ac:dyDescent="0.25">
      <c r="A283" s="267" t="s">
        <v>1687</v>
      </c>
      <c r="B283" s="268">
        <v>48</v>
      </c>
      <c r="C283" s="240" t="s">
        <v>1022</v>
      </c>
      <c r="D283" s="270" t="s">
        <v>1023</v>
      </c>
      <c r="E283" s="268" t="s">
        <v>2073</v>
      </c>
      <c r="F283" s="861" t="s">
        <v>2074</v>
      </c>
      <c r="G283" s="269" t="s">
        <v>2075</v>
      </c>
      <c r="H283" s="845" t="s">
        <v>2076</v>
      </c>
      <c r="I283" s="269" t="s">
        <v>2077</v>
      </c>
      <c r="J283" s="296" t="s">
        <v>140</v>
      </c>
      <c r="K283" s="297" t="s">
        <v>140</v>
      </c>
      <c r="L283" s="862" t="s">
        <v>2078</v>
      </c>
      <c r="M283" s="847" t="s">
        <v>973</v>
      </c>
      <c r="N283" s="211" t="s">
        <v>974</v>
      </c>
      <c r="O283" s="240" t="s">
        <v>144</v>
      </c>
      <c r="P283" s="240" t="s">
        <v>144</v>
      </c>
      <c r="Q283" s="845" t="s">
        <v>144</v>
      </c>
      <c r="R283" s="208" t="s">
        <v>144</v>
      </c>
      <c r="S283" s="864" t="s">
        <v>746</v>
      </c>
      <c r="T283" s="212" t="s">
        <v>1104</v>
      </c>
      <c r="U283" s="213" t="s">
        <v>1105</v>
      </c>
      <c r="V283" s="847">
        <v>19</v>
      </c>
      <c r="W283" s="415" t="s">
        <v>144</v>
      </c>
      <c r="X283" s="212">
        <v>40</v>
      </c>
      <c r="Y283" s="212" t="s">
        <v>144</v>
      </c>
      <c r="Z283" s="241" t="s">
        <v>25</v>
      </c>
      <c r="AA283" s="407" t="s">
        <v>2079</v>
      </c>
      <c r="AB283" s="206" t="s">
        <v>140</v>
      </c>
      <c r="AC283" s="847" t="s">
        <v>265</v>
      </c>
      <c r="AD283" s="847" t="s">
        <v>2080</v>
      </c>
      <c r="AE283" s="847" t="s">
        <v>144</v>
      </c>
      <c r="AF283" s="848" t="s">
        <v>144</v>
      </c>
      <c r="AG283" s="838"/>
      <c r="AH283" s="866" t="s">
        <v>2081</v>
      </c>
      <c r="AI283" s="273" t="s">
        <v>2082</v>
      </c>
      <c r="AJ283" s="847">
        <v>7</v>
      </c>
      <c r="AK283" s="878" t="s">
        <v>2083</v>
      </c>
      <c r="AL283" s="867"/>
      <c r="AM283" s="273"/>
      <c r="AN283" s="847"/>
      <c r="AO283" s="848"/>
      <c r="AP283" s="867" t="s">
        <v>2084</v>
      </c>
      <c r="AQ283" s="273" t="s">
        <v>2085</v>
      </c>
      <c r="AR283" s="847">
        <v>7</v>
      </c>
      <c r="AS283" s="286" t="s">
        <v>2086</v>
      </c>
      <c r="AT283" s="867"/>
      <c r="AU283" s="273"/>
      <c r="AV283" s="847"/>
      <c r="AW283" s="848"/>
      <c r="AX283" s="867"/>
      <c r="AY283" s="273"/>
      <c r="AZ283" s="847"/>
      <c r="BA283" s="848"/>
      <c r="BB283" s="866"/>
      <c r="BC283" s="273"/>
      <c r="BD283" s="847"/>
      <c r="BE283" s="848"/>
      <c r="BF283" s="838"/>
    </row>
    <row r="284" spans="1:58" s="88" customFormat="1" ht="54" hidden="1" customHeight="1" x14ac:dyDescent="0.25">
      <c r="A284" s="267" t="s">
        <v>1687</v>
      </c>
      <c r="B284" s="268">
        <v>49</v>
      </c>
      <c r="C284" s="240" t="s">
        <v>1022</v>
      </c>
      <c r="D284" s="270" t="s">
        <v>1023</v>
      </c>
      <c r="E284" s="268" t="s">
        <v>2087</v>
      </c>
      <c r="F284" s="861" t="s">
        <v>2088</v>
      </c>
      <c r="G284" s="269" t="s">
        <v>2089</v>
      </c>
      <c r="H284" s="845" t="s">
        <v>2090</v>
      </c>
      <c r="I284" s="269" t="s">
        <v>2091</v>
      </c>
      <c r="J284" s="296" t="s">
        <v>140</v>
      </c>
      <c r="K284" s="297" t="s">
        <v>140</v>
      </c>
      <c r="L284" s="862" t="s">
        <v>2092</v>
      </c>
      <c r="M284" s="847" t="s">
        <v>973</v>
      </c>
      <c r="N284" s="211" t="s">
        <v>974</v>
      </c>
      <c r="O284" s="240" t="s">
        <v>814</v>
      </c>
      <c r="P284" s="240" t="s">
        <v>815</v>
      </c>
      <c r="Q284" s="845" t="s">
        <v>144</v>
      </c>
      <c r="R284" s="208" t="s">
        <v>144</v>
      </c>
      <c r="S284" s="864" t="s">
        <v>147</v>
      </c>
      <c r="T284" s="212" t="s">
        <v>144</v>
      </c>
      <c r="U284" s="213" t="s">
        <v>144</v>
      </c>
      <c r="V284" s="847">
        <v>3</v>
      </c>
      <c r="W284" s="415" t="s">
        <v>144</v>
      </c>
      <c r="X284" s="212">
        <v>40</v>
      </c>
      <c r="Y284" s="212" t="s">
        <v>144</v>
      </c>
      <c r="Z284" s="433" t="s">
        <v>25</v>
      </c>
      <c r="AA284" s="407" t="s">
        <v>2093</v>
      </c>
      <c r="AB284" s="206" t="s">
        <v>140</v>
      </c>
      <c r="AC284" s="847" t="s">
        <v>265</v>
      </c>
      <c r="AD284" s="847" t="s">
        <v>2060</v>
      </c>
      <c r="AE284" s="847" t="s">
        <v>144</v>
      </c>
      <c r="AF284" s="848" t="s">
        <v>144</v>
      </c>
      <c r="AG284" s="838"/>
      <c r="AH284" s="866" t="s">
        <v>2094</v>
      </c>
      <c r="AI284" s="273" t="s">
        <v>2095</v>
      </c>
      <c r="AJ284" s="847">
        <v>7</v>
      </c>
      <c r="AK284" s="878" t="s">
        <v>1280</v>
      </c>
      <c r="AL284" s="867" t="s">
        <v>294</v>
      </c>
      <c r="AM284" s="273" t="s">
        <v>295</v>
      </c>
      <c r="AN284" s="847">
        <v>7</v>
      </c>
      <c r="AO284" s="187" t="s">
        <v>966</v>
      </c>
      <c r="AP284" s="867"/>
      <c r="AQ284" s="273"/>
      <c r="AR284" s="847"/>
      <c r="AS284" s="848"/>
      <c r="AT284" s="867"/>
      <c r="AU284" s="273"/>
      <c r="AV284" s="847"/>
      <c r="AW284" s="848"/>
      <c r="AX284" s="867"/>
      <c r="AY284" s="273"/>
      <c r="AZ284" s="847"/>
      <c r="BA284" s="848"/>
      <c r="BB284" s="866"/>
      <c r="BC284" s="273"/>
      <c r="BD284" s="847"/>
      <c r="BE284" s="848"/>
      <c r="BF284" s="838"/>
    </row>
    <row r="285" spans="1:58" s="88" customFormat="1" ht="54" hidden="1" customHeight="1" x14ac:dyDescent="0.25">
      <c r="A285" s="267" t="s">
        <v>1687</v>
      </c>
      <c r="B285" s="268">
        <v>50</v>
      </c>
      <c r="C285" s="240" t="s">
        <v>2096</v>
      </c>
      <c r="D285" s="270" t="s">
        <v>2097</v>
      </c>
      <c r="E285" s="268" t="s">
        <v>2098</v>
      </c>
      <c r="F285" s="861" t="s">
        <v>2099</v>
      </c>
      <c r="G285" s="269" t="s">
        <v>2100</v>
      </c>
      <c r="H285" s="845" t="s">
        <v>2101</v>
      </c>
      <c r="I285" s="269" t="s">
        <v>2102</v>
      </c>
      <c r="J285" s="296" t="s">
        <v>140</v>
      </c>
      <c r="K285" s="297" t="s">
        <v>140</v>
      </c>
      <c r="L285" s="862" t="s">
        <v>2103</v>
      </c>
      <c r="M285" s="847" t="s">
        <v>973</v>
      </c>
      <c r="N285" s="211" t="s">
        <v>974</v>
      </c>
      <c r="O285" s="240" t="s">
        <v>144</v>
      </c>
      <c r="P285" s="240" t="s">
        <v>144</v>
      </c>
      <c r="Q285" s="845" t="s">
        <v>144</v>
      </c>
      <c r="R285" s="208" t="s">
        <v>144</v>
      </c>
      <c r="S285" s="864" t="s">
        <v>746</v>
      </c>
      <c r="T285" s="212" t="s">
        <v>1104</v>
      </c>
      <c r="U285" s="213" t="s">
        <v>1105</v>
      </c>
      <c r="V285" s="847">
        <v>19</v>
      </c>
      <c r="W285" s="415" t="s">
        <v>144</v>
      </c>
      <c r="X285" s="212">
        <v>40</v>
      </c>
      <c r="Y285" s="212" t="s">
        <v>144</v>
      </c>
      <c r="Z285" s="241" t="s">
        <v>25</v>
      </c>
      <c r="AA285" s="407" t="s">
        <v>2104</v>
      </c>
      <c r="AB285" s="206" t="s">
        <v>140</v>
      </c>
      <c r="AC285" s="847" t="s">
        <v>265</v>
      </c>
      <c r="AD285" s="847" t="s">
        <v>2105</v>
      </c>
      <c r="AE285" s="847" t="s">
        <v>144</v>
      </c>
      <c r="AF285" s="848" t="s">
        <v>144</v>
      </c>
      <c r="AG285" s="838"/>
      <c r="AH285" s="866" t="s">
        <v>2106</v>
      </c>
      <c r="AI285" s="273" t="s">
        <v>2107</v>
      </c>
      <c r="AJ285" s="847">
        <v>7</v>
      </c>
      <c r="AK285" s="878" t="s">
        <v>2108</v>
      </c>
      <c r="AL285" s="867"/>
      <c r="AM285" s="273"/>
      <c r="AN285" s="847"/>
      <c r="AO285" s="848"/>
      <c r="AP285" s="867" t="s">
        <v>1107</v>
      </c>
      <c r="AQ285" s="273" t="s">
        <v>1108</v>
      </c>
      <c r="AR285" s="847">
        <v>7</v>
      </c>
      <c r="AS285" s="286" t="s">
        <v>1109</v>
      </c>
      <c r="AT285" s="867"/>
      <c r="AU285" s="273"/>
      <c r="AV285" s="847"/>
      <c r="AW285" s="848"/>
      <c r="AX285" s="867"/>
      <c r="AY285" s="273"/>
      <c r="AZ285" s="847"/>
      <c r="BA285" s="848"/>
      <c r="BB285" s="866"/>
      <c r="BC285" s="273"/>
      <c r="BD285" s="847"/>
      <c r="BE285" s="848"/>
      <c r="BF285" s="838"/>
    </row>
    <row r="286" spans="1:58" s="88" customFormat="1" ht="54" hidden="1" customHeight="1" x14ac:dyDescent="0.25">
      <c r="A286" s="267" t="s">
        <v>1687</v>
      </c>
      <c r="B286" s="268">
        <v>51</v>
      </c>
      <c r="C286" s="240" t="s">
        <v>2096</v>
      </c>
      <c r="D286" s="270" t="s">
        <v>2097</v>
      </c>
      <c r="E286" s="268" t="s">
        <v>2109</v>
      </c>
      <c r="F286" s="861" t="s">
        <v>2110</v>
      </c>
      <c r="G286" s="269" t="s">
        <v>2111</v>
      </c>
      <c r="H286" s="845" t="s">
        <v>2110</v>
      </c>
      <c r="I286" s="269" t="s">
        <v>2111</v>
      </c>
      <c r="J286" s="296" t="s">
        <v>140</v>
      </c>
      <c r="K286" s="297" t="s">
        <v>140</v>
      </c>
      <c r="L286" s="862" t="s">
        <v>2112</v>
      </c>
      <c r="M286" s="847" t="s">
        <v>973</v>
      </c>
      <c r="N286" s="211" t="s">
        <v>974</v>
      </c>
      <c r="O286" s="240" t="s">
        <v>814</v>
      </c>
      <c r="P286" s="240" t="s">
        <v>815</v>
      </c>
      <c r="Q286" s="845" t="s">
        <v>144</v>
      </c>
      <c r="R286" s="208" t="s">
        <v>144</v>
      </c>
      <c r="S286" s="864" t="s">
        <v>147</v>
      </c>
      <c r="T286" s="212" t="s">
        <v>144</v>
      </c>
      <c r="U286" s="213" t="s">
        <v>144</v>
      </c>
      <c r="V286" s="847">
        <v>3</v>
      </c>
      <c r="W286" s="415" t="s">
        <v>144</v>
      </c>
      <c r="X286" s="212">
        <v>40</v>
      </c>
      <c r="Y286" s="212" t="s">
        <v>144</v>
      </c>
      <c r="Z286" s="241" t="s">
        <v>25</v>
      </c>
      <c r="AA286" s="407" t="s">
        <v>2113</v>
      </c>
      <c r="AB286" s="206" t="s">
        <v>140</v>
      </c>
      <c r="AC286" s="847" t="s">
        <v>265</v>
      </c>
      <c r="AD286" s="847" t="s">
        <v>2105</v>
      </c>
      <c r="AE286" s="847" t="s">
        <v>144</v>
      </c>
      <c r="AF286" s="848" t="s">
        <v>144</v>
      </c>
      <c r="AG286" s="838"/>
      <c r="AH286" s="866" t="s">
        <v>2114</v>
      </c>
      <c r="AI286" s="273" t="s">
        <v>2115</v>
      </c>
      <c r="AJ286" s="847">
        <v>7</v>
      </c>
      <c r="AK286" s="878" t="s">
        <v>1280</v>
      </c>
      <c r="AL286" s="867" t="s">
        <v>294</v>
      </c>
      <c r="AM286" s="273" t="s">
        <v>295</v>
      </c>
      <c r="AN286" s="847">
        <v>7</v>
      </c>
      <c r="AO286" s="187" t="s">
        <v>966</v>
      </c>
      <c r="AP286" s="867"/>
      <c r="AQ286" s="273"/>
      <c r="AR286" s="847"/>
      <c r="AS286" s="848"/>
      <c r="AT286" s="867"/>
      <c r="AU286" s="273"/>
      <c r="AV286" s="847"/>
      <c r="AW286" s="848"/>
      <c r="AX286" s="867"/>
      <c r="AY286" s="273"/>
      <c r="AZ286" s="847"/>
      <c r="BA286" s="848"/>
      <c r="BB286" s="866"/>
      <c r="BC286" s="273"/>
      <c r="BD286" s="847"/>
      <c r="BE286" s="848"/>
      <c r="BF286" s="838"/>
    </row>
    <row r="287" spans="1:58" s="88" customFormat="1" ht="54" hidden="1" customHeight="1" x14ac:dyDescent="0.25">
      <c r="A287" s="267" t="s">
        <v>1687</v>
      </c>
      <c r="B287" s="268">
        <v>52</v>
      </c>
      <c r="C287" s="240" t="s">
        <v>2096</v>
      </c>
      <c r="D287" s="270" t="s">
        <v>2097</v>
      </c>
      <c r="E287" s="268" t="s">
        <v>2116</v>
      </c>
      <c r="F287" s="861" t="s">
        <v>2117</v>
      </c>
      <c r="G287" s="269" t="s">
        <v>2118</v>
      </c>
      <c r="H287" s="845" t="s">
        <v>2117</v>
      </c>
      <c r="I287" s="269" t="s">
        <v>2118</v>
      </c>
      <c r="J287" s="296" t="s">
        <v>140</v>
      </c>
      <c r="K287" s="297" t="s">
        <v>140</v>
      </c>
      <c r="L287" s="862" t="s">
        <v>2119</v>
      </c>
      <c r="M287" s="847" t="s">
        <v>973</v>
      </c>
      <c r="N287" s="270" t="s">
        <v>974</v>
      </c>
      <c r="O287" s="240" t="s">
        <v>144</v>
      </c>
      <c r="P287" s="240" t="s">
        <v>144</v>
      </c>
      <c r="Q287" s="845" t="s">
        <v>2120</v>
      </c>
      <c r="R287" s="208" t="s">
        <v>2121</v>
      </c>
      <c r="S287" s="864" t="s">
        <v>746</v>
      </c>
      <c r="T287" s="212" t="s">
        <v>1104</v>
      </c>
      <c r="U287" s="213" t="s">
        <v>1105</v>
      </c>
      <c r="V287" s="847">
        <v>19</v>
      </c>
      <c r="W287" s="415" t="s">
        <v>144</v>
      </c>
      <c r="X287" s="212">
        <v>40</v>
      </c>
      <c r="Y287" s="212" t="s">
        <v>144</v>
      </c>
      <c r="Z287" s="241" t="s">
        <v>25</v>
      </c>
      <c r="AA287" s="407" t="s">
        <v>2122</v>
      </c>
      <c r="AB287" s="206" t="s">
        <v>140</v>
      </c>
      <c r="AC287" s="847" t="s">
        <v>265</v>
      </c>
      <c r="AD287" s="847" t="s">
        <v>2123</v>
      </c>
      <c r="AE287" s="847" t="s">
        <v>144</v>
      </c>
      <c r="AF287" s="848" t="s">
        <v>144</v>
      </c>
      <c r="AG287" s="838"/>
      <c r="AH287" s="877" t="s">
        <v>2124</v>
      </c>
      <c r="AI287" s="273" t="s">
        <v>2125</v>
      </c>
      <c r="AJ287" s="847">
        <v>7</v>
      </c>
      <c r="AK287" s="878" t="s">
        <v>2126</v>
      </c>
      <c r="AL287" s="867"/>
      <c r="AM287" s="273"/>
      <c r="AN287" s="847"/>
      <c r="AO287" s="848"/>
      <c r="AP287" s="867" t="s">
        <v>1107</v>
      </c>
      <c r="AQ287" s="273" t="s">
        <v>1108</v>
      </c>
      <c r="AR287" s="847">
        <v>7</v>
      </c>
      <c r="AS287" s="286" t="s">
        <v>1109</v>
      </c>
      <c r="AT287" s="867"/>
      <c r="AU287" s="273"/>
      <c r="AV287" s="847"/>
      <c r="AW287" s="848"/>
      <c r="AX287" s="867"/>
      <c r="AY287" s="273"/>
      <c r="AZ287" s="847"/>
      <c r="BA287" s="848"/>
      <c r="BB287" s="866"/>
      <c r="BC287" s="273"/>
      <c r="BD287" s="847"/>
      <c r="BE287" s="848"/>
      <c r="BF287" s="838"/>
    </row>
    <row r="288" spans="1:58" s="88" customFormat="1" ht="54" hidden="1" customHeight="1" x14ac:dyDescent="0.25">
      <c r="A288" s="267" t="s">
        <v>1687</v>
      </c>
      <c r="B288" s="268">
        <v>53</v>
      </c>
      <c r="C288" s="240" t="s">
        <v>2096</v>
      </c>
      <c r="D288" s="270" t="s">
        <v>2097</v>
      </c>
      <c r="E288" s="268" t="s">
        <v>2127</v>
      </c>
      <c r="F288" s="861" t="s">
        <v>2128</v>
      </c>
      <c r="G288" s="269" t="s">
        <v>2129</v>
      </c>
      <c r="H288" s="845" t="s">
        <v>2130</v>
      </c>
      <c r="I288" s="269" t="s">
        <v>2131</v>
      </c>
      <c r="J288" s="296" t="s">
        <v>140</v>
      </c>
      <c r="K288" s="297" t="s">
        <v>140</v>
      </c>
      <c r="L288" s="862" t="s">
        <v>2132</v>
      </c>
      <c r="M288" s="847" t="s">
        <v>973</v>
      </c>
      <c r="N288" s="270" t="s">
        <v>974</v>
      </c>
      <c r="O288" s="240" t="s">
        <v>814</v>
      </c>
      <c r="P288" s="240" t="s">
        <v>815</v>
      </c>
      <c r="Q288" s="845" t="s">
        <v>144</v>
      </c>
      <c r="R288" s="208" t="s">
        <v>144</v>
      </c>
      <c r="S288" s="864" t="s">
        <v>147</v>
      </c>
      <c r="T288" s="212" t="s">
        <v>144</v>
      </c>
      <c r="U288" s="213" t="s">
        <v>144</v>
      </c>
      <c r="V288" s="847">
        <v>3</v>
      </c>
      <c r="W288" s="415" t="s">
        <v>144</v>
      </c>
      <c r="X288" s="212">
        <v>40</v>
      </c>
      <c r="Y288" s="212" t="s">
        <v>144</v>
      </c>
      <c r="Z288" s="241" t="s">
        <v>25</v>
      </c>
      <c r="AA288" s="407" t="s">
        <v>2122</v>
      </c>
      <c r="AB288" s="206" t="s">
        <v>140</v>
      </c>
      <c r="AC288" s="847" t="s">
        <v>265</v>
      </c>
      <c r="AD288" s="847" t="s">
        <v>2123</v>
      </c>
      <c r="AE288" s="847" t="s">
        <v>144</v>
      </c>
      <c r="AF288" s="848" t="s">
        <v>144</v>
      </c>
      <c r="AG288" s="838"/>
      <c r="AH288" s="866" t="s">
        <v>2133</v>
      </c>
      <c r="AI288" s="273" t="s">
        <v>2134</v>
      </c>
      <c r="AJ288" s="847">
        <v>7</v>
      </c>
      <c r="AK288" s="878" t="s">
        <v>1280</v>
      </c>
      <c r="AL288" s="875" t="s">
        <v>294</v>
      </c>
      <c r="AM288" s="301" t="s">
        <v>295</v>
      </c>
      <c r="AN288" s="847">
        <v>7</v>
      </c>
      <c r="AO288" s="187" t="s">
        <v>966</v>
      </c>
      <c r="AP288" s="867"/>
      <c r="AQ288" s="273"/>
      <c r="AR288" s="847"/>
      <c r="AS288" s="848"/>
      <c r="AT288" s="867"/>
      <c r="AU288" s="273"/>
      <c r="AV288" s="847"/>
      <c r="AW288" s="848"/>
      <c r="AX288" s="867"/>
      <c r="AY288" s="273"/>
      <c r="AZ288" s="847"/>
      <c r="BA288" s="848"/>
      <c r="BB288" s="866"/>
      <c r="BC288" s="273"/>
      <c r="BD288" s="847"/>
      <c r="BE288" s="848"/>
      <c r="BF288" s="838"/>
    </row>
    <row r="289" spans="1:58" s="57" customFormat="1" ht="54" hidden="1" customHeight="1" x14ac:dyDescent="0.25">
      <c r="A289" s="275" t="s">
        <v>1687</v>
      </c>
      <c r="B289" s="276">
        <v>54</v>
      </c>
      <c r="C289" s="253" t="s">
        <v>2135</v>
      </c>
      <c r="D289" s="253" t="s">
        <v>2136</v>
      </c>
      <c r="E289" s="276" t="s">
        <v>2137</v>
      </c>
      <c r="F289" s="277" t="s">
        <v>2138</v>
      </c>
      <c r="G289" s="277" t="s">
        <v>2139</v>
      </c>
      <c r="H289" s="279" t="s">
        <v>336</v>
      </c>
      <c r="I289" s="279" t="s">
        <v>337</v>
      </c>
      <c r="J289" s="278" t="s">
        <v>144</v>
      </c>
      <c r="K289" s="278" t="s">
        <v>144</v>
      </c>
      <c r="L289" s="718" t="s">
        <v>2140</v>
      </c>
      <c r="M289" s="253" t="s">
        <v>144</v>
      </c>
      <c r="N289" s="217" t="s">
        <v>144</v>
      </c>
      <c r="O289" s="253" t="s">
        <v>144</v>
      </c>
      <c r="P289" s="253" t="s">
        <v>144</v>
      </c>
      <c r="Q289" s="311" t="s">
        <v>338</v>
      </c>
      <c r="R289" s="218" t="s">
        <v>339</v>
      </c>
      <c r="S289" s="282" t="s">
        <v>147</v>
      </c>
      <c r="T289" s="229" t="s">
        <v>144</v>
      </c>
      <c r="U289" s="229" t="s">
        <v>144</v>
      </c>
      <c r="V289" s="278">
        <v>12</v>
      </c>
      <c r="W289" s="217" t="s">
        <v>144</v>
      </c>
      <c r="X289" s="221" t="s">
        <v>144</v>
      </c>
      <c r="Y289" s="221" t="s">
        <v>144</v>
      </c>
      <c r="Z289" s="221" t="s">
        <v>144</v>
      </c>
      <c r="AA289" s="253" t="s">
        <v>144</v>
      </c>
      <c r="AB289" s="217" t="s">
        <v>144</v>
      </c>
      <c r="AC289" s="253" t="s">
        <v>265</v>
      </c>
      <c r="AD289" s="253" t="s">
        <v>144</v>
      </c>
      <c r="AE289" s="253" t="s">
        <v>144</v>
      </c>
      <c r="AF289" s="254" t="s">
        <v>144</v>
      </c>
      <c r="AG289" s="838"/>
      <c r="AH289" s="280"/>
      <c r="AI289" s="281"/>
      <c r="AJ289" s="253"/>
      <c r="AK289" s="878"/>
      <c r="AL289" s="281"/>
      <c r="AM289" s="281"/>
      <c r="AN289" s="253"/>
      <c r="AO289" s="254"/>
      <c r="AP289" s="281"/>
      <c r="AQ289" s="281"/>
      <c r="AR289" s="253"/>
      <c r="AS289" s="254"/>
      <c r="AT289" s="281"/>
      <c r="AU289" s="281"/>
      <c r="AV289" s="253"/>
      <c r="AW289" s="254"/>
      <c r="AX289" s="281"/>
      <c r="AY289" s="281"/>
      <c r="AZ289" s="253"/>
      <c r="BA289" s="254"/>
      <c r="BB289" s="280"/>
      <c r="BC289" s="281"/>
      <c r="BD289" s="253"/>
      <c r="BE289" s="254"/>
      <c r="BF289" s="838"/>
    </row>
    <row r="290" spans="1:58" s="88" customFormat="1" ht="54" hidden="1" customHeight="1" x14ac:dyDescent="0.25">
      <c r="A290" s="267" t="s">
        <v>1687</v>
      </c>
      <c r="B290" s="268">
        <v>55</v>
      </c>
      <c r="C290" s="240" t="s">
        <v>1022</v>
      </c>
      <c r="D290" s="270" t="s">
        <v>1023</v>
      </c>
      <c r="E290" s="268" t="s">
        <v>2141</v>
      </c>
      <c r="F290" s="861" t="s">
        <v>2142</v>
      </c>
      <c r="G290" s="269" t="s">
        <v>2143</v>
      </c>
      <c r="H290" s="861" t="s">
        <v>2142</v>
      </c>
      <c r="I290" s="269" t="s">
        <v>2143</v>
      </c>
      <c r="J290" s="296" t="s">
        <v>140</v>
      </c>
      <c r="K290" s="297" t="s">
        <v>140</v>
      </c>
      <c r="L290" s="862" t="s">
        <v>2144</v>
      </c>
      <c r="M290" s="206" t="s">
        <v>973</v>
      </c>
      <c r="N290" s="211" t="s">
        <v>974</v>
      </c>
      <c r="O290" s="240" t="s">
        <v>144</v>
      </c>
      <c r="P290" s="240" t="s">
        <v>144</v>
      </c>
      <c r="Q290" s="845" t="s">
        <v>2145</v>
      </c>
      <c r="R290" s="208" t="s">
        <v>2146</v>
      </c>
      <c r="S290" s="864" t="s">
        <v>746</v>
      </c>
      <c r="T290" s="212" t="s">
        <v>1104</v>
      </c>
      <c r="U290" s="213" t="s">
        <v>1105</v>
      </c>
      <c r="V290" s="847">
        <v>19</v>
      </c>
      <c r="W290" s="415" t="s">
        <v>144</v>
      </c>
      <c r="X290" s="212">
        <v>40</v>
      </c>
      <c r="Y290" s="212" t="s">
        <v>144</v>
      </c>
      <c r="Z290" s="241" t="s">
        <v>29</v>
      </c>
      <c r="AA290" s="437" t="s">
        <v>2147</v>
      </c>
      <c r="AB290" s="206" t="s">
        <v>140</v>
      </c>
      <c r="AC290" s="847" t="s">
        <v>265</v>
      </c>
      <c r="AD290" s="847" t="s">
        <v>2148</v>
      </c>
      <c r="AE290" s="847" t="s">
        <v>144</v>
      </c>
      <c r="AF290" s="848" t="s">
        <v>144</v>
      </c>
      <c r="AG290" s="838"/>
      <c r="AH290" s="866" t="s">
        <v>2149</v>
      </c>
      <c r="AI290" s="273" t="s">
        <v>2150</v>
      </c>
      <c r="AJ290" s="847">
        <v>7</v>
      </c>
      <c r="AK290" s="878" t="s">
        <v>2151</v>
      </c>
      <c r="AL290" s="867"/>
      <c r="AM290" s="890"/>
      <c r="AN290" s="273"/>
      <c r="AO290" s="848"/>
      <c r="AP290" s="873" t="s">
        <v>2152</v>
      </c>
      <c r="AQ290" s="406" t="s">
        <v>2153</v>
      </c>
      <c r="AR290" s="872">
        <v>7</v>
      </c>
      <c r="AS290" s="871" t="s">
        <v>2154</v>
      </c>
      <c r="AT290" s="867"/>
      <c r="AU290" s="273"/>
      <c r="AV290" s="847"/>
      <c r="AW290" s="848"/>
      <c r="AX290" s="867"/>
      <c r="AY290" s="273"/>
      <c r="AZ290" s="847"/>
      <c r="BA290" s="848"/>
      <c r="BB290" s="866"/>
      <c r="BC290" s="273"/>
      <c r="BD290" s="847"/>
      <c r="BE290" s="848"/>
      <c r="BF290" s="838"/>
    </row>
    <row r="291" spans="1:58" s="88" customFormat="1" ht="54" hidden="1" customHeight="1" x14ac:dyDescent="0.25">
      <c r="A291" s="267" t="s">
        <v>1687</v>
      </c>
      <c r="B291" s="268">
        <v>56</v>
      </c>
      <c r="C291" s="240" t="s">
        <v>1022</v>
      </c>
      <c r="D291" s="270" t="s">
        <v>1023</v>
      </c>
      <c r="E291" s="268" t="s">
        <v>2155</v>
      </c>
      <c r="F291" s="861" t="s">
        <v>2156</v>
      </c>
      <c r="G291" s="269" t="s">
        <v>2157</v>
      </c>
      <c r="H291" s="845" t="s">
        <v>2158</v>
      </c>
      <c r="I291" s="269" t="s">
        <v>2159</v>
      </c>
      <c r="J291" s="296" t="s">
        <v>140</v>
      </c>
      <c r="K291" s="297" t="s">
        <v>140</v>
      </c>
      <c r="L291" s="862" t="s">
        <v>2160</v>
      </c>
      <c r="M291" s="847" t="s">
        <v>973</v>
      </c>
      <c r="N291" s="211" t="s">
        <v>974</v>
      </c>
      <c r="O291" s="240" t="s">
        <v>814</v>
      </c>
      <c r="P291" s="240" t="s">
        <v>815</v>
      </c>
      <c r="Q291" s="845" t="s">
        <v>144</v>
      </c>
      <c r="R291" s="208" t="s">
        <v>144</v>
      </c>
      <c r="S291" s="864" t="s">
        <v>147</v>
      </c>
      <c r="T291" s="212" t="s">
        <v>144</v>
      </c>
      <c r="U291" s="213" t="s">
        <v>144</v>
      </c>
      <c r="V291" s="847">
        <v>3</v>
      </c>
      <c r="W291" s="415" t="s">
        <v>144</v>
      </c>
      <c r="X291" s="212">
        <v>40</v>
      </c>
      <c r="Y291" s="212" t="s">
        <v>144</v>
      </c>
      <c r="Z291" s="241" t="s">
        <v>144</v>
      </c>
      <c r="AA291" s="437" t="s">
        <v>2147</v>
      </c>
      <c r="AB291" s="206" t="s">
        <v>140</v>
      </c>
      <c r="AC291" s="847" t="s">
        <v>265</v>
      </c>
      <c r="AD291" s="847" t="s">
        <v>2161</v>
      </c>
      <c r="AE291" s="847" t="s">
        <v>144</v>
      </c>
      <c r="AF291" s="848" t="s">
        <v>144</v>
      </c>
      <c r="AG291" s="838"/>
      <c r="AH291" s="316" t="s">
        <v>2162</v>
      </c>
      <c r="AI291" s="317" t="s">
        <v>2163</v>
      </c>
      <c r="AJ291" s="285">
        <v>7</v>
      </c>
      <c r="AK291" s="878" t="s">
        <v>1280</v>
      </c>
      <c r="AL291" s="867" t="s">
        <v>294</v>
      </c>
      <c r="AM291" s="273" t="s">
        <v>295</v>
      </c>
      <c r="AN291" s="847">
        <v>7</v>
      </c>
      <c r="AO291" s="187" t="s">
        <v>966</v>
      </c>
      <c r="AP291" s="867"/>
      <c r="AQ291" s="273"/>
      <c r="AR291" s="847"/>
      <c r="AS291" s="848"/>
      <c r="AT291" s="867"/>
      <c r="AU291" s="273"/>
      <c r="AV291" s="847"/>
      <c r="AW291" s="848"/>
      <c r="AX291" s="867"/>
      <c r="AY291" s="273"/>
      <c r="AZ291" s="847"/>
      <c r="BA291" s="848"/>
      <c r="BB291" s="866"/>
      <c r="BC291" s="273"/>
      <c r="BD291" s="847"/>
      <c r="BE291" s="848"/>
      <c r="BF291" s="838"/>
    </row>
    <row r="292" spans="1:58" s="57" customFormat="1" ht="54" hidden="1" customHeight="1" x14ac:dyDescent="0.25">
      <c r="A292" s="275" t="s">
        <v>1687</v>
      </c>
      <c r="B292" s="276">
        <v>57</v>
      </c>
      <c r="C292" s="253" t="s">
        <v>2135</v>
      </c>
      <c r="D292" s="253" t="s">
        <v>2136</v>
      </c>
      <c r="E292" s="276" t="s">
        <v>2164</v>
      </c>
      <c r="F292" s="277" t="s">
        <v>2165</v>
      </c>
      <c r="G292" s="277" t="s">
        <v>2166</v>
      </c>
      <c r="H292" s="279" t="s">
        <v>2167</v>
      </c>
      <c r="I292" s="279" t="s">
        <v>337</v>
      </c>
      <c r="J292" s="278" t="s">
        <v>144</v>
      </c>
      <c r="K292" s="278" t="s">
        <v>144</v>
      </c>
      <c r="L292" s="718" t="s">
        <v>2168</v>
      </c>
      <c r="M292" s="253" t="s">
        <v>144</v>
      </c>
      <c r="N292" s="217" t="s">
        <v>144</v>
      </c>
      <c r="O292" s="253" t="s">
        <v>144</v>
      </c>
      <c r="P292" s="253" t="s">
        <v>144</v>
      </c>
      <c r="Q292" s="311" t="s">
        <v>338</v>
      </c>
      <c r="R292" s="218" t="s">
        <v>339</v>
      </c>
      <c r="S292" s="282" t="s">
        <v>147</v>
      </c>
      <c r="T292" s="229" t="s">
        <v>144</v>
      </c>
      <c r="U292" s="229" t="s">
        <v>144</v>
      </c>
      <c r="V292" s="278">
        <v>12</v>
      </c>
      <c r="W292" s="217" t="s">
        <v>144</v>
      </c>
      <c r="X292" s="221" t="s">
        <v>144</v>
      </c>
      <c r="Y292" s="221" t="s">
        <v>144</v>
      </c>
      <c r="Z292" s="221" t="s">
        <v>144</v>
      </c>
      <c r="AA292" s="253" t="s">
        <v>144</v>
      </c>
      <c r="AB292" s="217" t="s">
        <v>144</v>
      </c>
      <c r="AC292" s="253" t="s">
        <v>265</v>
      </c>
      <c r="AD292" s="253" t="s">
        <v>2169</v>
      </c>
      <c r="AE292" s="253" t="s">
        <v>144</v>
      </c>
      <c r="AF292" s="254" t="s">
        <v>144</v>
      </c>
      <c r="AG292" s="838"/>
      <c r="AH292" s="280"/>
      <c r="AI292" s="281"/>
      <c r="AJ292" s="253"/>
      <c r="AK292" s="878"/>
      <c r="AL292" s="281"/>
      <c r="AM292" s="281"/>
      <c r="AN292" s="253"/>
      <c r="AO292" s="254"/>
      <c r="AP292" s="281"/>
      <c r="AQ292" s="281"/>
      <c r="AR292" s="253"/>
      <c r="AS292" s="254"/>
      <c r="AT292" s="281"/>
      <c r="AU292" s="281"/>
      <c r="AV292" s="253"/>
      <c r="AW292" s="254"/>
      <c r="AX292" s="281"/>
      <c r="AY292" s="281"/>
      <c r="AZ292" s="253"/>
      <c r="BA292" s="254"/>
      <c r="BB292" s="280"/>
      <c r="BC292" s="281"/>
      <c r="BD292" s="253"/>
      <c r="BE292" s="254"/>
      <c r="BF292" s="838"/>
    </row>
    <row r="293" spans="1:58" s="88" customFormat="1" ht="54" hidden="1" customHeight="1" x14ac:dyDescent="0.25">
      <c r="A293" s="267" t="s">
        <v>1687</v>
      </c>
      <c r="B293" s="268">
        <v>58</v>
      </c>
      <c r="C293" s="240" t="s">
        <v>2170</v>
      </c>
      <c r="D293" s="270" t="s">
        <v>2171</v>
      </c>
      <c r="E293" s="268" t="s">
        <v>2172</v>
      </c>
      <c r="F293" s="861" t="s">
        <v>2173</v>
      </c>
      <c r="G293" s="269" t="s">
        <v>2174</v>
      </c>
      <c r="H293" s="861" t="s">
        <v>2175</v>
      </c>
      <c r="I293" s="269" t="s">
        <v>2176</v>
      </c>
      <c r="J293" s="296" t="s">
        <v>140</v>
      </c>
      <c r="K293" s="297" t="s">
        <v>140</v>
      </c>
      <c r="L293" s="862" t="s">
        <v>2177</v>
      </c>
      <c r="M293" s="847" t="s">
        <v>193</v>
      </c>
      <c r="N293" s="211" t="s">
        <v>194</v>
      </c>
      <c r="O293" s="240" t="s">
        <v>144</v>
      </c>
      <c r="P293" s="240" t="s">
        <v>144</v>
      </c>
      <c r="Q293" s="845" t="s">
        <v>2178</v>
      </c>
      <c r="R293" s="208" t="s">
        <v>2179</v>
      </c>
      <c r="S293" s="864" t="s">
        <v>746</v>
      </c>
      <c r="T293" s="212" t="s">
        <v>1307</v>
      </c>
      <c r="U293" s="213" t="s">
        <v>1308</v>
      </c>
      <c r="V293" s="847">
        <v>10</v>
      </c>
      <c r="W293" s="415" t="s">
        <v>144</v>
      </c>
      <c r="X293" s="212">
        <v>40</v>
      </c>
      <c r="Y293" s="212" t="s">
        <v>144</v>
      </c>
      <c r="Z293" s="252" t="s">
        <v>144</v>
      </c>
      <c r="AA293" s="240" t="s">
        <v>2180</v>
      </c>
      <c r="AB293" s="206" t="s">
        <v>140</v>
      </c>
      <c r="AC293" s="847" t="s">
        <v>265</v>
      </c>
      <c r="AD293" s="847" t="s">
        <v>2060</v>
      </c>
      <c r="AE293" s="847" t="s">
        <v>144</v>
      </c>
      <c r="AF293" s="848" t="s">
        <v>144</v>
      </c>
      <c r="AG293" s="838"/>
      <c r="AH293" s="866"/>
      <c r="AI293" s="273"/>
      <c r="AJ293" s="847"/>
      <c r="AK293" s="878"/>
      <c r="AL293" s="867"/>
      <c r="AM293" s="273"/>
      <c r="AN293" s="847"/>
      <c r="AO293" s="848"/>
      <c r="AP293" s="867"/>
      <c r="AQ293" s="273"/>
      <c r="AR293" s="847"/>
      <c r="AS293" s="848"/>
      <c r="AT293" s="867"/>
      <c r="AU293" s="273"/>
      <c r="AV293" s="847"/>
      <c r="AW293" s="848"/>
      <c r="AX293" s="867"/>
      <c r="AY293" s="273"/>
      <c r="AZ293" s="847"/>
      <c r="BA293" s="848"/>
      <c r="BB293" s="866"/>
      <c r="BC293" s="273"/>
      <c r="BD293" s="847"/>
      <c r="BE293" s="848"/>
      <c r="BF293" s="838"/>
    </row>
    <row r="294" spans="1:58" s="88" customFormat="1" ht="54" hidden="1" customHeight="1" x14ac:dyDescent="0.25">
      <c r="A294" s="267" t="s">
        <v>1687</v>
      </c>
      <c r="B294" s="268">
        <v>59</v>
      </c>
      <c r="C294" s="240" t="s">
        <v>1955</v>
      </c>
      <c r="D294" s="270" t="s">
        <v>1956</v>
      </c>
      <c r="E294" s="268" t="s">
        <v>2181</v>
      </c>
      <c r="F294" s="861" t="s">
        <v>2182</v>
      </c>
      <c r="G294" s="269" t="s">
        <v>2183</v>
      </c>
      <c r="H294" s="845" t="s">
        <v>2184</v>
      </c>
      <c r="I294" s="269" t="s">
        <v>2185</v>
      </c>
      <c r="J294" s="296" t="s">
        <v>140</v>
      </c>
      <c r="K294" s="297" t="s">
        <v>140</v>
      </c>
      <c r="L294" s="862" t="s">
        <v>2186</v>
      </c>
      <c r="M294" s="847" t="s">
        <v>193</v>
      </c>
      <c r="N294" s="211" t="s">
        <v>194</v>
      </c>
      <c r="O294" s="240" t="s">
        <v>144</v>
      </c>
      <c r="P294" s="240" t="s">
        <v>144</v>
      </c>
      <c r="Q294" s="845" t="s">
        <v>2187</v>
      </c>
      <c r="R294" s="208" t="s">
        <v>2188</v>
      </c>
      <c r="S294" s="864" t="s">
        <v>746</v>
      </c>
      <c r="T294" s="212" t="s">
        <v>1104</v>
      </c>
      <c r="U294" s="213" t="s">
        <v>1105</v>
      </c>
      <c r="V294" s="847">
        <v>19</v>
      </c>
      <c r="W294" s="415" t="s">
        <v>144</v>
      </c>
      <c r="X294" s="212">
        <v>40</v>
      </c>
      <c r="Y294" s="212" t="s">
        <v>144</v>
      </c>
      <c r="Z294" s="241" t="s">
        <v>144</v>
      </c>
      <c r="AA294" s="437" t="s">
        <v>2189</v>
      </c>
      <c r="AB294" s="206" t="s">
        <v>140</v>
      </c>
      <c r="AC294" s="847" t="s">
        <v>265</v>
      </c>
      <c r="AD294" s="847" t="s">
        <v>2190</v>
      </c>
      <c r="AE294" s="847" t="s">
        <v>144</v>
      </c>
      <c r="AF294" s="848" t="s">
        <v>144</v>
      </c>
      <c r="AG294" s="838"/>
      <c r="AH294" s="866"/>
      <c r="AI294" s="273"/>
      <c r="AJ294" s="847"/>
      <c r="AK294" s="878"/>
      <c r="AL294" s="867"/>
      <c r="AM294" s="273"/>
      <c r="AN294" s="847"/>
      <c r="AO294" s="848"/>
      <c r="AP294" s="867" t="s">
        <v>1107</v>
      </c>
      <c r="AQ294" s="273" t="s">
        <v>1108</v>
      </c>
      <c r="AR294" s="847">
        <v>7</v>
      </c>
      <c r="AS294" s="286" t="s">
        <v>1109</v>
      </c>
      <c r="AT294" s="867"/>
      <c r="AU294" s="273"/>
      <c r="AV294" s="847"/>
      <c r="AW294" s="848"/>
      <c r="AX294" s="867"/>
      <c r="AY294" s="273"/>
      <c r="AZ294" s="847"/>
      <c r="BA294" s="848"/>
      <c r="BB294" s="866"/>
      <c r="BC294" s="273"/>
      <c r="BD294" s="847"/>
      <c r="BE294" s="848"/>
      <c r="BF294" s="838"/>
    </row>
    <row r="295" spans="1:58" s="88" customFormat="1" ht="54" hidden="1" customHeight="1" x14ac:dyDescent="0.25">
      <c r="A295" s="267" t="s">
        <v>1687</v>
      </c>
      <c r="B295" s="268">
        <v>60</v>
      </c>
      <c r="C295" s="240" t="s">
        <v>1955</v>
      </c>
      <c r="D295" s="270" t="s">
        <v>1956</v>
      </c>
      <c r="E295" s="268" t="s">
        <v>2191</v>
      </c>
      <c r="F295" s="861" t="s">
        <v>2192</v>
      </c>
      <c r="G295" s="269" t="s">
        <v>2193</v>
      </c>
      <c r="H295" s="845" t="s">
        <v>2194</v>
      </c>
      <c r="I295" s="269" t="s">
        <v>2193</v>
      </c>
      <c r="J295" s="296" t="s">
        <v>140</v>
      </c>
      <c r="K295" s="297" t="s">
        <v>140</v>
      </c>
      <c r="L295" s="862" t="s">
        <v>2195</v>
      </c>
      <c r="M295" s="847" t="s">
        <v>973</v>
      </c>
      <c r="N295" s="211" t="s">
        <v>974</v>
      </c>
      <c r="O295" s="240" t="s">
        <v>814</v>
      </c>
      <c r="P295" s="240" t="s">
        <v>815</v>
      </c>
      <c r="Q295" s="845" t="s">
        <v>144</v>
      </c>
      <c r="R295" s="208" t="s">
        <v>144</v>
      </c>
      <c r="S295" s="864" t="s">
        <v>147</v>
      </c>
      <c r="T295" s="212" t="s">
        <v>144</v>
      </c>
      <c r="U295" s="213" t="s">
        <v>144</v>
      </c>
      <c r="V295" s="847">
        <v>3</v>
      </c>
      <c r="W295" s="415" t="s">
        <v>144</v>
      </c>
      <c r="X295" s="212">
        <v>40</v>
      </c>
      <c r="Y295" s="212" t="s">
        <v>144</v>
      </c>
      <c r="Z295" s="241" t="s">
        <v>144</v>
      </c>
      <c r="AA295" s="437" t="s">
        <v>2196</v>
      </c>
      <c r="AB295" s="206" t="s">
        <v>140</v>
      </c>
      <c r="AC295" s="847" t="s">
        <v>265</v>
      </c>
      <c r="AD295" s="847" t="s">
        <v>2190</v>
      </c>
      <c r="AE295" s="847" t="s">
        <v>144</v>
      </c>
      <c r="AF295" s="848" t="s">
        <v>144</v>
      </c>
      <c r="AG295" s="838"/>
      <c r="AH295" s="866" t="s">
        <v>2197</v>
      </c>
      <c r="AI295" s="273" t="s">
        <v>2198</v>
      </c>
      <c r="AJ295" s="847">
        <v>7</v>
      </c>
      <c r="AK295" s="878" t="s">
        <v>1280</v>
      </c>
      <c r="AL295" s="867" t="s">
        <v>294</v>
      </c>
      <c r="AM295" s="273" t="s">
        <v>295</v>
      </c>
      <c r="AN295" s="847">
        <v>7</v>
      </c>
      <c r="AO295" s="187" t="s">
        <v>966</v>
      </c>
      <c r="AP295" s="867"/>
      <c r="AQ295" s="273"/>
      <c r="AR295" s="847"/>
      <c r="AS295" s="848"/>
      <c r="AT295" s="867"/>
      <c r="AU295" s="273"/>
      <c r="AV295" s="847"/>
      <c r="AW295" s="848"/>
      <c r="AX295" s="867"/>
      <c r="AY295" s="273"/>
      <c r="AZ295" s="847"/>
      <c r="BA295" s="848"/>
      <c r="BB295" s="866"/>
      <c r="BC295" s="273"/>
      <c r="BD295" s="847"/>
      <c r="BE295" s="848"/>
      <c r="BF295" s="838"/>
    </row>
    <row r="296" spans="1:58" s="88" customFormat="1" ht="54" hidden="1" customHeight="1" x14ac:dyDescent="0.25">
      <c r="A296" s="267" t="s">
        <v>1687</v>
      </c>
      <c r="B296" s="268">
        <v>61</v>
      </c>
      <c r="C296" s="240" t="s">
        <v>1022</v>
      </c>
      <c r="D296" s="270" t="s">
        <v>1023</v>
      </c>
      <c r="E296" s="268" t="s">
        <v>2199</v>
      </c>
      <c r="F296" s="861" t="s">
        <v>2200</v>
      </c>
      <c r="G296" s="269" t="s">
        <v>2201</v>
      </c>
      <c r="H296" s="845" t="s">
        <v>2200</v>
      </c>
      <c r="I296" s="269" t="s">
        <v>2201</v>
      </c>
      <c r="J296" s="296" t="s">
        <v>140</v>
      </c>
      <c r="K296" s="297" t="s">
        <v>140</v>
      </c>
      <c r="L296" s="862" t="s">
        <v>2202</v>
      </c>
      <c r="M296" s="847" t="s">
        <v>193</v>
      </c>
      <c r="N296" s="211" t="s">
        <v>194</v>
      </c>
      <c r="O296" s="240" t="s">
        <v>2203</v>
      </c>
      <c r="P296" s="240" t="s">
        <v>2204</v>
      </c>
      <c r="Q296" s="845" t="s">
        <v>144</v>
      </c>
      <c r="R296" s="208" t="s">
        <v>144</v>
      </c>
      <c r="S296" s="864" t="s">
        <v>147</v>
      </c>
      <c r="T296" s="212" t="s">
        <v>144</v>
      </c>
      <c r="U296" s="213" t="s">
        <v>144</v>
      </c>
      <c r="V296" s="847">
        <v>2</v>
      </c>
      <c r="W296" s="415" t="s">
        <v>144</v>
      </c>
      <c r="X296" s="212">
        <v>40</v>
      </c>
      <c r="Y296" s="212" t="s">
        <v>144</v>
      </c>
      <c r="Z296" s="433" t="s">
        <v>144</v>
      </c>
      <c r="AA296" s="437" t="s">
        <v>1603</v>
      </c>
      <c r="AB296" s="206" t="s">
        <v>140</v>
      </c>
      <c r="AC296" s="847" t="s">
        <v>265</v>
      </c>
      <c r="AD296" s="847" t="s">
        <v>2205</v>
      </c>
      <c r="AE296" s="847" t="s">
        <v>144</v>
      </c>
      <c r="AF296" s="848" t="s">
        <v>144</v>
      </c>
      <c r="AG296" s="838"/>
      <c r="AH296" s="866"/>
      <c r="AI296" s="273"/>
      <c r="AJ296" s="847"/>
      <c r="AK296" s="878"/>
      <c r="AL296" s="867" t="s">
        <v>294</v>
      </c>
      <c r="AM296" s="273" t="s">
        <v>295</v>
      </c>
      <c r="AN296" s="847">
        <v>7</v>
      </c>
      <c r="AO296" s="187" t="s">
        <v>966</v>
      </c>
      <c r="AP296" s="867"/>
      <c r="AQ296" s="273"/>
      <c r="AR296" s="847"/>
      <c r="AS296" s="848"/>
      <c r="AT296" s="867"/>
      <c r="AU296" s="273"/>
      <c r="AV296" s="847"/>
      <c r="AW296" s="848"/>
      <c r="AX296" s="867"/>
      <c r="AY296" s="273"/>
      <c r="AZ296" s="847"/>
      <c r="BA296" s="848"/>
      <c r="BB296" s="866"/>
      <c r="BC296" s="273"/>
      <c r="BD296" s="847"/>
      <c r="BE296" s="848"/>
      <c r="BF296" s="838"/>
    </row>
    <row r="297" spans="1:58" s="88" customFormat="1" ht="54" hidden="1" customHeight="1" x14ac:dyDescent="0.25">
      <c r="A297" s="267" t="s">
        <v>1687</v>
      </c>
      <c r="B297" s="268">
        <v>62</v>
      </c>
      <c r="C297" s="240" t="s">
        <v>2206</v>
      </c>
      <c r="D297" s="270" t="s">
        <v>2207</v>
      </c>
      <c r="E297" s="268" t="s">
        <v>2208</v>
      </c>
      <c r="F297" s="861" t="s">
        <v>2209</v>
      </c>
      <c r="G297" s="294" t="s">
        <v>2210</v>
      </c>
      <c r="H297" s="845" t="s">
        <v>2211</v>
      </c>
      <c r="I297" s="269" t="s">
        <v>2212</v>
      </c>
      <c r="J297" s="296" t="s">
        <v>140</v>
      </c>
      <c r="K297" s="297" t="s">
        <v>140</v>
      </c>
      <c r="L297" s="862" t="s">
        <v>2213</v>
      </c>
      <c r="M297" s="847" t="s">
        <v>193</v>
      </c>
      <c r="N297" s="211" t="s">
        <v>194</v>
      </c>
      <c r="O297" s="240" t="s">
        <v>2214</v>
      </c>
      <c r="P297" s="240" t="s">
        <v>2215</v>
      </c>
      <c r="Q297" s="845" t="s">
        <v>144</v>
      </c>
      <c r="R297" s="208" t="s">
        <v>144</v>
      </c>
      <c r="S297" s="864" t="s">
        <v>147</v>
      </c>
      <c r="T297" s="212" t="s">
        <v>144</v>
      </c>
      <c r="U297" s="213" t="s">
        <v>144</v>
      </c>
      <c r="V297" s="847">
        <v>1</v>
      </c>
      <c r="W297" s="415" t="s">
        <v>144</v>
      </c>
      <c r="X297" s="212">
        <v>40</v>
      </c>
      <c r="Y297" s="212" t="s">
        <v>144</v>
      </c>
      <c r="Z297" s="212" t="s">
        <v>144</v>
      </c>
      <c r="AA297" s="240" t="s">
        <v>2216</v>
      </c>
      <c r="AB297" s="206" t="s">
        <v>140</v>
      </c>
      <c r="AC297" s="847" t="s">
        <v>265</v>
      </c>
      <c r="AD297" s="847" t="s">
        <v>2060</v>
      </c>
      <c r="AE297" s="847" t="s">
        <v>144</v>
      </c>
      <c r="AF297" s="848" t="s">
        <v>144</v>
      </c>
      <c r="AG297" s="838"/>
      <c r="AH297" s="866"/>
      <c r="AI297" s="273"/>
      <c r="AJ297" s="847"/>
      <c r="AK297" s="878"/>
      <c r="AL297" s="867" t="s">
        <v>294</v>
      </c>
      <c r="AM297" s="273" t="s">
        <v>295</v>
      </c>
      <c r="AN297" s="847">
        <v>7</v>
      </c>
      <c r="AO297" s="187" t="s">
        <v>966</v>
      </c>
      <c r="AP297" s="867"/>
      <c r="AQ297" s="273"/>
      <c r="AR297" s="847"/>
      <c r="AS297" s="848"/>
      <c r="AT297" s="867"/>
      <c r="AU297" s="273"/>
      <c r="AV297" s="847"/>
      <c r="AW297" s="848"/>
      <c r="AX297" s="867"/>
      <c r="AY297" s="273"/>
      <c r="AZ297" s="847"/>
      <c r="BA297" s="848"/>
      <c r="BB297" s="866"/>
      <c r="BC297" s="273"/>
      <c r="BD297" s="847"/>
      <c r="BE297" s="848"/>
      <c r="BF297" s="838"/>
    </row>
    <row r="298" spans="1:58" s="88" customFormat="1" ht="54" hidden="1" customHeight="1" x14ac:dyDescent="0.25">
      <c r="A298" s="267" t="s">
        <v>1687</v>
      </c>
      <c r="B298" s="268">
        <v>63</v>
      </c>
      <c r="C298" s="240" t="s">
        <v>2206</v>
      </c>
      <c r="D298" s="270" t="s">
        <v>2207</v>
      </c>
      <c r="E298" s="268" t="s">
        <v>2217</v>
      </c>
      <c r="F298" s="861" t="s">
        <v>1552</v>
      </c>
      <c r="G298" s="269" t="s">
        <v>2218</v>
      </c>
      <c r="H298" s="845" t="s">
        <v>1554</v>
      </c>
      <c r="I298" s="208" t="s">
        <v>1555</v>
      </c>
      <c r="J298" s="296" t="s">
        <v>140</v>
      </c>
      <c r="K298" s="297" t="s">
        <v>140</v>
      </c>
      <c r="L298" s="862" t="s">
        <v>1556</v>
      </c>
      <c r="M298" s="847" t="s">
        <v>193</v>
      </c>
      <c r="N298" s="211" t="s">
        <v>194</v>
      </c>
      <c r="O298" s="240" t="s">
        <v>144</v>
      </c>
      <c r="P298" s="240" t="s">
        <v>144</v>
      </c>
      <c r="Q298" s="845" t="s">
        <v>2219</v>
      </c>
      <c r="R298" s="208" t="s">
        <v>2220</v>
      </c>
      <c r="S298" s="864" t="s">
        <v>147</v>
      </c>
      <c r="T298" s="212" t="s">
        <v>144</v>
      </c>
      <c r="U298" s="213" t="s">
        <v>144</v>
      </c>
      <c r="V298" s="847">
        <v>20</v>
      </c>
      <c r="W298" s="415" t="s">
        <v>144</v>
      </c>
      <c r="X298" s="212">
        <v>40</v>
      </c>
      <c r="Y298" s="212" t="s">
        <v>144</v>
      </c>
      <c r="Z298" s="241" t="s">
        <v>144</v>
      </c>
      <c r="AA298" s="437" t="s">
        <v>1545</v>
      </c>
      <c r="AB298" s="206" t="s">
        <v>140</v>
      </c>
      <c r="AC298" s="847" t="s">
        <v>265</v>
      </c>
      <c r="AD298" s="847" t="s">
        <v>2221</v>
      </c>
      <c r="AE298" s="847" t="s">
        <v>144</v>
      </c>
      <c r="AF298" s="848" t="s">
        <v>144</v>
      </c>
      <c r="AG298" s="838"/>
      <c r="AH298" s="866"/>
      <c r="AI298" s="273"/>
      <c r="AJ298" s="847"/>
      <c r="AK298" s="878"/>
      <c r="AL298" s="867"/>
      <c r="AM298" s="273"/>
      <c r="AN298" s="847"/>
      <c r="AO298" s="848"/>
      <c r="AP298" s="867"/>
      <c r="AQ298" s="273"/>
      <c r="AR298" s="847"/>
      <c r="AS298" s="848"/>
      <c r="AT298" s="867"/>
      <c r="AU298" s="273"/>
      <c r="AV298" s="847"/>
      <c r="AW298" s="848"/>
      <c r="AX298" s="867" t="s">
        <v>1722</v>
      </c>
      <c r="AY298" s="273" t="s">
        <v>1723</v>
      </c>
      <c r="AZ298" s="847">
        <v>6</v>
      </c>
      <c r="BA298" s="848" t="s">
        <v>1725</v>
      </c>
      <c r="BB298" s="866"/>
      <c r="BC298" s="273"/>
      <c r="BD298" s="847"/>
      <c r="BE298" s="848"/>
      <c r="BF298" s="838"/>
    </row>
    <row r="299" spans="1:58" s="88" customFormat="1" ht="54" hidden="1" customHeight="1" x14ac:dyDescent="0.25">
      <c r="A299" s="267" t="s">
        <v>1687</v>
      </c>
      <c r="B299" s="268">
        <v>64</v>
      </c>
      <c r="C299" s="240" t="s">
        <v>2206</v>
      </c>
      <c r="D299" s="270" t="s">
        <v>2207</v>
      </c>
      <c r="E299" s="268" t="s">
        <v>2222</v>
      </c>
      <c r="F299" s="861" t="s">
        <v>1560</v>
      </c>
      <c r="G299" s="269" t="s">
        <v>2223</v>
      </c>
      <c r="H299" s="845" t="s">
        <v>1562</v>
      </c>
      <c r="I299" s="269" t="s">
        <v>2224</v>
      </c>
      <c r="J299" s="296" t="s">
        <v>140</v>
      </c>
      <c r="K299" s="297" t="s">
        <v>140</v>
      </c>
      <c r="L299" s="862" t="s">
        <v>1564</v>
      </c>
      <c r="M299" s="847" t="s">
        <v>193</v>
      </c>
      <c r="N299" s="211" t="s">
        <v>194</v>
      </c>
      <c r="O299" s="240" t="s">
        <v>144</v>
      </c>
      <c r="P299" s="240" t="s">
        <v>144</v>
      </c>
      <c r="Q299" s="845" t="s">
        <v>2225</v>
      </c>
      <c r="R299" s="208" t="s">
        <v>2226</v>
      </c>
      <c r="S299" s="864" t="s">
        <v>147</v>
      </c>
      <c r="T299" s="212" t="s">
        <v>144</v>
      </c>
      <c r="U299" s="213" t="s">
        <v>144</v>
      </c>
      <c r="V299" s="847">
        <v>10</v>
      </c>
      <c r="W299" s="415" t="s">
        <v>144</v>
      </c>
      <c r="X299" s="212">
        <v>40</v>
      </c>
      <c r="Y299" s="212" t="s">
        <v>144</v>
      </c>
      <c r="Z299" s="433" t="s">
        <v>25</v>
      </c>
      <c r="AA299" s="437" t="s">
        <v>2227</v>
      </c>
      <c r="AB299" s="206" t="s">
        <v>140</v>
      </c>
      <c r="AC299" s="847" t="s">
        <v>265</v>
      </c>
      <c r="AD299" s="847" t="s">
        <v>2221</v>
      </c>
      <c r="AE299" s="847" t="s">
        <v>144</v>
      </c>
      <c r="AF299" s="848" t="s">
        <v>144</v>
      </c>
      <c r="AG299" s="838"/>
      <c r="AH299" s="866"/>
      <c r="AI299" s="273"/>
      <c r="AJ299" s="847"/>
      <c r="AK299" s="878"/>
      <c r="AL299" s="867"/>
      <c r="AM299" s="273"/>
      <c r="AN299" s="847"/>
      <c r="AO299" s="848"/>
      <c r="AP299" s="867"/>
      <c r="AQ299" s="273"/>
      <c r="AR299" s="847"/>
      <c r="AS299" s="848"/>
      <c r="AT299" s="867"/>
      <c r="AU299" s="273"/>
      <c r="AV299" s="847"/>
      <c r="AW299" s="848"/>
      <c r="AX299" s="873" t="s">
        <v>2228</v>
      </c>
      <c r="AY299" s="406" t="s">
        <v>2229</v>
      </c>
      <c r="AZ299" s="872" t="s">
        <v>1061</v>
      </c>
      <c r="BA299" s="878" t="s">
        <v>1732</v>
      </c>
      <c r="BB299" s="866"/>
      <c r="BC299" s="273"/>
      <c r="BD299" s="847"/>
      <c r="BE299" s="848"/>
      <c r="BF299" s="838"/>
    </row>
    <row r="300" spans="1:58" s="88" customFormat="1" ht="54" hidden="1" customHeight="1" x14ac:dyDescent="0.25">
      <c r="A300" s="267" t="s">
        <v>1687</v>
      </c>
      <c r="B300" s="268">
        <v>65</v>
      </c>
      <c r="C300" s="240" t="s">
        <v>2206</v>
      </c>
      <c r="D300" s="270" t="s">
        <v>2207</v>
      </c>
      <c r="E300" s="268" t="s">
        <v>2230</v>
      </c>
      <c r="F300" s="861" t="s">
        <v>2231</v>
      </c>
      <c r="G300" s="269" t="s">
        <v>2232</v>
      </c>
      <c r="H300" s="845" t="s">
        <v>2233</v>
      </c>
      <c r="I300" s="269" t="s">
        <v>2234</v>
      </c>
      <c r="J300" s="296" t="s">
        <v>140</v>
      </c>
      <c r="K300" s="297" t="s">
        <v>140</v>
      </c>
      <c r="L300" s="862" t="s">
        <v>2235</v>
      </c>
      <c r="M300" s="847" t="s">
        <v>193</v>
      </c>
      <c r="N300" s="211" t="s">
        <v>194</v>
      </c>
      <c r="O300" s="240" t="s">
        <v>2236</v>
      </c>
      <c r="P300" s="240" t="s">
        <v>2237</v>
      </c>
      <c r="Q300" s="845" t="s">
        <v>2238</v>
      </c>
      <c r="R300" s="208" t="s">
        <v>2239</v>
      </c>
      <c r="S300" s="864" t="s">
        <v>147</v>
      </c>
      <c r="T300" s="212" t="s">
        <v>144</v>
      </c>
      <c r="U300" s="213" t="s">
        <v>144</v>
      </c>
      <c r="V300" s="847">
        <v>2</v>
      </c>
      <c r="W300" s="415" t="s">
        <v>144</v>
      </c>
      <c r="X300" s="212">
        <v>40</v>
      </c>
      <c r="Y300" s="212" t="s">
        <v>144</v>
      </c>
      <c r="Z300" s="241" t="s">
        <v>144</v>
      </c>
      <c r="AA300" s="616" t="s">
        <v>148</v>
      </c>
      <c r="AB300" s="206" t="s">
        <v>140</v>
      </c>
      <c r="AC300" s="847" t="s">
        <v>265</v>
      </c>
      <c r="AD300" s="847" t="s">
        <v>2221</v>
      </c>
      <c r="AE300" s="847" t="s">
        <v>144</v>
      </c>
      <c r="AF300" s="848" t="s">
        <v>144</v>
      </c>
      <c r="AG300" s="838"/>
      <c r="AH300" s="866"/>
      <c r="AI300" s="273"/>
      <c r="AJ300" s="847"/>
      <c r="AK300" s="878"/>
      <c r="AL300" s="867" t="s">
        <v>294</v>
      </c>
      <c r="AM300" s="273" t="s">
        <v>295</v>
      </c>
      <c r="AN300" s="847">
        <v>7</v>
      </c>
      <c r="AO300" s="187" t="s">
        <v>966</v>
      </c>
      <c r="AP300" s="867"/>
      <c r="AQ300" s="273"/>
      <c r="AR300" s="847"/>
      <c r="AS300" s="848"/>
      <c r="AT300" s="867"/>
      <c r="AU300" s="273"/>
      <c r="AV300" s="847"/>
      <c r="AW300" s="848"/>
      <c r="AX300" s="867"/>
      <c r="AY300" s="273"/>
      <c r="AZ300" s="847"/>
      <c r="BA300" s="848"/>
      <c r="BB300" s="866"/>
      <c r="BC300" s="273"/>
      <c r="BD300" s="847"/>
      <c r="BE300" s="848"/>
      <c r="BF300" s="838"/>
    </row>
    <row r="301" spans="1:58" s="88" customFormat="1" ht="54" hidden="1" customHeight="1" x14ac:dyDescent="0.25">
      <c r="A301" s="267" t="s">
        <v>1687</v>
      </c>
      <c r="B301" s="268">
        <v>66</v>
      </c>
      <c r="C301" s="240" t="s">
        <v>2206</v>
      </c>
      <c r="D301" s="270" t="s">
        <v>2207</v>
      </c>
      <c r="E301" s="268" t="s">
        <v>2240</v>
      </c>
      <c r="F301" s="861" t="s">
        <v>2241</v>
      </c>
      <c r="G301" s="294" t="s">
        <v>2242</v>
      </c>
      <c r="H301" s="845" t="s">
        <v>2243</v>
      </c>
      <c r="I301" s="208" t="s">
        <v>2244</v>
      </c>
      <c r="J301" s="240" t="s">
        <v>140</v>
      </c>
      <c r="K301" s="270" t="s">
        <v>140</v>
      </c>
      <c r="L301" s="862" t="s">
        <v>2245</v>
      </c>
      <c r="M301" s="847" t="s">
        <v>193</v>
      </c>
      <c r="N301" s="211" t="s">
        <v>194</v>
      </c>
      <c r="O301" s="240" t="s">
        <v>2246</v>
      </c>
      <c r="P301" s="240" t="s">
        <v>2247</v>
      </c>
      <c r="Q301" s="845" t="s">
        <v>144</v>
      </c>
      <c r="R301" s="208" t="s">
        <v>144</v>
      </c>
      <c r="S301" s="864" t="s">
        <v>147</v>
      </c>
      <c r="T301" s="212" t="s">
        <v>144</v>
      </c>
      <c r="U301" s="213" t="s">
        <v>144</v>
      </c>
      <c r="V301" s="847">
        <v>1</v>
      </c>
      <c r="W301" s="415" t="s">
        <v>144</v>
      </c>
      <c r="X301" s="212">
        <v>40</v>
      </c>
      <c r="Y301" s="212" t="s">
        <v>144</v>
      </c>
      <c r="Z301" s="252" t="s">
        <v>144</v>
      </c>
      <c r="AA301" s="240" t="s">
        <v>148</v>
      </c>
      <c r="AB301" s="206" t="s">
        <v>140</v>
      </c>
      <c r="AC301" s="847" t="s">
        <v>265</v>
      </c>
      <c r="AD301" s="847" t="s">
        <v>2190</v>
      </c>
      <c r="AE301" s="847" t="s">
        <v>144</v>
      </c>
      <c r="AF301" s="848" t="s">
        <v>144</v>
      </c>
      <c r="AG301" s="838"/>
      <c r="AH301" s="866"/>
      <c r="AI301" s="273"/>
      <c r="AJ301" s="847"/>
      <c r="AK301" s="878"/>
      <c r="AL301" s="867" t="s">
        <v>294</v>
      </c>
      <c r="AM301" s="273" t="s">
        <v>295</v>
      </c>
      <c r="AN301" s="891">
        <v>7</v>
      </c>
      <c r="AO301" s="187" t="s">
        <v>966</v>
      </c>
      <c r="AP301" s="287"/>
      <c r="AQ301" s="288"/>
      <c r="AR301" s="289"/>
      <c r="AS301" s="314"/>
      <c r="AT301" s="867"/>
      <c r="AU301" s="273"/>
      <c r="AV301" s="847"/>
      <c r="AW301" s="848"/>
      <c r="AX301" s="867"/>
      <c r="AY301" s="273"/>
      <c r="AZ301" s="847"/>
      <c r="BA301" s="848"/>
      <c r="BB301" s="866"/>
      <c r="BC301" s="273"/>
      <c r="BD301" s="847"/>
      <c r="BE301" s="848"/>
      <c r="BF301" s="838"/>
    </row>
    <row r="302" spans="1:58" s="88" customFormat="1" ht="54" hidden="1" customHeight="1" x14ac:dyDescent="0.25">
      <c r="A302" s="267" t="s">
        <v>1687</v>
      </c>
      <c r="B302" s="268">
        <v>67</v>
      </c>
      <c r="C302" s="240" t="s">
        <v>2206</v>
      </c>
      <c r="D302" s="270" t="s">
        <v>2207</v>
      </c>
      <c r="E302" s="268" t="s">
        <v>2248</v>
      </c>
      <c r="F302" s="861" t="s">
        <v>2249</v>
      </c>
      <c r="G302" s="269" t="s">
        <v>2250</v>
      </c>
      <c r="H302" s="845" t="s">
        <v>2251</v>
      </c>
      <c r="I302" s="269" t="s">
        <v>2252</v>
      </c>
      <c r="J302" s="296" t="s">
        <v>140</v>
      </c>
      <c r="K302" s="297" t="s">
        <v>140</v>
      </c>
      <c r="L302" s="862" t="s">
        <v>2253</v>
      </c>
      <c r="M302" s="206" t="s">
        <v>193</v>
      </c>
      <c r="N302" s="211" t="s">
        <v>194</v>
      </c>
      <c r="O302" s="240" t="s">
        <v>144</v>
      </c>
      <c r="P302" s="240" t="s">
        <v>144</v>
      </c>
      <c r="Q302" s="845" t="s">
        <v>144</v>
      </c>
      <c r="R302" s="208" t="s">
        <v>144</v>
      </c>
      <c r="S302" s="864" t="s">
        <v>147</v>
      </c>
      <c r="T302" s="212" t="s">
        <v>144</v>
      </c>
      <c r="U302" s="213" t="s">
        <v>144</v>
      </c>
      <c r="V302" s="847">
        <v>25</v>
      </c>
      <c r="W302" s="415" t="s">
        <v>144</v>
      </c>
      <c r="X302" s="212">
        <v>40</v>
      </c>
      <c r="Y302" s="212" t="s">
        <v>144</v>
      </c>
      <c r="Z302" s="252" t="s">
        <v>144</v>
      </c>
      <c r="AA302" s="240" t="s">
        <v>148</v>
      </c>
      <c r="AB302" s="206" t="s">
        <v>140</v>
      </c>
      <c r="AC302" s="847" t="s">
        <v>265</v>
      </c>
      <c r="AD302" s="847" t="s">
        <v>2060</v>
      </c>
      <c r="AE302" s="847" t="s">
        <v>144</v>
      </c>
      <c r="AF302" s="848" t="s">
        <v>144</v>
      </c>
      <c r="AG302" s="838"/>
      <c r="AH302" s="866"/>
      <c r="AI302" s="273"/>
      <c r="AJ302" s="847"/>
      <c r="AK302" s="878"/>
      <c r="AL302" s="867"/>
      <c r="AM302" s="273"/>
      <c r="AN302" s="847"/>
      <c r="AO302" s="848"/>
      <c r="AP302" s="867"/>
      <c r="AQ302" s="273"/>
      <c r="AR302" s="847"/>
      <c r="AS302" s="848"/>
      <c r="AT302" s="867"/>
      <c r="AU302" s="273"/>
      <c r="AV302" s="847"/>
      <c r="AW302" s="848"/>
      <c r="AX302" s="867"/>
      <c r="AY302" s="273"/>
      <c r="AZ302" s="847"/>
      <c r="BA302" s="848"/>
      <c r="BB302" s="866"/>
      <c r="BC302" s="273"/>
      <c r="BD302" s="847"/>
      <c r="BE302" s="848"/>
      <c r="BF302" s="838"/>
    </row>
    <row r="303" spans="1:58" s="88" customFormat="1" ht="54" hidden="1" customHeight="1" x14ac:dyDescent="0.25">
      <c r="A303" s="267" t="s">
        <v>1687</v>
      </c>
      <c r="B303" s="268">
        <v>68</v>
      </c>
      <c r="C303" s="240" t="s">
        <v>2206</v>
      </c>
      <c r="D303" s="270" t="s">
        <v>2207</v>
      </c>
      <c r="E303" s="268" t="s">
        <v>2254</v>
      </c>
      <c r="F303" s="861" t="s">
        <v>2255</v>
      </c>
      <c r="G303" s="269" t="s">
        <v>2256</v>
      </c>
      <c r="H303" s="845" t="s">
        <v>2257</v>
      </c>
      <c r="I303" s="269" t="s">
        <v>2258</v>
      </c>
      <c r="J303" s="296" t="s">
        <v>140</v>
      </c>
      <c r="K303" s="297" t="s">
        <v>140</v>
      </c>
      <c r="L303" s="862" t="s">
        <v>2259</v>
      </c>
      <c r="M303" s="847" t="s">
        <v>973</v>
      </c>
      <c r="N303" s="211" t="s">
        <v>974</v>
      </c>
      <c r="O303" s="240" t="s">
        <v>2260</v>
      </c>
      <c r="P303" s="240" t="s">
        <v>2261</v>
      </c>
      <c r="Q303" s="845" t="s">
        <v>2262</v>
      </c>
      <c r="R303" s="208" t="s">
        <v>2263</v>
      </c>
      <c r="S303" s="864" t="s">
        <v>147</v>
      </c>
      <c r="T303" s="212" t="s">
        <v>144</v>
      </c>
      <c r="U303" s="213" t="s">
        <v>144</v>
      </c>
      <c r="V303" s="847">
        <v>2</v>
      </c>
      <c r="W303" s="415" t="s">
        <v>144</v>
      </c>
      <c r="X303" s="212">
        <v>40</v>
      </c>
      <c r="Y303" s="212" t="s">
        <v>144</v>
      </c>
      <c r="Z303" s="252" t="s">
        <v>144</v>
      </c>
      <c r="AA303" s="240" t="s">
        <v>398</v>
      </c>
      <c r="AB303" s="206" t="s">
        <v>140</v>
      </c>
      <c r="AC303" s="847" t="s">
        <v>265</v>
      </c>
      <c r="AD303" s="847" t="s">
        <v>2060</v>
      </c>
      <c r="AE303" s="847" t="s">
        <v>144</v>
      </c>
      <c r="AF303" s="848" t="s">
        <v>144</v>
      </c>
      <c r="AG303" s="838"/>
      <c r="AH303" s="866" t="s">
        <v>2264</v>
      </c>
      <c r="AI303" s="273" t="s">
        <v>2265</v>
      </c>
      <c r="AJ303" s="847">
        <v>6</v>
      </c>
      <c r="AK303" s="878" t="s">
        <v>2266</v>
      </c>
      <c r="AL303" s="867" t="s">
        <v>294</v>
      </c>
      <c r="AM303" s="273" t="s">
        <v>295</v>
      </c>
      <c r="AN303" s="847">
        <v>7</v>
      </c>
      <c r="AO303" s="187" t="s">
        <v>966</v>
      </c>
      <c r="AP303" s="867"/>
      <c r="AQ303" s="273"/>
      <c r="AR303" s="847"/>
      <c r="AS303" s="848"/>
      <c r="AT303" s="867"/>
      <c r="AU303" s="273"/>
      <c r="AV303" s="847"/>
      <c r="AW303" s="848"/>
      <c r="AX303" s="867"/>
      <c r="AY303" s="273"/>
      <c r="AZ303" s="847"/>
      <c r="BA303" s="848"/>
      <c r="BB303" s="866"/>
      <c r="BC303" s="273"/>
      <c r="BD303" s="847"/>
      <c r="BE303" s="848"/>
      <c r="BF303" s="838"/>
    </row>
    <row r="304" spans="1:58" s="88" customFormat="1" ht="54" hidden="1" customHeight="1" x14ac:dyDescent="0.25">
      <c r="A304" s="267" t="s">
        <v>1687</v>
      </c>
      <c r="B304" s="268">
        <v>69</v>
      </c>
      <c r="C304" s="240" t="s">
        <v>1022</v>
      </c>
      <c r="D304" s="270" t="s">
        <v>1023</v>
      </c>
      <c r="E304" s="268" t="s">
        <v>2267</v>
      </c>
      <c r="F304" s="861" t="s">
        <v>2268</v>
      </c>
      <c r="G304" s="269" t="s">
        <v>2269</v>
      </c>
      <c r="H304" s="845" t="s">
        <v>2270</v>
      </c>
      <c r="I304" s="269" t="s">
        <v>2271</v>
      </c>
      <c r="J304" s="296" t="s">
        <v>140</v>
      </c>
      <c r="K304" s="297" t="s">
        <v>140</v>
      </c>
      <c r="L304" s="862" t="s">
        <v>2272</v>
      </c>
      <c r="M304" s="847" t="s">
        <v>1821</v>
      </c>
      <c r="N304" s="211" t="s">
        <v>1822</v>
      </c>
      <c r="O304" s="240" t="s">
        <v>2273</v>
      </c>
      <c r="P304" s="240" t="s">
        <v>2274</v>
      </c>
      <c r="Q304" s="845" t="s">
        <v>2275</v>
      </c>
      <c r="R304" s="208" t="s">
        <v>2276</v>
      </c>
      <c r="S304" s="864" t="s">
        <v>147</v>
      </c>
      <c r="T304" s="212" t="s">
        <v>144</v>
      </c>
      <c r="U304" s="213" t="s">
        <v>144</v>
      </c>
      <c r="V304" s="847">
        <v>1</v>
      </c>
      <c r="W304" s="415" t="s">
        <v>144</v>
      </c>
      <c r="X304" s="212">
        <v>40</v>
      </c>
      <c r="Y304" s="212" t="s">
        <v>144</v>
      </c>
      <c r="Z304" s="241" t="s">
        <v>144</v>
      </c>
      <c r="AA304" s="615" t="s">
        <v>733</v>
      </c>
      <c r="AB304" s="206" t="s">
        <v>140</v>
      </c>
      <c r="AC304" s="847" t="s">
        <v>265</v>
      </c>
      <c r="AD304" s="847" t="s">
        <v>2205</v>
      </c>
      <c r="AE304" s="847" t="s">
        <v>144</v>
      </c>
      <c r="AF304" s="848" t="s">
        <v>144</v>
      </c>
      <c r="AG304" s="838"/>
      <c r="AH304" s="866"/>
      <c r="AI304" s="273"/>
      <c r="AJ304" s="847"/>
      <c r="AK304" s="878"/>
      <c r="AL304" s="867" t="s">
        <v>294</v>
      </c>
      <c r="AM304" s="273" t="s">
        <v>295</v>
      </c>
      <c r="AN304" s="847">
        <v>7</v>
      </c>
      <c r="AO304" s="187" t="s">
        <v>966</v>
      </c>
      <c r="AP304" s="867"/>
      <c r="AQ304" s="273"/>
      <c r="AR304" s="847"/>
      <c r="AS304" s="848"/>
      <c r="AT304" s="867"/>
      <c r="AU304" s="273"/>
      <c r="AV304" s="847"/>
      <c r="AW304" s="848"/>
      <c r="AX304" s="867"/>
      <c r="AY304" s="273"/>
      <c r="AZ304" s="847"/>
      <c r="BA304" s="848"/>
      <c r="BB304" s="249"/>
      <c r="BC304" s="135"/>
      <c r="BD304" s="847"/>
      <c r="BE304" s="306"/>
      <c r="BF304" s="838"/>
    </row>
    <row r="305" spans="1:58" s="57" customFormat="1" ht="54" hidden="1" customHeight="1" x14ac:dyDescent="0.25">
      <c r="A305" s="275" t="s">
        <v>1687</v>
      </c>
      <c r="B305" s="276">
        <v>70</v>
      </c>
      <c r="C305" s="253" t="s">
        <v>2096</v>
      </c>
      <c r="D305" s="253" t="s">
        <v>2097</v>
      </c>
      <c r="E305" s="276" t="s">
        <v>2277</v>
      </c>
      <c r="F305" s="277" t="s">
        <v>2278</v>
      </c>
      <c r="G305" s="277" t="s">
        <v>2279</v>
      </c>
      <c r="H305" s="218" t="s">
        <v>2278</v>
      </c>
      <c r="I305" s="277" t="s">
        <v>2279</v>
      </c>
      <c r="J305" s="302" t="s">
        <v>144</v>
      </c>
      <c r="K305" s="302" t="s">
        <v>144</v>
      </c>
      <c r="L305" s="718" t="s">
        <v>2280</v>
      </c>
      <c r="M305" s="253" t="s">
        <v>144</v>
      </c>
      <c r="N305" s="217" t="s">
        <v>144</v>
      </c>
      <c r="O305" s="253" t="s">
        <v>2281</v>
      </c>
      <c r="P305" s="253" t="s">
        <v>2282</v>
      </c>
      <c r="Q305" s="218" t="s">
        <v>2283</v>
      </c>
      <c r="R305" s="218" t="s">
        <v>2284</v>
      </c>
      <c r="S305" s="276" t="s">
        <v>147</v>
      </c>
      <c r="T305" s="221" t="s">
        <v>144</v>
      </c>
      <c r="U305" s="221" t="s">
        <v>144</v>
      </c>
      <c r="V305" s="253">
        <v>1</v>
      </c>
      <c r="W305" s="217" t="s">
        <v>144</v>
      </c>
      <c r="X305" s="221">
        <v>40</v>
      </c>
      <c r="Y305" s="221" t="s">
        <v>2285</v>
      </c>
      <c r="Z305" s="250" t="s">
        <v>25</v>
      </c>
      <c r="AA305" s="438" t="s">
        <v>733</v>
      </c>
      <c r="AB305" s="217" t="s">
        <v>144</v>
      </c>
      <c r="AC305" s="253" t="s">
        <v>265</v>
      </c>
      <c r="AD305" s="253" t="s">
        <v>2286</v>
      </c>
      <c r="AE305" s="253" t="s">
        <v>144</v>
      </c>
      <c r="AF305" s="254" t="s">
        <v>144</v>
      </c>
      <c r="AG305" s="681"/>
      <c r="AH305" s="420"/>
      <c r="AI305" s="421"/>
      <c r="AJ305" s="422"/>
      <c r="AK305" s="878"/>
      <c r="AL305" s="421"/>
      <c r="AM305" s="421"/>
      <c r="AN305" s="422"/>
      <c r="AO305" s="424"/>
      <c r="AP305" s="281"/>
      <c r="AQ305" s="281"/>
      <c r="AR305" s="253"/>
      <c r="AS305" s="254"/>
      <c r="AT305" s="281"/>
      <c r="AU305" s="281"/>
      <c r="AV305" s="253"/>
      <c r="AW305" s="254"/>
      <c r="AX305" s="281"/>
      <c r="AY305" s="281"/>
      <c r="AZ305" s="253"/>
      <c r="BA305" s="254"/>
      <c r="BB305" s="280"/>
      <c r="BC305" s="281"/>
      <c r="BD305" s="253"/>
      <c r="BE305" s="254"/>
      <c r="BF305" s="838"/>
    </row>
    <row r="306" spans="1:58" s="88" customFormat="1" ht="54" hidden="1" customHeight="1" x14ac:dyDescent="0.25">
      <c r="A306" s="267" t="s">
        <v>1687</v>
      </c>
      <c r="B306" s="268">
        <v>71</v>
      </c>
      <c r="C306" s="240" t="s">
        <v>2096</v>
      </c>
      <c r="D306" s="270" t="s">
        <v>2097</v>
      </c>
      <c r="E306" s="268" t="s">
        <v>2287</v>
      </c>
      <c r="F306" s="861" t="s">
        <v>2288</v>
      </c>
      <c r="G306" s="269" t="s">
        <v>2289</v>
      </c>
      <c r="H306" s="861" t="s">
        <v>2288</v>
      </c>
      <c r="I306" s="269" t="s">
        <v>2289</v>
      </c>
      <c r="J306" s="296" t="s">
        <v>140</v>
      </c>
      <c r="K306" s="297" t="s">
        <v>140</v>
      </c>
      <c r="L306" s="862" t="s">
        <v>2290</v>
      </c>
      <c r="M306" s="847" t="s">
        <v>973</v>
      </c>
      <c r="N306" s="211" t="s">
        <v>974</v>
      </c>
      <c r="O306" s="240" t="s">
        <v>144</v>
      </c>
      <c r="P306" s="240" t="s">
        <v>144</v>
      </c>
      <c r="Q306" s="845" t="s">
        <v>2291</v>
      </c>
      <c r="R306" s="208" t="s">
        <v>2292</v>
      </c>
      <c r="S306" s="864" t="s">
        <v>746</v>
      </c>
      <c r="T306" s="212" t="s">
        <v>1104</v>
      </c>
      <c r="U306" s="213" t="s">
        <v>1105</v>
      </c>
      <c r="V306" s="847">
        <v>19</v>
      </c>
      <c r="W306" s="415" t="s">
        <v>144</v>
      </c>
      <c r="X306" s="212">
        <v>40</v>
      </c>
      <c r="Y306" s="212" t="s">
        <v>144</v>
      </c>
      <c r="Z306" s="241" t="s">
        <v>144</v>
      </c>
      <c r="AA306" s="615" t="s">
        <v>733</v>
      </c>
      <c r="AB306" s="206" t="s">
        <v>140</v>
      </c>
      <c r="AC306" s="847" t="s">
        <v>265</v>
      </c>
      <c r="AD306" s="847" t="s">
        <v>2105</v>
      </c>
      <c r="AE306" s="847" t="s">
        <v>144</v>
      </c>
      <c r="AF306" s="848" t="s">
        <v>144</v>
      </c>
      <c r="AG306" s="838"/>
      <c r="AH306" s="866" t="s">
        <v>2293</v>
      </c>
      <c r="AI306" s="273" t="s">
        <v>2294</v>
      </c>
      <c r="AJ306" s="847">
        <v>6</v>
      </c>
      <c r="AK306" s="878" t="s">
        <v>2295</v>
      </c>
      <c r="AL306" s="867"/>
      <c r="AM306" s="273"/>
      <c r="AN306" s="847"/>
      <c r="AO306" s="848"/>
      <c r="AP306" s="867" t="s">
        <v>1107</v>
      </c>
      <c r="AQ306" s="273" t="s">
        <v>1108</v>
      </c>
      <c r="AR306" s="847">
        <v>7</v>
      </c>
      <c r="AS306" s="286" t="s">
        <v>1109</v>
      </c>
      <c r="AT306" s="867"/>
      <c r="AU306" s="273"/>
      <c r="AV306" s="847"/>
      <c r="AW306" s="848"/>
      <c r="AX306" s="867"/>
      <c r="AY306" s="273"/>
      <c r="AZ306" s="847"/>
      <c r="BA306" s="848"/>
      <c r="BB306" s="866"/>
      <c r="BC306" s="273"/>
      <c r="BD306" s="847"/>
      <c r="BE306" s="848"/>
      <c r="BF306" s="838"/>
    </row>
    <row r="307" spans="1:58" s="88" customFormat="1" ht="54" hidden="1" customHeight="1" x14ac:dyDescent="0.25">
      <c r="A307" s="267" t="s">
        <v>1687</v>
      </c>
      <c r="B307" s="268">
        <v>72</v>
      </c>
      <c r="C307" s="240" t="s">
        <v>2096</v>
      </c>
      <c r="D307" s="270" t="s">
        <v>2097</v>
      </c>
      <c r="E307" s="268" t="s">
        <v>2296</v>
      </c>
      <c r="F307" s="861" t="s">
        <v>2297</v>
      </c>
      <c r="G307" s="269" t="s">
        <v>2298</v>
      </c>
      <c r="H307" s="845" t="s">
        <v>2297</v>
      </c>
      <c r="I307" s="269" t="s">
        <v>2299</v>
      </c>
      <c r="J307" s="296" t="s">
        <v>140</v>
      </c>
      <c r="K307" s="297" t="s">
        <v>140</v>
      </c>
      <c r="L307" s="862" t="s">
        <v>2300</v>
      </c>
      <c r="M307" s="847" t="s">
        <v>973</v>
      </c>
      <c r="N307" s="211" t="s">
        <v>974</v>
      </c>
      <c r="O307" s="240" t="s">
        <v>814</v>
      </c>
      <c r="P307" s="240" t="s">
        <v>815</v>
      </c>
      <c r="Q307" s="845" t="s">
        <v>144</v>
      </c>
      <c r="R307" s="208" t="s">
        <v>144</v>
      </c>
      <c r="S307" s="864" t="s">
        <v>147</v>
      </c>
      <c r="T307" s="212" t="s">
        <v>144</v>
      </c>
      <c r="U307" s="213" t="s">
        <v>144</v>
      </c>
      <c r="V307" s="847">
        <v>3</v>
      </c>
      <c r="W307" s="415" t="s">
        <v>144</v>
      </c>
      <c r="X307" s="212">
        <v>40</v>
      </c>
      <c r="Y307" s="212" t="s">
        <v>144</v>
      </c>
      <c r="Z307" s="241" t="s">
        <v>144</v>
      </c>
      <c r="AA307" s="615" t="s">
        <v>733</v>
      </c>
      <c r="AB307" s="206" t="s">
        <v>140</v>
      </c>
      <c r="AC307" s="847" t="s">
        <v>265</v>
      </c>
      <c r="AD307" s="847" t="s">
        <v>2301</v>
      </c>
      <c r="AE307" s="847" t="s">
        <v>144</v>
      </c>
      <c r="AF307" s="848" t="s">
        <v>144</v>
      </c>
      <c r="AG307" s="838"/>
      <c r="AH307" s="866" t="s">
        <v>2302</v>
      </c>
      <c r="AI307" s="273" t="s">
        <v>2303</v>
      </c>
      <c r="AJ307" s="847">
        <v>7</v>
      </c>
      <c r="AK307" s="878" t="s">
        <v>1280</v>
      </c>
      <c r="AL307" s="867" t="s">
        <v>294</v>
      </c>
      <c r="AM307" s="273" t="s">
        <v>295</v>
      </c>
      <c r="AN307" s="847">
        <v>7</v>
      </c>
      <c r="AO307" s="187" t="s">
        <v>966</v>
      </c>
      <c r="AP307" s="867"/>
      <c r="AQ307" s="273"/>
      <c r="AR307" s="847"/>
      <c r="AS307" s="848"/>
      <c r="AT307" s="867"/>
      <c r="AU307" s="273"/>
      <c r="AV307" s="847"/>
      <c r="AW307" s="848"/>
      <c r="AX307" s="867"/>
      <c r="AY307" s="273"/>
      <c r="AZ307" s="847"/>
      <c r="BA307" s="848"/>
      <c r="BB307" s="866"/>
      <c r="BC307" s="273"/>
      <c r="BD307" s="847"/>
      <c r="BE307" s="848"/>
      <c r="BF307" s="838"/>
    </row>
    <row r="308" spans="1:58" s="88" customFormat="1" ht="54" hidden="1" customHeight="1" x14ac:dyDescent="0.25">
      <c r="A308" s="267" t="s">
        <v>1687</v>
      </c>
      <c r="B308" s="268">
        <v>73</v>
      </c>
      <c r="C308" s="240" t="s">
        <v>2096</v>
      </c>
      <c r="D308" s="270" t="s">
        <v>2097</v>
      </c>
      <c r="E308" s="268" t="s">
        <v>2304</v>
      </c>
      <c r="F308" s="861" t="s">
        <v>2305</v>
      </c>
      <c r="G308" s="269" t="s">
        <v>2306</v>
      </c>
      <c r="H308" s="861" t="s">
        <v>2305</v>
      </c>
      <c r="I308" s="269" t="s">
        <v>2306</v>
      </c>
      <c r="J308" s="296" t="s">
        <v>140</v>
      </c>
      <c r="K308" s="297" t="s">
        <v>140</v>
      </c>
      <c r="L308" s="862" t="s">
        <v>2307</v>
      </c>
      <c r="M308" s="847" t="s">
        <v>973</v>
      </c>
      <c r="N308" s="211" t="s">
        <v>974</v>
      </c>
      <c r="O308" s="240" t="s">
        <v>144</v>
      </c>
      <c r="P308" s="240" t="s">
        <v>144</v>
      </c>
      <c r="Q308" s="845" t="s">
        <v>144</v>
      </c>
      <c r="R308" s="208" t="s">
        <v>144</v>
      </c>
      <c r="S308" s="864" t="s">
        <v>746</v>
      </c>
      <c r="T308" s="212" t="s">
        <v>1104</v>
      </c>
      <c r="U308" s="213" t="s">
        <v>1105</v>
      </c>
      <c r="V308" s="847">
        <v>19</v>
      </c>
      <c r="W308" s="415" t="s">
        <v>144</v>
      </c>
      <c r="X308" s="212">
        <v>40</v>
      </c>
      <c r="Y308" s="212" t="s">
        <v>144</v>
      </c>
      <c r="Z308" s="241" t="s">
        <v>144</v>
      </c>
      <c r="AA308" s="615" t="s">
        <v>733</v>
      </c>
      <c r="AB308" s="206" t="s">
        <v>140</v>
      </c>
      <c r="AC308" s="847" t="s">
        <v>265</v>
      </c>
      <c r="AD308" s="847" t="s">
        <v>2301</v>
      </c>
      <c r="AE308" s="847" t="s">
        <v>144</v>
      </c>
      <c r="AF308" s="848" t="s">
        <v>144</v>
      </c>
      <c r="AG308" s="838"/>
      <c r="AH308" s="866" t="s">
        <v>2308</v>
      </c>
      <c r="AI308" s="273" t="s">
        <v>2309</v>
      </c>
      <c r="AJ308" s="847">
        <v>6</v>
      </c>
      <c r="AK308" s="878" t="s">
        <v>2310</v>
      </c>
      <c r="AL308" s="867"/>
      <c r="AM308" s="273"/>
      <c r="AN308" s="847"/>
      <c r="AO308" s="848"/>
      <c r="AP308" s="867" t="s">
        <v>1107</v>
      </c>
      <c r="AQ308" s="273" t="s">
        <v>1108</v>
      </c>
      <c r="AR308" s="847">
        <v>7</v>
      </c>
      <c r="AS308" s="286" t="s">
        <v>1109</v>
      </c>
      <c r="AT308" s="867"/>
      <c r="AU308" s="273"/>
      <c r="AV308" s="847"/>
      <c r="AW308" s="848"/>
      <c r="AX308" s="867"/>
      <c r="AY308" s="273"/>
      <c r="AZ308" s="847"/>
      <c r="BA308" s="848"/>
      <c r="BB308" s="866"/>
      <c r="BC308" s="273"/>
      <c r="BD308" s="847"/>
      <c r="BE308" s="848"/>
      <c r="BF308" s="838"/>
    </row>
    <row r="309" spans="1:58" s="88" customFormat="1" ht="54" hidden="1" customHeight="1" x14ac:dyDescent="0.25">
      <c r="A309" s="267" t="s">
        <v>1687</v>
      </c>
      <c r="B309" s="268">
        <v>74</v>
      </c>
      <c r="C309" s="240" t="s">
        <v>2096</v>
      </c>
      <c r="D309" s="270" t="s">
        <v>2097</v>
      </c>
      <c r="E309" s="268" t="s">
        <v>2311</v>
      </c>
      <c r="F309" s="861" t="s">
        <v>2312</v>
      </c>
      <c r="G309" s="269" t="s">
        <v>2313</v>
      </c>
      <c r="H309" s="845" t="s">
        <v>2312</v>
      </c>
      <c r="I309" s="269" t="s">
        <v>2314</v>
      </c>
      <c r="J309" s="296" t="s">
        <v>140</v>
      </c>
      <c r="K309" s="297" t="s">
        <v>140</v>
      </c>
      <c r="L309" s="862" t="s">
        <v>2315</v>
      </c>
      <c r="M309" s="847" t="s">
        <v>973</v>
      </c>
      <c r="N309" s="211" t="s">
        <v>974</v>
      </c>
      <c r="O309" s="240" t="s">
        <v>814</v>
      </c>
      <c r="P309" s="240" t="s">
        <v>815</v>
      </c>
      <c r="Q309" s="845" t="s">
        <v>144</v>
      </c>
      <c r="R309" s="208" t="s">
        <v>144</v>
      </c>
      <c r="S309" s="864" t="s">
        <v>147</v>
      </c>
      <c r="T309" s="212" t="s">
        <v>144</v>
      </c>
      <c r="U309" s="213" t="s">
        <v>144</v>
      </c>
      <c r="V309" s="847">
        <v>3</v>
      </c>
      <c r="W309" s="415" t="s">
        <v>144</v>
      </c>
      <c r="X309" s="212">
        <v>40</v>
      </c>
      <c r="Y309" s="212" t="s">
        <v>144</v>
      </c>
      <c r="Z309" s="241" t="s">
        <v>144</v>
      </c>
      <c r="AA309" s="615" t="s">
        <v>733</v>
      </c>
      <c r="AB309" s="206" t="s">
        <v>140</v>
      </c>
      <c r="AC309" s="847" t="s">
        <v>265</v>
      </c>
      <c r="AD309" s="847" t="s">
        <v>2301</v>
      </c>
      <c r="AE309" s="847" t="s">
        <v>144</v>
      </c>
      <c r="AF309" s="848" t="s">
        <v>144</v>
      </c>
      <c r="AG309" s="838"/>
      <c r="AH309" s="866" t="s">
        <v>2316</v>
      </c>
      <c r="AI309" s="273" t="s">
        <v>2317</v>
      </c>
      <c r="AJ309" s="847">
        <v>7</v>
      </c>
      <c r="AK309" s="878" t="s">
        <v>1280</v>
      </c>
      <c r="AL309" s="867" t="s">
        <v>294</v>
      </c>
      <c r="AM309" s="273" t="s">
        <v>295</v>
      </c>
      <c r="AN309" s="847">
        <v>7</v>
      </c>
      <c r="AO309" s="187" t="s">
        <v>966</v>
      </c>
      <c r="AP309" s="867"/>
      <c r="AQ309" s="273"/>
      <c r="AR309" s="847"/>
      <c r="AS309" s="848"/>
      <c r="AT309" s="867"/>
      <c r="AU309" s="273"/>
      <c r="AV309" s="847"/>
      <c r="AW309" s="848"/>
      <c r="AX309" s="867"/>
      <c r="AY309" s="273"/>
      <c r="AZ309" s="847"/>
      <c r="BA309" s="848"/>
      <c r="BB309" s="866"/>
      <c r="BC309" s="273"/>
      <c r="BD309" s="847"/>
      <c r="BE309" s="848"/>
      <c r="BF309" s="838"/>
    </row>
    <row r="310" spans="1:58" s="57" customFormat="1" ht="54" hidden="1" customHeight="1" x14ac:dyDescent="0.25">
      <c r="A310" s="275" t="s">
        <v>1687</v>
      </c>
      <c r="B310" s="276">
        <v>75</v>
      </c>
      <c r="C310" s="253" t="s">
        <v>144</v>
      </c>
      <c r="D310" s="253" t="s">
        <v>144</v>
      </c>
      <c r="E310" s="276" t="s">
        <v>2318</v>
      </c>
      <c r="F310" s="277" t="s">
        <v>2319</v>
      </c>
      <c r="G310" s="277" t="s">
        <v>2320</v>
      </c>
      <c r="H310" s="279" t="s">
        <v>2321</v>
      </c>
      <c r="I310" s="279" t="s">
        <v>2322</v>
      </c>
      <c r="J310" s="278" t="s">
        <v>144</v>
      </c>
      <c r="K310" s="278" t="s">
        <v>144</v>
      </c>
      <c r="L310" s="718" t="s">
        <v>2323</v>
      </c>
      <c r="M310" s="253" t="s">
        <v>144</v>
      </c>
      <c r="N310" s="253" t="s">
        <v>144</v>
      </c>
      <c r="O310" s="253" t="s">
        <v>565</v>
      </c>
      <c r="P310" s="253" t="s">
        <v>566</v>
      </c>
      <c r="Q310" s="218" t="s">
        <v>144</v>
      </c>
      <c r="R310" s="218" t="s">
        <v>144</v>
      </c>
      <c r="S310" s="282" t="s">
        <v>147</v>
      </c>
      <c r="T310" s="229" t="s">
        <v>144</v>
      </c>
      <c r="U310" s="229" t="s">
        <v>144</v>
      </c>
      <c r="V310" s="278">
        <v>2</v>
      </c>
      <c r="W310" s="217" t="s">
        <v>144</v>
      </c>
      <c r="X310" s="221" t="s">
        <v>144</v>
      </c>
      <c r="Y310" s="221">
        <v>43</v>
      </c>
      <c r="Z310" s="221" t="s">
        <v>144</v>
      </c>
      <c r="AA310" s="253" t="s">
        <v>144</v>
      </c>
      <c r="AB310" s="217" t="s">
        <v>144</v>
      </c>
      <c r="AC310" s="253" t="s">
        <v>265</v>
      </c>
      <c r="AD310" s="253" t="s">
        <v>144</v>
      </c>
      <c r="AE310" s="253" t="s">
        <v>144</v>
      </c>
      <c r="AF310" s="254" t="s">
        <v>144</v>
      </c>
      <c r="AG310" s="838"/>
      <c r="AH310" s="280"/>
      <c r="AI310" s="281"/>
      <c r="AJ310" s="253"/>
      <c r="AK310" s="878"/>
      <c r="AL310" s="281"/>
      <c r="AM310" s="281"/>
      <c r="AN310" s="253"/>
      <c r="AO310" s="254"/>
      <c r="AP310" s="281"/>
      <c r="AQ310" s="281"/>
      <c r="AR310" s="253"/>
      <c r="AS310" s="254"/>
      <c r="AT310" s="281"/>
      <c r="AU310" s="281"/>
      <c r="AV310" s="253"/>
      <c r="AW310" s="254"/>
      <c r="AX310" s="281"/>
      <c r="AY310" s="281"/>
      <c r="AZ310" s="253"/>
      <c r="BA310" s="254"/>
      <c r="BB310" s="280"/>
      <c r="BC310" s="281"/>
      <c r="BD310" s="253"/>
      <c r="BE310" s="254"/>
      <c r="BF310" s="838"/>
    </row>
    <row r="311" spans="1:58" s="88" customFormat="1" ht="54" hidden="1" customHeight="1" x14ac:dyDescent="0.25">
      <c r="A311" s="267" t="s">
        <v>1687</v>
      </c>
      <c r="B311" s="268">
        <v>76</v>
      </c>
      <c r="C311" s="240" t="s">
        <v>2096</v>
      </c>
      <c r="D311" s="270" t="s">
        <v>2097</v>
      </c>
      <c r="E311" s="268" t="s">
        <v>2324</v>
      </c>
      <c r="F311" s="861" t="s">
        <v>2325</v>
      </c>
      <c r="G311" s="269" t="s">
        <v>2326</v>
      </c>
      <c r="H311" s="845" t="s">
        <v>2327</v>
      </c>
      <c r="I311" s="269" t="s">
        <v>2328</v>
      </c>
      <c r="J311" s="296" t="s">
        <v>140</v>
      </c>
      <c r="K311" s="297" t="s">
        <v>140</v>
      </c>
      <c r="L311" s="862" t="s">
        <v>2329</v>
      </c>
      <c r="M311" s="847" t="s">
        <v>973</v>
      </c>
      <c r="N311" s="211" t="s">
        <v>974</v>
      </c>
      <c r="O311" s="240" t="s">
        <v>2330</v>
      </c>
      <c r="P311" s="240" t="s">
        <v>2331</v>
      </c>
      <c r="Q311" s="845" t="s">
        <v>2332</v>
      </c>
      <c r="R311" s="208" t="s">
        <v>2333</v>
      </c>
      <c r="S311" s="864" t="s">
        <v>147</v>
      </c>
      <c r="T311" s="212" t="s">
        <v>144</v>
      </c>
      <c r="U311" s="213" t="s">
        <v>144</v>
      </c>
      <c r="V311" s="847">
        <v>1</v>
      </c>
      <c r="W311" s="415" t="s">
        <v>144</v>
      </c>
      <c r="X311" s="212">
        <v>40</v>
      </c>
      <c r="Y311" s="212" t="s">
        <v>144</v>
      </c>
      <c r="Z311" s="241" t="s">
        <v>144</v>
      </c>
      <c r="AA311" s="437" t="s">
        <v>2334</v>
      </c>
      <c r="AB311" s="206" t="s">
        <v>140</v>
      </c>
      <c r="AC311" s="847" t="s">
        <v>265</v>
      </c>
      <c r="AD311" s="847" t="s">
        <v>2105</v>
      </c>
      <c r="AE311" s="847" t="s">
        <v>144</v>
      </c>
      <c r="AF311" s="848" t="s">
        <v>144</v>
      </c>
      <c r="AG311" s="838"/>
      <c r="AH311" s="866" t="s">
        <v>2335</v>
      </c>
      <c r="AI311" s="273" t="s">
        <v>2336</v>
      </c>
      <c r="AJ311" s="847">
        <v>7</v>
      </c>
      <c r="AK311" s="878" t="s">
        <v>2337</v>
      </c>
      <c r="AL311" s="867" t="s">
        <v>294</v>
      </c>
      <c r="AM311" s="273" t="s">
        <v>295</v>
      </c>
      <c r="AN311" s="847">
        <v>7</v>
      </c>
      <c r="AO311" s="187" t="s">
        <v>966</v>
      </c>
      <c r="AP311" s="867"/>
      <c r="AQ311" s="273"/>
      <c r="AR311" s="847"/>
      <c r="AS311" s="848"/>
      <c r="AT311" s="867"/>
      <c r="AU311" s="273"/>
      <c r="AV311" s="847"/>
      <c r="AW311" s="848"/>
      <c r="AX311" s="867"/>
      <c r="AY311" s="273"/>
      <c r="AZ311" s="847"/>
      <c r="BA311" s="848"/>
      <c r="BB311" s="249" t="s">
        <v>2338</v>
      </c>
      <c r="BC311" s="135" t="s">
        <v>2339</v>
      </c>
      <c r="BD311" s="847">
        <v>6</v>
      </c>
      <c r="BE311" s="306" t="s">
        <v>2340</v>
      </c>
      <c r="BF311" s="838"/>
    </row>
    <row r="312" spans="1:58" s="88" customFormat="1" ht="54" hidden="1" customHeight="1" x14ac:dyDescent="0.25">
      <c r="A312" s="267" t="s">
        <v>1687</v>
      </c>
      <c r="B312" s="268">
        <v>77</v>
      </c>
      <c r="C312" s="240" t="s">
        <v>2096</v>
      </c>
      <c r="D312" s="270" t="s">
        <v>2097</v>
      </c>
      <c r="E312" s="268" t="s">
        <v>2341</v>
      </c>
      <c r="F312" s="861" t="s">
        <v>2342</v>
      </c>
      <c r="G312" s="269" t="s">
        <v>2343</v>
      </c>
      <c r="H312" s="845" t="s">
        <v>2344</v>
      </c>
      <c r="I312" s="208" t="s">
        <v>2345</v>
      </c>
      <c r="J312" s="240" t="s">
        <v>140</v>
      </c>
      <c r="K312" s="270" t="s">
        <v>140</v>
      </c>
      <c r="L312" s="862" t="s">
        <v>2346</v>
      </c>
      <c r="M312" s="847" t="s">
        <v>973</v>
      </c>
      <c r="N312" s="211" t="s">
        <v>974</v>
      </c>
      <c r="O312" s="240" t="s">
        <v>144</v>
      </c>
      <c r="P312" s="240" t="s">
        <v>144</v>
      </c>
      <c r="Q312" s="845" t="s">
        <v>2347</v>
      </c>
      <c r="R312" s="208" t="s">
        <v>2348</v>
      </c>
      <c r="S312" s="864" t="s">
        <v>746</v>
      </c>
      <c r="T312" s="212" t="s">
        <v>1104</v>
      </c>
      <c r="U312" s="213" t="s">
        <v>1105</v>
      </c>
      <c r="V312" s="847">
        <v>19</v>
      </c>
      <c r="W312" s="415" t="s">
        <v>144</v>
      </c>
      <c r="X312" s="212">
        <v>40</v>
      </c>
      <c r="Y312" s="212" t="s">
        <v>144</v>
      </c>
      <c r="Z312" s="433" t="s">
        <v>144</v>
      </c>
      <c r="AA312" s="437" t="s">
        <v>2349</v>
      </c>
      <c r="AB312" s="206" t="s">
        <v>140</v>
      </c>
      <c r="AC312" s="847" t="s">
        <v>265</v>
      </c>
      <c r="AD312" s="847" t="s">
        <v>2105</v>
      </c>
      <c r="AE312" s="847" t="s">
        <v>144</v>
      </c>
      <c r="AF312" s="848" t="s">
        <v>144</v>
      </c>
      <c r="AG312" s="838"/>
      <c r="AH312" s="866" t="s">
        <v>2350</v>
      </c>
      <c r="AI312" s="273" t="s">
        <v>2351</v>
      </c>
      <c r="AJ312" s="847">
        <v>7</v>
      </c>
      <c r="AK312" s="878" t="s">
        <v>2352</v>
      </c>
      <c r="AL312" s="867"/>
      <c r="AM312" s="273"/>
      <c r="AN312" s="847"/>
      <c r="AO312" s="848"/>
      <c r="AP312" s="867" t="s">
        <v>1107</v>
      </c>
      <c r="AQ312" s="273" t="s">
        <v>1108</v>
      </c>
      <c r="AR312" s="847">
        <v>7</v>
      </c>
      <c r="AS312" s="286" t="s">
        <v>1109</v>
      </c>
      <c r="AT312" s="867"/>
      <c r="AU312" s="273"/>
      <c r="AV312" s="847"/>
      <c r="AW312" s="848"/>
      <c r="AX312" s="867"/>
      <c r="AY312" s="273"/>
      <c r="AZ312" s="847"/>
      <c r="BA312" s="848"/>
      <c r="BB312" s="866"/>
      <c r="BC312" s="273"/>
      <c r="BD312" s="847"/>
      <c r="BE312" s="848"/>
      <c r="BF312" s="838"/>
    </row>
    <row r="313" spans="1:58" s="88" customFormat="1" ht="54" hidden="1" customHeight="1" x14ac:dyDescent="0.25">
      <c r="A313" s="267" t="s">
        <v>1687</v>
      </c>
      <c r="B313" s="268">
        <v>78</v>
      </c>
      <c r="C313" s="240" t="s">
        <v>2096</v>
      </c>
      <c r="D313" s="270" t="s">
        <v>2097</v>
      </c>
      <c r="E313" s="268" t="s">
        <v>2353</v>
      </c>
      <c r="F313" s="861" t="s">
        <v>2354</v>
      </c>
      <c r="G313" s="269" t="s">
        <v>2355</v>
      </c>
      <c r="H313" s="845" t="s">
        <v>2356</v>
      </c>
      <c r="I313" s="269" t="s">
        <v>2357</v>
      </c>
      <c r="J313" s="296" t="s">
        <v>140</v>
      </c>
      <c r="K313" s="297" t="s">
        <v>140</v>
      </c>
      <c r="L313" s="862" t="s">
        <v>2358</v>
      </c>
      <c r="M313" s="847" t="s">
        <v>973</v>
      </c>
      <c r="N313" s="211" t="s">
        <v>974</v>
      </c>
      <c r="O313" s="240" t="s">
        <v>814</v>
      </c>
      <c r="P313" s="240" t="s">
        <v>815</v>
      </c>
      <c r="Q313" s="845" t="s">
        <v>144</v>
      </c>
      <c r="R313" s="208" t="s">
        <v>144</v>
      </c>
      <c r="S313" s="864" t="s">
        <v>147</v>
      </c>
      <c r="T313" s="212" t="s">
        <v>144</v>
      </c>
      <c r="U313" s="213" t="s">
        <v>144</v>
      </c>
      <c r="V313" s="847">
        <v>3</v>
      </c>
      <c r="W313" s="415" t="s">
        <v>144</v>
      </c>
      <c r="X313" s="212">
        <v>40</v>
      </c>
      <c r="Y313" s="212" t="s">
        <v>144</v>
      </c>
      <c r="Z313" s="433" t="s">
        <v>144</v>
      </c>
      <c r="AA313" s="437" t="s">
        <v>2359</v>
      </c>
      <c r="AB313" s="206" t="s">
        <v>140</v>
      </c>
      <c r="AC313" s="847" t="s">
        <v>265</v>
      </c>
      <c r="AD313" s="847" t="s">
        <v>2105</v>
      </c>
      <c r="AE313" s="847" t="s">
        <v>144</v>
      </c>
      <c r="AF313" s="848" t="s">
        <v>144</v>
      </c>
      <c r="AG313" s="838"/>
      <c r="AH313" s="866" t="s">
        <v>2360</v>
      </c>
      <c r="AI313" s="273" t="s">
        <v>2361</v>
      </c>
      <c r="AJ313" s="847">
        <v>7</v>
      </c>
      <c r="AK313" s="878" t="s">
        <v>1280</v>
      </c>
      <c r="AL313" s="867" t="s">
        <v>294</v>
      </c>
      <c r="AM313" s="273" t="s">
        <v>295</v>
      </c>
      <c r="AN313" s="847">
        <v>7</v>
      </c>
      <c r="AO313" s="187" t="s">
        <v>966</v>
      </c>
      <c r="AP313" s="867"/>
      <c r="AQ313" s="273"/>
      <c r="AR313" s="847"/>
      <c r="AS313" s="848"/>
      <c r="AT313" s="867"/>
      <c r="AU313" s="273"/>
      <c r="AV313" s="847"/>
      <c r="AW313" s="848"/>
      <c r="AX313" s="867"/>
      <c r="AY313" s="273"/>
      <c r="AZ313" s="847"/>
      <c r="BA313" s="848"/>
      <c r="BB313" s="866"/>
      <c r="BC313" s="273"/>
      <c r="BD313" s="847"/>
      <c r="BE313" s="848"/>
      <c r="BF313" s="838"/>
    </row>
    <row r="314" spans="1:58" s="88" customFormat="1" ht="54" hidden="1" customHeight="1" x14ac:dyDescent="0.25">
      <c r="A314" s="267" t="s">
        <v>1687</v>
      </c>
      <c r="B314" s="268">
        <v>79</v>
      </c>
      <c r="C314" s="240" t="s">
        <v>1022</v>
      </c>
      <c r="D314" s="270" t="s">
        <v>1023</v>
      </c>
      <c r="E314" s="268" t="s">
        <v>2362</v>
      </c>
      <c r="F314" s="861" t="s">
        <v>2363</v>
      </c>
      <c r="G314" s="269" t="s">
        <v>2364</v>
      </c>
      <c r="H314" s="845" t="s">
        <v>2365</v>
      </c>
      <c r="I314" s="269" t="s">
        <v>2366</v>
      </c>
      <c r="J314" s="296" t="s">
        <v>140</v>
      </c>
      <c r="K314" s="297" t="s">
        <v>140</v>
      </c>
      <c r="L314" s="862" t="s">
        <v>2367</v>
      </c>
      <c r="M314" s="847" t="s">
        <v>142</v>
      </c>
      <c r="N314" s="270" t="s">
        <v>143</v>
      </c>
      <c r="O314" s="240" t="s">
        <v>2368</v>
      </c>
      <c r="P314" s="240" t="s">
        <v>2369</v>
      </c>
      <c r="Q314" s="845" t="s">
        <v>144</v>
      </c>
      <c r="R314" s="208" t="s">
        <v>144</v>
      </c>
      <c r="S314" s="864" t="s">
        <v>147</v>
      </c>
      <c r="T314" s="212" t="s">
        <v>144</v>
      </c>
      <c r="U314" s="213" t="s">
        <v>144</v>
      </c>
      <c r="V314" s="847">
        <v>3</v>
      </c>
      <c r="W314" s="415" t="s">
        <v>144</v>
      </c>
      <c r="X314" s="212" t="s">
        <v>925</v>
      </c>
      <c r="Y314" s="212" t="s">
        <v>144</v>
      </c>
      <c r="Z314" s="241" t="s">
        <v>29</v>
      </c>
      <c r="AA314" s="728" t="s">
        <v>2370</v>
      </c>
      <c r="AB314" s="206" t="s">
        <v>140</v>
      </c>
      <c r="AC314" s="847" t="s">
        <v>265</v>
      </c>
      <c r="AD314" s="847" t="s">
        <v>1690</v>
      </c>
      <c r="AE314" s="847" t="s">
        <v>144</v>
      </c>
      <c r="AF314" s="848" t="s">
        <v>144</v>
      </c>
      <c r="AG314" s="838"/>
      <c r="AH314" s="866" t="s">
        <v>266</v>
      </c>
      <c r="AI314" s="273" t="s">
        <v>267</v>
      </c>
      <c r="AJ314" s="847">
        <v>7</v>
      </c>
      <c r="AK314" s="878" t="s">
        <v>1046</v>
      </c>
      <c r="AL314" s="867" t="s">
        <v>294</v>
      </c>
      <c r="AM314" s="273" t="s">
        <v>295</v>
      </c>
      <c r="AN314" s="847">
        <v>7</v>
      </c>
      <c r="AO314" s="187" t="s">
        <v>966</v>
      </c>
      <c r="AP314" s="312"/>
      <c r="AQ314" s="313"/>
      <c r="AR314" s="289"/>
      <c r="AS314" s="314"/>
      <c r="AT314" s="867" t="s">
        <v>2371</v>
      </c>
      <c r="AU314" s="273" t="s">
        <v>2372</v>
      </c>
      <c r="AV314" s="847">
        <v>6</v>
      </c>
      <c r="AW314" s="848" t="s">
        <v>2373</v>
      </c>
      <c r="AX314" s="867"/>
      <c r="AY314" s="273"/>
      <c r="AZ314" s="847"/>
      <c r="BA314" s="848"/>
      <c r="BB314" s="866"/>
      <c r="BC314" s="273"/>
      <c r="BD314" s="847"/>
      <c r="BE314" s="848"/>
      <c r="BF314" s="838"/>
    </row>
    <row r="315" spans="1:58" s="57" customFormat="1" ht="54" hidden="1" customHeight="1" x14ac:dyDescent="0.25">
      <c r="A315" s="275" t="s">
        <v>1687</v>
      </c>
      <c r="B315" s="276">
        <v>80</v>
      </c>
      <c r="C315" s="253" t="s">
        <v>2135</v>
      </c>
      <c r="D315" s="253" t="s">
        <v>2136</v>
      </c>
      <c r="E315" s="276" t="s">
        <v>2374</v>
      </c>
      <c r="F315" s="277" t="s">
        <v>2375</v>
      </c>
      <c r="G315" s="277" t="s">
        <v>2376</v>
      </c>
      <c r="H315" s="279" t="s">
        <v>336</v>
      </c>
      <c r="I315" s="279" t="s">
        <v>337</v>
      </c>
      <c r="J315" s="278" t="s">
        <v>144</v>
      </c>
      <c r="K315" s="278" t="s">
        <v>144</v>
      </c>
      <c r="L315" s="718" t="s">
        <v>2377</v>
      </c>
      <c r="M315" s="253" t="s">
        <v>144</v>
      </c>
      <c r="N315" s="217" t="s">
        <v>144</v>
      </c>
      <c r="O315" s="253" t="s">
        <v>144</v>
      </c>
      <c r="P315" s="253" t="s">
        <v>144</v>
      </c>
      <c r="Q315" s="311" t="s">
        <v>338</v>
      </c>
      <c r="R315" s="218" t="s">
        <v>339</v>
      </c>
      <c r="S315" s="282" t="s">
        <v>147</v>
      </c>
      <c r="T315" s="229" t="s">
        <v>144</v>
      </c>
      <c r="U315" s="229" t="s">
        <v>144</v>
      </c>
      <c r="V315" s="278">
        <v>12</v>
      </c>
      <c r="W315" s="217" t="s">
        <v>144</v>
      </c>
      <c r="X315" s="221" t="s">
        <v>144</v>
      </c>
      <c r="Y315" s="221" t="s">
        <v>144</v>
      </c>
      <c r="Z315" s="221" t="s">
        <v>144</v>
      </c>
      <c r="AA315" s="253" t="s">
        <v>144</v>
      </c>
      <c r="AB315" s="217" t="s">
        <v>144</v>
      </c>
      <c r="AC315" s="253" t="s">
        <v>265</v>
      </c>
      <c r="AD315" s="253" t="s">
        <v>2169</v>
      </c>
      <c r="AE315" s="253" t="s">
        <v>144</v>
      </c>
      <c r="AF315" s="254" t="s">
        <v>144</v>
      </c>
      <c r="AG315" s="838"/>
      <c r="AH315" s="280"/>
      <c r="AI315" s="281"/>
      <c r="AJ315" s="253"/>
      <c r="AK315" s="878"/>
      <c r="AL315" s="281"/>
      <c r="AM315" s="281"/>
      <c r="AN315" s="253"/>
      <c r="AO315" s="254"/>
      <c r="AP315" s="281"/>
      <c r="AQ315" s="281"/>
      <c r="AR315" s="253"/>
      <c r="AS315" s="254"/>
      <c r="AT315" s="281"/>
      <c r="AU315" s="281"/>
      <c r="AV315" s="253"/>
      <c r="AW315" s="254"/>
      <c r="AX315" s="281"/>
      <c r="AY315" s="281"/>
      <c r="AZ315" s="253"/>
      <c r="BA315" s="254"/>
      <c r="BB315" s="280"/>
      <c r="BC315" s="281"/>
      <c r="BD315" s="253"/>
      <c r="BE315" s="254"/>
      <c r="BF315" s="838"/>
    </row>
    <row r="316" spans="1:58" s="88" customFormat="1" ht="54" hidden="1" customHeight="1" x14ac:dyDescent="0.25">
      <c r="A316" s="267" t="s">
        <v>1687</v>
      </c>
      <c r="B316" s="268">
        <v>81</v>
      </c>
      <c r="C316" s="240" t="s">
        <v>2378</v>
      </c>
      <c r="D316" s="270" t="s">
        <v>2379</v>
      </c>
      <c r="E316" s="268" t="s">
        <v>2380</v>
      </c>
      <c r="F316" s="861" t="s">
        <v>2381</v>
      </c>
      <c r="G316" s="269" t="s">
        <v>2382</v>
      </c>
      <c r="H316" s="861" t="s">
        <v>2381</v>
      </c>
      <c r="I316" s="269" t="s">
        <v>2382</v>
      </c>
      <c r="J316" s="296" t="s">
        <v>140</v>
      </c>
      <c r="K316" s="297" t="s">
        <v>140</v>
      </c>
      <c r="L316" s="862" t="s">
        <v>2383</v>
      </c>
      <c r="M316" s="847" t="s">
        <v>973</v>
      </c>
      <c r="N316" s="211" t="s">
        <v>974</v>
      </c>
      <c r="O316" s="240" t="s">
        <v>144</v>
      </c>
      <c r="P316" s="240" t="s">
        <v>144</v>
      </c>
      <c r="Q316" s="845" t="s">
        <v>2384</v>
      </c>
      <c r="R316" s="208" t="s">
        <v>2385</v>
      </c>
      <c r="S316" s="864" t="s">
        <v>746</v>
      </c>
      <c r="T316" s="212" t="s">
        <v>1104</v>
      </c>
      <c r="U316" s="213" t="s">
        <v>1105</v>
      </c>
      <c r="V316" s="847">
        <v>19</v>
      </c>
      <c r="W316" s="415" t="s">
        <v>144</v>
      </c>
      <c r="X316" s="212">
        <v>40</v>
      </c>
      <c r="Y316" s="212" t="s">
        <v>144</v>
      </c>
      <c r="Z316" s="241" t="s">
        <v>144</v>
      </c>
      <c r="AA316" s="437" t="s">
        <v>2386</v>
      </c>
      <c r="AB316" s="206" t="s">
        <v>140</v>
      </c>
      <c r="AC316" s="847" t="s">
        <v>265</v>
      </c>
      <c r="AD316" s="847" t="s">
        <v>2387</v>
      </c>
      <c r="AE316" s="847" t="s">
        <v>144</v>
      </c>
      <c r="AF316" s="848" t="s">
        <v>144</v>
      </c>
      <c r="AG316" s="838"/>
      <c r="AH316" s="866" t="s">
        <v>2388</v>
      </c>
      <c r="AI316" s="273" t="s">
        <v>2389</v>
      </c>
      <c r="AJ316" s="847">
        <v>7</v>
      </c>
      <c r="AK316" s="878" t="s">
        <v>2390</v>
      </c>
      <c r="AL316" s="867"/>
      <c r="AM316" s="273"/>
      <c r="AN316" s="847"/>
      <c r="AO316" s="848"/>
      <c r="AP316" s="867" t="s">
        <v>1107</v>
      </c>
      <c r="AQ316" s="273" t="s">
        <v>1108</v>
      </c>
      <c r="AR316" s="847">
        <v>7</v>
      </c>
      <c r="AS316" s="286" t="s">
        <v>1109</v>
      </c>
      <c r="AT316" s="867"/>
      <c r="AU316" s="273"/>
      <c r="AV316" s="847"/>
      <c r="AW316" s="848"/>
      <c r="AX316" s="867"/>
      <c r="AY316" s="273"/>
      <c r="AZ316" s="847"/>
      <c r="BA316" s="848"/>
      <c r="BB316" s="866"/>
      <c r="BC316" s="273"/>
      <c r="BD316" s="847"/>
      <c r="BE316" s="848"/>
      <c r="BF316" s="838"/>
    </row>
    <row r="317" spans="1:58" s="88" customFormat="1" ht="54" hidden="1" customHeight="1" x14ac:dyDescent="0.25">
      <c r="A317" s="267" t="s">
        <v>1687</v>
      </c>
      <c r="B317" s="268">
        <v>82</v>
      </c>
      <c r="C317" s="240" t="s">
        <v>2378</v>
      </c>
      <c r="D317" s="270" t="s">
        <v>2379</v>
      </c>
      <c r="E317" s="268" t="s">
        <v>2391</v>
      </c>
      <c r="F317" s="861" t="s">
        <v>2392</v>
      </c>
      <c r="G317" s="269" t="s">
        <v>2393</v>
      </c>
      <c r="H317" s="845" t="s">
        <v>2392</v>
      </c>
      <c r="I317" s="269" t="s">
        <v>2394</v>
      </c>
      <c r="J317" s="296" t="s">
        <v>140</v>
      </c>
      <c r="K317" s="297" t="s">
        <v>140</v>
      </c>
      <c r="L317" s="862" t="s">
        <v>2395</v>
      </c>
      <c r="M317" s="847" t="s">
        <v>973</v>
      </c>
      <c r="N317" s="211" t="s">
        <v>974</v>
      </c>
      <c r="O317" s="240" t="s">
        <v>814</v>
      </c>
      <c r="P317" s="240" t="s">
        <v>815</v>
      </c>
      <c r="Q317" s="845" t="s">
        <v>144</v>
      </c>
      <c r="R317" s="208" t="s">
        <v>144</v>
      </c>
      <c r="S317" s="864" t="s">
        <v>147</v>
      </c>
      <c r="T317" s="212" t="s">
        <v>144</v>
      </c>
      <c r="U317" s="213" t="s">
        <v>144</v>
      </c>
      <c r="V317" s="847">
        <v>3</v>
      </c>
      <c r="W317" s="415" t="s">
        <v>144</v>
      </c>
      <c r="X317" s="212">
        <v>40</v>
      </c>
      <c r="Y317" s="212" t="s">
        <v>144</v>
      </c>
      <c r="Z317" s="241" t="s">
        <v>144</v>
      </c>
      <c r="AA317" s="437" t="s">
        <v>2396</v>
      </c>
      <c r="AB317" s="206" t="s">
        <v>140</v>
      </c>
      <c r="AC317" s="847" t="s">
        <v>265</v>
      </c>
      <c r="AD317" s="847" t="s">
        <v>2387</v>
      </c>
      <c r="AE317" s="847" t="s">
        <v>144</v>
      </c>
      <c r="AF317" s="848" t="s">
        <v>144</v>
      </c>
      <c r="AG317" s="838"/>
      <c r="AH317" s="866" t="s">
        <v>2397</v>
      </c>
      <c r="AI317" s="273" t="s">
        <v>2398</v>
      </c>
      <c r="AJ317" s="847">
        <v>7</v>
      </c>
      <c r="AK317" s="878" t="s">
        <v>1280</v>
      </c>
      <c r="AL317" s="867" t="s">
        <v>294</v>
      </c>
      <c r="AM317" s="273" t="s">
        <v>295</v>
      </c>
      <c r="AN317" s="847">
        <v>7</v>
      </c>
      <c r="AO317" s="187" t="s">
        <v>966</v>
      </c>
      <c r="AP317" s="867"/>
      <c r="AQ317" s="273"/>
      <c r="AR317" s="847"/>
      <c r="AS317" s="848"/>
      <c r="AT317" s="867"/>
      <c r="AU317" s="273"/>
      <c r="AV317" s="847"/>
      <c r="AW317" s="848"/>
      <c r="AX317" s="867"/>
      <c r="AY317" s="273"/>
      <c r="AZ317" s="847"/>
      <c r="BA317" s="848"/>
      <c r="BB317" s="866"/>
      <c r="BC317" s="273"/>
      <c r="BD317" s="847"/>
      <c r="BE317" s="848"/>
      <c r="BF317" s="838"/>
    </row>
    <row r="318" spans="1:58" s="88" customFormat="1" ht="54" hidden="1" customHeight="1" x14ac:dyDescent="0.25">
      <c r="A318" s="267" t="s">
        <v>1687</v>
      </c>
      <c r="B318" s="268">
        <v>83</v>
      </c>
      <c r="C318" s="240" t="s">
        <v>1022</v>
      </c>
      <c r="D318" s="270" t="s">
        <v>1023</v>
      </c>
      <c r="E318" s="268" t="s">
        <v>2399</v>
      </c>
      <c r="F318" s="861" t="s">
        <v>2400</v>
      </c>
      <c r="G318" s="269" t="s">
        <v>2401</v>
      </c>
      <c r="H318" s="861" t="s">
        <v>2402</v>
      </c>
      <c r="I318" s="269" t="s">
        <v>2403</v>
      </c>
      <c r="J318" s="296" t="s">
        <v>140</v>
      </c>
      <c r="K318" s="297" t="s">
        <v>140</v>
      </c>
      <c r="L318" s="862" t="s">
        <v>2404</v>
      </c>
      <c r="M318" s="847" t="s">
        <v>973</v>
      </c>
      <c r="N318" s="270" t="s">
        <v>974</v>
      </c>
      <c r="O318" s="240" t="s">
        <v>144</v>
      </c>
      <c r="P318" s="240" t="s">
        <v>144</v>
      </c>
      <c r="Q318" s="845" t="s">
        <v>2405</v>
      </c>
      <c r="R318" s="208" t="s">
        <v>2406</v>
      </c>
      <c r="S318" s="864" t="s">
        <v>746</v>
      </c>
      <c r="T318" s="212" t="s">
        <v>1104</v>
      </c>
      <c r="U318" s="213" t="s">
        <v>1105</v>
      </c>
      <c r="V318" s="847">
        <v>19</v>
      </c>
      <c r="W318" s="415" t="s">
        <v>144</v>
      </c>
      <c r="X318" s="212">
        <v>40</v>
      </c>
      <c r="Y318" s="212" t="s">
        <v>144</v>
      </c>
      <c r="Z318" s="241" t="s">
        <v>29</v>
      </c>
      <c r="AA318" s="407" t="s">
        <v>2407</v>
      </c>
      <c r="AB318" s="206" t="s">
        <v>140</v>
      </c>
      <c r="AC318" s="847" t="s">
        <v>265</v>
      </c>
      <c r="AD318" s="872" t="s">
        <v>2408</v>
      </c>
      <c r="AE318" s="847" t="s">
        <v>144</v>
      </c>
      <c r="AF318" s="848" t="s">
        <v>144</v>
      </c>
      <c r="AG318" s="838"/>
      <c r="AH318" s="892" t="s">
        <v>2409</v>
      </c>
      <c r="AI318" s="431" t="s">
        <v>2410</v>
      </c>
      <c r="AJ318" s="872">
        <v>7</v>
      </c>
      <c r="AK318" s="871" t="s">
        <v>2411</v>
      </c>
      <c r="AL318" s="867"/>
      <c r="AM318" s="273"/>
      <c r="AN318" s="847"/>
      <c r="AO318" s="848"/>
      <c r="AP318" s="873" t="s">
        <v>2412</v>
      </c>
      <c r="AQ318" s="406" t="s">
        <v>2413</v>
      </c>
      <c r="AR318" s="872">
        <v>7</v>
      </c>
      <c r="AS318" s="878" t="s">
        <v>2414</v>
      </c>
      <c r="AT318" s="869"/>
      <c r="AU318" s="410"/>
      <c r="AV318" s="870"/>
      <c r="AW318" s="874"/>
      <c r="AX318" s="867"/>
      <c r="AY318" s="273"/>
      <c r="AZ318" s="847"/>
      <c r="BA318" s="848"/>
      <c r="BB318" s="866"/>
      <c r="BC318" s="273"/>
      <c r="BD318" s="847"/>
      <c r="BE318" s="848"/>
      <c r="BF318" s="838"/>
    </row>
    <row r="319" spans="1:58" s="88" customFormat="1" ht="54" hidden="1" customHeight="1" x14ac:dyDescent="0.25">
      <c r="A319" s="267" t="s">
        <v>1687</v>
      </c>
      <c r="B319" s="268">
        <v>84</v>
      </c>
      <c r="C319" s="240" t="s">
        <v>1022</v>
      </c>
      <c r="D319" s="270" t="s">
        <v>1023</v>
      </c>
      <c r="E319" s="268" t="s">
        <v>2415</v>
      </c>
      <c r="F319" s="861" t="s">
        <v>2416</v>
      </c>
      <c r="G319" s="269" t="s">
        <v>2417</v>
      </c>
      <c r="H319" s="861" t="s">
        <v>2416</v>
      </c>
      <c r="I319" s="269" t="s">
        <v>2418</v>
      </c>
      <c r="J319" s="296" t="s">
        <v>140</v>
      </c>
      <c r="K319" s="297" t="s">
        <v>140</v>
      </c>
      <c r="L319" s="862" t="s">
        <v>2419</v>
      </c>
      <c r="M319" s="847" t="s">
        <v>973</v>
      </c>
      <c r="N319" s="211" t="s">
        <v>974</v>
      </c>
      <c r="O319" s="240" t="s">
        <v>814</v>
      </c>
      <c r="P319" s="240" t="s">
        <v>815</v>
      </c>
      <c r="Q319" s="845" t="s">
        <v>144</v>
      </c>
      <c r="R319" s="208" t="s">
        <v>144</v>
      </c>
      <c r="S319" s="864" t="s">
        <v>147</v>
      </c>
      <c r="T319" s="212" t="s">
        <v>144</v>
      </c>
      <c r="U319" s="213" t="s">
        <v>144</v>
      </c>
      <c r="V319" s="847">
        <v>3</v>
      </c>
      <c r="W319" s="415" t="s">
        <v>144</v>
      </c>
      <c r="X319" s="212">
        <v>40</v>
      </c>
      <c r="Y319" s="212" t="s">
        <v>144</v>
      </c>
      <c r="Z319" s="433" t="s">
        <v>25</v>
      </c>
      <c r="AA319" s="407" t="s">
        <v>2407</v>
      </c>
      <c r="AB319" s="206" t="s">
        <v>140</v>
      </c>
      <c r="AC319" s="847" t="s">
        <v>265</v>
      </c>
      <c r="AD319" s="872" t="s">
        <v>2420</v>
      </c>
      <c r="AE319" s="847" t="s">
        <v>144</v>
      </c>
      <c r="AF319" s="848" t="s">
        <v>144</v>
      </c>
      <c r="AG319" s="838"/>
      <c r="AH319" s="866" t="s">
        <v>2421</v>
      </c>
      <c r="AI319" s="273" t="s">
        <v>2422</v>
      </c>
      <c r="AJ319" s="847">
        <v>7</v>
      </c>
      <c r="AK319" s="878" t="s">
        <v>1280</v>
      </c>
      <c r="AL319" s="867" t="s">
        <v>294</v>
      </c>
      <c r="AM319" s="273" t="s">
        <v>295</v>
      </c>
      <c r="AN319" s="847">
        <v>7</v>
      </c>
      <c r="AO319" s="187" t="s">
        <v>966</v>
      </c>
      <c r="AP319" s="867"/>
      <c r="AQ319" s="273"/>
      <c r="AR319" s="847"/>
      <c r="AS319" s="848"/>
      <c r="AT319" s="867"/>
      <c r="AU319" s="273"/>
      <c r="AV319" s="847"/>
      <c r="AW319" s="848"/>
      <c r="AX319" s="867"/>
      <c r="AY319" s="273"/>
      <c r="AZ319" s="847"/>
      <c r="BA319" s="848"/>
      <c r="BB319" s="866"/>
      <c r="BC319" s="273"/>
      <c r="BD319" s="847"/>
      <c r="BE319" s="848"/>
      <c r="BF319" s="838"/>
    </row>
    <row r="320" spans="1:58" s="88" customFormat="1" ht="54" hidden="1" customHeight="1" x14ac:dyDescent="0.25">
      <c r="A320" s="267" t="s">
        <v>1687</v>
      </c>
      <c r="B320" s="268">
        <v>85</v>
      </c>
      <c r="C320" s="240" t="s">
        <v>2378</v>
      </c>
      <c r="D320" s="270" t="s">
        <v>2379</v>
      </c>
      <c r="E320" s="268" t="s">
        <v>2423</v>
      </c>
      <c r="F320" s="861" t="s">
        <v>2424</v>
      </c>
      <c r="G320" s="269" t="s">
        <v>2425</v>
      </c>
      <c r="H320" s="861" t="s">
        <v>2424</v>
      </c>
      <c r="I320" s="269" t="s">
        <v>2425</v>
      </c>
      <c r="J320" s="296" t="s">
        <v>140</v>
      </c>
      <c r="K320" s="297" t="s">
        <v>140</v>
      </c>
      <c r="L320" s="862" t="s">
        <v>2426</v>
      </c>
      <c r="M320" s="847" t="s">
        <v>973</v>
      </c>
      <c r="N320" s="211" t="s">
        <v>974</v>
      </c>
      <c r="O320" s="240" t="s">
        <v>144</v>
      </c>
      <c r="P320" s="240" t="s">
        <v>144</v>
      </c>
      <c r="Q320" s="845" t="s">
        <v>2427</v>
      </c>
      <c r="R320" s="208" t="s">
        <v>2428</v>
      </c>
      <c r="S320" s="864" t="s">
        <v>746</v>
      </c>
      <c r="T320" s="212" t="s">
        <v>1104</v>
      </c>
      <c r="U320" s="213" t="s">
        <v>1105</v>
      </c>
      <c r="V320" s="847">
        <v>19</v>
      </c>
      <c r="W320" s="415" t="s">
        <v>144</v>
      </c>
      <c r="X320" s="212">
        <v>40</v>
      </c>
      <c r="Y320" s="212" t="s">
        <v>144</v>
      </c>
      <c r="Z320" s="433" t="s">
        <v>25</v>
      </c>
      <c r="AA320" s="407" t="s">
        <v>2429</v>
      </c>
      <c r="AB320" s="206" t="s">
        <v>140</v>
      </c>
      <c r="AC320" s="847" t="s">
        <v>265</v>
      </c>
      <c r="AD320" s="847" t="s">
        <v>2430</v>
      </c>
      <c r="AE320" s="847" t="s">
        <v>144</v>
      </c>
      <c r="AF320" s="848" t="s">
        <v>144</v>
      </c>
      <c r="AG320" s="838"/>
      <c r="AH320" s="866" t="s">
        <v>2431</v>
      </c>
      <c r="AI320" s="273" t="s">
        <v>2432</v>
      </c>
      <c r="AJ320" s="847">
        <v>7</v>
      </c>
      <c r="AK320" s="878" t="s">
        <v>2433</v>
      </c>
      <c r="AL320" s="867"/>
      <c r="AM320" s="273"/>
      <c r="AN320" s="847"/>
      <c r="AO320" s="848"/>
      <c r="AP320" s="867" t="s">
        <v>1107</v>
      </c>
      <c r="AQ320" s="273" t="s">
        <v>1108</v>
      </c>
      <c r="AR320" s="847">
        <v>7</v>
      </c>
      <c r="AS320" s="286" t="s">
        <v>1109</v>
      </c>
      <c r="AT320" s="867"/>
      <c r="AU320" s="273"/>
      <c r="AV320" s="847"/>
      <c r="AW320" s="848"/>
      <c r="AX320" s="867"/>
      <c r="AY320" s="273"/>
      <c r="AZ320" s="847"/>
      <c r="BA320" s="848"/>
      <c r="BB320" s="866"/>
      <c r="BC320" s="273"/>
      <c r="BD320" s="847"/>
      <c r="BE320" s="848"/>
      <c r="BF320" s="838"/>
    </row>
    <row r="321" spans="1:58" s="88" customFormat="1" ht="54" hidden="1" customHeight="1" x14ac:dyDescent="0.25">
      <c r="A321" s="267" t="s">
        <v>1687</v>
      </c>
      <c r="B321" s="268">
        <v>86</v>
      </c>
      <c r="C321" s="240" t="s">
        <v>2378</v>
      </c>
      <c r="D321" s="270" t="s">
        <v>2379</v>
      </c>
      <c r="E321" s="268" t="s">
        <v>2434</v>
      </c>
      <c r="F321" s="861" t="s">
        <v>2435</v>
      </c>
      <c r="G321" s="269" t="s">
        <v>2436</v>
      </c>
      <c r="H321" s="845" t="s">
        <v>2435</v>
      </c>
      <c r="I321" s="269" t="s">
        <v>2437</v>
      </c>
      <c r="J321" s="296" t="s">
        <v>140</v>
      </c>
      <c r="K321" s="297" t="s">
        <v>140</v>
      </c>
      <c r="L321" s="862" t="s">
        <v>2438</v>
      </c>
      <c r="M321" s="847" t="s">
        <v>973</v>
      </c>
      <c r="N321" s="211" t="s">
        <v>974</v>
      </c>
      <c r="O321" s="240" t="s">
        <v>814</v>
      </c>
      <c r="P321" s="240" t="s">
        <v>815</v>
      </c>
      <c r="Q321" s="845" t="s">
        <v>144</v>
      </c>
      <c r="R321" s="208" t="s">
        <v>144</v>
      </c>
      <c r="S321" s="864" t="s">
        <v>147</v>
      </c>
      <c r="T321" s="212" t="s">
        <v>144</v>
      </c>
      <c r="U321" s="213" t="s">
        <v>144</v>
      </c>
      <c r="V321" s="847">
        <v>3</v>
      </c>
      <c r="W321" s="415" t="s">
        <v>144</v>
      </c>
      <c r="X321" s="212">
        <v>40</v>
      </c>
      <c r="Y321" s="212" t="s">
        <v>144</v>
      </c>
      <c r="Z321" s="433" t="s">
        <v>144</v>
      </c>
      <c r="AA321" s="437" t="s">
        <v>2439</v>
      </c>
      <c r="AB321" s="206" t="s">
        <v>140</v>
      </c>
      <c r="AC321" s="847" t="s">
        <v>265</v>
      </c>
      <c r="AD321" s="847" t="s">
        <v>2430</v>
      </c>
      <c r="AE321" s="847" t="s">
        <v>144</v>
      </c>
      <c r="AF321" s="848" t="s">
        <v>144</v>
      </c>
      <c r="AG321" s="838"/>
      <c r="AH321" s="866" t="s">
        <v>2440</v>
      </c>
      <c r="AI321" s="273" t="s">
        <v>2441</v>
      </c>
      <c r="AJ321" s="847">
        <v>7</v>
      </c>
      <c r="AK321" s="878" t="s">
        <v>1280</v>
      </c>
      <c r="AL321" s="867" t="s">
        <v>294</v>
      </c>
      <c r="AM321" s="273" t="s">
        <v>295</v>
      </c>
      <c r="AN321" s="847">
        <v>7</v>
      </c>
      <c r="AO321" s="187" t="s">
        <v>966</v>
      </c>
      <c r="AP321" s="867"/>
      <c r="AQ321" s="273"/>
      <c r="AR321" s="847"/>
      <c r="AS321" s="848"/>
      <c r="AT321" s="867"/>
      <c r="AU321" s="273"/>
      <c r="AV321" s="847"/>
      <c r="AW321" s="848"/>
      <c r="AX321" s="867"/>
      <c r="AY321" s="273"/>
      <c r="AZ321" s="847"/>
      <c r="BA321" s="848"/>
      <c r="BB321" s="866"/>
      <c r="BC321" s="273"/>
      <c r="BD321" s="847"/>
      <c r="BE321" s="848"/>
      <c r="BF321" s="838"/>
    </row>
    <row r="322" spans="1:58" s="88" customFormat="1" ht="54" hidden="1" customHeight="1" x14ac:dyDescent="0.25">
      <c r="A322" s="267" t="s">
        <v>1687</v>
      </c>
      <c r="B322" s="268">
        <v>87</v>
      </c>
      <c r="C322" s="240" t="s">
        <v>2378</v>
      </c>
      <c r="D322" s="270" t="s">
        <v>2379</v>
      </c>
      <c r="E322" s="268" t="s">
        <v>2442</v>
      </c>
      <c r="F322" s="299" t="s">
        <v>2443</v>
      </c>
      <c r="G322" s="269" t="s">
        <v>2444</v>
      </c>
      <c r="H322" s="845" t="s">
        <v>2443</v>
      </c>
      <c r="I322" s="269" t="s">
        <v>2444</v>
      </c>
      <c r="J322" s="296" t="s">
        <v>140</v>
      </c>
      <c r="K322" s="297" t="s">
        <v>140</v>
      </c>
      <c r="L322" s="862" t="s">
        <v>2445</v>
      </c>
      <c r="M322" s="847" t="s">
        <v>973</v>
      </c>
      <c r="N322" s="211" t="s">
        <v>974</v>
      </c>
      <c r="O322" s="240" t="s">
        <v>144</v>
      </c>
      <c r="P322" s="240" t="s">
        <v>144</v>
      </c>
      <c r="Q322" s="845" t="s">
        <v>144</v>
      </c>
      <c r="R322" s="208" t="s">
        <v>144</v>
      </c>
      <c r="S322" s="864" t="s">
        <v>746</v>
      </c>
      <c r="T322" s="212" t="s">
        <v>1104</v>
      </c>
      <c r="U322" s="213" t="s">
        <v>1105</v>
      </c>
      <c r="V322" s="847">
        <v>19</v>
      </c>
      <c r="W322" s="415" t="s">
        <v>144</v>
      </c>
      <c r="X322" s="212">
        <v>40</v>
      </c>
      <c r="Y322" s="212" t="s">
        <v>144</v>
      </c>
      <c r="Z322" s="241" t="s">
        <v>25</v>
      </c>
      <c r="AA322" s="407" t="s">
        <v>2446</v>
      </c>
      <c r="AB322" s="206" t="s">
        <v>140</v>
      </c>
      <c r="AC322" s="847" t="s">
        <v>265</v>
      </c>
      <c r="AD322" s="847" t="s">
        <v>2447</v>
      </c>
      <c r="AE322" s="847" t="s">
        <v>144</v>
      </c>
      <c r="AF322" s="848" t="s">
        <v>144</v>
      </c>
      <c r="AG322" s="838"/>
      <c r="AH322" s="291" t="s">
        <v>2448</v>
      </c>
      <c r="AI322" s="273" t="s">
        <v>2449</v>
      </c>
      <c r="AJ322" s="847">
        <v>7</v>
      </c>
      <c r="AK322" s="878" t="s">
        <v>2450</v>
      </c>
      <c r="AL322" s="867"/>
      <c r="AM322" s="273"/>
      <c r="AN322" s="847"/>
      <c r="AO322" s="848"/>
      <c r="AP322" s="867"/>
      <c r="AQ322" s="273"/>
      <c r="AR322" s="847"/>
      <c r="AS322" s="848"/>
      <c r="AT322" s="867"/>
      <c r="AU322" s="273"/>
      <c r="AV322" s="847"/>
      <c r="AW322" s="848"/>
      <c r="AX322" s="867"/>
      <c r="AY322" s="273"/>
      <c r="AZ322" s="847"/>
      <c r="BA322" s="848"/>
      <c r="BB322" s="866"/>
      <c r="BC322" s="273"/>
      <c r="BD322" s="847"/>
      <c r="BE322" s="848"/>
      <c r="BF322" s="838"/>
    </row>
    <row r="323" spans="1:58" s="88" customFormat="1" ht="54" hidden="1" customHeight="1" x14ac:dyDescent="0.25">
      <c r="A323" s="267" t="s">
        <v>1687</v>
      </c>
      <c r="B323" s="268">
        <v>88</v>
      </c>
      <c r="C323" s="240" t="s">
        <v>2378</v>
      </c>
      <c r="D323" s="270" t="s">
        <v>2379</v>
      </c>
      <c r="E323" s="268" t="s">
        <v>2451</v>
      </c>
      <c r="F323" s="861" t="s">
        <v>2452</v>
      </c>
      <c r="G323" s="269" t="s">
        <v>2453</v>
      </c>
      <c r="H323" s="845" t="s">
        <v>2454</v>
      </c>
      <c r="I323" s="269" t="s">
        <v>2455</v>
      </c>
      <c r="J323" s="296" t="s">
        <v>140</v>
      </c>
      <c r="K323" s="297" t="s">
        <v>140</v>
      </c>
      <c r="L323" s="862" t="s">
        <v>2456</v>
      </c>
      <c r="M323" s="206" t="s">
        <v>973</v>
      </c>
      <c r="N323" s="211" t="s">
        <v>974</v>
      </c>
      <c r="O323" s="240" t="s">
        <v>814</v>
      </c>
      <c r="P323" s="240" t="s">
        <v>815</v>
      </c>
      <c r="Q323" s="845" t="s">
        <v>144</v>
      </c>
      <c r="R323" s="208" t="s">
        <v>144</v>
      </c>
      <c r="S323" s="864" t="s">
        <v>147</v>
      </c>
      <c r="T323" s="212" t="s">
        <v>144</v>
      </c>
      <c r="U323" s="213" t="s">
        <v>144</v>
      </c>
      <c r="V323" s="847">
        <v>3</v>
      </c>
      <c r="W323" s="415" t="s">
        <v>144</v>
      </c>
      <c r="X323" s="212">
        <v>40</v>
      </c>
      <c r="Y323" s="212" t="s">
        <v>144</v>
      </c>
      <c r="Z323" s="241" t="s">
        <v>25</v>
      </c>
      <c r="AA323" s="407" t="s">
        <v>2446</v>
      </c>
      <c r="AB323" s="206" t="s">
        <v>140</v>
      </c>
      <c r="AC323" s="847" t="s">
        <v>265</v>
      </c>
      <c r="AD323" s="847" t="s">
        <v>2447</v>
      </c>
      <c r="AE323" s="847" t="s">
        <v>144</v>
      </c>
      <c r="AF323" s="848" t="s">
        <v>144</v>
      </c>
      <c r="AG323" s="838"/>
      <c r="AH323" s="866" t="s">
        <v>2457</v>
      </c>
      <c r="AI323" s="273" t="s">
        <v>2458</v>
      </c>
      <c r="AJ323" s="847">
        <v>7</v>
      </c>
      <c r="AK323" s="878" t="s">
        <v>1280</v>
      </c>
      <c r="AL323" s="875" t="s">
        <v>294</v>
      </c>
      <c r="AM323" s="301" t="s">
        <v>295</v>
      </c>
      <c r="AN323" s="847">
        <v>7</v>
      </c>
      <c r="AO323" s="187" t="s">
        <v>966</v>
      </c>
      <c r="AP323" s="867"/>
      <c r="AQ323" s="273"/>
      <c r="AR323" s="847"/>
      <c r="AS323" s="848"/>
      <c r="AT323" s="867"/>
      <c r="AU323" s="273"/>
      <c r="AV323" s="847"/>
      <c r="AW323" s="848"/>
      <c r="AX323" s="867"/>
      <c r="AY323" s="273"/>
      <c r="AZ323" s="847"/>
      <c r="BA323" s="848"/>
      <c r="BB323" s="866"/>
      <c r="BC323" s="273"/>
      <c r="BD323" s="847"/>
      <c r="BE323" s="848"/>
      <c r="BF323" s="838"/>
    </row>
    <row r="324" spans="1:58" s="88" customFormat="1" ht="54" hidden="1" customHeight="1" x14ac:dyDescent="0.25">
      <c r="A324" s="267" t="s">
        <v>1687</v>
      </c>
      <c r="B324" s="268">
        <v>89</v>
      </c>
      <c r="C324" s="240" t="s">
        <v>2378</v>
      </c>
      <c r="D324" s="270" t="s">
        <v>2379</v>
      </c>
      <c r="E324" s="268" t="s">
        <v>2459</v>
      </c>
      <c r="F324" s="861" t="s">
        <v>2460</v>
      </c>
      <c r="G324" s="269" t="s">
        <v>2461</v>
      </c>
      <c r="H324" s="861" t="s">
        <v>2460</v>
      </c>
      <c r="I324" s="269" t="s">
        <v>2461</v>
      </c>
      <c r="J324" s="296" t="s">
        <v>140</v>
      </c>
      <c r="K324" s="297" t="s">
        <v>140</v>
      </c>
      <c r="L324" s="862" t="s">
        <v>2462</v>
      </c>
      <c r="M324" s="847" t="s">
        <v>973</v>
      </c>
      <c r="N324" s="211" t="s">
        <v>974</v>
      </c>
      <c r="O324" s="240" t="s">
        <v>144</v>
      </c>
      <c r="P324" s="240" t="s">
        <v>144</v>
      </c>
      <c r="Q324" s="845" t="s">
        <v>2463</v>
      </c>
      <c r="R324" s="208" t="s">
        <v>2464</v>
      </c>
      <c r="S324" s="864" t="s">
        <v>746</v>
      </c>
      <c r="T324" s="212" t="s">
        <v>1104</v>
      </c>
      <c r="U324" s="213" t="s">
        <v>1105</v>
      </c>
      <c r="V324" s="847">
        <v>19</v>
      </c>
      <c r="W324" s="415" t="s">
        <v>144</v>
      </c>
      <c r="X324" s="212">
        <v>40</v>
      </c>
      <c r="Y324" s="212" t="s">
        <v>144</v>
      </c>
      <c r="Z324" s="241" t="s">
        <v>144</v>
      </c>
      <c r="AA324" s="437" t="s">
        <v>2465</v>
      </c>
      <c r="AB324" s="206" t="s">
        <v>140</v>
      </c>
      <c r="AC324" s="847" t="s">
        <v>265</v>
      </c>
      <c r="AD324" s="847" t="s">
        <v>2466</v>
      </c>
      <c r="AE324" s="847" t="s">
        <v>144</v>
      </c>
      <c r="AF324" s="848" t="s">
        <v>144</v>
      </c>
      <c r="AG324" s="838"/>
      <c r="AH324" s="866" t="s">
        <v>2467</v>
      </c>
      <c r="AI324" s="273" t="s">
        <v>2468</v>
      </c>
      <c r="AJ324" s="847">
        <v>7</v>
      </c>
      <c r="AK324" s="878" t="s">
        <v>2469</v>
      </c>
      <c r="AL324" s="867"/>
      <c r="AM324" s="273"/>
      <c r="AN324" s="847"/>
      <c r="AO324" s="848"/>
      <c r="AP324" s="867" t="s">
        <v>1107</v>
      </c>
      <c r="AQ324" s="273" t="s">
        <v>1108</v>
      </c>
      <c r="AR324" s="847">
        <v>7</v>
      </c>
      <c r="AS324" s="286" t="s">
        <v>1109</v>
      </c>
      <c r="AT324" s="867"/>
      <c r="AU324" s="273"/>
      <c r="AV324" s="847"/>
      <c r="AW324" s="848"/>
      <c r="AX324" s="867"/>
      <c r="AY324" s="273"/>
      <c r="AZ324" s="847"/>
      <c r="BA324" s="848"/>
      <c r="BB324" s="866"/>
      <c r="BC324" s="273"/>
      <c r="BD324" s="847"/>
      <c r="BE324" s="848"/>
      <c r="BF324" s="838"/>
    </row>
    <row r="325" spans="1:58" s="88" customFormat="1" ht="54" hidden="1" customHeight="1" x14ac:dyDescent="0.25">
      <c r="A325" s="267" t="s">
        <v>1687</v>
      </c>
      <c r="B325" s="268">
        <v>90</v>
      </c>
      <c r="C325" s="240" t="s">
        <v>2378</v>
      </c>
      <c r="D325" s="270" t="s">
        <v>2379</v>
      </c>
      <c r="E325" s="268" t="s">
        <v>2470</v>
      </c>
      <c r="F325" s="861" t="s">
        <v>2471</v>
      </c>
      <c r="G325" s="269" t="s">
        <v>2472</v>
      </c>
      <c r="H325" s="845" t="s">
        <v>2473</v>
      </c>
      <c r="I325" s="269" t="s">
        <v>2474</v>
      </c>
      <c r="J325" s="296" t="s">
        <v>140</v>
      </c>
      <c r="K325" s="297" t="s">
        <v>140</v>
      </c>
      <c r="L325" s="862" t="s">
        <v>2475</v>
      </c>
      <c r="M325" s="847" t="s">
        <v>973</v>
      </c>
      <c r="N325" s="211" t="s">
        <v>974</v>
      </c>
      <c r="O325" s="240" t="s">
        <v>814</v>
      </c>
      <c r="P325" s="240" t="s">
        <v>815</v>
      </c>
      <c r="Q325" s="845" t="s">
        <v>144</v>
      </c>
      <c r="R325" s="208" t="s">
        <v>144</v>
      </c>
      <c r="S325" s="864" t="s">
        <v>147</v>
      </c>
      <c r="T325" s="212" t="s">
        <v>144</v>
      </c>
      <c r="U325" s="213" t="s">
        <v>144</v>
      </c>
      <c r="V325" s="847">
        <v>3</v>
      </c>
      <c r="W325" s="415" t="s">
        <v>144</v>
      </c>
      <c r="X325" s="212">
        <v>40</v>
      </c>
      <c r="Y325" s="212" t="s">
        <v>144</v>
      </c>
      <c r="Z325" s="241" t="s">
        <v>144</v>
      </c>
      <c r="AA325" s="437" t="s">
        <v>2465</v>
      </c>
      <c r="AB325" s="206" t="s">
        <v>140</v>
      </c>
      <c r="AC325" s="847" t="s">
        <v>265</v>
      </c>
      <c r="AD325" s="847" t="s">
        <v>2466</v>
      </c>
      <c r="AE325" s="847" t="s">
        <v>144</v>
      </c>
      <c r="AF325" s="848" t="s">
        <v>144</v>
      </c>
      <c r="AG325" s="838"/>
      <c r="AH325" s="866" t="s">
        <v>2476</v>
      </c>
      <c r="AI325" s="273" t="s">
        <v>2477</v>
      </c>
      <c r="AJ325" s="847">
        <v>7</v>
      </c>
      <c r="AK325" s="878" t="s">
        <v>1280</v>
      </c>
      <c r="AL325" s="867" t="s">
        <v>294</v>
      </c>
      <c r="AM325" s="273" t="s">
        <v>295</v>
      </c>
      <c r="AN325" s="847">
        <v>7</v>
      </c>
      <c r="AO325" s="187" t="s">
        <v>966</v>
      </c>
      <c r="AP325" s="867"/>
      <c r="AQ325" s="273"/>
      <c r="AR325" s="847"/>
      <c r="AS325" s="848"/>
      <c r="AT325" s="867"/>
      <c r="AU325" s="273"/>
      <c r="AV325" s="847"/>
      <c r="AW325" s="848"/>
      <c r="AX325" s="867"/>
      <c r="AY325" s="273"/>
      <c r="AZ325" s="847"/>
      <c r="BA325" s="848"/>
      <c r="BB325" s="866"/>
      <c r="BC325" s="273"/>
      <c r="BD325" s="847"/>
      <c r="BE325" s="848"/>
      <c r="BF325" s="838"/>
    </row>
    <row r="326" spans="1:58" s="88" customFormat="1" ht="54" hidden="1" customHeight="1" x14ac:dyDescent="0.25">
      <c r="A326" s="267" t="s">
        <v>1687</v>
      </c>
      <c r="B326" s="268">
        <v>91</v>
      </c>
      <c r="C326" s="240" t="s">
        <v>2378</v>
      </c>
      <c r="D326" s="270" t="s">
        <v>2379</v>
      </c>
      <c r="E326" s="268" t="s">
        <v>2478</v>
      </c>
      <c r="F326" s="861" t="s">
        <v>2479</v>
      </c>
      <c r="G326" s="269" t="s">
        <v>2480</v>
      </c>
      <c r="H326" s="845" t="s">
        <v>2481</v>
      </c>
      <c r="I326" s="269" t="s">
        <v>2482</v>
      </c>
      <c r="J326" s="296" t="s">
        <v>140</v>
      </c>
      <c r="K326" s="297" t="s">
        <v>140</v>
      </c>
      <c r="L326" s="862" t="s">
        <v>2483</v>
      </c>
      <c r="M326" s="847" t="s">
        <v>973</v>
      </c>
      <c r="N326" s="270" t="s">
        <v>974</v>
      </c>
      <c r="O326" s="240" t="s">
        <v>2484</v>
      </c>
      <c r="P326" s="240" t="s">
        <v>2485</v>
      </c>
      <c r="Q326" s="845" t="s">
        <v>144</v>
      </c>
      <c r="R326" s="208" t="s">
        <v>144</v>
      </c>
      <c r="S326" s="864" t="s">
        <v>147</v>
      </c>
      <c r="T326" s="212" t="s">
        <v>144</v>
      </c>
      <c r="U326" s="213" t="s">
        <v>144</v>
      </c>
      <c r="V326" s="847">
        <v>1</v>
      </c>
      <c r="W326" s="415" t="s">
        <v>144</v>
      </c>
      <c r="X326" s="212" t="s">
        <v>925</v>
      </c>
      <c r="Y326" s="212" t="s">
        <v>144</v>
      </c>
      <c r="Z326" s="241" t="s">
        <v>144</v>
      </c>
      <c r="AA326" s="615" t="s">
        <v>733</v>
      </c>
      <c r="AB326" s="206" t="s">
        <v>140</v>
      </c>
      <c r="AC326" s="847" t="s">
        <v>265</v>
      </c>
      <c r="AD326" s="847" t="s">
        <v>2486</v>
      </c>
      <c r="AE326" s="847" t="s">
        <v>144</v>
      </c>
      <c r="AF326" s="848" t="s">
        <v>144</v>
      </c>
      <c r="AG326" s="838"/>
      <c r="AH326" s="866" t="s">
        <v>2487</v>
      </c>
      <c r="AI326" s="273" t="s">
        <v>2488</v>
      </c>
      <c r="AJ326" s="847" t="s">
        <v>1724</v>
      </c>
      <c r="AK326" s="878" t="s">
        <v>2489</v>
      </c>
      <c r="AL326" s="893" t="s">
        <v>294</v>
      </c>
      <c r="AM326" s="318" t="s">
        <v>295</v>
      </c>
      <c r="AN326" s="847">
        <v>7</v>
      </c>
      <c r="AO326" s="187" t="s">
        <v>966</v>
      </c>
      <c r="AP326" s="867"/>
      <c r="AQ326" s="273"/>
      <c r="AR326" s="847"/>
      <c r="AS326" s="848"/>
      <c r="AT326" s="867"/>
      <c r="AU326" s="273"/>
      <c r="AV326" s="847"/>
      <c r="AW326" s="848"/>
      <c r="AX326" s="867"/>
      <c r="AY326" s="273"/>
      <c r="AZ326" s="847"/>
      <c r="BA326" s="848"/>
      <c r="BB326" s="866"/>
      <c r="BC326" s="273"/>
      <c r="BD326" s="847"/>
      <c r="BE326" s="848"/>
      <c r="BF326" s="838"/>
    </row>
    <row r="327" spans="1:58" s="57" customFormat="1" ht="54" customHeight="1" x14ac:dyDescent="0.25">
      <c r="A327" s="275" t="s">
        <v>1687</v>
      </c>
      <c r="B327" s="276">
        <v>92</v>
      </c>
      <c r="C327" s="253" t="s">
        <v>144</v>
      </c>
      <c r="D327" s="253" t="s">
        <v>144</v>
      </c>
      <c r="E327" s="276" t="s">
        <v>2490</v>
      </c>
      <c r="F327" s="277" t="s">
        <v>251</v>
      </c>
      <c r="G327" s="218" t="s">
        <v>251</v>
      </c>
      <c r="H327" s="220" t="s">
        <v>336</v>
      </c>
      <c r="I327" s="218" t="s">
        <v>337</v>
      </c>
      <c r="J327" s="253" t="s">
        <v>144</v>
      </c>
      <c r="K327" s="253" t="s">
        <v>144</v>
      </c>
      <c r="L327" s="718" t="s">
        <v>1199</v>
      </c>
      <c r="M327" s="253" t="s">
        <v>144</v>
      </c>
      <c r="N327" s="253" t="s">
        <v>144</v>
      </c>
      <c r="O327" s="253" t="s">
        <v>144</v>
      </c>
      <c r="P327" s="253" t="s">
        <v>144</v>
      </c>
      <c r="Q327" s="220" t="s">
        <v>338</v>
      </c>
      <c r="R327" s="220" t="s">
        <v>339</v>
      </c>
      <c r="S327" s="276" t="s">
        <v>147</v>
      </c>
      <c r="T327" s="221" t="s">
        <v>144</v>
      </c>
      <c r="U327" s="221" t="s">
        <v>144</v>
      </c>
      <c r="V327" s="253">
        <v>2</v>
      </c>
      <c r="W327" s="217" t="s">
        <v>144</v>
      </c>
      <c r="X327" s="221" t="s">
        <v>144</v>
      </c>
      <c r="Y327" s="221" t="s">
        <v>144</v>
      </c>
      <c r="Z327" s="221" t="s">
        <v>144</v>
      </c>
      <c r="AA327" s="253" t="s">
        <v>144</v>
      </c>
      <c r="AB327" s="217" t="s">
        <v>144</v>
      </c>
      <c r="AC327" s="253" t="s">
        <v>265</v>
      </c>
      <c r="AD327" s="253" t="s">
        <v>144</v>
      </c>
      <c r="AE327" s="253" t="s">
        <v>144</v>
      </c>
      <c r="AF327" s="254" t="s">
        <v>144</v>
      </c>
      <c r="AG327" s="838"/>
      <c r="AH327" s="280"/>
      <c r="AI327" s="281"/>
      <c r="AJ327" s="253"/>
      <c r="AK327" s="878"/>
      <c r="AL327" s="281"/>
      <c r="AM327" s="281"/>
      <c r="AN327" s="253"/>
      <c r="AO327" s="254"/>
      <c r="AP327" s="281"/>
      <c r="AQ327" s="281"/>
      <c r="AR327" s="253"/>
      <c r="AS327" s="254"/>
      <c r="AT327" s="281"/>
      <c r="AU327" s="281"/>
      <c r="AV327" s="253"/>
      <c r="AW327" s="254"/>
      <c r="AX327" s="281"/>
      <c r="AY327" s="281"/>
      <c r="AZ327" s="253"/>
      <c r="BA327" s="254"/>
      <c r="BB327" s="280"/>
      <c r="BC327" s="281"/>
      <c r="BD327" s="253"/>
      <c r="BE327" s="254"/>
      <c r="BF327" s="838"/>
    </row>
    <row r="328" spans="1:58" s="88" customFormat="1" ht="54" hidden="1" customHeight="1" x14ac:dyDescent="0.25">
      <c r="A328" s="267" t="s">
        <v>1687</v>
      </c>
      <c r="B328" s="268">
        <v>93</v>
      </c>
      <c r="C328" s="240" t="s">
        <v>1022</v>
      </c>
      <c r="D328" s="270" t="s">
        <v>1023</v>
      </c>
      <c r="E328" s="268" t="s">
        <v>2491</v>
      </c>
      <c r="F328" s="861" t="s">
        <v>2492</v>
      </c>
      <c r="G328" s="269" t="s">
        <v>2493</v>
      </c>
      <c r="H328" s="846" t="s">
        <v>2494</v>
      </c>
      <c r="I328" s="269" t="s">
        <v>2495</v>
      </c>
      <c r="J328" s="296" t="s">
        <v>140</v>
      </c>
      <c r="K328" s="297" t="s">
        <v>140</v>
      </c>
      <c r="L328" s="862" t="s">
        <v>2496</v>
      </c>
      <c r="M328" s="847" t="s">
        <v>973</v>
      </c>
      <c r="N328" s="270" t="s">
        <v>974</v>
      </c>
      <c r="O328" s="240" t="s">
        <v>144</v>
      </c>
      <c r="P328" s="240" t="s">
        <v>144</v>
      </c>
      <c r="Q328" s="845" t="s">
        <v>144</v>
      </c>
      <c r="R328" s="208" t="s">
        <v>144</v>
      </c>
      <c r="S328" s="864" t="s">
        <v>746</v>
      </c>
      <c r="T328" s="212" t="s">
        <v>1104</v>
      </c>
      <c r="U328" s="213" t="s">
        <v>1105</v>
      </c>
      <c r="V328" s="847">
        <v>19</v>
      </c>
      <c r="W328" s="415" t="s">
        <v>144</v>
      </c>
      <c r="X328" s="212">
        <v>40</v>
      </c>
      <c r="Y328" s="212" t="s">
        <v>144</v>
      </c>
      <c r="Z328" s="241" t="s">
        <v>25</v>
      </c>
      <c r="AA328" s="407" t="s">
        <v>2497</v>
      </c>
      <c r="AB328" s="206" t="s">
        <v>140</v>
      </c>
      <c r="AC328" s="847" t="s">
        <v>265</v>
      </c>
      <c r="AD328" s="847" t="s">
        <v>2498</v>
      </c>
      <c r="AE328" s="847" t="s">
        <v>144</v>
      </c>
      <c r="AF328" s="848" t="s">
        <v>144</v>
      </c>
      <c r="AG328" s="838"/>
      <c r="AH328" s="877" t="s">
        <v>2499</v>
      </c>
      <c r="AI328" s="273" t="s">
        <v>2500</v>
      </c>
      <c r="AJ328" s="847">
        <v>7</v>
      </c>
      <c r="AK328" s="878" t="s">
        <v>2501</v>
      </c>
      <c r="AL328" s="867"/>
      <c r="AM328" s="273"/>
      <c r="AN328" s="847"/>
      <c r="AO328" s="848"/>
      <c r="AP328" s="867" t="s">
        <v>1107</v>
      </c>
      <c r="AQ328" s="273" t="s">
        <v>1108</v>
      </c>
      <c r="AR328" s="847">
        <v>7</v>
      </c>
      <c r="AS328" s="286" t="s">
        <v>1109</v>
      </c>
      <c r="AT328" s="867"/>
      <c r="AU328" s="273"/>
      <c r="AV328" s="847"/>
      <c r="AW328" s="848"/>
      <c r="AX328" s="867"/>
      <c r="AY328" s="273"/>
      <c r="AZ328" s="847"/>
      <c r="BA328" s="848"/>
      <c r="BB328" s="866"/>
      <c r="BC328" s="273"/>
      <c r="BD328" s="847"/>
      <c r="BE328" s="848"/>
      <c r="BF328" s="838"/>
    </row>
    <row r="329" spans="1:58" s="88" customFormat="1" ht="54" hidden="1" customHeight="1" x14ac:dyDescent="0.25">
      <c r="A329" s="267" t="s">
        <v>1687</v>
      </c>
      <c r="B329" s="268">
        <v>94</v>
      </c>
      <c r="C329" s="240" t="s">
        <v>1022</v>
      </c>
      <c r="D329" s="270" t="s">
        <v>1023</v>
      </c>
      <c r="E329" s="268" t="s">
        <v>2502</v>
      </c>
      <c r="F329" s="861" t="s">
        <v>2503</v>
      </c>
      <c r="G329" s="269" t="s">
        <v>2504</v>
      </c>
      <c r="H329" s="845" t="s">
        <v>2130</v>
      </c>
      <c r="I329" s="269" t="s">
        <v>2131</v>
      </c>
      <c r="J329" s="296" t="s">
        <v>140</v>
      </c>
      <c r="K329" s="297" t="s">
        <v>140</v>
      </c>
      <c r="L329" s="862" t="s">
        <v>2505</v>
      </c>
      <c r="M329" s="847" t="s">
        <v>973</v>
      </c>
      <c r="N329" s="211" t="s">
        <v>974</v>
      </c>
      <c r="O329" s="240" t="s">
        <v>814</v>
      </c>
      <c r="P329" s="240" t="s">
        <v>815</v>
      </c>
      <c r="Q329" s="845" t="s">
        <v>144</v>
      </c>
      <c r="R329" s="208" t="s">
        <v>144</v>
      </c>
      <c r="S329" s="864" t="s">
        <v>147</v>
      </c>
      <c r="T329" s="212" t="s">
        <v>144</v>
      </c>
      <c r="U329" s="213" t="s">
        <v>144</v>
      </c>
      <c r="V329" s="847">
        <v>3</v>
      </c>
      <c r="W329" s="415" t="s">
        <v>144</v>
      </c>
      <c r="X329" s="212">
        <v>40</v>
      </c>
      <c r="Y329" s="212" t="s">
        <v>144</v>
      </c>
      <c r="Z329" s="241" t="s">
        <v>25</v>
      </c>
      <c r="AA329" s="407" t="s">
        <v>2497</v>
      </c>
      <c r="AB329" s="206" t="s">
        <v>140</v>
      </c>
      <c r="AC329" s="847" t="s">
        <v>265</v>
      </c>
      <c r="AD329" s="847" t="s">
        <v>2498</v>
      </c>
      <c r="AE329" s="847" t="s">
        <v>144</v>
      </c>
      <c r="AF329" s="848" t="s">
        <v>144</v>
      </c>
      <c r="AG329" s="838"/>
      <c r="AH329" s="866" t="s">
        <v>2506</v>
      </c>
      <c r="AI329" s="273" t="s">
        <v>2507</v>
      </c>
      <c r="AJ329" s="847">
        <v>7</v>
      </c>
      <c r="AK329" s="878" t="s">
        <v>1280</v>
      </c>
      <c r="AL329" s="867" t="s">
        <v>294</v>
      </c>
      <c r="AM329" s="273" t="s">
        <v>295</v>
      </c>
      <c r="AN329" s="847">
        <v>7</v>
      </c>
      <c r="AO329" s="187" t="s">
        <v>966</v>
      </c>
      <c r="AP329" s="867"/>
      <c r="AQ329" s="273"/>
      <c r="AR329" s="847"/>
      <c r="AS329" s="848"/>
      <c r="AT329" s="867"/>
      <c r="AU329" s="273"/>
      <c r="AV329" s="847"/>
      <c r="AW329" s="848"/>
      <c r="AX329" s="867"/>
      <c r="AY329" s="273"/>
      <c r="AZ329" s="847"/>
      <c r="BA329" s="848"/>
      <c r="BB329" s="866"/>
      <c r="BC329" s="273"/>
      <c r="BD329" s="847"/>
      <c r="BE329" s="848"/>
      <c r="BF329" s="838"/>
    </row>
    <row r="330" spans="1:58" s="57" customFormat="1" ht="54" hidden="1" customHeight="1" x14ac:dyDescent="0.25">
      <c r="A330" s="275" t="s">
        <v>1687</v>
      </c>
      <c r="B330" s="276">
        <v>95</v>
      </c>
      <c r="C330" s="253" t="s">
        <v>2135</v>
      </c>
      <c r="D330" s="253" t="s">
        <v>2136</v>
      </c>
      <c r="E330" s="276" t="s">
        <v>2508</v>
      </c>
      <c r="F330" s="277" t="s">
        <v>2509</v>
      </c>
      <c r="G330" s="277" t="s">
        <v>2510</v>
      </c>
      <c r="H330" s="279" t="s">
        <v>336</v>
      </c>
      <c r="I330" s="279" t="s">
        <v>337</v>
      </c>
      <c r="J330" s="278" t="s">
        <v>144</v>
      </c>
      <c r="K330" s="278" t="s">
        <v>144</v>
      </c>
      <c r="L330" s="718" t="s">
        <v>2511</v>
      </c>
      <c r="M330" s="253" t="s">
        <v>144</v>
      </c>
      <c r="N330" s="217" t="s">
        <v>144</v>
      </c>
      <c r="O330" s="253" t="s">
        <v>144</v>
      </c>
      <c r="P330" s="253" t="s">
        <v>144</v>
      </c>
      <c r="Q330" s="311" t="s">
        <v>338</v>
      </c>
      <c r="R330" s="218" t="s">
        <v>339</v>
      </c>
      <c r="S330" s="282" t="s">
        <v>147</v>
      </c>
      <c r="T330" s="229" t="s">
        <v>144</v>
      </c>
      <c r="U330" s="229" t="s">
        <v>144</v>
      </c>
      <c r="V330" s="278">
        <v>12</v>
      </c>
      <c r="W330" s="217" t="s">
        <v>144</v>
      </c>
      <c r="X330" s="221" t="s">
        <v>144</v>
      </c>
      <c r="Y330" s="221" t="s">
        <v>144</v>
      </c>
      <c r="Z330" s="221" t="s">
        <v>144</v>
      </c>
      <c r="AA330" s="253" t="s">
        <v>2512</v>
      </c>
      <c r="AB330" s="217" t="s">
        <v>144</v>
      </c>
      <c r="AC330" s="253" t="s">
        <v>265</v>
      </c>
      <c r="AD330" s="253" t="s">
        <v>144</v>
      </c>
      <c r="AE330" s="253" t="s">
        <v>144</v>
      </c>
      <c r="AF330" s="254" t="s">
        <v>144</v>
      </c>
      <c r="AG330" s="838"/>
      <c r="AH330" s="280"/>
      <c r="AI330" s="281"/>
      <c r="AJ330" s="253"/>
      <c r="AK330" s="878"/>
      <c r="AL330" s="281"/>
      <c r="AM330" s="281"/>
      <c r="AN330" s="253"/>
      <c r="AO330" s="254"/>
      <c r="AP330" s="281"/>
      <c r="AQ330" s="281"/>
      <c r="AR330" s="253"/>
      <c r="AS330" s="254"/>
      <c r="AT330" s="281"/>
      <c r="AU330" s="281"/>
      <c r="AV330" s="253"/>
      <c r="AW330" s="254"/>
      <c r="AX330" s="281"/>
      <c r="AY330" s="281"/>
      <c r="AZ330" s="253"/>
      <c r="BA330" s="254"/>
      <c r="BB330" s="280"/>
      <c r="BC330" s="281"/>
      <c r="BD330" s="253"/>
      <c r="BE330" s="254"/>
      <c r="BF330" s="838"/>
    </row>
    <row r="331" spans="1:58" s="88" customFormat="1" ht="54" hidden="1" customHeight="1" x14ac:dyDescent="0.25">
      <c r="A331" s="267" t="s">
        <v>1687</v>
      </c>
      <c r="B331" s="268">
        <v>96</v>
      </c>
      <c r="C331" s="240" t="s">
        <v>2513</v>
      </c>
      <c r="D331" s="270" t="s">
        <v>2514</v>
      </c>
      <c r="E331" s="268" t="s">
        <v>2515</v>
      </c>
      <c r="F331" s="861" t="s">
        <v>2516</v>
      </c>
      <c r="G331" s="269" t="s">
        <v>2517</v>
      </c>
      <c r="H331" s="845" t="s">
        <v>2518</v>
      </c>
      <c r="I331" s="269" t="s">
        <v>2519</v>
      </c>
      <c r="J331" s="296" t="s">
        <v>140</v>
      </c>
      <c r="K331" s="297" t="s">
        <v>140</v>
      </c>
      <c r="L331" s="862" t="s">
        <v>2520</v>
      </c>
      <c r="M331" s="847" t="s">
        <v>973</v>
      </c>
      <c r="N331" s="211" t="s">
        <v>974</v>
      </c>
      <c r="O331" s="240" t="s">
        <v>2521</v>
      </c>
      <c r="P331" s="240" t="s">
        <v>2522</v>
      </c>
      <c r="Q331" s="845" t="s">
        <v>2523</v>
      </c>
      <c r="R331" s="208" t="s">
        <v>2524</v>
      </c>
      <c r="S331" s="864" t="s">
        <v>147</v>
      </c>
      <c r="T331" s="212" t="s">
        <v>144</v>
      </c>
      <c r="U331" s="213" t="s">
        <v>144</v>
      </c>
      <c r="V331" s="847">
        <v>2</v>
      </c>
      <c r="W331" s="415" t="s">
        <v>144</v>
      </c>
      <c r="X331" s="212">
        <v>40</v>
      </c>
      <c r="Y331" s="212" t="s">
        <v>144</v>
      </c>
      <c r="Z331" s="433" t="s">
        <v>144</v>
      </c>
      <c r="AA331" s="437" t="s">
        <v>2525</v>
      </c>
      <c r="AB331" s="206" t="s">
        <v>140</v>
      </c>
      <c r="AC331" s="847" t="s">
        <v>265</v>
      </c>
      <c r="AD331" s="847" t="s">
        <v>2526</v>
      </c>
      <c r="AE331" s="847" t="s">
        <v>144</v>
      </c>
      <c r="AF331" s="848" t="s">
        <v>144</v>
      </c>
      <c r="AG331" s="838"/>
      <c r="AH331" s="866" t="s">
        <v>2527</v>
      </c>
      <c r="AI331" s="273" t="s">
        <v>2528</v>
      </c>
      <c r="AJ331" s="847" t="s">
        <v>1061</v>
      </c>
      <c r="AK331" s="878" t="s">
        <v>2529</v>
      </c>
      <c r="AL331" s="875" t="s">
        <v>294</v>
      </c>
      <c r="AM331" s="301" t="s">
        <v>295</v>
      </c>
      <c r="AN331" s="847">
        <v>7</v>
      </c>
      <c r="AO331" s="187" t="s">
        <v>966</v>
      </c>
      <c r="AP331" s="312"/>
      <c r="AQ331" s="313"/>
      <c r="AR331" s="289"/>
      <c r="AS331" s="314"/>
      <c r="AT331" s="867"/>
      <c r="AU331" s="273"/>
      <c r="AV331" s="847"/>
      <c r="AW331" s="848"/>
      <c r="AX331" s="867"/>
      <c r="AY331" s="273"/>
      <c r="AZ331" s="847"/>
      <c r="BA331" s="848"/>
      <c r="BB331" s="866"/>
      <c r="BC331" s="273"/>
      <c r="BD331" s="847"/>
      <c r="BE331" s="848"/>
      <c r="BF331" s="838"/>
    </row>
    <row r="332" spans="1:58" s="88" customFormat="1" ht="54" hidden="1" customHeight="1" x14ac:dyDescent="0.25">
      <c r="A332" s="267" t="s">
        <v>1687</v>
      </c>
      <c r="B332" s="268">
        <v>97</v>
      </c>
      <c r="C332" s="240" t="s">
        <v>2530</v>
      </c>
      <c r="D332" s="270" t="s">
        <v>2531</v>
      </c>
      <c r="E332" s="268" t="s">
        <v>2532</v>
      </c>
      <c r="F332" s="861" t="s">
        <v>2533</v>
      </c>
      <c r="G332" s="269" t="s">
        <v>2534</v>
      </c>
      <c r="H332" s="845" t="s">
        <v>2535</v>
      </c>
      <c r="I332" s="269" t="s">
        <v>2536</v>
      </c>
      <c r="J332" s="296" t="s">
        <v>140</v>
      </c>
      <c r="K332" s="297" t="s">
        <v>140</v>
      </c>
      <c r="L332" s="862" t="s">
        <v>2537</v>
      </c>
      <c r="M332" s="847" t="s">
        <v>973</v>
      </c>
      <c r="N332" s="211" t="s">
        <v>974</v>
      </c>
      <c r="O332" s="240" t="s">
        <v>2538</v>
      </c>
      <c r="P332" s="240" t="s">
        <v>2539</v>
      </c>
      <c r="Q332" s="845" t="s">
        <v>144</v>
      </c>
      <c r="R332" s="208" t="s">
        <v>144</v>
      </c>
      <c r="S332" s="864" t="s">
        <v>746</v>
      </c>
      <c r="T332" s="212" t="s">
        <v>144</v>
      </c>
      <c r="U332" s="213" t="s">
        <v>144</v>
      </c>
      <c r="V332" s="847">
        <v>1</v>
      </c>
      <c r="W332" s="415" t="s">
        <v>144</v>
      </c>
      <c r="X332" s="212">
        <v>40</v>
      </c>
      <c r="Y332" s="212" t="s">
        <v>144</v>
      </c>
      <c r="Z332" s="433" t="s">
        <v>144</v>
      </c>
      <c r="AA332" s="437" t="s">
        <v>2540</v>
      </c>
      <c r="AB332" s="206" t="s">
        <v>140</v>
      </c>
      <c r="AC332" s="847" t="s">
        <v>265</v>
      </c>
      <c r="AD332" s="847" t="s">
        <v>2541</v>
      </c>
      <c r="AE332" s="847" t="s">
        <v>144</v>
      </c>
      <c r="AF332" s="848" t="s">
        <v>144</v>
      </c>
      <c r="AG332" s="838"/>
      <c r="AH332" s="866" t="s">
        <v>2542</v>
      </c>
      <c r="AI332" s="273" t="s">
        <v>2543</v>
      </c>
      <c r="AJ332" s="847" t="s">
        <v>1724</v>
      </c>
      <c r="AK332" s="878" t="s">
        <v>2544</v>
      </c>
      <c r="AL332" s="867" t="s">
        <v>294</v>
      </c>
      <c r="AM332" s="273" t="s">
        <v>295</v>
      </c>
      <c r="AN332" s="847">
        <v>7</v>
      </c>
      <c r="AO332" s="187" t="s">
        <v>966</v>
      </c>
      <c r="AP332" s="867"/>
      <c r="AQ332" s="273"/>
      <c r="AR332" s="847"/>
      <c r="AS332" s="848"/>
      <c r="AT332" s="867"/>
      <c r="AU332" s="273"/>
      <c r="AV332" s="847"/>
      <c r="AW332" s="848"/>
      <c r="AX332" s="867"/>
      <c r="AY332" s="273"/>
      <c r="AZ332" s="847"/>
      <c r="BA332" s="848"/>
      <c r="BB332" s="866"/>
      <c r="BC332" s="273"/>
      <c r="BD332" s="847"/>
      <c r="BE332" s="848"/>
      <c r="BF332" s="838"/>
    </row>
    <row r="333" spans="1:58" s="88" customFormat="1" ht="54" hidden="1" customHeight="1" x14ac:dyDescent="0.25">
      <c r="A333" s="267" t="s">
        <v>1687</v>
      </c>
      <c r="B333" s="268">
        <v>98</v>
      </c>
      <c r="C333" s="240" t="s">
        <v>2530</v>
      </c>
      <c r="D333" s="270" t="s">
        <v>2531</v>
      </c>
      <c r="E333" s="268" t="s">
        <v>2545</v>
      </c>
      <c r="F333" s="861" t="s">
        <v>2546</v>
      </c>
      <c r="G333" s="269" t="s">
        <v>2547</v>
      </c>
      <c r="H333" s="845" t="s">
        <v>2546</v>
      </c>
      <c r="I333" s="269" t="s">
        <v>2548</v>
      </c>
      <c r="J333" s="296" t="s">
        <v>140</v>
      </c>
      <c r="K333" s="297" t="s">
        <v>140</v>
      </c>
      <c r="L333" s="862" t="s">
        <v>2549</v>
      </c>
      <c r="M333" s="847" t="s">
        <v>973</v>
      </c>
      <c r="N333" s="211" t="s">
        <v>974</v>
      </c>
      <c r="O333" s="240" t="s">
        <v>144</v>
      </c>
      <c r="P333" s="240" t="s">
        <v>144</v>
      </c>
      <c r="Q333" s="845" t="s">
        <v>2550</v>
      </c>
      <c r="R333" s="208" t="s">
        <v>2551</v>
      </c>
      <c r="S333" s="864" t="s">
        <v>746</v>
      </c>
      <c r="T333" s="212" t="s">
        <v>1104</v>
      </c>
      <c r="U333" s="213" t="s">
        <v>1105</v>
      </c>
      <c r="V333" s="847">
        <v>19</v>
      </c>
      <c r="W333" s="415" t="s">
        <v>144</v>
      </c>
      <c r="X333" s="212">
        <v>40</v>
      </c>
      <c r="Y333" s="212" t="s">
        <v>144</v>
      </c>
      <c r="Z333" s="212" t="s">
        <v>144</v>
      </c>
      <c r="AA333" s="240" t="s">
        <v>398</v>
      </c>
      <c r="AB333" s="206" t="s">
        <v>140</v>
      </c>
      <c r="AC333" s="847" t="s">
        <v>265</v>
      </c>
      <c r="AD333" s="847" t="s">
        <v>2552</v>
      </c>
      <c r="AE333" s="847" t="s">
        <v>144</v>
      </c>
      <c r="AF333" s="848" t="s">
        <v>144</v>
      </c>
      <c r="AG333" s="838"/>
      <c r="AH333" s="866" t="s">
        <v>2553</v>
      </c>
      <c r="AI333" s="273" t="s">
        <v>2554</v>
      </c>
      <c r="AJ333" s="847">
        <v>6</v>
      </c>
      <c r="AK333" s="878" t="s">
        <v>2555</v>
      </c>
      <c r="AL333" s="867"/>
      <c r="AM333" s="273"/>
      <c r="AN333" s="847"/>
      <c r="AO333" s="848"/>
      <c r="AP333" s="867"/>
      <c r="AQ333" s="273"/>
      <c r="AR333" s="847"/>
      <c r="AS333" s="848"/>
      <c r="AT333" s="867"/>
      <c r="AU333" s="273"/>
      <c r="AV333" s="847"/>
      <c r="AW333" s="848"/>
      <c r="AX333" s="867"/>
      <c r="AY333" s="273"/>
      <c r="AZ333" s="847"/>
      <c r="BA333" s="848"/>
      <c r="BB333" s="866"/>
      <c r="BC333" s="273"/>
      <c r="BD333" s="847"/>
      <c r="BE333" s="848"/>
      <c r="BF333" s="838"/>
    </row>
    <row r="334" spans="1:58" s="88" customFormat="1" ht="54" hidden="1" customHeight="1" x14ac:dyDescent="0.25">
      <c r="A334" s="267" t="s">
        <v>1687</v>
      </c>
      <c r="B334" s="268">
        <v>99</v>
      </c>
      <c r="C334" s="240" t="s">
        <v>2530</v>
      </c>
      <c r="D334" s="270" t="s">
        <v>2531</v>
      </c>
      <c r="E334" s="268" t="s">
        <v>2556</v>
      </c>
      <c r="F334" s="861" t="s">
        <v>2557</v>
      </c>
      <c r="G334" s="269" t="s">
        <v>2558</v>
      </c>
      <c r="H334" s="845" t="s">
        <v>2559</v>
      </c>
      <c r="I334" s="269" t="s">
        <v>2560</v>
      </c>
      <c r="J334" s="296" t="s">
        <v>140</v>
      </c>
      <c r="K334" s="297" t="s">
        <v>140</v>
      </c>
      <c r="L334" s="862" t="s">
        <v>2561</v>
      </c>
      <c r="M334" s="847" t="s">
        <v>973</v>
      </c>
      <c r="N334" s="211" t="s">
        <v>974</v>
      </c>
      <c r="O334" s="240" t="s">
        <v>814</v>
      </c>
      <c r="P334" s="240" t="s">
        <v>815</v>
      </c>
      <c r="Q334" s="845" t="s">
        <v>144</v>
      </c>
      <c r="R334" s="208" t="s">
        <v>144</v>
      </c>
      <c r="S334" s="864" t="s">
        <v>147</v>
      </c>
      <c r="T334" s="212" t="s">
        <v>144</v>
      </c>
      <c r="U334" s="213" t="s">
        <v>144</v>
      </c>
      <c r="V334" s="847">
        <v>3</v>
      </c>
      <c r="W334" s="415" t="s">
        <v>144</v>
      </c>
      <c r="X334" s="212">
        <v>40</v>
      </c>
      <c r="Y334" s="212" t="s">
        <v>144</v>
      </c>
      <c r="Z334" s="212" t="s">
        <v>144</v>
      </c>
      <c r="AA334" s="240" t="s">
        <v>2562</v>
      </c>
      <c r="AB334" s="206" t="s">
        <v>140</v>
      </c>
      <c r="AC334" s="847" t="s">
        <v>265</v>
      </c>
      <c r="AD334" s="847" t="s">
        <v>2552</v>
      </c>
      <c r="AE334" s="847" t="s">
        <v>144</v>
      </c>
      <c r="AF334" s="848" t="s">
        <v>144</v>
      </c>
      <c r="AG334" s="838"/>
      <c r="AH334" s="866" t="s">
        <v>2563</v>
      </c>
      <c r="AI334" s="273" t="s">
        <v>2564</v>
      </c>
      <c r="AJ334" s="847">
        <v>7</v>
      </c>
      <c r="AK334" s="878" t="s">
        <v>1280</v>
      </c>
      <c r="AL334" s="867" t="s">
        <v>294</v>
      </c>
      <c r="AM334" s="273" t="s">
        <v>295</v>
      </c>
      <c r="AN334" s="847">
        <v>7</v>
      </c>
      <c r="AO334" s="187" t="s">
        <v>966</v>
      </c>
      <c r="AP334" s="867"/>
      <c r="AQ334" s="273"/>
      <c r="AR334" s="847"/>
      <c r="AS334" s="848"/>
      <c r="AT334" s="867"/>
      <c r="AU334" s="273"/>
      <c r="AV334" s="847"/>
      <c r="AW334" s="848"/>
      <c r="AX334" s="867"/>
      <c r="AY334" s="273"/>
      <c r="AZ334" s="847"/>
      <c r="BA334" s="848"/>
      <c r="BB334" s="866"/>
      <c r="BC334" s="273"/>
      <c r="BD334" s="847"/>
      <c r="BE334" s="848"/>
      <c r="BF334" s="838"/>
    </row>
    <row r="335" spans="1:58" s="88" customFormat="1" ht="54" hidden="1" customHeight="1" x14ac:dyDescent="0.25">
      <c r="A335" s="267" t="s">
        <v>1687</v>
      </c>
      <c r="B335" s="268">
        <v>100</v>
      </c>
      <c r="C335" s="240" t="s">
        <v>2513</v>
      </c>
      <c r="D335" s="270" t="s">
        <v>2514</v>
      </c>
      <c r="E335" s="268" t="s">
        <v>2565</v>
      </c>
      <c r="F335" s="861" t="s">
        <v>2566</v>
      </c>
      <c r="G335" s="269" t="s">
        <v>2567</v>
      </c>
      <c r="H335" s="845" t="s">
        <v>2568</v>
      </c>
      <c r="I335" s="269" t="s">
        <v>2569</v>
      </c>
      <c r="J335" s="296" t="s">
        <v>140</v>
      </c>
      <c r="K335" s="297" t="s">
        <v>140</v>
      </c>
      <c r="L335" s="862" t="s">
        <v>2570</v>
      </c>
      <c r="M335" s="847" t="s">
        <v>973</v>
      </c>
      <c r="N335" s="211" t="s">
        <v>974</v>
      </c>
      <c r="O335" s="240" t="s">
        <v>2571</v>
      </c>
      <c r="P335" s="240" t="s">
        <v>2572</v>
      </c>
      <c r="Q335" s="845" t="s">
        <v>2573</v>
      </c>
      <c r="R335" s="208" t="s">
        <v>2574</v>
      </c>
      <c r="S335" s="864" t="s">
        <v>147</v>
      </c>
      <c r="T335" s="212" t="s">
        <v>144</v>
      </c>
      <c r="U335" s="213" t="s">
        <v>144</v>
      </c>
      <c r="V335" s="847">
        <v>1</v>
      </c>
      <c r="W335" s="415" t="s">
        <v>144</v>
      </c>
      <c r="X335" s="212">
        <v>40</v>
      </c>
      <c r="Y335" s="212" t="s">
        <v>144</v>
      </c>
      <c r="Z335" s="241" t="s">
        <v>144</v>
      </c>
      <c r="AA335" s="437" t="s">
        <v>2575</v>
      </c>
      <c r="AB335" s="206" t="s">
        <v>140</v>
      </c>
      <c r="AC335" s="847" t="s">
        <v>265</v>
      </c>
      <c r="AD335" s="847" t="s">
        <v>2576</v>
      </c>
      <c r="AE335" s="847" t="s">
        <v>144</v>
      </c>
      <c r="AF335" s="848" t="s">
        <v>144</v>
      </c>
      <c r="AG335" s="838"/>
      <c r="AH335" s="866" t="s">
        <v>2577</v>
      </c>
      <c r="AI335" s="273" t="s">
        <v>2578</v>
      </c>
      <c r="AJ335" s="847">
        <v>6</v>
      </c>
      <c r="AK335" s="878" t="s">
        <v>2579</v>
      </c>
      <c r="AL335" s="875" t="s">
        <v>294</v>
      </c>
      <c r="AM335" s="301" t="s">
        <v>295</v>
      </c>
      <c r="AN335" s="847">
        <v>7</v>
      </c>
      <c r="AO335" s="187" t="s">
        <v>966</v>
      </c>
      <c r="AP335" s="867"/>
      <c r="AQ335" s="273"/>
      <c r="AR335" s="847"/>
      <c r="AS335" s="848"/>
      <c r="AT335" s="867"/>
      <c r="AU335" s="273"/>
      <c r="AV335" s="847"/>
      <c r="AW335" s="848"/>
      <c r="AX335" s="867"/>
      <c r="AY335" s="273"/>
      <c r="AZ335" s="847"/>
      <c r="BA335" s="848"/>
      <c r="BB335" s="866"/>
      <c r="BC335" s="273"/>
      <c r="BD335" s="847"/>
      <c r="BE335" s="848"/>
      <c r="BF335" s="838"/>
    </row>
    <row r="336" spans="1:58" s="114" customFormat="1" ht="54" hidden="1" customHeight="1" x14ac:dyDescent="0.25">
      <c r="A336" s="267" t="s">
        <v>1687</v>
      </c>
      <c r="B336" s="268">
        <v>101</v>
      </c>
      <c r="C336" s="240" t="s">
        <v>684</v>
      </c>
      <c r="D336" s="270" t="s">
        <v>685</v>
      </c>
      <c r="E336" s="268" t="s">
        <v>2580</v>
      </c>
      <c r="F336" s="299" t="s">
        <v>2581</v>
      </c>
      <c r="G336" s="269" t="s">
        <v>2582</v>
      </c>
      <c r="H336" s="845" t="s">
        <v>2583</v>
      </c>
      <c r="I336" s="269" t="s">
        <v>2584</v>
      </c>
      <c r="J336" s="296" t="s">
        <v>140</v>
      </c>
      <c r="K336" s="297" t="s">
        <v>140</v>
      </c>
      <c r="L336" s="721" t="s">
        <v>2585</v>
      </c>
      <c r="M336" s="206" t="s">
        <v>1821</v>
      </c>
      <c r="N336" s="211" t="s">
        <v>1822</v>
      </c>
      <c r="O336" s="240" t="s">
        <v>144</v>
      </c>
      <c r="P336" s="240" t="s">
        <v>144</v>
      </c>
      <c r="Q336" s="209" t="s">
        <v>2586</v>
      </c>
      <c r="R336" s="210" t="s">
        <v>2587</v>
      </c>
      <c r="S336" s="268" t="s">
        <v>147</v>
      </c>
      <c r="T336" s="212" t="s">
        <v>144</v>
      </c>
      <c r="U336" s="213" t="s">
        <v>144</v>
      </c>
      <c r="V336" s="240">
        <v>20</v>
      </c>
      <c r="W336" s="206" t="s">
        <v>144</v>
      </c>
      <c r="X336" s="212" t="s">
        <v>144</v>
      </c>
      <c r="Y336" s="212" t="s">
        <v>144</v>
      </c>
      <c r="Z336" s="212" t="s">
        <v>144</v>
      </c>
      <c r="AA336" s="240" t="s">
        <v>2588</v>
      </c>
      <c r="AB336" s="206" t="s">
        <v>140</v>
      </c>
      <c r="AC336" s="240" t="s">
        <v>265</v>
      </c>
      <c r="AD336" s="240" t="s">
        <v>144</v>
      </c>
      <c r="AE336" s="240" t="s">
        <v>144</v>
      </c>
      <c r="AF336" s="295" t="s">
        <v>144</v>
      </c>
      <c r="AG336" s="680"/>
      <c r="AH336" s="291"/>
      <c r="AI336" s="292"/>
      <c r="AJ336" s="240"/>
      <c r="AK336" s="878"/>
      <c r="AL336" s="292"/>
      <c r="AM336" s="292"/>
      <c r="AN336" s="240"/>
      <c r="AO336" s="295"/>
      <c r="AP336" s="292"/>
      <c r="AQ336" s="292"/>
      <c r="AR336" s="240"/>
      <c r="AS336" s="295"/>
      <c r="AT336" s="292"/>
      <c r="AU336" s="292"/>
      <c r="AV336" s="240"/>
      <c r="AW336" s="295"/>
      <c r="AX336" s="292"/>
      <c r="AY336" s="292"/>
      <c r="AZ336" s="240"/>
      <c r="BA336" s="295"/>
      <c r="BB336" s="291"/>
      <c r="BC336" s="292"/>
      <c r="BD336" s="240"/>
      <c r="BE336" s="295"/>
      <c r="BF336" s="838"/>
    </row>
    <row r="337" spans="1:58" s="88" customFormat="1" ht="54" hidden="1" customHeight="1" x14ac:dyDescent="0.25">
      <c r="A337" s="267" t="s">
        <v>1687</v>
      </c>
      <c r="B337" s="268">
        <v>102</v>
      </c>
      <c r="C337" s="240" t="s">
        <v>2530</v>
      </c>
      <c r="D337" s="270" t="s">
        <v>2531</v>
      </c>
      <c r="E337" s="268" t="s">
        <v>2589</v>
      </c>
      <c r="F337" s="249" t="s">
        <v>2590</v>
      </c>
      <c r="G337" s="329" t="s">
        <v>2591</v>
      </c>
      <c r="H337" s="861" t="s">
        <v>2402</v>
      </c>
      <c r="I337" s="269" t="s">
        <v>2403</v>
      </c>
      <c r="J337" s="240" t="s">
        <v>140</v>
      </c>
      <c r="K337" s="270" t="s">
        <v>140</v>
      </c>
      <c r="L337" s="862" t="s">
        <v>2592</v>
      </c>
      <c r="M337" s="847" t="s">
        <v>973</v>
      </c>
      <c r="N337" s="270" t="s">
        <v>974</v>
      </c>
      <c r="O337" s="240" t="s">
        <v>144</v>
      </c>
      <c r="P337" s="240" t="s">
        <v>144</v>
      </c>
      <c r="Q337" s="845" t="s">
        <v>2593</v>
      </c>
      <c r="R337" s="208" t="s">
        <v>2594</v>
      </c>
      <c r="S337" s="864" t="s">
        <v>746</v>
      </c>
      <c r="T337" s="212" t="s">
        <v>1104</v>
      </c>
      <c r="U337" s="213" t="s">
        <v>1105</v>
      </c>
      <c r="V337" s="847">
        <v>19</v>
      </c>
      <c r="W337" s="415" t="s">
        <v>144</v>
      </c>
      <c r="X337" s="212">
        <v>40</v>
      </c>
      <c r="Y337" s="212" t="s">
        <v>144</v>
      </c>
      <c r="Z337" s="241" t="s">
        <v>25</v>
      </c>
      <c r="AA337" s="407" t="s">
        <v>2595</v>
      </c>
      <c r="AB337" s="206" t="s">
        <v>140</v>
      </c>
      <c r="AC337" s="847" t="s">
        <v>265</v>
      </c>
      <c r="AD337" s="847" t="s">
        <v>2541</v>
      </c>
      <c r="AE337" s="847" t="s">
        <v>144</v>
      </c>
      <c r="AF337" s="848" t="s">
        <v>144</v>
      </c>
      <c r="AG337" s="838"/>
      <c r="AH337" s="877" t="s">
        <v>2596</v>
      </c>
      <c r="AI337" s="273" t="s">
        <v>2597</v>
      </c>
      <c r="AJ337" s="847">
        <v>7</v>
      </c>
      <c r="AK337" s="878" t="s">
        <v>2598</v>
      </c>
      <c r="AL337" s="867"/>
      <c r="AM337" s="273"/>
      <c r="AN337" s="847"/>
      <c r="AO337" s="848"/>
      <c r="AP337" s="867"/>
      <c r="AQ337" s="273"/>
      <c r="AR337" s="847"/>
      <c r="AS337" s="848"/>
      <c r="AT337" s="867"/>
      <c r="AU337" s="273"/>
      <c r="AV337" s="847"/>
      <c r="AW337" s="848"/>
      <c r="AX337" s="867"/>
      <c r="AY337" s="273"/>
      <c r="AZ337" s="847"/>
      <c r="BA337" s="848"/>
      <c r="BB337" s="866"/>
      <c r="BC337" s="273"/>
      <c r="BD337" s="847"/>
      <c r="BE337" s="848"/>
      <c r="BF337" s="838"/>
    </row>
    <row r="338" spans="1:58" s="88" customFormat="1" ht="54" hidden="1" customHeight="1" x14ac:dyDescent="0.25">
      <c r="A338" s="267" t="s">
        <v>1687</v>
      </c>
      <c r="B338" s="268">
        <v>103</v>
      </c>
      <c r="C338" s="240" t="s">
        <v>2530</v>
      </c>
      <c r="D338" s="270" t="s">
        <v>2531</v>
      </c>
      <c r="E338" s="268" t="s">
        <v>2599</v>
      </c>
      <c r="F338" s="249" t="s">
        <v>2600</v>
      </c>
      <c r="G338" s="135" t="s">
        <v>2601</v>
      </c>
      <c r="H338" s="328" t="s">
        <v>2600</v>
      </c>
      <c r="I338" s="329" t="s">
        <v>2602</v>
      </c>
      <c r="J338" s="296" t="s">
        <v>140</v>
      </c>
      <c r="K338" s="297" t="s">
        <v>140</v>
      </c>
      <c r="L338" s="862" t="s">
        <v>2603</v>
      </c>
      <c r="M338" s="847" t="s">
        <v>973</v>
      </c>
      <c r="N338" s="211" t="s">
        <v>974</v>
      </c>
      <c r="O338" s="240" t="s">
        <v>814</v>
      </c>
      <c r="P338" s="240" t="s">
        <v>815</v>
      </c>
      <c r="Q338" s="845" t="s">
        <v>144</v>
      </c>
      <c r="R338" s="208" t="s">
        <v>144</v>
      </c>
      <c r="S338" s="864" t="s">
        <v>147</v>
      </c>
      <c r="T338" s="212" t="s">
        <v>144</v>
      </c>
      <c r="U338" s="213" t="s">
        <v>144</v>
      </c>
      <c r="V338" s="847">
        <v>3</v>
      </c>
      <c r="W338" s="415" t="s">
        <v>144</v>
      </c>
      <c r="X338" s="212">
        <v>40</v>
      </c>
      <c r="Y338" s="212" t="s">
        <v>144</v>
      </c>
      <c r="Z338" s="433" t="s">
        <v>25</v>
      </c>
      <c r="AA338" s="407" t="s">
        <v>2604</v>
      </c>
      <c r="AB338" s="206" t="s">
        <v>140</v>
      </c>
      <c r="AC338" s="847" t="s">
        <v>265</v>
      </c>
      <c r="AD338" s="847" t="s">
        <v>2541</v>
      </c>
      <c r="AE338" s="847" t="s">
        <v>144</v>
      </c>
      <c r="AF338" s="848" t="s">
        <v>144</v>
      </c>
      <c r="AG338" s="838"/>
      <c r="AH338" s="866" t="s">
        <v>2605</v>
      </c>
      <c r="AI338" s="273" t="s">
        <v>2606</v>
      </c>
      <c r="AJ338" s="847">
        <v>7</v>
      </c>
      <c r="AK338" s="878" t="s">
        <v>1280</v>
      </c>
      <c r="AL338" s="867" t="s">
        <v>294</v>
      </c>
      <c r="AM338" s="273" t="s">
        <v>295</v>
      </c>
      <c r="AN338" s="847">
        <v>7</v>
      </c>
      <c r="AO338" s="187" t="s">
        <v>966</v>
      </c>
      <c r="AP338" s="867"/>
      <c r="AQ338" s="273"/>
      <c r="AR338" s="847"/>
      <c r="AS338" s="848"/>
      <c r="AT338" s="867"/>
      <c r="AU338" s="273"/>
      <c r="AV338" s="847"/>
      <c r="AW338" s="848"/>
      <c r="AX338" s="867"/>
      <c r="AY338" s="273"/>
      <c r="AZ338" s="847"/>
      <c r="BA338" s="848"/>
      <c r="BB338" s="866"/>
      <c r="BC338" s="273"/>
      <c r="BD338" s="847"/>
      <c r="BE338" s="848"/>
      <c r="BF338" s="838"/>
    </row>
    <row r="339" spans="1:58" s="57" customFormat="1" ht="54" hidden="1" customHeight="1" x14ac:dyDescent="0.25">
      <c r="A339" s="275" t="s">
        <v>1687</v>
      </c>
      <c r="B339" s="276">
        <v>104</v>
      </c>
      <c r="C339" s="253" t="s">
        <v>2135</v>
      </c>
      <c r="D339" s="253" t="s">
        <v>2136</v>
      </c>
      <c r="E339" s="276" t="s">
        <v>2607</v>
      </c>
      <c r="F339" s="277" t="s">
        <v>2608</v>
      </c>
      <c r="G339" s="277" t="s">
        <v>2609</v>
      </c>
      <c r="H339" s="279" t="s">
        <v>336</v>
      </c>
      <c r="I339" s="279" t="s">
        <v>337</v>
      </c>
      <c r="J339" s="278" t="s">
        <v>144</v>
      </c>
      <c r="K339" s="278" t="s">
        <v>144</v>
      </c>
      <c r="L339" s="718" t="s">
        <v>2610</v>
      </c>
      <c r="M339" s="253" t="s">
        <v>144</v>
      </c>
      <c r="N339" s="217" t="s">
        <v>144</v>
      </c>
      <c r="O339" s="253" t="s">
        <v>144</v>
      </c>
      <c r="P339" s="253" t="s">
        <v>144</v>
      </c>
      <c r="Q339" s="311" t="s">
        <v>338</v>
      </c>
      <c r="R339" s="218" t="s">
        <v>339</v>
      </c>
      <c r="S339" s="282" t="s">
        <v>147</v>
      </c>
      <c r="T339" s="229" t="s">
        <v>144</v>
      </c>
      <c r="U339" s="229" t="s">
        <v>144</v>
      </c>
      <c r="V339" s="278">
        <v>12</v>
      </c>
      <c r="W339" s="217" t="s">
        <v>144</v>
      </c>
      <c r="X339" s="221" t="s">
        <v>144</v>
      </c>
      <c r="Y339" s="221" t="s">
        <v>144</v>
      </c>
      <c r="Z339" s="221" t="s">
        <v>144</v>
      </c>
      <c r="AA339" s="253" t="s">
        <v>144</v>
      </c>
      <c r="AB339" s="217" t="s">
        <v>144</v>
      </c>
      <c r="AC339" s="253" t="s">
        <v>265</v>
      </c>
      <c r="AD339" s="253" t="s">
        <v>144</v>
      </c>
      <c r="AE339" s="253" t="s">
        <v>144</v>
      </c>
      <c r="AF339" s="254" t="s">
        <v>144</v>
      </c>
      <c r="AG339" s="838"/>
      <c r="AH339" s="280"/>
      <c r="AI339" s="281"/>
      <c r="AJ339" s="253"/>
      <c r="AK339" s="878"/>
      <c r="AL339" s="281"/>
      <c r="AM339" s="281"/>
      <c r="AN339" s="253"/>
      <c r="AO339" s="254"/>
      <c r="AP339" s="281"/>
      <c r="AQ339" s="281"/>
      <c r="AR339" s="253"/>
      <c r="AS339" s="254"/>
      <c r="AT339" s="281"/>
      <c r="AU339" s="281"/>
      <c r="AV339" s="253"/>
      <c r="AW339" s="254"/>
      <c r="AX339" s="281"/>
      <c r="AY339" s="281"/>
      <c r="AZ339" s="253"/>
      <c r="BA339" s="254"/>
      <c r="BB339" s="280"/>
      <c r="BC339" s="281"/>
      <c r="BD339" s="253"/>
      <c r="BE339" s="254"/>
      <c r="BF339" s="838"/>
    </row>
    <row r="340" spans="1:58" s="88" customFormat="1" ht="54" hidden="1" customHeight="1" x14ac:dyDescent="0.25">
      <c r="A340" s="267" t="s">
        <v>1687</v>
      </c>
      <c r="B340" s="268">
        <v>105</v>
      </c>
      <c r="C340" s="240" t="s">
        <v>2530</v>
      </c>
      <c r="D340" s="270" t="s">
        <v>2531</v>
      </c>
      <c r="E340" s="268" t="s">
        <v>2611</v>
      </c>
      <c r="F340" s="861" t="s">
        <v>2612</v>
      </c>
      <c r="G340" s="269" t="s">
        <v>2613</v>
      </c>
      <c r="H340" s="845" t="s">
        <v>2614</v>
      </c>
      <c r="I340" s="269" t="s">
        <v>2615</v>
      </c>
      <c r="J340" s="296" t="s">
        <v>140</v>
      </c>
      <c r="K340" s="297" t="s">
        <v>140</v>
      </c>
      <c r="L340" s="862" t="s">
        <v>2616</v>
      </c>
      <c r="M340" s="847" t="s">
        <v>973</v>
      </c>
      <c r="N340" s="211" t="s">
        <v>974</v>
      </c>
      <c r="O340" s="240" t="s">
        <v>2617</v>
      </c>
      <c r="P340" s="240" t="s">
        <v>2618</v>
      </c>
      <c r="Q340" s="845" t="s">
        <v>144</v>
      </c>
      <c r="R340" s="208" t="s">
        <v>144</v>
      </c>
      <c r="S340" s="864" t="s">
        <v>147</v>
      </c>
      <c r="T340" s="212" t="s">
        <v>144</v>
      </c>
      <c r="U340" s="213" t="s">
        <v>144</v>
      </c>
      <c r="V340" s="847">
        <v>1</v>
      </c>
      <c r="W340" s="415" t="s">
        <v>144</v>
      </c>
      <c r="X340" s="212">
        <v>40</v>
      </c>
      <c r="Y340" s="212" t="s">
        <v>144</v>
      </c>
      <c r="Z340" s="252" t="s">
        <v>144</v>
      </c>
      <c r="AA340" s="240" t="s">
        <v>1633</v>
      </c>
      <c r="AB340" s="206" t="s">
        <v>140</v>
      </c>
      <c r="AC340" s="847" t="s">
        <v>265</v>
      </c>
      <c r="AD340" s="847" t="s">
        <v>2541</v>
      </c>
      <c r="AE340" s="847" t="s">
        <v>144</v>
      </c>
      <c r="AF340" s="848" t="s">
        <v>144</v>
      </c>
      <c r="AG340" s="838"/>
      <c r="AH340" s="877" t="s">
        <v>2596</v>
      </c>
      <c r="AI340" s="273" t="s">
        <v>2597</v>
      </c>
      <c r="AJ340" s="847">
        <v>6</v>
      </c>
      <c r="AK340" s="878" t="s">
        <v>2598</v>
      </c>
      <c r="AL340" s="867" t="s">
        <v>294</v>
      </c>
      <c r="AM340" s="273" t="s">
        <v>295</v>
      </c>
      <c r="AN340" s="847">
        <v>7</v>
      </c>
      <c r="AO340" s="187" t="s">
        <v>966</v>
      </c>
      <c r="AP340" s="867"/>
      <c r="AQ340" s="273"/>
      <c r="AR340" s="847"/>
      <c r="AS340" s="848"/>
      <c r="AT340" s="867"/>
      <c r="AU340" s="273"/>
      <c r="AV340" s="847"/>
      <c r="AW340" s="848"/>
      <c r="AX340" s="867"/>
      <c r="AY340" s="273"/>
      <c r="AZ340" s="847"/>
      <c r="BA340" s="848"/>
      <c r="BB340" s="866"/>
      <c r="BC340" s="273"/>
      <c r="BD340" s="847"/>
      <c r="BE340" s="848"/>
      <c r="BF340" s="838"/>
    </row>
    <row r="341" spans="1:58" s="88" customFormat="1" ht="54" hidden="1" customHeight="1" x14ac:dyDescent="0.25">
      <c r="A341" s="267" t="s">
        <v>1687</v>
      </c>
      <c r="B341" s="268">
        <v>106</v>
      </c>
      <c r="C341" s="240" t="s">
        <v>2530</v>
      </c>
      <c r="D341" s="270" t="s">
        <v>2531</v>
      </c>
      <c r="E341" s="268" t="s">
        <v>2619</v>
      </c>
      <c r="F341" s="861" t="s">
        <v>2620</v>
      </c>
      <c r="G341" s="269" t="s">
        <v>2621</v>
      </c>
      <c r="H341" s="845" t="s">
        <v>2622</v>
      </c>
      <c r="I341" s="269" t="s">
        <v>2623</v>
      </c>
      <c r="J341" s="296" t="s">
        <v>140</v>
      </c>
      <c r="K341" s="297" t="s">
        <v>140</v>
      </c>
      <c r="L341" s="862" t="s">
        <v>2624</v>
      </c>
      <c r="M341" s="847" t="s">
        <v>973</v>
      </c>
      <c r="N341" s="211" t="s">
        <v>974</v>
      </c>
      <c r="O341" s="240" t="s">
        <v>2625</v>
      </c>
      <c r="P341" s="240" t="s">
        <v>2626</v>
      </c>
      <c r="Q341" s="845" t="s">
        <v>2627</v>
      </c>
      <c r="R341" s="208" t="s">
        <v>2628</v>
      </c>
      <c r="S341" s="864" t="s">
        <v>147</v>
      </c>
      <c r="T341" s="212" t="s">
        <v>144</v>
      </c>
      <c r="U341" s="213" t="s">
        <v>144</v>
      </c>
      <c r="V341" s="847">
        <v>1</v>
      </c>
      <c r="W341" s="415" t="s">
        <v>144</v>
      </c>
      <c r="X341" s="212">
        <v>40</v>
      </c>
      <c r="Y341" s="212" t="s">
        <v>144</v>
      </c>
      <c r="Z341" s="433" t="s">
        <v>144</v>
      </c>
      <c r="AA341" s="437" t="s">
        <v>2629</v>
      </c>
      <c r="AB341" s="206" t="s">
        <v>140</v>
      </c>
      <c r="AC341" s="847" t="s">
        <v>265</v>
      </c>
      <c r="AD341" s="847" t="s">
        <v>2630</v>
      </c>
      <c r="AE341" s="847" t="s">
        <v>144</v>
      </c>
      <c r="AF341" s="848" t="s">
        <v>144</v>
      </c>
      <c r="AG341" s="838"/>
      <c r="AH341" s="866" t="s">
        <v>2631</v>
      </c>
      <c r="AI341" s="273" t="s">
        <v>2632</v>
      </c>
      <c r="AJ341" s="847">
        <v>7</v>
      </c>
      <c r="AK341" s="878" t="s">
        <v>2633</v>
      </c>
      <c r="AL341" s="867" t="s">
        <v>294</v>
      </c>
      <c r="AM341" s="273" t="s">
        <v>295</v>
      </c>
      <c r="AN341" s="847">
        <v>7</v>
      </c>
      <c r="AO341" s="187" t="s">
        <v>966</v>
      </c>
      <c r="AP341" s="867"/>
      <c r="AQ341" s="273"/>
      <c r="AR341" s="847"/>
      <c r="AS341" s="848"/>
      <c r="AT341" s="867"/>
      <c r="AU341" s="273"/>
      <c r="AV341" s="847"/>
      <c r="AW341" s="848"/>
      <c r="AX341" s="867"/>
      <c r="AY341" s="273"/>
      <c r="AZ341" s="847"/>
      <c r="BA341" s="848"/>
      <c r="BB341" s="866"/>
      <c r="BC341" s="273"/>
      <c r="BD341" s="847"/>
      <c r="BE341" s="848"/>
      <c r="BF341" s="838"/>
    </row>
    <row r="342" spans="1:58" s="88" customFormat="1" ht="54" hidden="1" customHeight="1" x14ac:dyDescent="0.25">
      <c r="A342" s="267" t="s">
        <v>1687</v>
      </c>
      <c r="B342" s="268">
        <v>107</v>
      </c>
      <c r="C342" s="240" t="s">
        <v>256</v>
      </c>
      <c r="D342" s="270" t="s">
        <v>257</v>
      </c>
      <c r="E342" s="268" t="s">
        <v>2634</v>
      </c>
      <c r="F342" s="861" t="s">
        <v>2635</v>
      </c>
      <c r="G342" s="269" t="s">
        <v>2636</v>
      </c>
      <c r="H342" s="845" t="s">
        <v>2637</v>
      </c>
      <c r="I342" s="269" t="s">
        <v>2638</v>
      </c>
      <c r="J342" s="296" t="s">
        <v>140</v>
      </c>
      <c r="K342" s="297" t="s">
        <v>140</v>
      </c>
      <c r="L342" s="862" t="s">
        <v>2639</v>
      </c>
      <c r="M342" s="847" t="s">
        <v>973</v>
      </c>
      <c r="N342" s="211" t="s">
        <v>974</v>
      </c>
      <c r="O342" s="240" t="s">
        <v>144</v>
      </c>
      <c r="P342" s="240" t="s">
        <v>144</v>
      </c>
      <c r="Q342" s="845" t="s">
        <v>2640</v>
      </c>
      <c r="R342" s="208" t="s">
        <v>2641</v>
      </c>
      <c r="S342" s="864" t="s">
        <v>147</v>
      </c>
      <c r="T342" s="212" t="s">
        <v>144</v>
      </c>
      <c r="U342" s="213" t="s">
        <v>144</v>
      </c>
      <c r="V342" s="847">
        <v>25</v>
      </c>
      <c r="W342" s="415" t="s">
        <v>144</v>
      </c>
      <c r="X342" s="212">
        <v>40</v>
      </c>
      <c r="Y342" s="212" t="s">
        <v>144</v>
      </c>
      <c r="Z342" s="241" t="s">
        <v>144</v>
      </c>
      <c r="AA342" s="437" t="s">
        <v>2642</v>
      </c>
      <c r="AB342" s="206" t="s">
        <v>140</v>
      </c>
      <c r="AC342" s="847" t="s">
        <v>265</v>
      </c>
      <c r="AD342" s="847" t="s">
        <v>2643</v>
      </c>
      <c r="AE342" s="847" t="s">
        <v>144</v>
      </c>
      <c r="AF342" s="848" t="s">
        <v>144</v>
      </c>
      <c r="AG342" s="838"/>
      <c r="AH342" s="866" t="s">
        <v>2644</v>
      </c>
      <c r="AI342" s="273" t="s">
        <v>2645</v>
      </c>
      <c r="AJ342" s="847">
        <v>7</v>
      </c>
      <c r="AK342" s="878" t="s">
        <v>2646</v>
      </c>
      <c r="AL342" s="867"/>
      <c r="AM342" s="273"/>
      <c r="AN342" s="847"/>
      <c r="AO342" s="848"/>
      <c r="AP342" s="867"/>
      <c r="AQ342" s="273"/>
      <c r="AR342" s="847"/>
      <c r="AS342" s="848"/>
      <c r="AT342" s="867"/>
      <c r="AU342" s="273"/>
      <c r="AV342" s="847"/>
      <c r="AW342" s="848"/>
      <c r="AX342" s="867"/>
      <c r="AY342" s="273"/>
      <c r="AZ342" s="847"/>
      <c r="BA342" s="848"/>
      <c r="BB342" s="866"/>
      <c r="BC342" s="273"/>
      <c r="BD342" s="847"/>
      <c r="BE342" s="848"/>
      <c r="BF342" s="838"/>
    </row>
    <row r="343" spans="1:58" s="88" customFormat="1" ht="54" hidden="1" customHeight="1" x14ac:dyDescent="0.25">
      <c r="A343" s="267" t="s">
        <v>1687</v>
      </c>
      <c r="B343" s="268">
        <v>108</v>
      </c>
      <c r="C343" s="240" t="s">
        <v>2530</v>
      </c>
      <c r="D343" s="270" t="s">
        <v>2531</v>
      </c>
      <c r="E343" s="268" t="s">
        <v>2647</v>
      </c>
      <c r="F343" s="299" t="s">
        <v>2648</v>
      </c>
      <c r="G343" s="269" t="s">
        <v>2649</v>
      </c>
      <c r="H343" s="207" t="s">
        <v>2650</v>
      </c>
      <c r="I343" s="269" t="s">
        <v>2651</v>
      </c>
      <c r="J343" s="296" t="s">
        <v>140</v>
      </c>
      <c r="K343" s="297" t="s">
        <v>140</v>
      </c>
      <c r="L343" s="862" t="s">
        <v>2652</v>
      </c>
      <c r="M343" s="847" t="s">
        <v>973</v>
      </c>
      <c r="N343" s="211" t="s">
        <v>974</v>
      </c>
      <c r="O343" s="240" t="s">
        <v>2653</v>
      </c>
      <c r="P343" s="240" t="s">
        <v>2654</v>
      </c>
      <c r="Q343" s="249" t="s">
        <v>2655</v>
      </c>
      <c r="R343" s="135" t="s">
        <v>2656</v>
      </c>
      <c r="S343" s="864" t="s">
        <v>147</v>
      </c>
      <c r="T343" s="212" t="s">
        <v>144</v>
      </c>
      <c r="U343" s="213" t="s">
        <v>144</v>
      </c>
      <c r="V343" s="847">
        <v>1</v>
      </c>
      <c r="W343" s="415" t="s">
        <v>144</v>
      </c>
      <c r="X343" s="212">
        <v>40</v>
      </c>
      <c r="Y343" s="212" t="s">
        <v>144</v>
      </c>
      <c r="Z343" s="433" t="s">
        <v>25</v>
      </c>
      <c r="AA343" s="407" t="s">
        <v>2657</v>
      </c>
      <c r="AB343" s="206" t="s">
        <v>140</v>
      </c>
      <c r="AC343" s="847" t="s">
        <v>265</v>
      </c>
      <c r="AD343" s="847" t="s">
        <v>2630</v>
      </c>
      <c r="AE343" s="847" t="s">
        <v>144</v>
      </c>
      <c r="AF343" s="848" t="s">
        <v>144</v>
      </c>
      <c r="AG343" s="838"/>
      <c r="AH343" s="866" t="s">
        <v>2631</v>
      </c>
      <c r="AI343" s="273" t="s">
        <v>2632</v>
      </c>
      <c r="AJ343" s="847">
        <v>7</v>
      </c>
      <c r="AK343" s="878" t="s">
        <v>2633</v>
      </c>
      <c r="AL343" s="867" t="s">
        <v>294</v>
      </c>
      <c r="AM343" s="273" t="s">
        <v>295</v>
      </c>
      <c r="AN343" s="847">
        <v>7</v>
      </c>
      <c r="AO343" s="187" t="s">
        <v>966</v>
      </c>
      <c r="AP343" s="867"/>
      <c r="AQ343" s="273"/>
      <c r="AR343" s="847"/>
      <c r="AS343" s="848"/>
      <c r="AT343" s="867"/>
      <c r="AU343" s="273"/>
      <c r="AV343" s="847"/>
      <c r="AW343" s="848"/>
      <c r="AX343" s="867"/>
      <c r="AY343" s="273"/>
      <c r="AZ343" s="847"/>
      <c r="BA343" s="848"/>
      <c r="BB343" s="866"/>
      <c r="BC343" s="273"/>
      <c r="BD343" s="847"/>
      <c r="BE343" s="848"/>
      <c r="BF343" s="838"/>
    </row>
    <row r="344" spans="1:58" s="88" customFormat="1" ht="54" hidden="1" customHeight="1" x14ac:dyDescent="0.25">
      <c r="A344" s="267" t="s">
        <v>1687</v>
      </c>
      <c r="B344" s="268">
        <v>109</v>
      </c>
      <c r="C344" s="240" t="s">
        <v>256</v>
      </c>
      <c r="D344" s="270" t="s">
        <v>257</v>
      </c>
      <c r="E344" s="268" t="s">
        <v>2658</v>
      </c>
      <c r="F344" s="299" t="s">
        <v>2659</v>
      </c>
      <c r="G344" s="269" t="s">
        <v>2660</v>
      </c>
      <c r="H344" s="207" t="s">
        <v>2661</v>
      </c>
      <c r="I344" s="269" t="s">
        <v>2662</v>
      </c>
      <c r="J344" s="296" t="s">
        <v>140</v>
      </c>
      <c r="K344" s="297" t="s">
        <v>140</v>
      </c>
      <c r="L344" s="862" t="s">
        <v>2663</v>
      </c>
      <c r="M344" s="847" t="s">
        <v>973</v>
      </c>
      <c r="N344" s="211" t="s">
        <v>974</v>
      </c>
      <c r="O344" s="240" t="s">
        <v>144</v>
      </c>
      <c r="P344" s="240" t="s">
        <v>144</v>
      </c>
      <c r="Q344" s="249" t="s">
        <v>2664</v>
      </c>
      <c r="R344" s="135" t="s">
        <v>2665</v>
      </c>
      <c r="S344" s="864" t="s">
        <v>147</v>
      </c>
      <c r="T344" s="212" t="s">
        <v>144</v>
      </c>
      <c r="U344" s="213" t="s">
        <v>144</v>
      </c>
      <c r="V344" s="847">
        <v>25</v>
      </c>
      <c r="W344" s="415" t="s">
        <v>144</v>
      </c>
      <c r="X344" s="212">
        <v>40</v>
      </c>
      <c r="Y344" s="212" t="s">
        <v>144</v>
      </c>
      <c r="Z344" s="433" t="s">
        <v>25</v>
      </c>
      <c r="AA344" s="407" t="s">
        <v>2666</v>
      </c>
      <c r="AB344" s="206" t="s">
        <v>140</v>
      </c>
      <c r="AC344" s="847" t="s">
        <v>265</v>
      </c>
      <c r="AD344" s="847" t="s">
        <v>2630</v>
      </c>
      <c r="AE344" s="847" t="s">
        <v>144</v>
      </c>
      <c r="AF344" s="848" t="s">
        <v>144</v>
      </c>
      <c r="AG344" s="838"/>
      <c r="AH344" s="866" t="s">
        <v>2667</v>
      </c>
      <c r="AI344" s="273" t="s">
        <v>2668</v>
      </c>
      <c r="AJ344" s="847">
        <v>7</v>
      </c>
      <c r="AK344" s="878" t="s">
        <v>2669</v>
      </c>
      <c r="AL344" s="867"/>
      <c r="AM344" s="273"/>
      <c r="AN344" s="847"/>
      <c r="AO344" s="848"/>
      <c r="AP344" s="867"/>
      <c r="AQ344" s="273"/>
      <c r="AR344" s="847"/>
      <c r="AS344" s="848"/>
      <c r="AT344" s="867"/>
      <c r="AU344" s="273"/>
      <c r="AV344" s="847"/>
      <c r="AW344" s="848"/>
      <c r="AX344" s="867"/>
      <c r="AY344" s="273"/>
      <c r="AZ344" s="847"/>
      <c r="BA344" s="848"/>
      <c r="BB344" s="866"/>
      <c r="BC344" s="273"/>
      <c r="BD344" s="847"/>
      <c r="BE344" s="848"/>
      <c r="BF344" s="838"/>
    </row>
    <row r="345" spans="1:58" s="88" customFormat="1" ht="54" hidden="1" customHeight="1" x14ac:dyDescent="0.25">
      <c r="A345" s="267" t="s">
        <v>1687</v>
      </c>
      <c r="B345" s="268">
        <v>110</v>
      </c>
      <c r="C345" s="240" t="s">
        <v>2530</v>
      </c>
      <c r="D345" s="270" t="s">
        <v>2531</v>
      </c>
      <c r="E345" s="268" t="s">
        <v>2670</v>
      </c>
      <c r="F345" s="299" t="s">
        <v>2671</v>
      </c>
      <c r="G345" s="269" t="s">
        <v>2672</v>
      </c>
      <c r="H345" s="207" t="s">
        <v>2673</v>
      </c>
      <c r="I345" s="269" t="s">
        <v>2674</v>
      </c>
      <c r="J345" s="296" t="s">
        <v>140</v>
      </c>
      <c r="K345" s="297" t="s">
        <v>140</v>
      </c>
      <c r="L345" s="862" t="s">
        <v>2675</v>
      </c>
      <c r="M345" s="847" t="s">
        <v>973</v>
      </c>
      <c r="N345" s="211" t="s">
        <v>974</v>
      </c>
      <c r="O345" s="240" t="s">
        <v>814</v>
      </c>
      <c r="P345" s="240" t="s">
        <v>815</v>
      </c>
      <c r="Q345" s="845" t="s">
        <v>2676</v>
      </c>
      <c r="R345" s="208" t="s">
        <v>2677</v>
      </c>
      <c r="S345" s="864" t="s">
        <v>147</v>
      </c>
      <c r="T345" s="212" t="s">
        <v>144</v>
      </c>
      <c r="U345" s="213" t="s">
        <v>144</v>
      </c>
      <c r="V345" s="847">
        <v>3</v>
      </c>
      <c r="W345" s="415" t="s">
        <v>144</v>
      </c>
      <c r="X345" s="212">
        <v>40</v>
      </c>
      <c r="Y345" s="212" t="s">
        <v>144</v>
      </c>
      <c r="Z345" s="433" t="s">
        <v>25</v>
      </c>
      <c r="AA345" s="407" t="s">
        <v>2678</v>
      </c>
      <c r="AB345" s="206" t="s">
        <v>140</v>
      </c>
      <c r="AC345" s="847" t="s">
        <v>265</v>
      </c>
      <c r="AD345" s="847" t="s">
        <v>2630</v>
      </c>
      <c r="AE345" s="847" t="s">
        <v>144</v>
      </c>
      <c r="AF345" s="848" t="s">
        <v>144</v>
      </c>
      <c r="AG345" s="838"/>
      <c r="AH345" s="866" t="s">
        <v>2679</v>
      </c>
      <c r="AI345" s="273" t="s">
        <v>2680</v>
      </c>
      <c r="AJ345" s="847">
        <v>7</v>
      </c>
      <c r="AK345" s="878" t="s">
        <v>2681</v>
      </c>
      <c r="AL345" s="867" t="s">
        <v>294</v>
      </c>
      <c r="AM345" s="273" t="s">
        <v>295</v>
      </c>
      <c r="AN345" s="847">
        <v>7</v>
      </c>
      <c r="AO345" s="187" t="s">
        <v>966</v>
      </c>
      <c r="AP345" s="867"/>
      <c r="AQ345" s="273"/>
      <c r="AR345" s="847"/>
      <c r="AS345" s="848"/>
      <c r="AT345" s="867"/>
      <c r="AU345" s="273"/>
      <c r="AV345" s="847"/>
      <c r="AW345" s="848"/>
      <c r="AX345" s="867"/>
      <c r="AY345" s="273"/>
      <c r="AZ345" s="847"/>
      <c r="BA345" s="848"/>
      <c r="BB345" s="866"/>
      <c r="BC345" s="273"/>
      <c r="BD345" s="847"/>
      <c r="BE345" s="848"/>
      <c r="BF345" s="838"/>
    </row>
    <row r="346" spans="1:58" s="88" customFormat="1" ht="54" hidden="1" customHeight="1" x14ac:dyDescent="0.25">
      <c r="A346" s="267" t="s">
        <v>1687</v>
      </c>
      <c r="B346" s="268">
        <v>111</v>
      </c>
      <c r="C346" s="240" t="s">
        <v>2530</v>
      </c>
      <c r="D346" s="270" t="s">
        <v>2531</v>
      </c>
      <c r="E346" s="268" t="s">
        <v>2682</v>
      </c>
      <c r="F346" s="861" t="s">
        <v>2683</v>
      </c>
      <c r="G346" s="269" t="s">
        <v>2684</v>
      </c>
      <c r="H346" s="861" t="s">
        <v>2683</v>
      </c>
      <c r="I346" s="269" t="s">
        <v>2684</v>
      </c>
      <c r="J346" s="296" t="s">
        <v>140</v>
      </c>
      <c r="K346" s="297" t="s">
        <v>140</v>
      </c>
      <c r="L346" s="862" t="s">
        <v>2685</v>
      </c>
      <c r="M346" s="847" t="s">
        <v>973</v>
      </c>
      <c r="N346" s="211" t="s">
        <v>974</v>
      </c>
      <c r="O346" s="240" t="s">
        <v>144</v>
      </c>
      <c r="P346" s="240" t="s">
        <v>144</v>
      </c>
      <c r="Q346" s="845" t="s">
        <v>2686</v>
      </c>
      <c r="R346" s="208" t="s">
        <v>2687</v>
      </c>
      <c r="S346" s="864" t="s">
        <v>746</v>
      </c>
      <c r="T346" s="212" t="s">
        <v>1104</v>
      </c>
      <c r="U346" s="213" t="s">
        <v>1105</v>
      </c>
      <c r="V346" s="847">
        <v>19</v>
      </c>
      <c r="W346" s="415" t="s">
        <v>144</v>
      </c>
      <c r="X346" s="212">
        <v>40</v>
      </c>
      <c r="Y346" s="212" t="s">
        <v>144</v>
      </c>
      <c r="Z346" s="212" t="s">
        <v>144</v>
      </c>
      <c r="AA346" s="240" t="s">
        <v>1633</v>
      </c>
      <c r="AB346" s="206" t="s">
        <v>140</v>
      </c>
      <c r="AC346" s="847" t="s">
        <v>265</v>
      </c>
      <c r="AD346" s="847" t="s">
        <v>2541</v>
      </c>
      <c r="AE346" s="847" t="s">
        <v>144</v>
      </c>
      <c r="AF346" s="848" t="s">
        <v>144</v>
      </c>
      <c r="AG346" s="838"/>
      <c r="AH346" s="877" t="s">
        <v>2596</v>
      </c>
      <c r="AI346" s="273" t="s">
        <v>2597</v>
      </c>
      <c r="AJ346" s="847">
        <v>7</v>
      </c>
      <c r="AK346" s="878" t="s">
        <v>2598</v>
      </c>
      <c r="AL346" s="867"/>
      <c r="AM346" s="273"/>
      <c r="AN346" s="847"/>
      <c r="AO346" s="848"/>
      <c r="AP346" s="867"/>
      <c r="AQ346" s="273"/>
      <c r="AR346" s="847"/>
      <c r="AS346" s="848"/>
      <c r="AT346" s="867"/>
      <c r="AU346" s="273"/>
      <c r="AV346" s="847"/>
      <c r="AW346" s="848"/>
      <c r="AX346" s="867"/>
      <c r="AY346" s="273"/>
      <c r="AZ346" s="847"/>
      <c r="BA346" s="848"/>
      <c r="BB346" s="866"/>
      <c r="BC346" s="273"/>
      <c r="BD346" s="847"/>
      <c r="BE346" s="848"/>
      <c r="BF346" s="838"/>
    </row>
    <row r="347" spans="1:58" s="88" customFormat="1" ht="54" hidden="1" customHeight="1" x14ac:dyDescent="0.25">
      <c r="A347" s="267" t="s">
        <v>1687</v>
      </c>
      <c r="B347" s="268">
        <v>112</v>
      </c>
      <c r="C347" s="240" t="s">
        <v>2530</v>
      </c>
      <c r="D347" s="270" t="s">
        <v>2531</v>
      </c>
      <c r="E347" s="268" t="s">
        <v>2688</v>
      </c>
      <c r="F347" s="861" t="s">
        <v>2689</v>
      </c>
      <c r="G347" s="269" t="s">
        <v>2690</v>
      </c>
      <c r="H347" s="845" t="s">
        <v>2689</v>
      </c>
      <c r="I347" s="269" t="s">
        <v>2691</v>
      </c>
      <c r="J347" s="296" t="s">
        <v>140</v>
      </c>
      <c r="K347" s="297" t="s">
        <v>140</v>
      </c>
      <c r="L347" s="862" t="s">
        <v>2692</v>
      </c>
      <c r="M347" s="847" t="s">
        <v>973</v>
      </c>
      <c r="N347" s="211" t="s">
        <v>974</v>
      </c>
      <c r="O347" s="240" t="s">
        <v>814</v>
      </c>
      <c r="P347" s="240" t="s">
        <v>815</v>
      </c>
      <c r="Q347" s="845" t="s">
        <v>144</v>
      </c>
      <c r="R347" s="208" t="s">
        <v>144</v>
      </c>
      <c r="S347" s="864" t="s">
        <v>147</v>
      </c>
      <c r="T347" s="212" t="s">
        <v>144</v>
      </c>
      <c r="U347" s="213" t="s">
        <v>144</v>
      </c>
      <c r="V347" s="847">
        <v>3</v>
      </c>
      <c r="W347" s="415" t="s">
        <v>144</v>
      </c>
      <c r="X347" s="212">
        <v>40</v>
      </c>
      <c r="Y347" s="212" t="s">
        <v>144</v>
      </c>
      <c r="Z347" s="252" t="s">
        <v>144</v>
      </c>
      <c r="AA347" s="240" t="s">
        <v>1633</v>
      </c>
      <c r="AB347" s="206" t="s">
        <v>140</v>
      </c>
      <c r="AC347" s="847" t="s">
        <v>265</v>
      </c>
      <c r="AD347" s="847" t="s">
        <v>2541</v>
      </c>
      <c r="AE347" s="847" t="s">
        <v>144</v>
      </c>
      <c r="AF347" s="848" t="s">
        <v>144</v>
      </c>
      <c r="AG347" s="838"/>
      <c r="AH347" s="866" t="s">
        <v>2693</v>
      </c>
      <c r="AI347" s="273" t="s">
        <v>2694</v>
      </c>
      <c r="AJ347" s="847">
        <v>7</v>
      </c>
      <c r="AK347" s="878" t="s">
        <v>1280</v>
      </c>
      <c r="AL347" s="867" t="s">
        <v>294</v>
      </c>
      <c r="AM347" s="273" t="s">
        <v>295</v>
      </c>
      <c r="AN347" s="847">
        <v>7</v>
      </c>
      <c r="AO347" s="187" t="s">
        <v>966</v>
      </c>
      <c r="AP347" s="867"/>
      <c r="AQ347" s="273"/>
      <c r="AR347" s="847"/>
      <c r="AS347" s="848"/>
      <c r="AT347" s="867"/>
      <c r="AU347" s="273"/>
      <c r="AV347" s="847"/>
      <c r="AW347" s="848"/>
      <c r="AX347" s="867"/>
      <c r="AY347" s="273"/>
      <c r="AZ347" s="847"/>
      <c r="BA347" s="848"/>
      <c r="BB347" s="866"/>
      <c r="BC347" s="273"/>
      <c r="BD347" s="847"/>
      <c r="BE347" s="848"/>
      <c r="BF347" s="838"/>
    </row>
    <row r="348" spans="1:58" s="88" customFormat="1" ht="54" hidden="1" customHeight="1" x14ac:dyDescent="0.25">
      <c r="A348" s="267" t="s">
        <v>1687</v>
      </c>
      <c r="B348" s="268">
        <v>113</v>
      </c>
      <c r="C348" s="240" t="s">
        <v>2530</v>
      </c>
      <c r="D348" s="270" t="s">
        <v>2531</v>
      </c>
      <c r="E348" s="268" t="s">
        <v>2695</v>
      </c>
      <c r="F348" s="861" t="s">
        <v>2696</v>
      </c>
      <c r="G348" s="269" t="s">
        <v>2697</v>
      </c>
      <c r="H348" s="861" t="s">
        <v>2696</v>
      </c>
      <c r="I348" s="269" t="s">
        <v>2697</v>
      </c>
      <c r="J348" s="296" t="s">
        <v>140</v>
      </c>
      <c r="K348" s="297" t="s">
        <v>140</v>
      </c>
      <c r="L348" s="862" t="s">
        <v>2698</v>
      </c>
      <c r="M348" s="847" t="s">
        <v>193</v>
      </c>
      <c r="N348" s="211" t="s">
        <v>194</v>
      </c>
      <c r="O348" s="240" t="s">
        <v>144</v>
      </c>
      <c r="P348" s="240" t="s">
        <v>144</v>
      </c>
      <c r="Q348" s="845" t="s">
        <v>2699</v>
      </c>
      <c r="R348" s="208" t="s">
        <v>2700</v>
      </c>
      <c r="S348" s="864" t="s">
        <v>746</v>
      </c>
      <c r="T348" s="212" t="s">
        <v>1104</v>
      </c>
      <c r="U348" s="213" t="s">
        <v>1105</v>
      </c>
      <c r="V348" s="847">
        <v>19</v>
      </c>
      <c r="W348" s="415" t="s">
        <v>144</v>
      </c>
      <c r="X348" s="212">
        <v>40</v>
      </c>
      <c r="Y348" s="212" t="s">
        <v>144</v>
      </c>
      <c r="Z348" s="241" t="s">
        <v>144</v>
      </c>
      <c r="AA348" s="437" t="s">
        <v>1790</v>
      </c>
      <c r="AB348" s="206" t="s">
        <v>140</v>
      </c>
      <c r="AC348" s="847" t="s">
        <v>265</v>
      </c>
      <c r="AD348" s="847" t="s">
        <v>2701</v>
      </c>
      <c r="AE348" s="847" t="s">
        <v>144</v>
      </c>
      <c r="AF348" s="848" t="s">
        <v>144</v>
      </c>
      <c r="AG348" s="838"/>
      <c r="AH348" s="866"/>
      <c r="AI348" s="273"/>
      <c r="AJ348" s="847"/>
      <c r="AK348" s="878"/>
      <c r="AL348" s="867"/>
      <c r="AM348" s="273"/>
      <c r="AN348" s="847"/>
      <c r="AO348" s="848"/>
      <c r="AP348" s="867" t="s">
        <v>1107</v>
      </c>
      <c r="AQ348" s="273" t="s">
        <v>1108</v>
      </c>
      <c r="AR348" s="847">
        <v>7</v>
      </c>
      <c r="AS348" s="286" t="s">
        <v>1109</v>
      </c>
      <c r="AT348" s="867"/>
      <c r="AU348" s="273"/>
      <c r="AV348" s="847"/>
      <c r="AW348" s="848"/>
      <c r="AX348" s="867"/>
      <c r="AY348" s="273"/>
      <c r="AZ348" s="847"/>
      <c r="BA348" s="848"/>
      <c r="BB348" s="866"/>
      <c r="BC348" s="273"/>
      <c r="BD348" s="847"/>
      <c r="BE348" s="848"/>
      <c r="BF348" s="838"/>
    </row>
    <row r="349" spans="1:58" s="88" customFormat="1" ht="54" hidden="1" customHeight="1" x14ac:dyDescent="0.25">
      <c r="A349" s="267" t="s">
        <v>1687</v>
      </c>
      <c r="B349" s="268">
        <v>114</v>
      </c>
      <c r="C349" s="240" t="s">
        <v>2530</v>
      </c>
      <c r="D349" s="270" t="s">
        <v>2531</v>
      </c>
      <c r="E349" s="268" t="s">
        <v>2702</v>
      </c>
      <c r="F349" s="861" t="s">
        <v>2703</v>
      </c>
      <c r="G349" s="269" t="s">
        <v>2704</v>
      </c>
      <c r="H349" s="845" t="s">
        <v>2705</v>
      </c>
      <c r="I349" s="269" t="s">
        <v>2706</v>
      </c>
      <c r="J349" s="296" t="s">
        <v>140</v>
      </c>
      <c r="K349" s="297" t="s">
        <v>140</v>
      </c>
      <c r="L349" s="862" t="s">
        <v>2707</v>
      </c>
      <c r="M349" s="847" t="s">
        <v>973</v>
      </c>
      <c r="N349" s="211" t="s">
        <v>974</v>
      </c>
      <c r="O349" s="240" t="s">
        <v>814</v>
      </c>
      <c r="P349" s="240" t="s">
        <v>815</v>
      </c>
      <c r="Q349" s="845" t="s">
        <v>144</v>
      </c>
      <c r="R349" s="208" t="s">
        <v>144</v>
      </c>
      <c r="S349" s="864" t="s">
        <v>147</v>
      </c>
      <c r="T349" s="212" t="s">
        <v>144</v>
      </c>
      <c r="U349" s="213" t="s">
        <v>144</v>
      </c>
      <c r="V349" s="847">
        <v>3</v>
      </c>
      <c r="W349" s="415" t="s">
        <v>144</v>
      </c>
      <c r="X349" s="212">
        <v>40</v>
      </c>
      <c r="Y349" s="212" t="s">
        <v>144</v>
      </c>
      <c r="Z349" s="241" t="s">
        <v>144</v>
      </c>
      <c r="AA349" s="437" t="s">
        <v>1790</v>
      </c>
      <c r="AB349" s="206" t="s">
        <v>140</v>
      </c>
      <c r="AC349" s="847" t="s">
        <v>265</v>
      </c>
      <c r="AD349" s="847" t="s">
        <v>2701</v>
      </c>
      <c r="AE349" s="847" t="s">
        <v>144</v>
      </c>
      <c r="AF349" s="848" t="s">
        <v>144</v>
      </c>
      <c r="AG349" s="838"/>
      <c r="AH349" s="866" t="s">
        <v>2708</v>
      </c>
      <c r="AI349" s="273" t="s">
        <v>2709</v>
      </c>
      <c r="AJ349" s="847">
        <v>7</v>
      </c>
      <c r="AK349" s="878" t="s">
        <v>1280</v>
      </c>
      <c r="AL349" s="867" t="s">
        <v>294</v>
      </c>
      <c r="AM349" s="273" t="s">
        <v>295</v>
      </c>
      <c r="AN349" s="847">
        <v>7</v>
      </c>
      <c r="AO349" s="187" t="s">
        <v>966</v>
      </c>
      <c r="AP349" s="867"/>
      <c r="AQ349" s="273"/>
      <c r="AR349" s="847"/>
      <c r="AS349" s="848"/>
      <c r="AT349" s="867"/>
      <c r="AU349" s="273"/>
      <c r="AV349" s="847"/>
      <c r="AW349" s="848"/>
      <c r="AX349" s="867"/>
      <c r="AY349" s="273"/>
      <c r="AZ349" s="847"/>
      <c r="BA349" s="848"/>
      <c r="BB349" s="866"/>
      <c r="BC349" s="273"/>
      <c r="BD349" s="847"/>
      <c r="BE349" s="848"/>
      <c r="BF349" s="838"/>
    </row>
    <row r="350" spans="1:58" s="88" customFormat="1" ht="54" hidden="1" customHeight="1" x14ac:dyDescent="0.25">
      <c r="A350" s="267" t="s">
        <v>1687</v>
      </c>
      <c r="B350" s="268">
        <v>115</v>
      </c>
      <c r="C350" s="240" t="s">
        <v>2710</v>
      </c>
      <c r="D350" s="270" t="s">
        <v>2711</v>
      </c>
      <c r="E350" s="268" t="s">
        <v>2712</v>
      </c>
      <c r="F350" s="861" t="s">
        <v>2713</v>
      </c>
      <c r="G350" s="269" t="s">
        <v>2714</v>
      </c>
      <c r="H350" s="845" t="s">
        <v>2715</v>
      </c>
      <c r="I350" s="269" t="s">
        <v>2716</v>
      </c>
      <c r="J350" s="296" t="s">
        <v>140</v>
      </c>
      <c r="K350" s="297" t="s">
        <v>140</v>
      </c>
      <c r="L350" s="862" t="s">
        <v>2717</v>
      </c>
      <c r="M350" s="847" t="s">
        <v>973</v>
      </c>
      <c r="N350" s="211" t="s">
        <v>974</v>
      </c>
      <c r="O350" s="240" t="s">
        <v>144</v>
      </c>
      <c r="P350" s="240" t="s">
        <v>144</v>
      </c>
      <c r="Q350" s="845" t="s">
        <v>2718</v>
      </c>
      <c r="R350" s="208" t="s">
        <v>2719</v>
      </c>
      <c r="S350" s="864" t="s">
        <v>746</v>
      </c>
      <c r="T350" s="212" t="s">
        <v>144</v>
      </c>
      <c r="U350" s="213" t="s">
        <v>144</v>
      </c>
      <c r="V350" s="847">
        <v>3</v>
      </c>
      <c r="W350" s="415" t="s">
        <v>144</v>
      </c>
      <c r="X350" s="212">
        <v>40</v>
      </c>
      <c r="Y350" s="212" t="s">
        <v>144</v>
      </c>
      <c r="Z350" s="241" t="s">
        <v>144</v>
      </c>
      <c r="AA350" s="437" t="s">
        <v>2720</v>
      </c>
      <c r="AB350" s="206" t="s">
        <v>140</v>
      </c>
      <c r="AC350" s="847" t="s">
        <v>265</v>
      </c>
      <c r="AD350" s="847" t="s">
        <v>2721</v>
      </c>
      <c r="AE350" s="847" t="s">
        <v>144</v>
      </c>
      <c r="AF350" s="848" t="s">
        <v>144</v>
      </c>
      <c r="AG350" s="838"/>
      <c r="AH350" s="866" t="s">
        <v>2722</v>
      </c>
      <c r="AI350" s="273" t="s">
        <v>2723</v>
      </c>
      <c r="AJ350" s="847">
        <v>6</v>
      </c>
      <c r="AK350" s="878" t="s">
        <v>2724</v>
      </c>
      <c r="AL350" s="867"/>
      <c r="AM350" s="273"/>
      <c r="AN350" s="847"/>
      <c r="AO350" s="848"/>
      <c r="AP350" s="867"/>
      <c r="AQ350" s="273"/>
      <c r="AR350" s="847"/>
      <c r="AS350" s="848"/>
      <c r="AT350" s="867"/>
      <c r="AU350" s="273"/>
      <c r="AV350" s="847"/>
      <c r="AW350" s="848"/>
      <c r="AX350" s="867"/>
      <c r="AY350" s="273"/>
      <c r="AZ350" s="847"/>
      <c r="BA350" s="848"/>
      <c r="BB350" s="866"/>
      <c r="BC350" s="273"/>
      <c r="BD350" s="847"/>
      <c r="BE350" s="848"/>
      <c r="BF350" s="838"/>
    </row>
    <row r="351" spans="1:58" s="88" customFormat="1" ht="54" hidden="1" customHeight="1" x14ac:dyDescent="0.25">
      <c r="A351" s="267" t="s">
        <v>1687</v>
      </c>
      <c r="B351" s="268">
        <v>116</v>
      </c>
      <c r="C351" s="240" t="s">
        <v>2710</v>
      </c>
      <c r="D351" s="270" t="s">
        <v>2711</v>
      </c>
      <c r="E351" s="268" t="s">
        <v>2725</v>
      </c>
      <c r="F351" s="861" t="s">
        <v>2726</v>
      </c>
      <c r="G351" s="269" t="s">
        <v>2727</v>
      </c>
      <c r="H351" s="861" t="s">
        <v>2726</v>
      </c>
      <c r="I351" s="269" t="s">
        <v>2728</v>
      </c>
      <c r="J351" s="296" t="s">
        <v>140</v>
      </c>
      <c r="K351" s="297" t="s">
        <v>140</v>
      </c>
      <c r="L351" s="862" t="s">
        <v>2729</v>
      </c>
      <c r="M351" s="847" t="s">
        <v>973</v>
      </c>
      <c r="N351" s="211" t="s">
        <v>974</v>
      </c>
      <c r="O351" s="240" t="s">
        <v>144</v>
      </c>
      <c r="P351" s="240" t="s">
        <v>144</v>
      </c>
      <c r="Q351" s="845" t="s">
        <v>144</v>
      </c>
      <c r="R351" s="208" t="s">
        <v>144</v>
      </c>
      <c r="S351" s="864" t="s">
        <v>746</v>
      </c>
      <c r="T351" s="212" t="s">
        <v>1104</v>
      </c>
      <c r="U351" s="213" t="s">
        <v>1105</v>
      </c>
      <c r="V351" s="847">
        <v>19</v>
      </c>
      <c r="W351" s="415" t="s">
        <v>144</v>
      </c>
      <c r="X351" s="212">
        <v>40</v>
      </c>
      <c r="Y351" s="212" t="s">
        <v>144</v>
      </c>
      <c r="Z351" s="241" t="s">
        <v>25</v>
      </c>
      <c r="AA351" s="407" t="s">
        <v>2730</v>
      </c>
      <c r="AB351" s="206" t="s">
        <v>140</v>
      </c>
      <c r="AC351" s="847" t="s">
        <v>265</v>
      </c>
      <c r="AD351" s="847" t="s">
        <v>2731</v>
      </c>
      <c r="AE351" s="847" t="s">
        <v>144</v>
      </c>
      <c r="AF351" s="848" t="s">
        <v>144</v>
      </c>
      <c r="AG351" s="838"/>
      <c r="AH351" s="866" t="s">
        <v>2732</v>
      </c>
      <c r="AI351" s="273" t="s">
        <v>2733</v>
      </c>
      <c r="AJ351" s="847">
        <v>7</v>
      </c>
      <c r="AK351" s="878" t="s">
        <v>2734</v>
      </c>
      <c r="AL351" s="867"/>
      <c r="AM351" s="273"/>
      <c r="AN351" s="847"/>
      <c r="AO351" s="848"/>
      <c r="AP351" s="867"/>
      <c r="AQ351" s="273"/>
      <c r="AR351" s="847"/>
      <c r="AS351" s="848"/>
      <c r="AT351" s="867"/>
      <c r="AU351" s="273"/>
      <c r="AV351" s="847"/>
      <c r="AW351" s="848"/>
      <c r="AX351" s="867"/>
      <c r="AY351" s="273"/>
      <c r="AZ351" s="847"/>
      <c r="BA351" s="848"/>
      <c r="BB351" s="866"/>
      <c r="BC351" s="273"/>
      <c r="BD351" s="847"/>
      <c r="BE351" s="848"/>
      <c r="BF351" s="838"/>
    </row>
    <row r="352" spans="1:58" s="88" customFormat="1" ht="54" hidden="1" customHeight="1" x14ac:dyDescent="0.25">
      <c r="A352" s="267" t="s">
        <v>1687</v>
      </c>
      <c r="B352" s="268">
        <v>117</v>
      </c>
      <c r="C352" s="240" t="s">
        <v>2710</v>
      </c>
      <c r="D352" s="270" t="s">
        <v>2711</v>
      </c>
      <c r="E352" s="268" t="s">
        <v>2735</v>
      </c>
      <c r="F352" s="861" t="s">
        <v>2736</v>
      </c>
      <c r="G352" s="269" t="s">
        <v>2737</v>
      </c>
      <c r="H352" s="861" t="s">
        <v>2736</v>
      </c>
      <c r="I352" s="269" t="s">
        <v>2738</v>
      </c>
      <c r="J352" s="296" t="s">
        <v>140</v>
      </c>
      <c r="K352" s="297" t="s">
        <v>140</v>
      </c>
      <c r="L352" s="862" t="s">
        <v>2739</v>
      </c>
      <c r="M352" s="847" t="s">
        <v>973</v>
      </c>
      <c r="N352" s="211" t="s">
        <v>974</v>
      </c>
      <c r="O352" s="240" t="s">
        <v>814</v>
      </c>
      <c r="P352" s="240" t="s">
        <v>815</v>
      </c>
      <c r="Q352" s="845" t="s">
        <v>144</v>
      </c>
      <c r="R352" s="208" t="s">
        <v>144</v>
      </c>
      <c r="S352" s="864" t="s">
        <v>147</v>
      </c>
      <c r="T352" s="212" t="s">
        <v>144</v>
      </c>
      <c r="U352" s="213" t="s">
        <v>144</v>
      </c>
      <c r="V352" s="847">
        <v>3</v>
      </c>
      <c r="W352" s="415" t="s">
        <v>144</v>
      </c>
      <c r="X352" s="212">
        <v>40</v>
      </c>
      <c r="Y352" s="212" t="s">
        <v>144</v>
      </c>
      <c r="Z352" s="241" t="s">
        <v>25</v>
      </c>
      <c r="AA352" s="407" t="s">
        <v>2740</v>
      </c>
      <c r="AB352" s="206" t="s">
        <v>140</v>
      </c>
      <c r="AC352" s="847" t="s">
        <v>265</v>
      </c>
      <c r="AD352" s="847" t="s">
        <v>2731</v>
      </c>
      <c r="AE352" s="847" t="s">
        <v>144</v>
      </c>
      <c r="AF352" s="848" t="s">
        <v>144</v>
      </c>
      <c r="AG352" s="838"/>
      <c r="AH352" s="866" t="s">
        <v>2741</v>
      </c>
      <c r="AI352" s="273" t="s">
        <v>2742</v>
      </c>
      <c r="AJ352" s="847">
        <v>7</v>
      </c>
      <c r="AK352" s="878" t="s">
        <v>1280</v>
      </c>
      <c r="AL352" s="867" t="s">
        <v>294</v>
      </c>
      <c r="AM352" s="273" t="s">
        <v>295</v>
      </c>
      <c r="AN352" s="847">
        <v>7</v>
      </c>
      <c r="AO352" s="187" t="s">
        <v>966</v>
      </c>
      <c r="AP352" s="867"/>
      <c r="AQ352" s="273"/>
      <c r="AR352" s="847"/>
      <c r="AS352" s="848"/>
      <c r="AT352" s="867"/>
      <c r="AU352" s="273"/>
      <c r="AV352" s="847"/>
      <c r="AW352" s="848"/>
      <c r="AX352" s="867"/>
      <c r="AY352" s="273"/>
      <c r="AZ352" s="847"/>
      <c r="BA352" s="848"/>
      <c r="BB352" s="866"/>
      <c r="BC352" s="273"/>
      <c r="BD352" s="847"/>
      <c r="BE352" s="848"/>
      <c r="BF352" s="838"/>
    </row>
    <row r="353" spans="1:58" s="57" customFormat="1" ht="54" hidden="1" customHeight="1" x14ac:dyDescent="0.25">
      <c r="A353" s="275" t="s">
        <v>1687</v>
      </c>
      <c r="B353" s="276">
        <v>118</v>
      </c>
      <c r="C353" s="253" t="s">
        <v>2135</v>
      </c>
      <c r="D353" s="253" t="s">
        <v>2136</v>
      </c>
      <c r="E353" s="276" t="s">
        <v>2743</v>
      </c>
      <c r="F353" s="277" t="s">
        <v>2744</v>
      </c>
      <c r="G353" s="277" t="s">
        <v>2745</v>
      </c>
      <c r="H353" s="279" t="s">
        <v>336</v>
      </c>
      <c r="I353" s="279" t="s">
        <v>337</v>
      </c>
      <c r="J353" s="278" t="s">
        <v>144</v>
      </c>
      <c r="K353" s="278" t="s">
        <v>144</v>
      </c>
      <c r="L353" s="718" t="s">
        <v>2746</v>
      </c>
      <c r="M353" s="253" t="s">
        <v>144</v>
      </c>
      <c r="N353" s="217" t="s">
        <v>144</v>
      </c>
      <c r="O353" s="253" t="s">
        <v>144</v>
      </c>
      <c r="P353" s="253" t="s">
        <v>144</v>
      </c>
      <c r="Q353" s="311" t="s">
        <v>338</v>
      </c>
      <c r="R353" s="218" t="s">
        <v>339</v>
      </c>
      <c r="S353" s="282" t="s">
        <v>147</v>
      </c>
      <c r="T353" s="229" t="s">
        <v>144</v>
      </c>
      <c r="U353" s="229" t="s">
        <v>144</v>
      </c>
      <c r="V353" s="278">
        <v>12</v>
      </c>
      <c r="W353" s="217" t="s">
        <v>144</v>
      </c>
      <c r="X353" s="221" t="s">
        <v>144</v>
      </c>
      <c r="Y353" s="221" t="s">
        <v>144</v>
      </c>
      <c r="Z353" s="221" t="s">
        <v>144</v>
      </c>
      <c r="AA353" s="253" t="s">
        <v>144</v>
      </c>
      <c r="AB353" s="217" t="s">
        <v>144</v>
      </c>
      <c r="AC353" s="253" t="s">
        <v>265</v>
      </c>
      <c r="AD353" s="253" t="s">
        <v>144</v>
      </c>
      <c r="AE353" s="253" t="s">
        <v>144</v>
      </c>
      <c r="AF353" s="254" t="s">
        <v>144</v>
      </c>
      <c r="AG353" s="838"/>
      <c r="AH353" s="280"/>
      <c r="AI353" s="281"/>
      <c r="AJ353" s="253"/>
      <c r="AK353" s="878"/>
      <c r="AL353" s="281"/>
      <c r="AM353" s="281"/>
      <c r="AN353" s="253"/>
      <c r="AO353" s="254"/>
      <c r="AP353" s="281"/>
      <c r="AQ353" s="281"/>
      <c r="AR353" s="253"/>
      <c r="AS353" s="254"/>
      <c r="AT353" s="281"/>
      <c r="AU353" s="281"/>
      <c r="AV353" s="253"/>
      <c r="AW353" s="254"/>
      <c r="AX353" s="281"/>
      <c r="AY353" s="281"/>
      <c r="AZ353" s="253"/>
      <c r="BA353" s="254"/>
      <c r="BB353" s="280"/>
      <c r="BC353" s="281"/>
      <c r="BD353" s="253"/>
      <c r="BE353" s="254"/>
      <c r="BF353" s="838"/>
    </row>
    <row r="354" spans="1:58" s="88" customFormat="1" ht="54" hidden="1" customHeight="1" x14ac:dyDescent="0.25">
      <c r="A354" s="267" t="s">
        <v>1687</v>
      </c>
      <c r="B354" s="268">
        <v>119</v>
      </c>
      <c r="C354" s="240" t="s">
        <v>2513</v>
      </c>
      <c r="D354" s="270" t="s">
        <v>2514</v>
      </c>
      <c r="E354" s="268" t="s">
        <v>2747</v>
      </c>
      <c r="F354" s="861" t="s">
        <v>2748</v>
      </c>
      <c r="G354" s="269" t="s">
        <v>2749</v>
      </c>
      <c r="H354" s="845" t="s">
        <v>2750</v>
      </c>
      <c r="I354" s="269" t="s">
        <v>2751</v>
      </c>
      <c r="J354" s="296" t="s">
        <v>140</v>
      </c>
      <c r="K354" s="297" t="s">
        <v>140</v>
      </c>
      <c r="L354" s="862" t="s">
        <v>2752</v>
      </c>
      <c r="M354" s="847" t="s">
        <v>973</v>
      </c>
      <c r="N354" s="211" t="s">
        <v>974</v>
      </c>
      <c r="O354" s="240" t="s">
        <v>2521</v>
      </c>
      <c r="P354" s="240" t="s">
        <v>2522</v>
      </c>
      <c r="Q354" s="845" t="s">
        <v>144</v>
      </c>
      <c r="R354" s="208" t="s">
        <v>144</v>
      </c>
      <c r="S354" s="864" t="s">
        <v>147</v>
      </c>
      <c r="T354" s="212" t="s">
        <v>144</v>
      </c>
      <c r="U354" s="213" t="s">
        <v>144</v>
      </c>
      <c r="V354" s="847">
        <v>2</v>
      </c>
      <c r="W354" s="415" t="s">
        <v>144</v>
      </c>
      <c r="X354" s="212">
        <v>40</v>
      </c>
      <c r="Y354" s="212" t="s">
        <v>144</v>
      </c>
      <c r="Z354" s="241" t="s">
        <v>25</v>
      </c>
      <c r="AA354" s="407" t="s">
        <v>2753</v>
      </c>
      <c r="AB354" s="206" t="s">
        <v>140</v>
      </c>
      <c r="AC354" s="847" t="s">
        <v>265</v>
      </c>
      <c r="AD354" s="847" t="s">
        <v>2731</v>
      </c>
      <c r="AE354" s="847" t="s">
        <v>144</v>
      </c>
      <c r="AF354" s="848" t="s">
        <v>144</v>
      </c>
      <c r="AG354" s="838"/>
      <c r="AH354" s="866" t="s">
        <v>2732</v>
      </c>
      <c r="AI354" s="273" t="s">
        <v>2733</v>
      </c>
      <c r="AJ354" s="847">
        <v>7</v>
      </c>
      <c r="AK354" s="878" t="s">
        <v>2734</v>
      </c>
      <c r="AL354" s="867" t="s">
        <v>294</v>
      </c>
      <c r="AM354" s="273" t="s">
        <v>295</v>
      </c>
      <c r="AN354" s="847">
        <v>7</v>
      </c>
      <c r="AO354" s="187" t="s">
        <v>966</v>
      </c>
      <c r="AP354" s="867"/>
      <c r="AQ354" s="273"/>
      <c r="AR354" s="847"/>
      <c r="AS354" s="848"/>
      <c r="AT354" s="867"/>
      <c r="AU354" s="273"/>
      <c r="AV354" s="847"/>
      <c r="AW354" s="848"/>
      <c r="AX354" s="867"/>
      <c r="AY354" s="273"/>
      <c r="AZ354" s="847"/>
      <c r="BA354" s="848"/>
      <c r="BB354" s="866"/>
      <c r="BC354" s="273"/>
      <c r="BD354" s="847"/>
      <c r="BE354" s="848"/>
      <c r="BF354" s="838"/>
    </row>
    <row r="355" spans="1:58" s="88" customFormat="1" ht="54" hidden="1" customHeight="1" x14ac:dyDescent="0.25">
      <c r="A355" s="267" t="s">
        <v>1687</v>
      </c>
      <c r="B355" s="268">
        <v>120</v>
      </c>
      <c r="C355" s="240" t="s">
        <v>2710</v>
      </c>
      <c r="D355" s="270" t="s">
        <v>2711</v>
      </c>
      <c r="E355" s="268" t="s">
        <v>2754</v>
      </c>
      <c r="F355" s="886" t="s">
        <v>2755</v>
      </c>
      <c r="G355" s="430" t="s">
        <v>2756</v>
      </c>
      <c r="H355" s="845" t="s">
        <v>2757</v>
      </c>
      <c r="I355" s="269" t="s">
        <v>2758</v>
      </c>
      <c r="J355" s="296" t="s">
        <v>140</v>
      </c>
      <c r="K355" s="297" t="s">
        <v>140</v>
      </c>
      <c r="L355" s="862" t="s">
        <v>2759</v>
      </c>
      <c r="M355" s="847" t="s">
        <v>973</v>
      </c>
      <c r="N355" s="211" t="s">
        <v>974</v>
      </c>
      <c r="O355" s="240" t="s">
        <v>2760</v>
      </c>
      <c r="P355" s="240" t="s">
        <v>2761</v>
      </c>
      <c r="Q355" s="845" t="s">
        <v>144</v>
      </c>
      <c r="R355" s="208" t="s">
        <v>144</v>
      </c>
      <c r="S355" s="864" t="s">
        <v>147</v>
      </c>
      <c r="T355" s="212" t="s">
        <v>144</v>
      </c>
      <c r="U355" s="213" t="s">
        <v>144</v>
      </c>
      <c r="V355" s="847">
        <v>2</v>
      </c>
      <c r="W355" s="415" t="s">
        <v>144</v>
      </c>
      <c r="X355" s="212">
        <v>40</v>
      </c>
      <c r="Y355" s="212" t="s">
        <v>144</v>
      </c>
      <c r="Z355" s="241" t="s">
        <v>25</v>
      </c>
      <c r="AA355" s="437" t="s">
        <v>2575</v>
      </c>
      <c r="AB355" s="206" t="s">
        <v>140</v>
      </c>
      <c r="AC355" s="847" t="s">
        <v>265</v>
      </c>
      <c r="AD355" s="847" t="s">
        <v>2731</v>
      </c>
      <c r="AE355" s="847" t="s">
        <v>144</v>
      </c>
      <c r="AF355" s="848" t="s">
        <v>144</v>
      </c>
      <c r="AG355" s="838"/>
      <c r="AH355" s="866" t="s">
        <v>2762</v>
      </c>
      <c r="AI355" s="273" t="s">
        <v>2763</v>
      </c>
      <c r="AJ355" s="847">
        <v>6</v>
      </c>
      <c r="AK355" s="878" t="s">
        <v>2764</v>
      </c>
      <c r="AL355" s="867" t="s">
        <v>294</v>
      </c>
      <c r="AM355" s="273" t="s">
        <v>295</v>
      </c>
      <c r="AN355" s="847">
        <v>7</v>
      </c>
      <c r="AO355" s="187" t="s">
        <v>966</v>
      </c>
      <c r="AP355" s="867"/>
      <c r="AQ355" s="273"/>
      <c r="AR355" s="847"/>
      <c r="AS355" s="848"/>
      <c r="AT355" s="867"/>
      <c r="AU355" s="273"/>
      <c r="AV355" s="847"/>
      <c r="AW355" s="848"/>
      <c r="AX355" s="867"/>
      <c r="AY355" s="273"/>
      <c r="AZ355" s="847"/>
      <c r="BA355" s="848"/>
      <c r="BB355" s="866"/>
      <c r="BC355" s="273"/>
      <c r="BD355" s="847"/>
      <c r="BE355" s="848"/>
      <c r="BF355" s="838"/>
    </row>
    <row r="356" spans="1:58" s="88" customFormat="1" ht="54" hidden="1" customHeight="1" x14ac:dyDescent="0.25">
      <c r="A356" s="267" t="s">
        <v>1687</v>
      </c>
      <c r="B356" s="268">
        <v>121</v>
      </c>
      <c r="C356" s="240" t="s">
        <v>2378</v>
      </c>
      <c r="D356" s="270" t="s">
        <v>2379</v>
      </c>
      <c r="E356" s="268" t="s">
        <v>2765</v>
      </c>
      <c r="F356" s="861" t="s">
        <v>2766</v>
      </c>
      <c r="G356" s="269" t="s">
        <v>2767</v>
      </c>
      <c r="H356" s="845" t="s">
        <v>2768</v>
      </c>
      <c r="I356" s="269" t="s">
        <v>2769</v>
      </c>
      <c r="J356" s="296" t="s">
        <v>140</v>
      </c>
      <c r="K356" s="297" t="s">
        <v>140</v>
      </c>
      <c r="L356" s="862" t="s">
        <v>2770</v>
      </c>
      <c r="M356" s="847" t="s">
        <v>973</v>
      </c>
      <c r="N356" s="211" t="s">
        <v>974</v>
      </c>
      <c r="O356" s="240" t="s">
        <v>2771</v>
      </c>
      <c r="P356" s="240" t="s">
        <v>2772</v>
      </c>
      <c r="Q356" s="845" t="s">
        <v>144</v>
      </c>
      <c r="R356" s="208" t="s">
        <v>144</v>
      </c>
      <c r="S356" s="864" t="s">
        <v>147</v>
      </c>
      <c r="T356" s="212" t="s">
        <v>144</v>
      </c>
      <c r="U356" s="213" t="s">
        <v>144</v>
      </c>
      <c r="V356" s="847">
        <v>2</v>
      </c>
      <c r="W356" s="415" t="s">
        <v>144</v>
      </c>
      <c r="X356" s="212">
        <v>40</v>
      </c>
      <c r="Y356" s="212" t="s">
        <v>144</v>
      </c>
      <c r="Z356" s="433" t="s">
        <v>144</v>
      </c>
      <c r="AA356" s="437" t="s">
        <v>2773</v>
      </c>
      <c r="AB356" s="206" t="s">
        <v>140</v>
      </c>
      <c r="AC356" s="847" t="s">
        <v>265</v>
      </c>
      <c r="AD356" s="847" t="s">
        <v>2774</v>
      </c>
      <c r="AE356" s="847" t="s">
        <v>144</v>
      </c>
      <c r="AF356" s="848" t="s">
        <v>144</v>
      </c>
      <c r="AG356" s="838"/>
      <c r="AH356" s="866" t="s">
        <v>2775</v>
      </c>
      <c r="AI356" s="273" t="s">
        <v>2776</v>
      </c>
      <c r="AJ356" s="847">
        <v>6</v>
      </c>
      <c r="AK356" s="878" t="s">
        <v>2777</v>
      </c>
      <c r="AL356" s="867" t="s">
        <v>294</v>
      </c>
      <c r="AM356" s="273" t="s">
        <v>295</v>
      </c>
      <c r="AN356" s="847">
        <v>7</v>
      </c>
      <c r="AO356" s="187" t="s">
        <v>966</v>
      </c>
      <c r="AP356" s="867"/>
      <c r="AQ356" s="273"/>
      <c r="AR356" s="847"/>
      <c r="AS356" s="848"/>
      <c r="AT356" s="867"/>
      <c r="AU356" s="273"/>
      <c r="AV356" s="847"/>
      <c r="AW356" s="848"/>
      <c r="AX356" s="867"/>
      <c r="AY356" s="273"/>
      <c r="AZ356" s="847"/>
      <c r="BA356" s="848"/>
      <c r="BB356" s="866"/>
      <c r="BC356" s="273"/>
      <c r="BD356" s="847"/>
      <c r="BE356" s="848"/>
      <c r="BF356" s="838"/>
    </row>
    <row r="357" spans="1:58" s="88" customFormat="1" ht="54" hidden="1" customHeight="1" x14ac:dyDescent="0.25">
      <c r="A357" s="267" t="s">
        <v>1687</v>
      </c>
      <c r="B357" s="268">
        <v>122</v>
      </c>
      <c r="C357" s="240" t="s">
        <v>2378</v>
      </c>
      <c r="D357" s="270" t="s">
        <v>2379</v>
      </c>
      <c r="E357" s="268" t="s">
        <v>2778</v>
      </c>
      <c r="F357" s="861" t="s">
        <v>2779</v>
      </c>
      <c r="G357" s="269" t="s">
        <v>2780</v>
      </c>
      <c r="H357" s="845" t="s">
        <v>2781</v>
      </c>
      <c r="I357" s="269" t="s">
        <v>2782</v>
      </c>
      <c r="J357" s="296" t="s">
        <v>140</v>
      </c>
      <c r="K357" s="297" t="s">
        <v>140</v>
      </c>
      <c r="L357" s="862" t="s">
        <v>2783</v>
      </c>
      <c r="M357" s="847" t="s">
        <v>973</v>
      </c>
      <c r="N357" s="270" t="s">
        <v>974</v>
      </c>
      <c r="O357" s="240" t="s">
        <v>144</v>
      </c>
      <c r="P357" s="240" t="s">
        <v>144</v>
      </c>
      <c r="Q357" s="845" t="s">
        <v>144</v>
      </c>
      <c r="R357" s="208" t="s">
        <v>144</v>
      </c>
      <c r="S357" s="864" t="s">
        <v>147</v>
      </c>
      <c r="T357" s="212" t="s">
        <v>144</v>
      </c>
      <c r="U357" s="213" t="s">
        <v>144</v>
      </c>
      <c r="V357" s="847">
        <v>12</v>
      </c>
      <c r="W357" s="415" t="s">
        <v>144</v>
      </c>
      <c r="X357" s="212">
        <v>40</v>
      </c>
      <c r="Y357" s="212" t="s">
        <v>144</v>
      </c>
      <c r="Z357" s="241" t="s">
        <v>25</v>
      </c>
      <c r="AA357" s="407" t="s">
        <v>2784</v>
      </c>
      <c r="AB357" s="206" t="s">
        <v>140</v>
      </c>
      <c r="AC357" s="847" t="s">
        <v>265</v>
      </c>
      <c r="AD357" s="847" t="s">
        <v>2731</v>
      </c>
      <c r="AE357" s="847" t="s">
        <v>144</v>
      </c>
      <c r="AF357" s="848" t="s">
        <v>144</v>
      </c>
      <c r="AG357" s="838"/>
      <c r="AH357" s="866" t="s">
        <v>2785</v>
      </c>
      <c r="AI357" s="273" t="s">
        <v>2786</v>
      </c>
      <c r="AJ357" s="872">
        <v>7</v>
      </c>
      <c r="AK357" s="878" t="s">
        <v>2787</v>
      </c>
      <c r="AL357" s="867"/>
      <c r="AM357" s="273"/>
      <c r="AN357" s="847"/>
      <c r="AO357" s="848"/>
      <c r="AP357" s="867" t="s">
        <v>2788</v>
      </c>
      <c r="AQ357" s="273" t="s">
        <v>2789</v>
      </c>
      <c r="AR357" s="847">
        <v>6</v>
      </c>
      <c r="AS357" s="848" t="s">
        <v>2790</v>
      </c>
      <c r="AT357" s="867"/>
      <c r="AU357" s="273"/>
      <c r="AV357" s="847"/>
      <c r="AW357" s="848"/>
      <c r="AX357" s="867"/>
      <c r="AY357" s="273"/>
      <c r="AZ357" s="847"/>
      <c r="BA357" s="848"/>
      <c r="BB357" s="866"/>
      <c r="BC357" s="273"/>
      <c r="BD357" s="847"/>
      <c r="BE357" s="848"/>
      <c r="BF357" s="838"/>
    </row>
    <row r="358" spans="1:58" s="88" customFormat="1" ht="54" hidden="1" customHeight="1" x14ac:dyDescent="0.25">
      <c r="A358" s="267" t="s">
        <v>1687</v>
      </c>
      <c r="B358" s="268">
        <v>123</v>
      </c>
      <c r="C358" s="240" t="s">
        <v>2378</v>
      </c>
      <c r="D358" s="270" t="s">
        <v>2379</v>
      </c>
      <c r="E358" s="268" t="s">
        <v>2791</v>
      </c>
      <c r="F358" s="861" t="s">
        <v>2792</v>
      </c>
      <c r="G358" s="269" t="s">
        <v>2793</v>
      </c>
      <c r="H358" s="845" t="s">
        <v>2794</v>
      </c>
      <c r="I358" s="269" t="s">
        <v>2795</v>
      </c>
      <c r="J358" s="296" t="s">
        <v>140</v>
      </c>
      <c r="K358" s="297" t="s">
        <v>140</v>
      </c>
      <c r="L358" s="862" t="s">
        <v>2796</v>
      </c>
      <c r="M358" s="847" t="s">
        <v>973</v>
      </c>
      <c r="N358" s="211" t="s">
        <v>974</v>
      </c>
      <c r="O358" s="240" t="s">
        <v>2797</v>
      </c>
      <c r="P358" s="240" t="s">
        <v>2798</v>
      </c>
      <c r="Q358" s="845" t="s">
        <v>144</v>
      </c>
      <c r="R358" s="208" t="s">
        <v>144</v>
      </c>
      <c r="S358" s="864" t="s">
        <v>147</v>
      </c>
      <c r="T358" s="212" t="s">
        <v>144</v>
      </c>
      <c r="U358" s="213" t="s">
        <v>144</v>
      </c>
      <c r="V358" s="847">
        <v>1</v>
      </c>
      <c r="W358" s="415" t="s">
        <v>144</v>
      </c>
      <c r="X358" s="212">
        <v>40</v>
      </c>
      <c r="Y358" s="212" t="s">
        <v>144</v>
      </c>
      <c r="Z358" s="241" t="s">
        <v>144</v>
      </c>
      <c r="AA358" s="437" t="s">
        <v>2575</v>
      </c>
      <c r="AB358" s="206" t="s">
        <v>140</v>
      </c>
      <c r="AC358" s="847" t="s">
        <v>265</v>
      </c>
      <c r="AD358" s="847" t="s">
        <v>2731</v>
      </c>
      <c r="AE358" s="847" t="s">
        <v>144</v>
      </c>
      <c r="AF358" s="848" t="s">
        <v>144</v>
      </c>
      <c r="AG358" s="838"/>
      <c r="AH358" s="866" t="s">
        <v>2785</v>
      </c>
      <c r="AI358" s="273" t="s">
        <v>2786</v>
      </c>
      <c r="AJ358" s="847">
        <v>6</v>
      </c>
      <c r="AK358" s="878" t="s">
        <v>2787</v>
      </c>
      <c r="AL358" s="867" t="s">
        <v>294</v>
      </c>
      <c r="AM358" s="273" t="s">
        <v>295</v>
      </c>
      <c r="AN358" s="847">
        <v>7</v>
      </c>
      <c r="AO358" s="187" t="s">
        <v>966</v>
      </c>
      <c r="AP358" s="867"/>
      <c r="AQ358" s="273"/>
      <c r="AR358" s="847"/>
      <c r="AS358" s="848"/>
      <c r="AT358" s="867"/>
      <c r="AU358" s="273"/>
      <c r="AV358" s="847"/>
      <c r="AW358" s="848"/>
      <c r="AX358" s="867"/>
      <c r="AY358" s="273"/>
      <c r="AZ358" s="847"/>
      <c r="BA358" s="848"/>
      <c r="BB358" s="866"/>
      <c r="BC358" s="273"/>
      <c r="BD358" s="847"/>
      <c r="BE358" s="848"/>
      <c r="BF358" s="838"/>
    </row>
    <row r="359" spans="1:58" s="88" customFormat="1" ht="54" hidden="1" customHeight="1" x14ac:dyDescent="0.25">
      <c r="A359" s="267" t="s">
        <v>1687</v>
      </c>
      <c r="B359" s="268">
        <v>124</v>
      </c>
      <c r="C359" s="240" t="s">
        <v>2513</v>
      </c>
      <c r="D359" s="270" t="s">
        <v>2514</v>
      </c>
      <c r="E359" s="268" t="s">
        <v>2799</v>
      </c>
      <c r="F359" s="861" t="s">
        <v>2800</v>
      </c>
      <c r="G359" s="269" t="s">
        <v>2801</v>
      </c>
      <c r="H359" s="845" t="s">
        <v>2802</v>
      </c>
      <c r="I359" s="269" t="s">
        <v>2803</v>
      </c>
      <c r="J359" s="296" t="s">
        <v>140</v>
      </c>
      <c r="K359" s="297" t="s">
        <v>140</v>
      </c>
      <c r="L359" s="862" t="s">
        <v>2804</v>
      </c>
      <c r="M359" s="847" t="s">
        <v>973</v>
      </c>
      <c r="N359" s="211" t="s">
        <v>974</v>
      </c>
      <c r="O359" s="240" t="s">
        <v>144</v>
      </c>
      <c r="P359" s="240" t="s">
        <v>144</v>
      </c>
      <c r="Q359" s="845" t="s">
        <v>144</v>
      </c>
      <c r="R359" s="208" t="s">
        <v>144</v>
      </c>
      <c r="S359" s="181" t="s">
        <v>233</v>
      </c>
      <c r="T359" s="212" t="s">
        <v>234</v>
      </c>
      <c r="U359" s="213" t="s">
        <v>235</v>
      </c>
      <c r="V359" s="847">
        <v>8</v>
      </c>
      <c r="W359" s="415" t="s">
        <v>144</v>
      </c>
      <c r="X359" s="212">
        <v>40</v>
      </c>
      <c r="Y359" s="212" t="s">
        <v>144</v>
      </c>
      <c r="Z359" s="241" t="s">
        <v>144</v>
      </c>
      <c r="AA359" s="437" t="s">
        <v>2805</v>
      </c>
      <c r="AB359" s="206" t="s">
        <v>140</v>
      </c>
      <c r="AC359" s="847" t="s">
        <v>265</v>
      </c>
      <c r="AD359" s="847" t="s">
        <v>2806</v>
      </c>
      <c r="AE359" s="847" t="s">
        <v>144</v>
      </c>
      <c r="AF359" s="848" t="s">
        <v>144</v>
      </c>
      <c r="AG359" s="838"/>
      <c r="AH359" s="866" t="s">
        <v>2807</v>
      </c>
      <c r="AI359" s="273" t="s">
        <v>2808</v>
      </c>
      <c r="AJ359" s="847">
        <v>6</v>
      </c>
      <c r="AK359" s="878" t="s">
        <v>2809</v>
      </c>
      <c r="AL359" s="867"/>
      <c r="AM359" s="273"/>
      <c r="AN359" s="847"/>
      <c r="AO359" s="848"/>
      <c r="AP359" s="867" t="s">
        <v>1174</v>
      </c>
      <c r="AQ359" s="273" t="s">
        <v>1175</v>
      </c>
      <c r="AR359" s="847">
        <v>7</v>
      </c>
      <c r="AS359" s="293" t="s">
        <v>1176</v>
      </c>
      <c r="AT359" s="867"/>
      <c r="AU359" s="273"/>
      <c r="AV359" s="847"/>
      <c r="AW359" s="848"/>
      <c r="AX359" s="867"/>
      <c r="AY359" s="273"/>
      <c r="AZ359" s="847"/>
      <c r="BA359" s="848"/>
      <c r="BB359" s="866"/>
      <c r="BC359" s="273"/>
      <c r="BD359" s="847"/>
      <c r="BE359" s="848"/>
      <c r="BF359" s="838"/>
    </row>
    <row r="360" spans="1:58" s="88" customFormat="1" ht="54" hidden="1" customHeight="1" x14ac:dyDescent="0.25">
      <c r="A360" s="267" t="s">
        <v>1687</v>
      </c>
      <c r="B360" s="268">
        <v>125</v>
      </c>
      <c r="C360" s="240" t="s">
        <v>2378</v>
      </c>
      <c r="D360" s="270" t="s">
        <v>2379</v>
      </c>
      <c r="E360" s="268" t="s">
        <v>2810</v>
      </c>
      <c r="F360" s="861" t="s">
        <v>2811</v>
      </c>
      <c r="G360" s="269" t="s">
        <v>2812</v>
      </c>
      <c r="H360" s="845" t="s">
        <v>2813</v>
      </c>
      <c r="I360" s="269" t="s">
        <v>2814</v>
      </c>
      <c r="J360" s="296" t="s">
        <v>140</v>
      </c>
      <c r="K360" s="297" t="s">
        <v>140</v>
      </c>
      <c r="L360" s="862" t="s">
        <v>2815</v>
      </c>
      <c r="M360" s="847" t="s">
        <v>973</v>
      </c>
      <c r="N360" s="211" t="s">
        <v>974</v>
      </c>
      <c r="O360" s="240" t="s">
        <v>144</v>
      </c>
      <c r="P360" s="240" t="s">
        <v>144</v>
      </c>
      <c r="Q360" s="845" t="s">
        <v>144</v>
      </c>
      <c r="R360" s="208" t="s">
        <v>144</v>
      </c>
      <c r="S360" s="864" t="s">
        <v>147</v>
      </c>
      <c r="T360" s="212" t="s">
        <v>144</v>
      </c>
      <c r="U360" s="213" t="s">
        <v>144</v>
      </c>
      <c r="V360" s="847">
        <v>20</v>
      </c>
      <c r="W360" s="415" t="s">
        <v>144</v>
      </c>
      <c r="X360" s="212">
        <v>40</v>
      </c>
      <c r="Y360" s="212" t="s">
        <v>144</v>
      </c>
      <c r="Z360" s="241" t="s">
        <v>144</v>
      </c>
      <c r="AA360" s="437" t="s">
        <v>2816</v>
      </c>
      <c r="AB360" s="206" t="s">
        <v>140</v>
      </c>
      <c r="AC360" s="847" t="s">
        <v>265</v>
      </c>
      <c r="AD360" s="847" t="s">
        <v>2731</v>
      </c>
      <c r="AE360" s="847" t="s">
        <v>144</v>
      </c>
      <c r="AF360" s="848" t="s">
        <v>144</v>
      </c>
      <c r="AG360" s="838"/>
      <c r="AH360" s="866" t="s">
        <v>2762</v>
      </c>
      <c r="AI360" s="273" t="s">
        <v>2763</v>
      </c>
      <c r="AJ360" s="847">
        <v>6</v>
      </c>
      <c r="AK360" s="878" t="s">
        <v>2764</v>
      </c>
      <c r="AL360" s="867"/>
      <c r="AM360" s="273"/>
      <c r="AN360" s="847"/>
      <c r="AO360" s="848"/>
      <c r="AP360" s="867"/>
      <c r="AQ360" s="273"/>
      <c r="AR360" s="847"/>
      <c r="AS360" s="848"/>
      <c r="AT360" s="867"/>
      <c r="AU360" s="273"/>
      <c r="AV360" s="847"/>
      <c r="AW360" s="848"/>
      <c r="AX360" s="867" t="s">
        <v>1047</v>
      </c>
      <c r="AY360" s="273" t="s">
        <v>1048</v>
      </c>
      <c r="AZ360" s="847">
        <v>7</v>
      </c>
      <c r="BA360" s="848" t="s">
        <v>1049</v>
      </c>
      <c r="BB360" s="866"/>
      <c r="BC360" s="273"/>
      <c r="BD360" s="847"/>
      <c r="BE360" s="848"/>
      <c r="BF360" s="838"/>
    </row>
    <row r="361" spans="1:58" s="88" customFormat="1" ht="54" hidden="1" customHeight="1" x14ac:dyDescent="0.25">
      <c r="A361" s="267" t="s">
        <v>1687</v>
      </c>
      <c r="B361" s="268">
        <v>126</v>
      </c>
      <c r="C361" s="240" t="s">
        <v>2378</v>
      </c>
      <c r="D361" s="270" t="s">
        <v>2379</v>
      </c>
      <c r="E361" s="268" t="s">
        <v>2817</v>
      </c>
      <c r="F361" s="861" t="s">
        <v>2818</v>
      </c>
      <c r="G361" s="269" t="s">
        <v>2819</v>
      </c>
      <c r="H361" s="845" t="s">
        <v>2820</v>
      </c>
      <c r="I361" s="269" t="s">
        <v>2821</v>
      </c>
      <c r="J361" s="296" t="s">
        <v>140</v>
      </c>
      <c r="K361" s="297" t="s">
        <v>140</v>
      </c>
      <c r="L361" s="862" t="s">
        <v>2822</v>
      </c>
      <c r="M361" s="847" t="s">
        <v>193</v>
      </c>
      <c r="N361" s="211" t="s">
        <v>194</v>
      </c>
      <c r="O361" s="240" t="s">
        <v>144</v>
      </c>
      <c r="P361" s="240" t="s">
        <v>144</v>
      </c>
      <c r="Q361" s="845" t="s">
        <v>2823</v>
      </c>
      <c r="R361" s="208" t="s">
        <v>2824</v>
      </c>
      <c r="S361" s="864" t="s">
        <v>147</v>
      </c>
      <c r="T361" s="212" t="s">
        <v>144</v>
      </c>
      <c r="U361" s="213" t="s">
        <v>144</v>
      </c>
      <c r="V361" s="847">
        <v>10</v>
      </c>
      <c r="W361" s="415" t="s">
        <v>144</v>
      </c>
      <c r="X361" s="212">
        <v>40</v>
      </c>
      <c r="Y361" s="212" t="s">
        <v>144</v>
      </c>
      <c r="Z361" s="241" t="s">
        <v>25</v>
      </c>
      <c r="AA361" s="437" t="s">
        <v>2825</v>
      </c>
      <c r="AB361" s="206" t="s">
        <v>140</v>
      </c>
      <c r="AC361" s="847" t="s">
        <v>265</v>
      </c>
      <c r="AD361" s="847" t="s">
        <v>2731</v>
      </c>
      <c r="AE361" s="847" t="s">
        <v>144</v>
      </c>
      <c r="AF361" s="848" t="s">
        <v>144</v>
      </c>
      <c r="AG361" s="838"/>
      <c r="AH361" s="866"/>
      <c r="AI361" s="273"/>
      <c r="AJ361" s="847"/>
      <c r="AK361" s="878"/>
      <c r="AL361" s="867"/>
      <c r="AM361" s="273"/>
      <c r="AN361" s="847"/>
      <c r="AO361" s="848"/>
      <c r="AP361" s="867"/>
      <c r="AQ361" s="273"/>
      <c r="AR361" s="847"/>
      <c r="AS361" s="848"/>
      <c r="AT361" s="867"/>
      <c r="AU361" s="273"/>
      <c r="AV361" s="847"/>
      <c r="AW361" s="848"/>
      <c r="AX361" s="873" t="s">
        <v>2826</v>
      </c>
      <c r="AY361" s="406" t="s">
        <v>2827</v>
      </c>
      <c r="AZ361" s="872" t="s">
        <v>1061</v>
      </c>
      <c r="BA361" s="878" t="s">
        <v>1732</v>
      </c>
      <c r="BB361" s="866"/>
      <c r="BC361" s="273"/>
      <c r="BD361" s="847"/>
      <c r="BE361" s="848"/>
      <c r="BF361" s="838"/>
    </row>
    <row r="362" spans="1:58" s="88" customFormat="1" ht="54" hidden="1" customHeight="1" x14ac:dyDescent="0.25">
      <c r="A362" s="267" t="s">
        <v>1687</v>
      </c>
      <c r="B362" s="268">
        <v>127</v>
      </c>
      <c r="C362" s="240" t="s">
        <v>2710</v>
      </c>
      <c r="D362" s="270" t="s">
        <v>2711</v>
      </c>
      <c r="E362" s="268" t="s">
        <v>2828</v>
      </c>
      <c r="F362" s="861" t="s">
        <v>2829</v>
      </c>
      <c r="G362" s="269" t="s">
        <v>2830</v>
      </c>
      <c r="H362" s="861" t="s">
        <v>2829</v>
      </c>
      <c r="I362" s="269" t="s">
        <v>2831</v>
      </c>
      <c r="J362" s="296" t="s">
        <v>140</v>
      </c>
      <c r="K362" s="297" t="s">
        <v>140</v>
      </c>
      <c r="L362" s="862" t="s">
        <v>2832</v>
      </c>
      <c r="M362" s="847" t="s">
        <v>973</v>
      </c>
      <c r="N362" s="211" t="s">
        <v>974</v>
      </c>
      <c r="O362" s="240" t="s">
        <v>144</v>
      </c>
      <c r="P362" s="240" t="s">
        <v>144</v>
      </c>
      <c r="Q362" s="351" t="s">
        <v>2833</v>
      </c>
      <c r="R362" s="318" t="s">
        <v>2834</v>
      </c>
      <c r="S362" s="864" t="s">
        <v>746</v>
      </c>
      <c r="T362" s="212" t="s">
        <v>1104</v>
      </c>
      <c r="U362" s="213" t="s">
        <v>1105</v>
      </c>
      <c r="V362" s="847">
        <v>19</v>
      </c>
      <c r="W362" s="415" t="s">
        <v>144</v>
      </c>
      <c r="X362" s="212">
        <v>40</v>
      </c>
      <c r="Y362" s="212" t="s">
        <v>144</v>
      </c>
      <c r="Z362" s="241" t="s">
        <v>25</v>
      </c>
      <c r="AA362" s="407" t="s">
        <v>2835</v>
      </c>
      <c r="AB362" s="206" t="s">
        <v>140</v>
      </c>
      <c r="AC362" s="847" t="s">
        <v>265</v>
      </c>
      <c r="AD362" s="847" t="s">
        <v>2731</v>
      </c>
      <c r="AE362" s="847" t="s">
        <v>144</v>
      </c>
      <c r="AF362" s="848" t="s">
        <v>144</v>
      </c>
      <c r="AG362" s="838"/>
      <c r="AH362" s="866" t="s">
        <v>2732</v>
      </c>
      <c r="AI362" s="273" t="s">
        <v>2733</v>
      </c>
      <c r="AJ362" s="847">
        <v>7</v>
      </c>
      <c r="AK362" s="878" t="s">
        <v>2734</v>
      </c>
      <c r="AL362" s="867"/>
      <c r="AM362" s="273"/>
      <c r="AN362" s="847"/>
      <c r="AO362" s="848"/>
      <c r="AP362" s="867"/>
      <c r="AQ362" s="273"/>
      <c r="AR362" s="847"/>
      <c r="AS362" s="848"/>
      <c r="AT362" s="867"/>
      <c r="AU362" s="273"/>
      <c r="AV362" s="847"/>
      <c r="AW362" s="848"/>
      <c r="AX362" s="867"/>
      <c r="AY362" s="273"/>
      <c r="AZ362" s="847"/>
      <c r="BA362" s="848"/>
      <c r="BB362" s="866"/>
      <c r="BC362" s="273"/>
      <c r="BD362" s="847"/>
      <c r="BE362" s="848"/>
      <c r="BF362" s="838"/>
    </row>
    <row r="363" spans="1:58" s="88" customFormat="1" ht="54" hidden="1" customHeight="1" x14ac:dyDescent="0.25">
      <c r="A363" s="267" t="s">
        <v>1687</v>
      </c>
      <c r="B363" s="268">
        <v>128</v>
      </c>
      <c r="C363" s="240" t="s">
        <v>2710</v>
      </c>
      <c r="D363" s="270" t="s">
        <v>2711</v>
      </c>
      <c r="E363" s="268" t="s">
        <v>2836</v>
      </c>
      <c r="F363" s="861" t="s">
        <v>2837</v>
      </c>
      <c r="G363" s="269" t="s">
        <v>2838</v>
      </c>
      <c r="H363" s="861" t="s">
        <v>2837</v>
      </c>
      <c r="I363" s="269" t="s">
        <v>2838</v>
      </c>
      <c r="J363" s="296" t="s">
        <v>140</v>
      </c>
      <c r="K363" s="297" t="s">
        <v>140</v>
      </c>
      <c r="L363" s="862" t="s">
        <v>2839</v>
      </c>
      <c r="M363" s="847" t="s">
        <v>973</v>
      </c>
      <c r="N363" s="211" t="s">
        <v>974</v>
      </c>
      <c r="O363" s="240" t="s">
        <v>814</v>
      </c>
      <c r="P363" s="240" t="s">
        <v>815</v>
      </c>
      <c r="Q363" s="845" t="s">
        <v>144</v>
      </c>
      <c r="R363" s="208" t="s">
        <v>144</v>
      </c>
      <c r="S363" s="864" t="s">
        <v>2840</v>
      </c>
      <c r="T363" s="212" t="s">
        <v>144</v>
      </c>
      <c r="U363" s="213" t="s">
        <v>144</v>
      </c>
      <c r="V363" s="847">
        <v>3</v>
      </c>
      <c r="W363" s="415" t="s">
        <v>144</v>
      </c>
      <c r="X363" s="212">
        <v>40</v>
      </c>
      <c r="Y363" s="212" t="s">
        <v>144</v>
      </c>
      <c r="Z363" s="241" t="s">
        <v>25</v>
      </c>
      <c r="AA363" s="407" t="s">
        <v>2835</v>
      </c>
      <c r="AB363" s="206" t="s">
        <v>140</v>
      </c>
      <c r="AC363" s="847" t="s">
        <v>265</v>
      </c>
      <c r="AD363" s="847" t="s">
        <v>2731</v>
      </c>
      <c r="AE363" s="847" t="s">
        <v>144</v>
      </c>
      <c r="AF363" s="848" t="s">
        <v>144</v>
      </c>
      <c r="AG363" s="838"/>
      <c r="AH363" s="866" t="s">
        <v>2841</v>
      </c>
      <c r="AI363" s="273" t="s">
        <v>2842</v>
      </c>
      <c r="AJ363" s="847">
        <v>7</v>
      </c>
      <c r="AK363" s="878" t="s">
        <v>1280</v>
      </c>
      <c r="AL363" s="867" t="s">
        <v>294</v>
      </c>
      <c r="AM363" s="273" t="s">
        <v>295</v>
      </c>
      <c r="AN363" s="847">
        <v>7</v>
      </c>
      <c r="AO363" s="187" t="s">
        <v>966</v>
      </c>
      <c r="AP363" s="867"/>
      <c r="AQ363" s="273"/>
      <c r="AR363" s="847"/>
      <c r="AS363" s="848"/>
      <c r="AT363" s="867"/>
      <c r="AU363" s="273"/>
      <c r="AV363" s="847"/>
      <c r="AW363" s="848"/>
      <c r="AX363" s="867"/>
      <c r="AY363" s="273"/>
      <c r="AZ363" s="847"/>
      <c r="BA363" s="848"/>
      <c r="BB363" s="866"/>
      <c r="BC363" s="273"/>
      <c r="BD363" s="847"/>
      <c r="BE363" s="848"/>
      <c r="BF363" s="838"/>
    </row>
    <row r="364" spans="1:58" s="57" customFormat="1" ht="54" hidden="1" customHeight="1" x14ac:dyDescent="0.25">
      <c r="A364" s="275" t="s">
        <v>1687</v>
      </c>
      <c r="B364" s="276">
        <v>129</v>
      </c>
      <c r="C364" s="253" t="s">
        <v>2135</v>
      </c>
      <c r="D364" s="253" t="s">
        <v>2136</v>
      </c>
      <c r="E364" s="276" t="s">
        <v>2843</v>
      </c>
      <c r="F364" s="277" t="s">
        <v>2844</v>
      </c>
      <c r="G364" s="277" t="s">
        <v>2845</v>
      </c>
      <c r="H364" s="279" t="s">
        <v>336</v>
      </c>
      <c r="I364" s="279" t="s">
        <v>337</v>
      </c>
      <c r="J364" s="278" t="s">
        <v>144</v>
      </c>
      <c r="K364" s="278" t="s">
        <v>144</v>
      </c>
      <c r="L364" s="718" t="s">
        <v>2846</v>
      </c>
      <c r="M364" s="253" t="s">
        <v>144</v>
      </c>
      <c r="N364" s="217" t="s">
        <v>144</v>
      </c>
      <c r="O364" s="253" t="s">
        <v>144</v>
      </c>
      <c r="P364" s="253" t="s">
        <v>144</v>
      </c>
      <c r="Q364" s="311" t="s">
        <v>338</v>
      </c>
      <c r="R364" s="218" t="s">
        <v>339</v>
      </c>
      <c r="S364" s="282" t="s">
        <v>147</v>
      </c>
      <c r="T364" s="229" t="s">
        <v>144</v>
      </c>
      <c r="U364" s="229" t="s">
        <v>144</v>
      </c>
      <c r="V364" s="278">
        <v>12</v>
      </c>
      <c r="W364" s="217" t="s">
        <v>144</v>
      </c>
      <c r="X364" s="221" t="s">
        <v>144</v>
      </c>
      <c r="Y364" s="221" t="s">
        <v>144</v>
      </c>
      <c r="Z364" s="221" t="s">
        <v>144</v>
      </c>
      <c r="AA364" s="253" t="s">
        <v>144</v>
      </c>
      <c r="AB364" s="217" t="s">
        <v>144</v>
      </c>
      <c r="AC364" s="253" t="s">
        <v>265</v>
      </c>
      <c r="AD364" s="253" t="s">
        <v>144</v>
      </c>
      <c r="AE364" s="253" t="s">
        <v>144</v>
      </c>
      <c r="AF364" s="254" t="s">
        <v>144</v>
      </c>
      <c r="AG364" s="838"/>
      <c r="AH364" s="280"/>
      <c r="AI364" s="281"/>
      <c r="AJ364" s="253"/>
      <c r="AK364" s="878"/>
      <c r="AL364" s="281"/>
      <c r="AM364" s="281"/>
      <c r="AN364" s="253"/>
      <c r="AO364" s="254"/>
      <c r="AP364" s="281"/>
      <c r="AQ364" s="281"/>
      <c r="AR364" s="253"/>
      <c r="AS364" s="254"/>
      <c r="AT364" s="281"/>
      <c r="AU364" s="281"/>
      <c r="AV364" s="253"/>
      <c r="AW364" s="254"/>
      <c r="AX364" s="281"/>
      <c r="AY364" s="281"/>
      <c r="AZ364" s="253"/>
      <c r="BA364" s="254"/>
      <c r="BB364" s="280"/>
      <c r="BC364" s="281"/>
      <c r="BD364" s="253"/>
      <c r="BE364" s="254"/>
      <c r="BF364" s="838"/>
    </row>
    <row r="365" spans="1:58" s="88" customFormat="1" ht="54" hidden="1" customHeight="1" x14ac:dyDescent="0.25">
      <c r="A365" s="267" t="s">
        <v>1687</v>
      </c>
      <c r="B365" s="268">
        <v>130</v>
      </c>
      <c r="C365" s="240" t="s">
        <v>2513</v>
      </c>
      <c r="D365" s="270" t="s">
        <v>2514</v>
      </c>
      <c r="E365" s="268" t="s">
        <v>2847</v>
      </c>
      <c r="F365" s="861" t="s">
        <v>2848</v>
      </c>
      <c r="G365" s="269" t="s">
        <v>2849</v>
      </c>
      <c r="H365" s="845" t="s">
        <v>2850</v>
      </c>
      <c r="I365" s="269" t="s">
        <v>2851</v>
      </c>
      <c r="J365" s="296" t="s">
        <v>140</v>
      </c>
      <c r="K365" s="297" t="s">
        <v>140</v>
      </c>
      <c r="L365" s="862" t="s">
        <v>2852</v>
      </c>
      <c r="M365" s="847" t="s">
        <v>973</v>
      </c>
      <c r="N365" s="211" t="s">
        <v>974</v>
      </c>
      <c r="O365" s="240" t="s">
        <v>2521</v>
      </c>
      <c r="P365" s="240" t="s">
        <v>2522</v>
      </c>
      <c r="Q365" s="845" t="s">
        <v>2853</v>
      </c>
      <c r="R365" s="208" t="s">
        <v>2854</v>
      </c>
      <c r="S365" s="864" t="s">
        <v>147</v>
      </c>
      <c r="T365" s="212" t="s">
        <v>144</v>
      </c>
      <c r="U365" s="213" t="s">
        <v>144</v>
      </c>
      <c r="V365" s="847">
        <v>2</v>
      </c>
      <c r="W365" s="415" t="s">
        <v>144</v>
      </c>
      <c r="X365" s="212">
        <v>40</v>
      </c>
      <c r="Y365" s="212" t="s">
        <v>144</v>
      </c>
      <c r="Z365" s="241" t="s">
        <v>25</v>
      </c>
      <c r="AA365" s="407" t="s">
        <v>2835</v>
      </c>
      <c r="AB365" s="206" t="s">
        <v>140</v>
      </c>
      <c r="AC365" s="847" t="s">
        <v>265</v>
      </c>
      <c r="AD365" s="847" t="s">
        <v>2731</v>
      </c>
      <c r="AE365" s="847" t="s">
        <v>144</v>
      </c>
      <c r="AF365" s="848" t="s">
        <v>144</v>
      </c>
      <c r="AG365" s="838"/>
      <c r="AH365" s="866" t="s">
        <v>2732</v>
      </c>
      <c r="AI365" s="273" t="s">
        <v>2733</v>
      </c>
      <c r="AJ365" s="847">
        <v>7</v>
      </c>
      <c r="AK365" s="878" t="s">
        <v>2734</v>
      </c>
      <c r="AL365" s="867" t="s">
        <v>294</v>
      </c>
      <c r="AM365" s="273" t="s">
        <v>295</v>
      </c>
      <c r="AN365" s="847">
        <v>7</v>
      </c>
      <c r="AO365" s="187" t="s">
        <v>966</v>
      </c>
      <c r="AP365" s="867"/>
      <c r="AQ365" s="273"/>
      <c r="AR365" s="847"/>
      <c r="AS365" s="848"/>
      <c r="AT365" s="867"/>
      <c r="AU365" s="273"/>
      <c r="AV365" s="847"/>
      <c r="AW365" s="848"/>
      <c r="AX365" s="867"/>
      <c r="AY365" s="273"/>
      <c r="AZ365" s="847"/>
      <c r="BA365" s="848"/>
      <c r="BB365" s="866"/>
      <c r="BC365" s="273"/>
      <c r="BD365" s="847"/>
      <c r="BE365" s="848"/>
      <c r="BF365" s="838"/>
    </row>
    <row r="366" spans="1:58" s="88" customFormat="1" ht="54" hidden="1" customHeight="1" x14ac:dyDescent="0.25">
      <c r="A366" s="267" t="s">
        <v>1687</v>
      </c>
      <c r="B366" s="268">
        <v>131</v>
      </c>
      <c r="C366" s="240" t="s">
        <v>2710</v>
      </c>
      <c r="D366" s="270" t="s">
        <v>2711</v>
      </c>
      <c r="E366" s="268" t="s">
        <v>2855</v>
      </c>
      <c r="F366" s="886" t="s">
        <v>2856</v>
      </c>
      <c r="G366" s="430" t="s">
        <v>2857</v>
      </c>
      <c r="H366" s="845" t="s">
        <v>2858</v>
      </c>
      <c r="I366" s="269" t="s">
        <v>2859</v>
      </c>
      <c r="J366" s="296" t="s">
        <v>140</v>
      </c>
      <c r="K366" s="297" t="s">
        <v>140</v>
      </c>
      <c r="L366" s="862" t="s">
        <v>2860</v>
      </c>
      <c r="M366" s="847" t="s">
        <v>973</v>
      </c>
      <c r="N366" s="211" t="s">
        <v>974</v>
      </c>
      <c r="O366" s="240" t="s">
        <v>2760</v>
      </c>
      <c r="P366" s="240" t="s">
        <v>2761</v>
      </c>
      <c r="Q366" s="845" t="s">
        <v>144</v>
      </c>
      <c r="R366" s="208" t="s">
        <v>144</v>
      </c>
      <c r="S366" s="864" t="s">
        <v>147</v>
      </c>
      <c r="T366" s="212" t="s">
        <v>144</v>
      </c>
      <c r="U366" s="213" t="s">
        <v>144</v>
      </c>
      <c r="V366" s="847">
        <v>2</v>
      </c>
      <c r="W366" s="415" t="s">
        <v>144</v>
      </c>
      <c r="X366" s="212">
        <v>40</v>
      </c>
      <c r="Y366" s="212" t="s">
        <v>144</v>
      </c>
      <c r="Z366" s="241" t="s">
        <v>25</v>
      </c>
      <c r="AA366" s="437" t="s">
        <v>2575</v>
      </c>
      <c r="AB366" s="206" t="s">
        <v>140</v>
      </c>
      <c r="AC366" s="847" t="s">
        <v>265</v>
      </c>
      <c r="AD366" s="847" t="s">
        <v>2731</v>
      </c>
      <c r="AE366" s="847" t="s">
        <v>144</v>
      </c>
      <c r="AF366" s="848" t="s">
        <v>144</v>
      </c>
      <c r="AG366" s="838"/>
      <c r="AH366" s="866" t="s">
        <v>2861</v>
      </c>
      <c r="AI366" s="273" t="s">
        <v>2862</v>
      </c>
      <c r="AJ366" s="847">
        <v>6</v>
      </c>
      <c r="AK366" s="878" t="s">
        <v>2863</v>
      </c>
      <c r="AL366" s="867" t="s">
        <v>294</v>
      </c>
      <c r="AM366" s="273" t="s">
        <v>295</v>
      </c>
      <c r="AN366" s="847">
        <v>7</v>
      </c>
      <c r="AO366" s="187" t="s">
        <v>966</v>
      </c>
      <c r="AP366" s="867"/>
      <c r="AQ366" s="273"/>
      <c r="AR366" s="847"/>
      <c r="AS366" s="848"/>
      <c r="AT366" s="867"/>
      <c r="AU366" s="273"/>
      <c r="AV366" s="847"/>
      <c r="AW366" s="848"/>
      <c r="AX366" s="867"/>
      <c r="AY366" s="273"/>
      <c r="AZ366" s="847"/>
      <c r="BA366" s="848"/>
      <c r="BB366" s="866"/>
      <c r="BC366" s="273"/>
      <c r="BD366" s="847"/>
      <c r="BE366" s="848"/>
      <c r="BF366" s="838"/>
    </row>
    <row r="367" spans="1:58" s="88" customFormat="1" ht="54" hidden="1" customHeight="1" x14ac:dyDescent="0.25">
      <c r="A367" s="267" t="s">
        <v>1687</v>
      </c>
      <c r="B367" s="268">
        <v>132</v>
      </c>
      <c r="C367" s="240" t="s">
        <v>2378</v>
      </c>
      <c r="D367" s="270" t="s">
        <v>2379</v>
      </c>
      <c r="E367" s="268" t="s">
        <v>2864</v>
      </c>
      <c r="F367" s="861" t="s">
        <v>2865</v>
      </c>
      <c r="G367" s="269" t="s">
        <v>2866</v>
      </c>
      <c r="H367" s="845" t="s">
        <v>2867</v>
      </c>
      <c r="I367" s="269" t="s">
        <v>2868</v>
      </c>
      <c r="J367" s="296" t="s">
        <v>140</v>
      </c>
      <c r="K367" s="297" t="s">
        <v>140</v>
      </c>
      <c r="L367" s="862" t="s">
        <v>2869</v>
      </c>
      <c r="M367" s="847" t="s">
        <v>973</v>
      </c>
      <c r="N367" s="211" t="s">
        <v>974</v>
      </c>
      <c r="O367" s="240" t="s">
        <v>2771</v>
      </c>
      <c r="P367" s="240" t="s">
        <v>2772</v>
      </c>
      <c r="Q367" s="845" t="s">
        <v>144</v>
      </c>
      <c r="R367" s="208" t="s">
        <v>144</v>
      </c>
      <c r="S367" s="864" t="s">
        <v>147</v>
      </c>
      <c r="T367" s="212" t="s">
        <v>144</v>
      </c>
      <c r="U367" s="213" t="s">
        <v>144</v>
      </c>
      <c r="V367" s="847">
        <v>2</v>
      </c>
      <c r="W367" s="415" t="s">
        <v>144</v>
      </c>
      <c r="X367" s="212">
        <v>40</v>
      </c>
      <c r="Y367" s="212" t="s">
        <v>144</v>
      </c>
      <c r="Z367" s="433" t="s">
        <v>144</v>
      </c>
      <c r="AA367" s="437" t="s">
        <v>2773</v>
      </c>
      <c r="AB367" s="206" t="s">
        <v>140</v>
      </c>
      <c r="AC367" s="847" t="s">
        <v>265</v>
      </c>
      <c r="AD367" s="847" t="s">
        <v>2774</v>
      </c>
      <c r="AE367" s="847" t="s">
        <v>144</v>
      </c>
      <c r="AF367" s="848" t="s">
        <v>144</v>
      </c>
      <c r="AG367" s="838"/>
      <c r="AH367" s="866" t="s">
        <v>2870</v>
      </c>
      <c r="AI367" s="273" t="s">
        <v>2871</v>
      </c>
      <c r="AJ367" s="847">
        <v>6</v>
      </c>
      <c r="AK367" s="878" t="s">
        <v>2872</v>
      </c>
      <c r="AL367" s="867" t="s">
        <v>294</v>
      </c>
      <c r="AM367" s="273" t="s">
        <v>295</v>
      </c>
      <c r="AN367" s="847">
        <v>7</v>
      </c>
      <c r="AO367" s="187" t="s">
        <v>966</v>
      </c>
      <c r="AP367" s="867"/>
      <c r="AQ367" s="273"/>
      <c r="AR367" s="847"/>
      <c r="AS367" s="848"/>
      <c r="AT367" s="867"/>
      <c r="AU367" s="273"/>
      <c r="AV367" s="847"/>
      <c r="AW367" s="848"/>
      <c r="AX367" s="867"/>
      <c r="AY367" s="273"/>
      <c r="AZ367" s="847"/>
      <c r="BA367" s="848"/>
      <c r="BB367" s="866"/>
      <c r="BC367" s="273"/>
      <c r="BD367" s="847"/>
      <c r="BE367" s="848"/>
      <c r="BF367" s="838"/>
    </row>
    <row r="368" spans="1:58" s="88" customFormat="1" ht="54" hidden="1" customHeight="1" x14ac:dyDescent="0.25">
      <c r="A368" s="267" t="s">
        <v>1687</v>
      </c>
      <c r="B368" s="268">
        <v>133</v>
      </c>
      <c r="C368" s="240" t="s">
        <v>2378</v>
      </c>
      <c r="D368" s="270" t="s">
        <v>2379</v>
      </c>
      <c r="E368" s="268" t="s">
        <v>2873</v>
      </c>
      <c r="F368" s="861" t="s">
        <v>2874</v>
      </c>
      <c r="G368" s="269" t="s">
        <v>2875</v>
      </c>
      <c r="H368" s="845" t="s">
        <v>2876</v>
      </c>
      <c r="I368" s="269" t="s">
        <v>2877</v>
      </c>
      <c r="J368" s="296" t="s">
        <v>140</v>
      </c>
      <c r="K368" s="297" t="s">
        <v>140</v>
      </c>
      <c r="L368" s="862" t="s">
        <v>2878</v>
      </c>
      <c r="M368" s="847" t="s">
        <v>973</v>
      </c>
      <c r="N368" s="270" t="s">
        <v>974</v>
      </c>
      <c r="O368" s="240" t="s">
        <v>144</v>
      </c>
      <c r="P368" s="240" t="s">
        <v>144</v>
      </c>
      <c r="Q368" s="845" t="s">
        <v>144</v>
      </c>
      <c r="R368" s="208" t="s">
        <v>144</v>
      </c>
      <c r="S368" s="864" t="s">
        <v>147</v>
      </c>
      <c r="T368" s="212" t="s">
        <v>144</v>
      </c>
      <c r="U368" s="213" t="s">
        <v>144</v>
      </c>
      <c r="V368" s="847">
        <v>12</v>
      </c>
      <c r="W368" s="415" t="s">
        <v>144</v>
      </c>
      <c r="X368" s="212">
        <v>40</v>
      </c>
      <c r="Y368" s="212" t="s">
        <v>144</v>
      </c>
      <c r="Z368" s="252" t="s">
        <v>25</v>
      </c>
      <c r="AA368" s="407" t="s">
        <v>2784</v>
      </c>
      <c r="AB368" s="206" t="s">
        <v>140</v>
      </c>
      <c r="AC368" s="847" t="s">
        <v>265</v>
      </c>
      <c r="AD368" s="847" t="s">
        <v>2731</v>
      </c>
      <c r="AE368" s="847" t="s">
        <v>144</v>
      </c>
      <c r="AF368" s="848" t="s">
        <v>144</v>
      </c>
      <c r="AG368" s="838"/>
      <c r="AH368" s="866" t="s">
        <v>2879</v>
      </c>
      <c r="AI368" s="273" t="s">
        <v>2880</v>
      </c>
      <c r="AJ368" s="872">
        <v>7</v>
      </c>
      <c r="AK368" s="878" t="s">
        <v>2881</v>
      </c>
      <c r="AL368" s="867"/>
      <c r="AM368" s="273"/>
      <c r="AN368" s="847"/>
      <c r="AO368" s="848"/>
      <c r="AP368" s="867" t="s">
        <v>2788</v>
      </c>
      <c r="AQ368" s="273" t="s">
        <v>2789</v>
      </c>
      <c r="AR368" s="847">
        <v>6</v>
      </c>
      <c r="AS368" s="848" t="s">
        <v>2790</v>
      </c>
      <c r="AT368" s="867"/>
      <c r="AU368" s="273"/>
      <c r="AV368" s="847"/>
      <c r="AW368" s="848"/>
      <c r="AX368" s="867"/>
      <c r="AY368" s="273"/>
      <c r="AZ368" s="847"/>
      <c r="BA368" s="848"/>
      <c r="BB368" s="866"/>
      <c r="BC368" s="273"/>
      <c r="BD368" s="847"/>
      <c r="BE368" s="848"/>
      <c r="BF368" s="838"/>
    </row>
    <row r="369" spans="1:58" s="88" customFormat="1" ht="54" hidden="1" customHeight="1" x14ac:dyDescent="0.25">
      <c r="A369" s="267" t="s">
        <v>1687</v>
      </c>
      <c r="B369" s="268">
        <v>134</v>
      </c>
      <c r="C369" s="240" t="s">
        <v>2378</v>
      </c>
      <c r="D369" s="270" t="s">
        <v>2379</v>
      </c>
      <c r="E369" s="268" t="s">
        <v>2882</v>
      </c>
      <c r="F369" s="861" t="s">
        <v>2883</v>
      </c>
      <c r="G369" s="269" t="s">
        <v>2884</v>
      </c>
      <c r="H369" s="845" t="s">
        <v>2885</v>
      </c>
      <c r="I369" s="269" t="s">
        <v>2886</v>
      </c>
      <c r="J369" s="296" t="s">
        <v>140</v>
      </c>
      <c r="K369" s="297" t="s">
        <v>140</v>
      </c>
      <c r="L369" s="862" t="s">
        <v>2887</v>
      </c>
      <c r="M369" s="847" t="s">
        <v>973</v>
      </c>
      <c r="N369" s="211" t="s">
        <v>974</v>
      </c>
      <c r="O369" s="240" t="s">
        <v>2797</v>
      </c>
      <c r="P369" s="240" t="s">
        <v>2798</v>
      </c>
      <c r="Q369" s="845" t="s">
        <v>144</v>
      </c>
      <c r="R369" s="208" t="s">
        <v>144</v>
      </c>
      <c r="S369" s="864" t="s">
        <v>147</v>
      </c>
      <c r="T369" s="212" t="s">
        <v>144</v>
      </c>
      <c r="U369" s="213" t="s">
        <v>144</v>
      </c>
      <c r="V369" s="847">
        <v>1</v>
      </c>
      <c r="W369" s="415" t="s">
        <v>144</v>
      </c>
      <c r="X369" s="212">
        <v>40</v>
      </c>
      <c r="Y369" s="212" t="s">
        <v>144</v>
      </c>
      <c r="Z369" s="241" t="s">
        <v>144</v>
      </c>
      <c r="AA369" s="437" t="s">
        <v>2575</v>
      </c>
      <c r="AB369" s="206" t="s">
        <v>140</v>
      </c>
      <c r="AC369" s="847" t="s">
        <v>265</v>
      </c>
      <c r="AD369" s="847" t="s">
        <v>2731</v>
      </c>
      <c r="AE369" s="847" t="s">
        <v>144</v>
      </c>
      <c r="AF369" s="848" t="s">
        <v>144</v>
      </c>
      <c r="AG369" s="838"/>
      <c r="AH369" s="866" t="s">
        <v>2879</v>
      </c>
      <c r="AI369" s="273" t="s">
        <v>2880</v>
      </c>
      <c r="AJ369" s="847">
        <v>6</v>
      </c>
      <c r="AK369" s="878" t="s">
        <v>2881</v>
      </c>
      <c r="AL369" s="867" t="s">
        <v>294</v>
      </c>
      <c r="AM369" s="273" t="s">
        <v>295</v>
      </c>
      <c r="AN369" s="847">
        <v>7</v>
      </c>
      <c r="AO369" s="187" t="s">
        <v>966</v>
      </c>
      <c r="AP369" s="867"/>
      <c r="AQ369" s="273"/>
      <c r="AR369" s="847"/>
      <c r="AS369" s="848"/>
      <c r="AT369" s="867"/>
      <c r="AU369" s="273"/>
      <c r="AV369" s="847"/>
      <c r="AW369" s="848"/>
      <c r="AX369" s="867"/>
      <c r="AY369" s="273"/>
      <c r="AZ369" s="847"/>
      <c r="BA369" s="848"/>
      <c r="BB369" s="866"/>
      <c r="BC369" s="273"/>
      <c r="BD369" s="847"/>
      <c r="BE369" s="848"/>
      <c r="BF369" s="838"/>
    </row>
    <row r="370" spans="1:58" s="88" customFormat="1" ht="54" hidden="1" customHeight="1" x14ac:dyDescent="0.25">
      <c r="A370" s="267" t="s">
        <v>1687</v>
      </c>
      <c r="B370" s="268">
        <v>135</v>
      </c>
      <c r="C370" s="240" t="s">
        <v>2513</v>
      </c>
      <c r="D370" s="270" t="s">
        <v>2514</v>
      </c>
      <c r="E370" s="268" t="s">
        <v>2888</v>
      </c>
      <c r="F370" s="861" t="s">
        <v>2889</v>
      </c>
      <c r="G370" s="269" t="s">
        <v>2890</v>
      </c>
      <c r="H370" s="845" t="s">
        <v>2891</v>
      </c>
      <c r="I370" s="269" t="s">
        <v>2892</v>
      </c>
      <c r="J370" s="296" t="s">
        <v>140</v>
      </c>
      <c r="K370" s="297" t="s">
        <v>140</v>
      </c>
      <c r="L370" s="862" t="s">
        <v>2893</v>
      </c>
      <c r="M370" s="847" t="s">
        <v>973</v>
      </c>
      <c r="N370" s="211" t="s">
        <v>974</v>
      </c>
      <c r="O370" s="240" t="s">
        <v>144</v>
      </c>
      <c r="P370" s="240" t="s">
        <v>144</v>
      </c>
      <c r="Q370" s="845" t="s">
        <v>144</v>
      </c>
      <c r="R370" s="208" t="s">
        <v>144</v>
      </c>
      <c r="S370" s="181" t="s">
        <v>233</v>
      </c>
      <c r="T370" s="212" t="s">
        <v>234</v>
      </c>
      <c r="U370" s="213" t="s">
        <v>235</v>
      </c>
      <c r="V370" s="847">
        <v>8</v>
      </c>
      <c r="W370" s="415" t="s">
        <v>144</v>
      </c>
      <c r="X370" s="212">
        <v>40</v>
      </c>
      <c r="Y370" s="212" t="s">
        <v>144</v>
      </c>
      <c r="Z370" s="241" t="s">
        <v>144</v>
      </c>
      <c r="AA370" s="437" t="s">
        <v>2805</v>
      </c>
      <c r="AB370" s="206" t="s">
        <v>140</v>
      </c>
      <c r="AC370" s="847" t="s">
        <v>265</v>
      </c>
      <c r="AD370" s="847" t="s">
        <v>2806</v>
      </c>
      <c r="AE370" s="847" t="s">
        <v>144</v>
      </c>
      <c r="AF370" s="848" t="s">
        <v>144</v>
      </c>
      <c r="AG370" s="838"/>
      <c r="AH370" s="866" t="s">
        <v>2894</v>
      </c>
      <c r="AI370" s="273" t="s">
        <v>2895</v>
      </c>
      <c r="AJ370" s="847">
        <v>6</v>
      </c>
      <c r="AK370" s="878" t="s">
        <v>2896</v>
      </c>
      <c r="AL370" s="867"/>
      <c r="AM370" s="273"/>
      <c r="AN370" s="847"/>
      <c r="AO370" s="848"/>
      <c r="AP370" s="867" t="s">
        <v>1174</v>
      </c>
      <c r="AQ370" s="273" t="s">
        <v>1175</v>
      </c>
      <c r="AR370" s="847">
        <v>7</v>
      </c>
      <c r="AS370" s="293" t="s">
        <v>1176</v>
      </c>
      <c r="AT370" s="867"/>
      <c r="AU370" s="273"/>
      <c r="AV370" s="847"/>
      <c r="AW370" s="848"/>
      <c r="AX370" s="867"/>
      <c r="AY370" s="273"/>
      <c r="AZ370" s="847"/>
      <c r="BA370" s="848"/>
      <c r="BB370" s="866"/>
      <c r="BC370" s="273"/>
      <c r="BD370" s="847"/>
      <c r="BE370" s="848"/>
      <c r="BF370" s="838"/>
    </row>
    <row r="371" spans="1:58" s="88" customFormat="1" ht="54" hidden="1" customHeight="1" x14ac:dyDescent="0.25">
      <c r="A371" s="267" t="s">
        <v>1687</v>
      </c>
      <c r="B371" s="268">
        <v>136</v>
      </c>
      <c r="C371" s="240" t="s">
        <v>2378</v>
      </c>
      <c r="D371" s="270" t="s">
        <v>2379</v>
      </c>
      <c r="E371" s="268" t="s">
        <v>2897</v>
      </c>
      <c r="F371" s="861" t="s">
        <v>2898</v>
      </c>
      <c r="G371" s="269" t="s">
        <v>2899</v>
      </c>
      <c r="H371" s="845" t="s">
        <v>2900</v>
      </c>
      <c r="I371" s="269" t="s">
        <v>2901</v>
      </c>
      <c r="J371" s="296" t="s">
        <v>140</v>
      </c>
      <c r="K371" s="297" t="s">
        <v>140</v>
      </c>
      <c r="L371" s="862" t="s">
        <v>2902</v>
      </c>
      <c r="M371" s="847" t="s">
        <v>973</v>
      </c>
      <c r="N371" s="211" t="s">
        <v>974</v>
      </c>
      <c r="O371" s="240" t="s">
        <v>144</v>
      </c>
      <c r="P371" s="240" t="s">
        <v>144</v>
      </c>
      <c r="Q371" s="845" t="s">
        <v>144</v>
      </c>
      <c r="R371" s="208" t="s">
        <v>144</v>
      </c>
      <c r="S371" s="864" t="s">
        <v>147</v>
      </c>
      <c r="T371" s="212" t="s">
        <v>144</v>
      </c>
      <c r="U371" s="213" t="s">
        <v>144</v>
      </c>
      <c r="V371" s="847">
        <v>20</v>
      </c>
      <c r="W371" s="415" t="s">
        <v>144</v>
      </c>
      <c r="X371" s="212">
        <v>40</v>
      </c>
      <c r="Y371" s="212" t="s">
        <v>144</v>
      </c>
      <c r="Z371" s="241" t="s">
        <v>144</v>
      </c>
      <c r="AA371" s="437" t="s">
        <v>2816</v>
      </c>
      <c r="AB371" s="206" t="s">
        <v>140</v>
      </c>
      <c r="AC371" s="847" t="s">
        <v>265</v>
      </c>
      <c r="AD371" s="847" t="s">
        <v>2731</v>
      </c>
      <c r="AE371" s="847" t="s">
        <v>144</v>
      </c>
      <c r="AF371" s="848" t="s">
        <v>144</v>
      </c>
      <c r="AG371" s="838"/>
      <c r="AH371" s="866" t="s">
        <v>2861</v>
      </c>
      <c r="AI371" s="273" t="s">
        <v>2862</v>
      </c>
      <c r="AJ371" s="847">
        <v>6</v>
      </c>
      <c r="AK371" s="878" t="s">
        <v>2863</v>
      </c>
      <c r="AL371" s="867"/>
      <c r="AM371" s="273"/>
      <c r="AN371" s="847"/>
      <c r="AO371" s="848"/>
      <c r="AP371" s="867"/>
      <c r="AQ371" s="273"/>
      <c r="AR371" s="847"/>
      <c r="AS371" s="848"/>
      <c r="AT371" s="867"/>
      <c r="AU371" s="273"/>
      <c r="AV371" s="847"/>
      <c r="AW371" s="848"/>
      <c r="AX371" s="867" t="s">
        <v>1047</v>
      </c>
      <c r="AY371" s="273" t="s">
        <v>1048</v>
      </c>
      <c r="AZ371" s="847">
        <v>7</v>
      </c>
      <c r="BA371" s="848" t="s">
        <v>1049</v>
      </c>
      <c r="BB371" s="866"/>
      <c r="BC371" s="273"/>
      <c r="BD371" s="847"/>
      <c r="BE371" s="848"/>
      <c r="BF371" s="838"/>
    </row>
    <row r="372" spans="1:58" s="88" customFormat="1" ht="54" hidden="1" customHeight="1" x14ac:dyDescent="0.25">
      <c r="A372" s="267" t="s">
        <v>1687</v>
      </c>
      <c r="B372" s="268">
        <v>137</v>
      </c>
      <c r="C372" s="240" t="s">
        <v>2378</v>
      </c>
      <c r="D372" s="270" t="s">
        <v>2379</v>
      </c>
      <c r="E372" s="268" t="s">
        <v>2903</v>
      </c>
      <c r="F372" s="861" t="s">
        <v>2904</v>
      </c>
      <c r="G372" s="269" t="s">
        <v>2905</v>
      </c>
      <c r="H372" s="845" t="s">
        <v>2906</v>
      </c>
      <c r="I372" s="269" t="s">
        <v>2907</v>
      </c>
      <c r="J372" s="296" t="s">
        <v>140</v>
      </c>
      <c r="K372" s="297" t="s">
        <v>140</v>
      </c>
      <c r="L372" s="862" t="s">
        <v>2908</v>
      </c>
      <c r="M372" s="847" t="s">
        <v>193</v>
      </c>
      <c r="N372" s="211" t="s">
        <v>194</v>
      </c>
      <c r="O372" s="240" t="s">
        <v>144</v>
      </c>
      <c r="P372" s="240" t="s">
        <v>144</v>
      </c>
      <c r="Q372" s="845" t="s">
        <v>2909</v>
      </c>
      <c r="R372" s="208" t="s">
        <v>2910</v>
      </c>
      <c r="S372" s="864" t="s">
        <v>147</v>
      </c>
      <c r="T372" s="212" t="s">
        <v>144</v>
      </c>
      <c r="U372" s="213" t="s">
        <v>144</v>
      </c>
      <c r="V372" s="847">
        <v>10</v>
      </c>
      <c r="W372" s="415" t="s">
        <v>144</v>
      </c>
      <c r="X372" s="212">
        <v>40</v>
      </c>
      <c r="Y372" s="212" t="s">
        <v>144</v>
      </c>
      <c r="Z372" s="241" t="s">
        <v>25</v>
      </c>
      <c r="AA372" s="437" t="s">
        <v>2825</v>
      </c>
      <c r="AB372" s="206" t="s">
        <v>140</v>
      </c>
      <c r="AC372" s="847" t="s">
        <v>265</v>
      </c>
      <c r="AD372" s="847" t="s">
        <v>2731</v>
      </c>
      <c r="AE372" s="847" t="s">
        <v>144</v>
      </c>
      <c r="AF372" s="848" t="s">
        <v>144</v>
      </c>
      <c r="AG372" s="838"/>
      <c r="AH372" s="866"/>
      <c r="AI372" s="273"/>
      <c r="AJ372" s="847"/>
      <c r="AK372" s="878"/>
      <c r="AL372" s="867"/>
      <c r="AM372" s="273"/>
      <c r="AN372" s="847"/>
      <c r="AO372" s="848"/>
      <c r="AP372" s="867"/>
      <c r="AQ372" s="273"/>
      <c r="AR372" s="847"/>
      <c r="AS372" s="848"/>
      <c r="AT372" s="867"/>
      <c r="AU372" s="273"/>
      <c r="AV372" s="847"/>
      <c r="AW372" s="848"/>
      <c r="AX372" s="873" t="s">
        <v>2911</v>
      </c>
      <c r="AY372" s="406" t="s">
        <v>2912</v>
      </c>
      <c r="AZ372" s="872" t="s">
        <v>1061</v>
      </c>
      <c r="BA372" s="878" t="s">
        <v>1732</v>
      </c>
      <c r="BB372" s="866"/>
      <c r="BC372" s="273"/>
      <c r="BD372" s="847"/>
      <c r="BE372" s="848"/>
      <c r="BF372" s="838"/>
    </row>
    <row r="373" spans="1:58" s="87" customFormat="1" ht="54" hidden="1" customHeight="1" x14ac:dyDescent="0.25">
      <c r="A373" s="267" t="s">
        <v>1687</v>
      </c>
      <c r="B373" s="268">
        <v>138</v>
      </c>
      <c r="C373" s="240" t="s">
        <v>2710</v>
      </c>
      <c r="D373" s="270" t="s">
        <v>2711</v>
      </c>
      <c r="E373" s="268" t="s">
        <v>2913</v>
      </c>
      <c r="F373" s="861" t="s">
        <v>2914</v>
      </c>
      <c r="G373" s="269" t="s">
        <v>2915</v>
      </c>
      <c r="H373" s="845" t="s">
        <v>2916</v>
      </c>
      <c r="I373" s="269" t="s">
        <v>2917</v>
      </c>
      <c r="J373" s="296" t="s">
        <v>140</v>
      </c>
      <c r="K373" s="297" t="s">
        <v>140</v>
      </c>
      <c r="L373" s="862" t="s">
        <v>2918</v>
      </c>
      <c r="M373" s="847" t="s">
        <v>973</v>
      </c>
      <c r="N373" s="211" t="s">
        <v>974</v>
      </c>
      <c r="O373" s="240" t="s">
        <v>2919</v>
      </c>
      <c r="P373" s="240" t="s">
        <v>2920</v>
      </c>
      <c r="Q373" s="845" t="s">
        <v>2627</v>
      </c>
      <c r="R373" s="208" t="s">
        <v>2628</v>
      </c>
      <c r="S373" s="864" t="s">
        <v>147</v>
      </c>
      <c r="T373" s="212" t="s">
        <v>144</v>
      </c>
      <c r="U373" s="213" t="s">
        <v>144</v>
      </c>
      <c r="V373" s="847">
        <v>1</v>
      </c>
      <c r="W373" s="415" t="s">
        <v>144</v>
      </c>
      <c r="X373" s="212">
        <v>40</v>
      </c>
      <c r="Y373" s="212" t="s">
        <v>144</v>
      </c>
      <c r="Z373" s="241" t="s">
        <v>144</v>
      </c>
      <c r="AA373" s="437" t="s">
        <v>2720</v>
      </c>
      <c r="AB373" s="206" t="s">
        <v>140</v>
      </c>
      <c r="AC373" s="847" t="s">
        <v>265</v>
      </c>
      <c r="AD373" s="847" t="s">
        <v>2721</v>
      </c>
      <c r="AE373" s="847" t="s">
        <v>144</v>
      </c>
      <c r="AF373" s="848" t="s">
        <v>144</v>
      </c>
      <c r="AG373" s="838"/>
      <c r="AH373" s="866" t="s">
        <v>2722</v>
      </c>
      <c r="AI373" s="273" t="s">
        <v>2723</v>
      </c>
      <c r="AJ373" s="847">
        <v>6</v>
      </c>
      <c r="AK373" s="878" t="s">
        <v>2724</v>
      </c>
      <c r="AL373" s="867" t="s">
        <v>294</v>
      </c>
      <c r="AM373" s="273" t="s">
        <v>295</v>
      </c>
      <c r="AN373" s="847">
        <v>7</v>
      </c>
      <c r="AO373" s="187" t="s">
        <v>966</v>
      </c>
      <c r="AP373" s="312"/>
      <c r="AQ373" s="313"/>
      <c r="AR373" s="289"/>
      <c r="AS373" s="314"/>
      <c r="AT373" s="867"/>
      <c r="AU373" s="273"/>
      <c r="AV373" s="847"/>
      <c r="AW373" s="848"/>
      <c r="AX373" s="867"/>
      <c r="AY373" s="273"/>
      <c r="AZ373" s="847"/>
      <c r="BA373" s="848"/>
      <c r="BB373" s="866"/>
      <c r="BC373" s="273"/>
      <c r="BD373" s="847"/>
      <c r="BE373" s="848"/>
      <c r="BF373" s="838"/>
    </row>
    <row r="374" spans="1:58" s="87" customFormat="1" ht="54" hidden="1" customHeight="1" x14ac:dyDescent="0.25">
      <c r="A374" s="267" t="s">
        <v>1687</v>
      </c>
      <c r="B374" s="268">
        <v>139</v>
      </c>
      <c r="C374" s="240" t="s">
        <v>2710</v>
      </c>
      <c r="D374" s="270" t="s">
        <v>2711</v>
      </c>
      <c r="E374" s="268" t="s">
        <v>2921</v>
      </c>
      <c r="F374" s="861" t="s">
        <v>2922</v>
      </c>
      <c r="G374" s="269" t="s">
        <v>2923</v>
      </c>
      <c r="H374" s="845" t="s">
        <v>2924</v>
      </c>
      <c r="I374" s="269" t="s">
        <v>2925</v>
      </c>
      <c r="J374" s="296" t="s">
        <v>140</v>
      </c>
      <c r="K374" s="297" t="s">
        <v>140</v>
      </c>
      <c r="L374" s="862" t="s">
        <v>2926</v>
      </c>
      <c r="M374" s="847" t="s">
        <v>973</v>
      </c>
      <c r="N374" s="211" t="s">
        <v>974</v>
      </c>
      <c r="O374" s="319" t="s">
        <v>2927</v>
      </c>
      <c r="P374" s="319" t="s">
        <v>2928</v>
      </c>
      <c r="Q374" s="845" t="s">
        <v>2627</v>
      </c>
      <c r="R374" s="208" t="s">
        <v>2628</v>
      </c>
      <c r="S374" s="864" t="s">
        <v>147</v>
      </c>
      <c r="T374" s="212" t="s">
        <v>144</v>
      </c>
      <c r="U374" s="213" t="s">
        <v>144</v>
      </c>
      <c r="V374" s="847">
        <v>1</v>
      </c>
      <c r="W374" s="415" t="s">
        <v>144</v>
      </c>
      <c r="X374" s="212">
        <v>40</v>
      </c>
      <c r="Y374" s="212" t="s">
        <v>144</v>
      </c>
      <c r="Z374" s="241" t="s">
        <v>144</v>
      </c>
      <c r="AA374" s="437" t="s">
        <v>2720</v>
      </c>
      <c r="AB374" s="206" t="s">
        <v>140</v>
      </c>
      <c r="AC374" s="847" t="s">
        <v>265</v>
      </c>
      <c r="AD374" s="847" t="s">
        <v>2721</v>
      </c>
      <c r="AE374" s="847" t="s">
        <v>144</v>
      </c>
      <c r="AF374" s="848" t="s">
        <v>144</v>
      </c>
      <c r="AG374" s="838"/>
      <c r="AH374" s="866" t="s">
        <v>2722</v>
      </c>
      <c r="AI374" s="273" t="s">
        <v>2723</v>
      </c>
      <c r="AJ374" s="847">
        <v>6</v>
      </c>
      <c r="AK374" s="878" t="s">
        <v>2724</v>
      </c>
      <c r="AL374" s="867" t="s">
        <v>294</v>
      </c>
      <c r="AM374" s="273" t="s">
        <v>295</v>
      </c>
      <c r="AN374" s="847">
        <v>7</v>
      </c>
      <c r="AO374" s="187" t="s">
        <v>966</v>
      </c>
      <c r="AP374" s="312"/>
      <c r="AQ374" s="313"/>
      <c r="AR374" s="289"/>
      <c r="AS374" s="314"/>
      <c r="AT374" s="867"/>
      <c r="AU374" s="273"/>
      <c r="AV374" s="847"/>
      <c r="AW374" s="848"/>
      <c r="AX374" s="867"/>
      <c r="AY374" s="273"/>
      <c r="AZ374" s="847"/>
      <c r="BA374" s="848"/>
      <c r="BB374" s="866"/>
      <c r="BC374" s="273"/>
      <c r="BD374" s="847"/>
      <c r="BE374" s="848"/>
      <c r="BF374" s="838"/>
    </row>
    <row r="375" spans="1:58" s="88" customFormat="1" ht="54" hidden="1" customHeight="1" x14ac:dyDescent="0.25">
      <c r="A375" s="267" t="s">
        <v>1687</v>
      </c>
      <c r="B375" s="268">
        <v>140</v>
      </c>
      <c r="C375" s="240" t="s">
        <v>1372</v>
      </c>
      <c r="D375" s="270" t="s">
        <v>1373</v>
      </c>
      <c r="E375" s="268" t="s">
        <v>2929</v>
      </c>
      <c r="F375" s="861" t="s">
        <v>1403</v>
      </c>
      <c r="G375" s="269" t="s">
        <v>2930</v>
      </c>
      <c r="H375" s="845" t="s">
        <v>2931</v>
      </c>
      <c r="I375" s="269" t="s">
        <v>2932</v>
      </c>
      <c r="J375" s="296" t="s">
        <v>140</v>
      </c>
      <c r="K375" s="297" t="s">
        <v>140</v>
      </c>
      <c r="L375" s="862" t="s">
        <v>1407</v>
      </c>
      <c r="M375" s="240" t="s">
        <v>973</v>
      </c>
      <c r="N375" s="270" t="s">
        <v>974</v>
      </c>
      <c r="O375" s="240" t="s">
        <v>1408</v>
      </c>
      <c r="P375" s="240" t="s">
        <v>1409</v>
      </c>
      <c r="Q375" s="845" t="s">
        <v>144</v>
      </c>
      <c r="R375" s="208" t="s">
        <v>144</v>
      </c>
      <c r="S375" s="864" t="s">
        <v>147</v>
      </c>
      <c r="T375" s="212" t="s">
        <v>144</v>
      </c>
      <c r="U375" s="213" t="s">
        <v>144</v>
      </c>
      <c r="V375" s="847">
        <v>3</v>
      </c>
      <c r="W375" s="415" t="s">
        <v>144</v>
      </c>
      <c r="X375" s="212">
        <v>40</v>
      </c>
      <c r="Y375" s="212" t="s">
        <v>144</v>
      </c>
      <c r="Z375" s="241" t="s">
        <v>144</v>
      </c>
      <c r="AA375" s="437" t="s">
        <v>2933</v>
      </c>
      <c r="AB375" s="206" t="s">
        <v>140</v>
      </c>
      <c r="AC375" s="847" t="s">
        <v>265</v>
      </c>
      <c r="AD375" s="847" t="s">
        <v>2934</v>
      </c>
      <c r="AE375" s="847" t="s">
        <v>144</v>
      </c>
      <c r="AF375" s="848" t="s">
        <v>144</v>
      </c>
      <c r="AG375" s="838"/>
      <c r="AH375" s="291" t="s">
        <v>1931</v>
      </c>
      <c r="AI375" s="273" t="s">
        <v>1932</v>
      </c>
      <c r="AJ375" s="240">
        <v>6</v>
      </c>
      <c r="AK375" s="878" t="s">
        <v>1933</v>
      </c>
      <c r="AL375" s="875" t="s">
        <v>294</v>
      </c>
      <c r="AM375" s="301" t="s">
        <v>295</v>
      </c>
      <c r="AN375" s="847">
        <v>7</v>
      </c>
      <c r="AO375" s="187" t="s">
        <v>966</v>
      </c>
      <c r="AP375" s="867"/>
      <c r="AQ375" s="273"/>
      <c r="AR375" s="847"/>
      <c r="AS375" s="848"/>
      <c r="AT375" s="867"/>
      <c r="AU375" s="273"/>
      <c r="AV375" s="847"/>
      <c r="AW375" s="848"/>
      <c r="AX375" s="867"/>
      <c r="AY375" s="273"/>
      <c r="AZ375" s="847"/>
      <c r="BA375" s="848"/>
      <c r="BB375" s="866"/>
      <c r="BC375" s="273"/>
      <c r="BD375" s="847"/>
      <c r="BE375" s="848"/>
      <c r="BF375" s="838"/>
    </row>
    <row r="376" spans="1:58" s="57" customFormat="1" ht="54" hidden="1" customHeight="1" x14ac:dyDescent="0.25">
      <c r="A376" s="275" t="s">
        <v>1687</v>
      </c>
      <c r="B376" s="276">
        <v>141</v>
      </c>
      <c r="C376" s="253" t="s">
        <v>1372</v>
      </c>
      <c r="D376" s="253" t="s">
        <v>1373</v>
      </c>
      <c r="E376" s="276" t="s">
        <v>2935</v>
      </c>
      <c r="F376" s="277" t="s">
        <v>2936</v>
      </c>
      <c r="G376" s="277" t="s">
        <v>2937</v>
      </c>
      <c r="H376" s="218" t="s">
        <v>2938</v>
      </c>
      <c r="I376" s="277" t="s">
        <v>2939</v>
      </c>
      <c r="J376" s="253" t="s">
        <v>144</v>
      </c>
      <c r="K376" s="253" t="s">
        <v>144</v>
      </c>
      <c r="L376" s="718" t="s">
        <v>2940</v>
      </c>
      <c r="M376" s="253" t="s">
        <v>144</v>
      </c>
      <c r="N376" s="253" t="s">
        <v>144</v>
      </c>
      <c r="O376" s="253" t="s">
        <v>2941</v>
      </c>
      <c r="P376" s="253" t="s">
        <v>2942</v>
      </c>
      <c r="Q376" s="218" t="s">
        <v>144</v>
      </c>
      <c r="R376" s="218" t="s">
        <v>144</v>
      </c>
      <c r="S376" s="276" t="s">
        <v>147</v>
      </c>
      <c r="T376" s="221" t="s">
        <v>144</v>
      </c>
      <c r="U376" s="221" t="s">
        <v>144</v>
      </c>
      <c r="V376" s="253">
        <v>5</v>
      </c>
      <c r="W376" s="217" t="s">
        <v>144</v>
      </c>
      <c r="X376" s="221">
        <v>40</v>
      </c>
      <c r="Y376" s="221">
        <v>43</v>
      </c>
      <c r="Z376" s="221" t="s">
        <v>144</v>
      </c>
      <c r="AA376" s="253" t="s">
        <v>2943</v>
      </c>
      <c r="AB376" s="217" t="s">
        <v>144</v>
      </c>
      <c r="AC376" s="253" t="s">
        <v>265</v>
      </c>
      <c r="AD376" s="253" t="s">
        <v>2934</v>
      </c>
      <c r="AE376" s="253" t="s">
        <v>144</v>
      </c>
      <c r="AF376" s="254" t="s">
        <v>144</v>
      </c>
      <c r="AG376" s="838"/>
      <c r="AH376" s="320"/>
      <c r="AI376" s="321"/>
      <c r="AJ376" s="322"/>
      <c r="AK376" s="878"/>
      <c r="AL376" s="324"/>
      <c r="AM376" s="324"/>
      <c r="AN376" s="322"/>
      <c r="AO376" s="323"/>
      <c r="AP376" s="281"/>
      <c r="AQ376" s="281"/>
      <c r="AR376" s="253"/>
      <c r="AS376" s="254"/>
      <c r="AT376" s="281"/>
      <c r="AU376" s="281"/>
      <c r="AV376" s="253"/>
      <c r="AW376" s="254"/>
      <c r="AX376" s="281"/>
      <c r="AY376" s="281"/>
      <c r="AZ376" s="253"/>
      <c r="BA376" s="254"/>
      <c r="BB376" s="280"/>
      <c r="BC376" s="281"/>
      <c r="BD376" s="253"/>
      <c r="BE376" s="254"/>
      <c r="BF376" s="838"/>
    </row>
    <row r="377" spans="1:58" s="57" customFormat="1" ht="54" hidden="1" customHeight="1" x14ac:dyDescent="0.25">
      <c r="A377" s="275" t="s">
        <v>1687</v>
      </c>
      <c r="B377" s="276">
        <v>142</v>
      </c>
      <c r="C377" s="253" t="s">
        <v>144</v>
      </c>
      <c r="D377" s="253" t="s">
        <v>144</v>
      </c>
      <c r="E377" s="276" t="s">
        <v>2944</v>
      </c>
      <c r="F377" s="277" t="s">
        <v>2945</v>
      </c>
      <c r="G377" s="277" t="s">
        <v>2946</v>
      </c>
      <c r="H377" s="218" t="s">
        <v>2945</v>
      </c>
      <c r="I377" s="277" t="s">
        <v>2946</v>
      </c>
      <c r="J377" s="302" t="s">
        <v>144</v>
      </c>
      <c r="K377" s="302" t="s">
        <v>144</v>
      </c>
      <c r="L377" s="718" t="s">
        <v>2947</v>
      </c>
      <c r="M377" s="253" t="s">
        <v>144</v>
      </c>
      <c r="N377" s="217" t="s">
        <v>144</v>
      </c>
      <c r="O377" s="253" t="s">
        <v>144</v>
      </c>
      <c r="P377" s="253" t="s">
        <v>144</v>
      </c>
      <c r="Q377" s="218" t="s">
        <v>2948</v>
      </c>
      <c r="R377" s="218" t="s">
        <v>2949</v>
      </c>
      <c r="S377" s="276" t="s">
        <v>147</v>
      </c>
      <c r="T377" s="221" t="s">
        <v>144</v>
      </c>
      <c r="U377" s="221" t="s">
        <v>144</v>
      </c>
      <c r="V377" s="253">
        <v>2</v>
      </c>
      <c r="W377" s="217" t="s">
        <v>144</v>
      </c>
      <c r="X377" s="221">
        <v>40</v>
      </c>
      <c r="Y377" s="221">
        <v>43</v>
      </c>
      <c r="Z377" s="221" t="s">
        <v>144</v>
      </c>
      <c r="AA377" s="253" t="s">
        <v>2943</v>
      </c>
      <c r="AB377" s="217" t="s">
        <v>144</v>
      </c>
      <c r="AC377" s="253" t="s">
        <v>265</v>
      </c>
      <c r="AD377" s="253" t="s">
        <v>2934</v>
      </c>
      <c r="AE377" s="253" t="s">
        <v>144</v>
      </c>
      <c r="AF377" s="254" t="s">
        <v>144</v>
      </c>
      <c r="AG377" s="838"/>
      <c r="AH377" s="280"/>
      <c r="AI377" s="281"/>
      <c r="AJ377" s="253"/>
      <c r="AK377" s="878"/>
      <c r="AL377" s="281"/>
      <c r="AM377" s="281"/>
      <c r="AN377" s="253"/>
      <c r="AO377" s="254"/>
      <c r="AP377" s="321"/>
      <c r="AQ377" s="321"/>
      <c r="AR377" s="322"/>
      <c r="AS377" s="323"/>
      <c r="AT377" s="281"/>
      <c r="AU377" s="281"/>
      <c r="AV377" s="253"/>
      <c r="AW377" s="254"/>
      <c r="AX377" s="281"/>
      <c r="AY377" s="281"/>
      <c r="AZ377" s="253"/>
      <c r="BA377" s="254"/>
      <c r="BB377" s="280"/>
      <c r="BC377" s="281"/>
      <c r="BD377" s="253"/>
      <c r="BE377" s="254"/>
      <c r="BF377" s="838"/>
    </row>
    <row r="378" spans="1:58" s="88" customFormat="1" ht="54" hidden="1" customHeight="1" x14ac:dyDescent="0.25">
      <c r="A378" s="267" t="s">
        <v>1687</v>
      </c>
      <c r="B378" s="268">
        <v>143</v>
      </c>
      <c r="C378" s="240" t="s">
        <v>1372</v>
      </c>
      <c r="D378" s="270" t="s">
        <v>1373</v>
      </c>
      <c r="E378" s="268" t="s">
        <v>2950</v>
      </c>
      <c r="F378" s="861" t="s">
        <v>2951</v>
      </c>
      <c r="G378" s="294" t="s">
        <v>2952</v>
      </c>
      <c r="H378" s="845" t="s">
        <v>2953</v>
      </c>
      <c r="I378" s="269" t="s">
        <v>2954</v>
      </c>
      <c r="J378" s="296" t="s">
        <v>140</v>
      </c>
      <c r="K378" s="297" t="s">
        <v>140</v>
      </c>
      <c r="L378" s="862" t="s">
        <v>2955</v>
      </c>
      <c r="M378" s="847" t="s">
        <v>193</v>
      </c>
      <c r="N378" s="211" t="s">
        <v>194</v>
      </c>
      <c r="O378" s="240" t="s">
        <v>144</v>
      </c>
      <c r="P378" s="240" t="s">
        <v>144</v>
      </c>
      <c r="Q378" s="845" t="s">
        <v>2956</v>
      </c>
      <c r="R378" s="208" t="s">
        <v>2957</v>
      </c>
      <c r="S378" s="864" t="s">
        <v>147</v>
      </c>
      <c r="T378" s="212" t="s">
        <v>144</v>
      </c>
      <c r="U378" s="213" t="s">
        <v>144</v>
      </c>
      <c r="V378" s="847">
        <v>1</v>
      </c>
      <c r="W378" s="415" t="s">
        <v>144</v>
      </c>
      <c r="X378" s="212">
        <v>40</v>
      </c>
      <c r="Y378" s="212" t="s">
        <v>144</v>
      </c>
      <c r="Z378" s="212" t="s">
        <v>144</v>
      </c>
      <c r="AA378" s="240" t="s">
        <v>398</v>
      </c>
      <c r="AB378" s="206" t="s">
        <v>140</v>
      </c>
      <c r="AC378" s="847" t="s">
        <v>265</v>
      </c>
      <c r="AD378" s="847" t="s">
        <v>2934</v>
      </c>
      <c r="AE378" s="847" t="s">
        <v>144</v>
      </c>
      <c r="AF378" s="848" t="s">
        <v>144</v>
      </c>
      <c r="AG378" s="838"/>
      <c r="AH378" s="866"/>
      <c r="AI378" s="273"/>
      <c r="AJ378" s="847"/>
      <c r="AK378" s="878"/>
      <c r="AL378" s="867"/>
      <c r="AM378" s="273"/>
      <c r="AN378" s="847"/>
      <c r="AO378" s="848"/>
      <c r="AP378" s="867"/>
      <c r="AQ378" s="273"/>
      <c r="AR378" s="847"/>
      <c r="AS378" s="848"/>
      <c r="AT378" s="867"/>
      <c r="AU378" s="273"/>
      <c r="AV378" s="847"/>
      <c r="AW378" s="848"/>
      <c r="AX378" s="867"/>
      <c r="AY378" s="273"/>
      <c r="AZ378" s="847"/>
      <c r="BA378" s="848"/>
      <c r="BB378" s="866"/>
      <c r="BC378" s="273"/>
      <c r="BD378" s="847"/>
      <c r="BE378" s="848"/>
      <c r="BF378" s="838"/>
    </row>
    <row r="379" spans="1:58" s="88" customFormat="1" ht="54" hidden="1" customHeight="1" x14ac:dyDescent="0.25">
      <c r="A379" s="267" t="s">
        <v>1687</v>
      </c>
      <c r="B379" s="268">
        <v>144</v>
      </c>
      <c r="C379" s="240" t="s">
        <v>1372</v>
      </c>
      <c r="D379" s="270" t="s">
        <v>1373</v>
      </c>
      <c r="E379" s="268" t="s">
        <v>2958</v>
      </c>
      <c r="F379" s="861" t="s">
        <v>2959</v>
      </c>
      <c r="G379" s="269" t="s">
        <v>2960</v>
      </c>
      <c r="H379" s="845" t="s">
        <v>2961</v>
      </c>
      <c r="I379" s="269" t="s">
        <v>2962</v>
      </c>
      <c r="J379" s="296" t="s">
        <v>140</v>
      </c>
      <c r="K379" s="297" t="s">
        <v>140</v>
      </c>
      <c r="L379" s="862" t="s">
        <v>2963</v>
      </c>
      <c r="M379" s="240" t="s">
        <v>973</v>
      </c>
      <c r="N379" s="270" t="s">
        <v>974</v>
      </c>
      <c r="O379" s="240" t="s">
        <v>2964</v>
      </c>
      <c r="P379" s="240" t="s">
        <v>2965</v>
      </c>
      <c r="Q379" s="845" t="s">
        <v>144</v>
      </c>
      <c r="R379" s="208" t="s">
        <v>144</v>
      </c>
      <c r="S379" s="864" t="s">
        <v>147</v>
      </c>
      <c r="T379" s="212" t="s">
        <v>144</v>
      </c>
      <c r="U379" s="213" t="s">
        <v>144</v>
      </c>
      <c r="V379" s="847">
        <v>1</v>
      </c>
      <c r="W379" s="415" t="s">
        <v>144</v>
      </c>
      <c r="X379" s="212">
        <v>40</v>
      </c>
      <c r="Y379" s="212" t="s">
        <v>144</v>
      </c>
      <c r="Z379" s="241" t="s">
        <v>144</v>
      </c>
      <c r="AA379" s="437" t="s">
        <v>2966</v>
      </c>
      <c r="AB379" s="206" t="s">
        <v>140</v>
      </c>
      <c r="AC379" s="847" t="s">
        <v>265</v>
      </c>
      <c r="AD379" s="847" t="s">
        <v>2934</v>
      </c>
      <c r="AE379" s="847" t="s">
        <v>144</v>
      </c>
      <c r="AF379" s="848" t="s">
        <v>144</v>
      </c>
      <c r="AG379" s="838"/>
      <c r="AH379" s="291" t="s">
        <v>1931</v>
      </c>
      <c r="AI379" s="273" t="s">
        <v>1932</v>
      </c>
      <c r="AJ379" s="240">
        <v>6</v>
      </c>
      <c r="AK379" s="878" t="s">
        <v>1933</v>
      </c>
      <c r="AL379" s="875" t="s">
        <v>294</v>
      </c>
      <c r="AM379" s="301" t="s">
        <v>295</v>
      </c>
      <c r="AN379" s="847">
        <v>7</v>
      </c>
      <c r="AO379" s="187" t="s">
        <v>966</v>
      </c>
      <c r="AP379" s="867"/>
      <c r="AQ379" s="273"/>
      <c r="AR379" s="847"/>
      <c r="AS379" s="848"/>
      <c r="AT379" s="867"/>
      <c r="AU379" s="273"/>
      <c r="AV379" s="847"/>
      <c r="AW379" s="848"/>
      <c r="AX379" s="867"/>
      <c r="AY379" s="273"/>
      <c r="AZ379" s="847"/>
      <c r="BA379" s="848"/>
      <c r="BB379" s="866"/>
      <c r="BC379" s="273"/>
      <c r="BD379" s="847"/>
      <c r="BE379" s="848"/>
      <c r="BF379" s="838"/>
    </row>
    <row r="380" spans="1:58" s="88" customFormat="1" ht="54" hidden="1" customHeight="1" x14ac:dyDescent="0.25">
      <c r="A380" s="267" t="s">
        <v>1687</v>
      </c>
      <c r="B380" s="268">
        <v>145</v>
      </c>
      <c r="C380" s="240" t="s">
        <v>1372</v>
      </c>
      <c r="D380" s="270" t="s">
        <v>1373</v>
      </c>
      <c r="E380" s="268" t="s">
        <v>2967</v>
      </c>
      <c r="F380" s="861" t="s">
        <v>2968</v>
      </c>
      <c r="G380" s="294" t="s">
        <v>2969</v>
      </c>
      <c r="H380" s="845" t="s">
        <v>2970</v>
      </c>
      <c r="I380" s="269" t="s">
        <v>2971</v>
      </c>
      <c r="J380" s="296" t="s">
        <v>140</v>
      </c>
      <c r="K380" s="297" t="s">
        <v>140</v>
      </c>
      <c r="L380" s="862" t="s">
        <v>2972</v>
      </c>
      <c r="M380" s="847" t="s">
        <v>973</v>
      </c>
      <c r="N380" s="211" t="s">
        <v>974</v>
      </c>
      <c r="O380" s="240" t="s">
        <v>2973</v>
      </c>
      <c r="P380" s="240" t="s">
        <v>2974</v>
      </c>
      <c r="Q380" s="845" t="s">
        <v>2975</v>
      </c>
      <c r="R380" s="208" t="s">
        <v>2976</v>
      </c>
      <c r="S380" s="864" t="s">
        <v>147</v>
      </c>
      <c r="T380" s="212" t="s">
        <v>144</v>
      </c>
      <c r="U380" s="213" t="s">
        <v>144</v>
      </c>
      <c r="V380" s="847">
        <v>1</v>
      </c>
      <c r="W380" s="415" t="s">
        <v>144</v>
      </c>
      <c r="X380" s="212">
        <v>40</v>
      </c>
      <c r="Y380" s="212" t="s">
        <v>144</v>
      </c>
      <c r="Z380" s="241" t="s">
        <v>144</v>
      </c>
      <c r="AA380" s="437" t="s">
        <v>1545</v>
      </c>
      <c r="AB380" s="206" t="s">
        <v>140</v>
      </c>
      <c r="AC380" s="847" t="s">
        <v>265</v>
      </c>
      <c r="AD380" s="847" t="s">
        <v>2934</v>
      </c>
      <c r="AE380" s="847" t="s">
        <v>144</v>
      </c>
      <c r="AF380" s="848" t="s">
        <v>144</v>
      </c>
      <c r="AG380" s="838"/>
      <c r="AH380" s="866" t="s">
        <v>2977</v>
      </c>
      <c r="AI380" s="273" t="s">
        <v>2978</v>
      </c>
      <c r="AJ380" s="847">
        <v>6</v>
      </c>
      <c r="AK380" s="878" t="s">
        <v>2979</v>
      </c>
      <c r="AL380" s="867" t="s">
        <v>294</v>
      </c>
      <c r="AM380" s="273" t="s">
        <v>295</v>
      </c>
      <c r="AN380" s="847">
        <v>7</v>
      </c>
      <c r="AO380" s="187" t="s">
        <v>966</v>
      </c>
      <c r="AP380" s="312"/>
      <c r="AQ380" s="313"/>
      <c r="AR380" s="289"/>
      <c r="AS380" s="323"/>
      <c r="AT380" s="867"/>
      <c r="AU380" s="273"/>
      <c r="AV380" s="847"/>
      <c r="AW380" s="848"/>
      <c r="AX380" s="867"/>
      <c r="AY380" s="273"/>
      <c r="AZ380" s="847"/>
      <c r="BA380" s="848"/>
      <c r="BB380" s="866"/>
      <c r="BC380" s="273"/>
      <c r="BD380" s="847"/>
      <c r="BE380" s="848"/>
      <c r="BF380" s="838"/>
    </row>
    <row r="381" spans="1:58" s="57" customFormat="1" ht="54" hidden="1" customHeight="1" x14ac:dyDescent="0.25">
      <c r="A381" s="275" t="s">
        <v>1687</v>
      </c>
      <c r="B381" s="276">
        <v>146</v>
      </c>
      <c r="C381" s="253" t="s">
        <v>1372</v>
      </c>
      <c r="D381" s="253" t="s">
        <v>1373</v>
      </c>
      <c r="E381" s="276" t="s">
        <v>2980</v>
      </c>
      <c r="F381" s="277" t="s">
        <v>2981</v>
      </c>
      <c r="G381" s="277" t="s">
        <v>2982</v>
      </c>
      <c r="H381" s="218" t="s">
        <v>2983</v>
      </c>
      <c r="I381" s="277" t="s">
        <v>2984</v>
      </c>
      <c r="J381" s="302" t="s">
        <v>144</v>
      </c>
      <c r="K381" s="302" t="s">
        <v>144</v>
      </c>
      <c r="L381" s="718" t="s">
        <v>2985</v>
      </c>
      <c r="M381" s="253" t="s">
        <v>144</v>
      </c>
      <c r="N381" s="253" t="s">
        <v>144</v>
      </c>
      <c r="O381" s="253" t="s">
        <v>2986</v>
      </c>
      <c r="P381" s="253" t="s">
        <v>2987</v>
      </c>
      <c r="Q381" s="218" t="s">
        <v>144</v>
      </c>
      <c r="R381" s="218" t="s">
        <v>144</v>
      </c>
      <c r="S381" s="276" t="s">
        <v>147</v>
      </c>
      <c r="T381" s="221" t="s">
        <v>144</v>
      </c>
      <c r="U381" s="221" t="s">
        <v>144</v>
      </c>
      <c r="V381" s="253">
        <v>7</v>
      </c>
      <c r="W381" s="217" t="s">
        <v>144</v>
      </c>
      <c r="X381" s="221">
        <v>40</v>
      </c>
      <c r="Y381" s="221">
        <v>43</v>
      </c>
      <c r="Z381" s="221" t="s">
        <v>144</v>
      </c>
      <c r="AA381" s="253" t="s">
        <v>2943</v>
      </c>
      <c r="AB381" s="217" t="s">
        <v>144</v>
      </c>
      <c r="AC381" s="253" t="s">
        <v>265</v>
      </c>
      <c r="AD381" s="253" t="s">
        <v>2934</v>
      </c>
      <c r="AE381" s="253" t="s">
        <v>144</v>
      </c>
      <c r="AF381" s="254" t="s">
        <v>144</v>
      </c>
      <c r="AG381" s="838"/>
      <c r="AH381" s="320"/>
      <c r="AI381" s="321"/>
      <c r="AJ381" s="322"/>
      <c r="AK381" s="878"/>
      <c r="AL381" s="324"/>
      <c r="AM381" s="324"/>
      <c r="AN381" s="322"/>
      <c r="AO381" s="323"/>
      <c r="AP381" s="281"/>
      <c r="AQ381" s="281"/>
      <c r="AR381" s="253"/>
      <c r="AS381" s="254"/>
      <c r="AT381" s="281"/>
      <c r="AU381" s="281"/>
      <c r="AV381" s="253"/>
      <c r="AW381" s="254"/>
      <c r="AX381" s="281"/>
      <c r="AY381" s="281"/>
      <c r="AZ381" s="253"/>
      <c r="BA381" s="254"/>
      <c r="BB381" s="280"/>
      <c r="BC381" s="281"/>
      <c r="BD381" s="253"/>
      <c r="BE381" s="254"/>
      <c r="BF381" s="838"/>
    </row>
    <row r="382" spans="1:58" s="88" customFormat="1" ht="54" hidden="1" customHeight="1" x14ac:dyDescent="0.25">
      <c r="A382" s="267" t="s">
        <v>1687</v>
      </c>
      <c r="B382" s="268">
        <v>147</v>
      </c>
      <c r="C382" s="240" t="s">
        <v>1372</v>
      </c>
      <c r="D382" s="270" t="s">
        <v>1373</v>
      </c>
      <c r="E382" s="268" t="s">
        <v>2988</v>
      </c>
      <c r="F382" s="861" t="s">
        <v>2989</v>
      </c>
      <c r="G382" s="269" t="s">
        <v>2990</v>
      </c>
      <c r="H382" s="845" t="s">
        <v>2991</v>
      </c>
      <c r="I382" s="269" t="s">
        <v>2992</v>
      </c>
      <c r="J382" s="296" t="s">
        <v>140</v>
      </c>
      <c r="K382" s="297" t="s">
        <v>140</v>
      </c>
      <c r="L382" s="862" t="s">
        <v>2993</v>
      </c>
      <c r="M382" s="240" t="s">
        <v>973</v>
      </c>
      <c r="N382" s="270" t="s">
        <v>974</v>
      </c>
      <c r="O382" s="240" t="s">
        <v>2994</v>
      </c>
      <c r="P382" s="240" t="s">
        <v>2995</v>
      </c>
      <c r="Q382" s="207" t="s">
        <v>2996</v>
      </c>
      <c r="R382" s="208" t="s">
        <v>2997</v>
      </c>
      <c r="S382" s="864" t="s">
        <v>147</v>
      </c>
      <c r="T382" s="212" t="s">
        <v>144</v>
      </c>
      <c r="U382" s="213" t="s">
        <v>144</v>
      </c>
      <c r="V382" s="847">
        <v>1</v>
      </c>
      <c r="W382" s="415" t="s">
        <v>144</v>
      </c>
      <c r="X382" s="212">
        <v>40</v>
      </c>
      <c r="Y382" s="212" t="s">
        <v>144</v>
      </c>
      <c r="Z382" s="241" t="s">
        <v>144</v>
      </c>
      <c r="AA382" s="437" t="s">
        <v>2966</v>
      </c>
      <c r="AB382" s="206" t="s">
        <v>140</v>
      </c>
      <c r="AC382" s="847" t="s">
        <v>265</v>
      </c>
      <c r="AD382" s="847" t="s">
        <v>2934</v>
      </c>
      <c r="AE382" s="847" t="s">
        <v>144</v>
      </c>
      <c r="AF382" s="848" t="s">
        <v>144</v>
      </c>
      <c r="AG382" s="838"/>
      <c r="AH382" s="291" t="s">
        <v>2998</v>
      </c>
      <c r="AI382" s="273" t="s">
        <v>2999</v>
      </c>
      <c r="AJ382" s="240">
        <v>6</v>
      </c>
      <c r="AK382" s="878" t="s">
        <v>3000</v>
      </c>
      <c r="AL382" s="875" t="s">
        <v>294</v>
      </c>
      <c r="AM382" s="301" t="s">
        <v>295</v>
      </c>
      <c r="AN382" s="847">
        <v>7</v>
      </c>
      <c r="AO382" s="187" t="s">
        <v>966</v>
      </c>
      <c r="AP382" s="867"/>
      <c r="AQ382" s="273"/>
      <c r="AR382" s="847"/>
      <c r="AS382" s="848"/>
      <c r="AT382" s="867"/>
      <c r="AU382" s="273"/>
      <c r="AV382" s="847"/>
      <c r="AW382" s="848"/>
      <c r="AX382" s="867"/>
      <c r="AY382" s="273"/>
      <c r="AZ382" s="847"/>
      <c r="BA382" s="848"/>
      <c r="BB382" s="866"/>
      <c r="BC382" s="273"/>
      <c r="BD382" s="847"/>
      <c r="BE382" s="848"/>
      <c r="BF382" s="838"/>
    </row>
    <row r="383" spans="1:58" s="88" customFormat="1" ht="54" hidden="1" customHeight="1" x14ac:dyDescent="0.25">
      <c r="A383" s="267" t="s">
        <v>1687</v>
      </c>
      <c r="B383" s="268">
        <v>148</v>
      </c>
      <c r="C383" s="240" t="s">
        <v>1372</v>
      </c>
      <c r="D383" s="270" t="s">
        <v>1373</v>
      </c>
      <c r="E383" s="268" t="s">
        <v>3001</v>
      </c>
      <c r="F383" s="861" t="s">
        <v>3002</v>
      </c>
      <c r="G383" s="269" t="s">
        <v>3003</v>
      </c>
      <c r="H383" s="845" t="s">
        <v>3004</v>
      </c>
      <c r="I383" s="269" t="s">
        <v>3005</v>
      </c>
      <c r="J383" s="296" t="s">
        <v>140</v>
      </c>
      <c r="K383" s="297" t="s">
        <v>140</v>
      </c>
      <c r="L383" s="862" t="s">
        <v>3006</v>
      </c>
      <c r="M383" s="240" t="s">
        <v>973</v>
      </c>
      <c r="N383" s="270" t="s">
        <v>974</v>
      </c>
      <c r="O383" s="240" t="s">
        <v>3007</v>
      </c>
      <c r="P383" s="240" t="s">
        <v>3008</v>
      </c>
      <c r="Q383" s="845" t="s">
        <v>144</v>
      </c>
      <c r="R383" s="208" t="s">
        <v>144</v>
      </c>
      <c r="S383" s="864" t="s">
        <v>147</v>
      </c>
      <c r="T383" s="212" t="s">
        <v>144</v>
      </c>
      <c r="U383" s="213" t="s">
        <v>144</v>
      </c>
      <c r="V383" s="847">
        <v>1</v>
      </c>
      <c r="W383" s="415" t="s">
        <v>144</v>
      </c>
      <c r="X383" s="212">
        <v>40</v>
      </c>
      <c r="Y383" s="212" t="s">
        <v>144</v>
      </c>
      <c r="Z383" s="241" t="s">
        <v>144</v>
      </c>
      <c r="AA383" s="437" t="s">
        <v>2966</v>
      </c>
      <c r="AB383" s="206" t="s">
        <v>140</v>
      </c>
      <c r="AC383" s="847" t="s">
        <v>265</v>
      </c>
      <c r="AD383" s="847" t="s">
        <v>2934</v>
      </c>
      <c r="AE383" s="847" t="s">
        <v>144</v>
      </c>
      <c r="AF383" s="848" t="s">
        <v>144</v>
      </c>
      <c r="AG383" s="838"/>
      <c r="AH383" s="291" t="s">
        <v>1931</v>
      </c>
      <c r="AI383" s="273" t="s">
        <v>1932</v>
      </c>
      <c r="AJ383" s="240">
        <v>6</v>
      </c>
      <c r="AK383" s="878" t="s">
        <v>1933</v>
      </c>
      <c r="AL383" s="875" t="s">
        <v>294</v>
      </c>
      <c r="AM383" s="301" t="s">
        <v>295</v>
      </c>
      <c r="AN383" s="847">
        <v>7</v>
      </c>
      <c r="AO383" s="187" t="s">
        <v>966</v>
      </c>
      <c r="AP383" s="867"/>
      <c r="AQ383" s="273"/>
      <c r="AR383" s="847"/>
      <c r="AS383" s="848"/>
      <c r="AT383" s="867"/>
      <c r="AU383" s="273"/>
      <c r="AV383" s="847"/>
      <c r="AW383" s="848"/>
      <c r="AX383" s="867"/>
      <c r="AY383" s="273"/>
      <c r="AZ383" s="847"/>
      <c r="BA383" s="848"/>
      <c r="BB383" s="249"/>
      <c r="BC383" s="135"/>
      <c r="BD383" s="847"/>
      <c r="BE383" s="848"/>
      <c r="BF383" s="838"/>
    </row>
    <row r="384" spans="1:58" s="88" customFormat="1" ht="54" hidden="1" customHeight="1" x14ac:dyDescent="0.25">
      <c r="A384" s="267" t="s">
        <v>1687</v>
      </c>
      <c r="B384" s="268">
        <v>149</v>
      </c>
      <c r="C384" s="240" t="s">
        <v>1372</v>
      </c>
      <c r="D384" s="270" t="s">
        <v>1373</v>
      </c>
      <c r="E384" s="268" t="s">
        <v>3009</v>
      </c>
      <c r="F384" s="861" t="s">
        <v>3010</v>
      </c>
      <c r="G384" s="269" t="s">
        <v>3011</v>
      </c>
      <c r="H384" s="845" t="s">
        <v>3010</v>
      </c>
      <c r="I384" s="269" t="s">
        <v>3011</v>
      </c>
      <c r="J384" s="296" t="s">
        <v>140</v>
      </c>
      <c r="K384" s="297" t="s">
        <v>140</v>
      </c>
      <c r="L384" s="862" t="s">
        <v>3012</v>
      </c>
      <c r="M384" s="847" t="s">
        <v>193</v>
      </c>
      <c r="N384" s="211" t="s">
        <v>194</v>
      </c>
      <c r="O384" s="240" t="s">
        <v>3013</v>
      </c>
      <c r="P384" s="240" t="s">
        <v>3014</v>
      </c>
      <c r="Q384" s="845" t="s">
        <v>144</v>
      </c>
      <c r="R384" s="208" t="s">
        <v>144</v>
      </c>
      <c r="S384" s="864" t="s">
        <v>147</v>
      </c>
      <c r="T384" s="212" t="s">
        <v>144</v>
      </c>
      <c r="U384" s="213" t="s">
        <v>144</v>
      </c>
      <c r="V384" s="847">
        <v>1</v>
      </c>
      <c r="W384" s="415" t="s">
        <v>144</v>
      </c>
      <c r="X384" s="212">
        <v>40</v>
      </c>
      <c r="Y384" s="212" t="s">
        <v>144</v>
      </c>
      <c r="Z384" s="433" t="s">
        <v>144</v>
      </c>
      <c r="AA384" s="437" t="s">
        <v>3015</v>
      </c>
      <c r="AB384" s="206" t="s">
        <v>140</v>
      </c>
      <c r="AC384" s="847" t="s">
        <v>265</v>
      </c>
      <c r="AD384" s="847" t="s">
        <v>2934</v>
      </c>
      <c r="AE384" s="847" t="s">
        <v>144</v>
      </c>
      <c r="AF384" s="848" t="s">
        <v>144</v>
      </c>
      <c r="AG384" s="838"/>
      <c r="AH384" s="866"/>
      <c r="AI384" s="273"/>
      <c r="AJ384" s="847"/>
      <c r="AK384" s="878"/>
      <c r="AL384" s="875" t="s">
        <v>294</v>
      </c>
      <c r="AM384" s="301" t="s">
        <v>295</v>
      </c>
      <c r="AN384" s="847">
        <v>7</v>
      </c>
      <c r="AO384" s="187" t="s">
        <v>966</v>
      </c>
      <c r="AP384" s="867"/>
      <c r="AQ384" s="273"/>
      <c r="AR384" s="847"/>
      <c r="AS384" s="848"/>
      <c r="AT384" s="867"/>
      <c r="AU384" s="273"/>
      <c r="AV384" s="847"/>
      <c r="AW384" s="848"/>
      <c r="AX384" s="867"/>
      <c r="AY384" s="273"/>
      <c r="AZ384" s="847"/>
      <c r="BA384" s="848"/>
      <c r="BB384" s="866"/>
      <c r="BC384" s="273"/>
      <c r="BD384" s="847"/>
      <c r="BE384" s="848"/>
      <c r="BF384" s="838"/>
    </row>
    <row r="385" spans="1:58" s="57" customFormat="1" ht="54" hidden="1" customHeight="1" x14ac:dyDescent="0.25">
      <c r="A385" s="275" t="s">
        <v>1687</v>
      </c>
      <c r="B385" s="276">
        <v>150</v>
      </c>
      <c r="C385" s="253" t="s">
        <v>1372</v>
      </c>
      <c r="D385" s="253" t="s">
        <v>1373</v>
      </c>
      <c r="E385" s="276" t="s">
        <v>3016</v>
      </c>
      <c r="F385" s="277" t="s">
        <v>3017</v>
      </c>
      <c r="G385" s="277" t="s">
        <v>3018</v>
      </c>
      <c r="H385" s="218" t="s">
        <v>3019</v>
      </c>
      <c r="I385" s="277" t="s">
        <v>3020</v>
      </c>
      <c r="J385" s="253" t="s">
        <v>144</v>
      </c>
      <c r="K385" s="253" t="s">
        <v>144</v>
      </c>
      <c r="L385" s="718" t="s">
        <v>3021</v>
      </c>
      <c r="M385" s="253" t="s">
        <v>144</v>
      </c>
      <c r="N385" s="253" t="s">
        <v>144</v>
      </c>
      <c r="O385" s="253" t="s">
        <v>144</v>
      </c>
      <c r="P385" s="253" t="s">
        <v>144</v>
      </c>
      <c r="Q385" s="218" t="s">
        <v>144</v>
      </c>
      <c r="R385" s="218" t="s">
        <v>144</v>
      </c>
      <c r="S385" s="276" t="s">
        <v>746</v>
      </c>
      <c r="T385" s="221" t="s">
        <v>1307</v>
      </c>
      <c r="U385" s="221" t="s">
        <v>1308</v>
      </c>
      <c r="V385" s="253">
        <v>10</v>
      </c>
      <c r="W385" s="217" t="s">
        <v>144</v>
      </c>
      <c r="X385" s="221">
        <v>40</v>
      </c>
      <c r="Y385" s="221">
        <v>43</v>
      </c>
      <c r="Z385" s="221" t="s">
        <v>144</v>
      </c>
      <c r="AA385" s="253" t="s">
        <v>3022</v>
      </c>
      <c r="AB385" s="217" t="s">
        <v>144</v>
      </c>
      <c r="AC385" s="253" t="s">
        <v>265</v>
      </c>
      <c r="AD385" s="253" t="s">
        <v>3023</v>
      </c>
      <c r="AE385" s="253" t="s">
        <v>144</v>
      </c>
      <c r="AF385" s="254" t="s">
        <v>144</v>
      </c>
      <c r="AG385" s="838"/>
      <c r="AH385" s="320"/>
      <c r="AI385" s="321"/>
      <c r="AJ385" s="322"/>
      <c r="AK385" s="878"/>
      <c r="AL385" s="281"/>
      <c r="AM385" s="281"/>
      <c r="AN385" s="253"/>
      <c r="AO385" s="254"/>
      <c r="AP385" s="321"/>
      <c r="AQ385" s="321"/>
      <c r="AR385" s="322"/>
      <c r="AS385" s="323"/>
      <c r="AT385" s="281"/>
      <c r="AU385" s="281"/>
      <c r="AV385" s="253"/>
      <c r="AW385" s="254"/>
      <c r="AX385" s="281"/>
      <c r="AY385" s="281"/>
      <c r="AZ385" s="253"/>
      <c r="BA385" s="254"/>
      <c r="BB385" s="280"/>
      <c r="BC385" s="281"/>
      <c r="BD385" s="253"/>
      <c r="BE385" s="254"/>
      <c r="BF385" s="838"/>
    </row>
    <row r="386" spans="1:58" s="88" customFormat="1" ht="54" hidden="1" customHeight="1" x14ac:dyDescent="0.25">
      <c r="A386" s="267" t="s">
        <v>1687</v>
      </c>
      <c r="B386" s="268">
        <v>151</v>
      </c>
      <c r="C386" s="240" t="s">
        <v>1372</v>
      </c>
      <c r="D386" s="270" t="s">
        <v>1373</v>
      </c>
      <c r="E386" s="268" t="s">
        <v>3024</v>
      </c>
      <c r="F386" s="861" t="s">
        <v>3025</v>
      </c>
      <c r="G386" s="269" t="s">
        <v>3026</v>
      </c>
      <c r="H386" s="845" t="s">
        <v>3027</v>
      </c>
      <c r="I386" s="269" t="s">
        <v>3028</v>
      </c>
      <c r="J386" s="296" t="s">
        <v>140</v>
      </c>
      <c r="K386" s="297" t="s">
        <v>140</v>
      </c>
      <c r="L386" s="862" t="s">
        <v>3029</v>
      </c>
      <c r="M386" s="240" t="s">
        <v>973</v>
      </c>
      <c r="N386" s="270" t="s">
        <v>974</v>
      </c>
      <c r="O386" s="240" t="s">
        <v>3030</v>
      </c>
      <c r="P386" s="240" t="s">
        <v>3031</v>
      </c>
      <c r="Q386" s="845" t="s">
        <v>144</v>
      </c>
      <c r="R386" s="208" t="s">
        <v>144</v>
      </c>
      <c r="S386" s="864" t="s">
        <v>147</v>
      </c>
      <c r="T386" s="212" t="s">
        <v>144</v>
      </c>
      <c r="U386" s="213" t="s">
        <v>144</v>
      </c>
      <c r="V386" s="847">
        <v>1</v>
      </c>
      <c r="W386" s="415" t="s">
        <v>144</v>
      </c>
      <c r="X386" s="212">
        <v>43</v>
      </c>
      <c r="Y386" s="212" t="s">
        <v>144</v>
      </c>
      <c r="Z386" s="241" t="s">
        <v>144</v>
      </c>
      <c r="AA386" s="615" t="s">
        <v>733</v>
      </c>
      <c r="AB386" s="206" t="s">
        <v>140</v>
      </c>
      <c r="AC386" s="847" t="s">
        <v>265</v>
      </c>
      <c r="AD386" s="847" t="s">
        <v>2934</v>
      </c>
      <c r="AE386" s="847" t="s">
        <v>144</v>
      </c>
      <c r="AF386" s="848" t="s">
        <v>144</v>
      </c>
      <c r="AG386" s="838"/>
      <c r="AH386" s="291" t="s">
        <v>1931</v>
      </c>
      <c r="AI386" s="273" t="s">
        <v>1932</v>
      </c>
      <c r="AJ386" s="240">
        <v>6</v>
      </c>
      <c r="AK386" s="878" t="s">
        <v>1933</v>
      </c>
      <c r="AL386" s="875" t="s">
        <v>294</v>
      </c>
      <c r="AM386" s="301" t="s">
        <v>295</v>
      </c>
      <c r="AN386" s="847">
        <v>7</v>
      </c>
      <c r="AO386" s="187" t="s">
        <v>966</v>
      </c>
      <c r="AP386" s="867"/>
      <c r="AQ386" s="273"/>
      <c r="AR386" s="847"/>
      <c r="AS386" s="848"/>
      <c r="AT386" s="867"/>
      <c r="AU386" s="273"/>
      <c r="AV386" s="847"/>
      <c r="AW386" s="848"/>
      <c r="AX386" s="867"/>
      <c r="AY386" s="273"/>
      <c r="AZ386" s="847"/>
      <c r="BA386" s="848"/>
      <c r="BB386" s="866"/>
      <c r="BC386" s="273"/>
      <c r="BD386" s="847"/>
      <c r="BE386" s="848"/>
      <c r="BF386" s="838"/>
    </row>
    <row r="387" spans="1:58" s="88" customFormat="1" ht="54" hidden="1" customHeight="1" x14ac:dyDescent="0.25">
      <c r="A387" s="267" t="s">
        <v>1687</v>
      </c>
      <c r="B387" s="268">
        <v>152</v>
      </c>
      <c r="C387" s="240" t="s">
        <v>1372</v>
      </c>
      <c r="D387" s="270" t="s">
        <v>1373</v>
      </c>
      <c r="E387" s="268" t="s">
        <v>3032</v>
      </c>
      <c r="F387" s="861" t="s">
        <v>3033</v>
      </c>
      <c r="G387" s="269" t="s">
        <v>3034</v>
      </c>
      <c r="H387" s="845" t="s">
        <v>3035</v>
      </c>
      <c r="I387" s="269" t="s">
        <v>3036</v>
      </c>
      <c r="J387" s="296" t="s">
        <v>140</v>
      </c>
      <c r="K387" s="297" t="s">
        <v>140</v>
      </c>
      <c r="L387" s="862" t="s">
        <v>3037</v>
      </c>
      <c r="M387" s="240" t="s">
        <v>973</v>
      </c>
      <c r="N387" s="270" t="s">
        <v>974</v>
      </c>
      <c r="O387" s="240" t="s">
        <v>3038</v>
      </c>
      <c r="P387" s="240" t="s">
        <v>3039</v>
      </c>
      <c r="Q387" s="845" t="s">
        <v>144</v>
      </c>
      <c r="R387" s="208" t="s">
        <v>144</v>
      </c>
      <c r="S387" s="864" t="s">
        <v>147</v>
      </c>
      <c r="T387" s="212" t="s">
        <v>144</v>
      </c>
      <c r="U387" s="213" t="s">
        <v>144</v>
      </c>
      <c r="V387" s="847">
        <v>1</v>
      </c>
      <c r="W387" s="415" t="s">
        <v>144</v>
      </c>
      <c r="X387" s="212">
        <v>43</v>
      </c>
      <c r="Y387" s="212" t="s">
        <v>144</v>
      </c>
      <c r="Z387" s="241" t="s">
        <v>144</v>
      </c>
      <c r="AA387" s="615" t="s">
        <v>733</v>
      </c>
      <c r="AB387" s="206" t="s">
        <v>140</v>
      </c>
      <c r="AC387" s="847" t="s">
        <v>265</v>
      </c>
      <c r="AD387" s="847" t="s">
        <v>2934</v>
      </c>
      <c r="AE387" s="847" t="s">
        <v>144</v>
      </c>
      <c r="AF387" s="848" t="s">
        <v>144</v>
      </c>
      <c r="AG387" s="838"/>
      <c r="AH387" s="291" t="s">
        <v>1931</v>
      </c>
      <c r="AI387" s="273" t="s">
        <v>1932</v>
      </c>
      <c r="AJ387" s="240">
        <v>6</v>
      </c>
      <c r="AK387" s="878" t="s">
        <v>1933</v>
      </c>
      <c r="AL387" s="867" t="s">
        <v>294</v>
      </c>
      <c r="AM387" s="273" t="s">
        <v>295</v>
      </c>
      <c r="AN387" s="847">
        <v>7</v>
      </c>
      <c r="AO387" s="187" t="s">
        <v>966</v>
      </c>
      <c r="AP387" s="867"/>
      <c r="AQ387" s="273"/>
      <c r="AR387" s="847"/>
      <c r="AS387" s="848"/>
      <c r="AT387" s="867"/>
      <c r="AU387" s="273"/>
      <c r="AV387" s="847"/>
      <c r="AW387" s="848"/>
      <c r="AX387" s="867"/>
      <c r="AY387" s="273"/>
      <c r="AZ387" s="847"/>
      <c r="BA387" s="848"/>
      <c r="BB387" s="866"/>
      <c r="BC387" s="273"/>
      <c r="BD387" s="847"/>
      <c r="BE387" s="848"/>
      <c r="BF387" s="838"/>
    </row>
    <row r="388" spans="1:58" s="88" customFormat="1" ht="54" hidden="1" customHeight="1" x14ac:dyDescent="0.25">
      <c r="A388" s="267" t="s">
        <v>1687</v>
      </c>
      <c r="B388" s="268">
        <v>153</v>
      </c>
      <c r="C388" s="240" t="s">
        <v>1372</v>
      </c>
      <c r="D388" s="270" t="s">
        <v>1373</v>
      </c>
      <c r="E388" s="268" t="s">
        <v>3040</v>
      </c>
      <c r="F388" s="861" t="s">
        <v>3041</v>
      </c>
      <c r="G388" s="269" t="s">
        <v>3042</v>
      </c>
      <c r="H388" s="845" t="s">
        <v>3043</v>
      </c>
      <c r="I388" s="269" t="s">
        <v>3044</v>
      </c>
      <c r="J388" s="296" t="s">
        <v>140</v>
      </c>
      <c r="K388" s="297" t="s">
        <v>140</v>
      </c>
      <c r="L388" s="862" t="s">
        <v>3045</v>
      </c>
      <c r="M388" s="240" t="s">
        <v>973</v>
      </c>
      <c r="N388" s="270" t="s">
        <v>974</v>
      </c>
      <c r="O388" s="240" t="s">
        <v>3046</v>
      </c>
      <c r="P388" s="240" t="s">
        <v>3047</v>
      </c>
      <c r="Q388" s="845" t="s">
        <v>144</v>
      </c>
      <c r="R388" s="208" t="s">
        <v>144</v>
      </c>
      <c r="S388" s="864" t="s">
        <v>147</v>
      </c>
      <c r="T388" s="212" t="s">
        <v>144</v>
      </c>
      <c r="U388" s="213" t="s">
        <v>144</v>
      </c>
      <c r="V388" s="847">
        <v>1</v>
      </c>
      <c r="W388" s="415" t="s">
        <v>144</v>
      </c>
      <c r="X388" s="212">
        <v>43</v>
      </c>
      <c r="Y388" s="212" t="s">
        <v>144</v>
      </c>
      <c r="Z388" s="241" t="s">
        <v>144</v>
      </c>
      <c r="AA388" s="615" t="s">
        <v>733</v>
      </c>
      <c r="AB388" s="206" t="s">
        <v>140</v>
      </c>
      <c r="AC388" s="847" t="s">
        <v>265</v>
      </c>
      <c r="AD388" s="847" t="s">
        <v>2934</v>
      </c>
      <c r="AE388" s="847" t="s">
        <v>144</v>
      </c>
      <c r="AF388" s="848" t="s">
        <v>144</v>
      </c>
      <c r="AG388" s="838"/>
      <c r="AH388" s="291" t="s">
        <v>1931</v>
      </c>
      <c r="AI388" s="273" t="s">
        <v>1932</v>
      </c>
      <c r="AJ388" s="240">
        <v>6</v>
      </c>
      <c r="AK388" s="878" t="s">
        <v>1933</v>
      </c>
      <c r="AL388" s="867" t="s">
        <v>294</v>
      </c>
      <c r="AM388" s="273" t="s">
        <v>295</v>
      </c>
      <c r="AN388" s="847">
        <v>7</v>
      </c>
      <c r="AO388" s="187" t="s">
        <v>966</v>
      </c>
      <c r="AP388" s="867"/>
      <c r="AQ388" s="273"/>
      <c r="AR388" s="847"/>
      <c r="AS388" s="848"/>
      <c r="AT388" s="867"/>
      <c r="AU388" s="273"/>
      <c r="AV388" s="847"/>
      <c r="AW388" s="848"/>
      <c r="AX388" s="867"/>
      <c r="AY388" s="273"/>
      <c r="AZ388" s="847"/>
      <c r="BA388" s="848"/>
      <c r="BB388" s="866"/>
      <c r="BC388" s="273"/>
      <c r="BD388" s="847"/>
      <c r="BE388" s="848"/>
      <c r="BF388" s="838"/>
    </row>
    <row r="389" spans="1:58" s="88" customFormat="1" ht="54" hidden="1" customHeight="1" x14ac:dyDescent="0.25">
      <c r="A389" s="267" t="s">
        <v>1687</v>
      </c>
      <c r="B389" s="268">
        <v>154</v>
      </c>
      <c r="C389" s="240" t="s">
        <v>1372</v>
      </c>
      <c r="D389" s="270" t="s">
        <v>1373</v>
      </c>
      <c r="E389" s="268" t="s">
        <v>3048</v>
      </c>
      <c r="F389" s="861" t="s">
        <v>3049</v>
      </c>
      <c r="G389" s="269" t="s">
        <v>3050</v>
      </c>
      <c r="H389" s="845" t="s">
        <v>3051</v>
      </c>
      <c r="I389" s="269" t="s">
        <v>3052</v>
      </c>
      <c r="J389" s="296" t="s">
        <v>140</v>
      </c>
      <c r="K389" s="297" t="s">
        <v>140</v>
      </c>
      <c r="L389" s="862" t="s">
        <v>3053</v>
      </c>
      <c r="M389" s="240" t="s">
        <v>973</v>
      </c>
      <c r="N389" s="270" t="s">
        <v>974</v>
      </c>
      <c r="O389" s="240" t="s">
        <v>3054</v>
      </c>
      <c r="P389" s="240" t="s">
        <v>3055</v>
      </c>
      <c r="Q389" s="845" t="s">
        <v>144</v>
      </c>
      <c r="R389" s="208" t="s">
        <v>144</v>
      </c>
      <c r="S389" s="864" t="s">
        <v>147</v>
      </c>
      <c r="T389" s="212" t="s">
        <v>144</v>
      </c>
      <c r="U389" s="213" t="s">
        <v>144</v>
      </c>
      <c r="V389" s="847">
        <v>2</v>
      </c>
      <c r="W389" s="415" t="s">
        <v>144</v>
      </c>
      <c r="X389" s="212">
        <v>43</v>
      </c>
      <c r="Y389" s="212" t="s">
        <v>144</v>
      </c>
      <c r="Z389" s="241" t="s">
        <v>144</v>
      </c>
      <c r="AA389" s="615" t="s">
        <v>733</v>
      </c>
      <c r="AB389" s="206" t="s">
        <v>140</v>
      </c>
      <c r="AC389" s="847" t="s">
        <v>265</v>
      </c>
      <c r="AD389" s="847" t="s">
        <v>2934</v>
      </c>
      <c r="AE389" s="847" t="s">
        <v>144</v>
      </c>
      <c r="AF389" s="848" t="s">
        <v>144</v>
      </c>
      <c r="AG389" s="838"/>
      <c r="AH389" s="291" t="s">
        <v>3056</v>
      </c>
      <c r="AI389" s="273" t="s">
        <v>3057</v>
      </c>
      <c r="AJ389" s="847">
        <v>6</v>
      </c>
      <c r="AK389" s="878" t="s">
        <v>3058</v>
      </c>
      <c r="AL389" s="867" t="s">
        <v>294</v>
      </c>
      <c r="AM389" s="273" t="s">
        <v>295</v>
      </c>
      <c r="AN389" s="847">
        <v>7</v>
      </c>
      <c r="AO389" s="187" t="s">
        <v>966</v>
      </c>
      <c r="AP389" s="867"/>
      <c r="AQ389" s="273"/>
      <c r="AR389" s="847"/>
      <c r="AS389" s="848"/>
      <c r="AT389" s="867"/>
      <c r="AU389" s="273"/>
      <c r="AV389" s="847"/>
      <c r="AW389" s="848"/>
      <c r="AX389" s="867"/>
      <c r="AY389" s="273"/>
      <c r="AZ389" s="847"/>
      <c r="BA389" s="848"/>
      <c r="BB389" s="866"/>
      <c r="BC389" s="273"/>
      <c r="BD389" s="847"/>
      <c r="BE389" s="848"/>
      <c r="BF389" s="838"/>
    </row>
    <row r="390" spans="1:58" s="57" customFormat="1" ht="54" customHeight="1" x14ac:dyDescent="0.25">
      <c r="A390" s="275" t="s">
        <v>1687</v>
      </c>
      <c r="B390" s="276">
        <v>155</v>
      </c>
      <c r="C390" s="253" t="s">
        <v>144</v>
      </c>
      <c r="D390" s="253" t="s">
        <v>144</v>
      </c>
      <c r="E390" s="276" t="s">
        <v>3059</v>
      </c>
      <c r="F390" s="277" t="s">
        <v>251</v>
      </c>
      <c r="G390" s="218" t="s">
        <v>251</v>
      </c>
      <c r="H390" s="220" t="s">
        <v>336</v>
      </c>
      <c r="I390" s="218" t="s">
        <v>337</v>
      </c>
      <c r="J390" s="253" t="s">
        <v>144</v>
      </c>
      <c r="K390" s="253" t="s">
        <v>144</v>
      </c>
      <c r="L390" s="718" t="s">
        <v>3060</v>
      </c>
      <c r="M390" s="253" t="s">
        <v>144</v>
      </c>
      <c r="N390" s="253" t="s">
        <v>144</v>
      </c>
      <c r="O390" s="253" t="s">
        <v>144</v>
      </c>
      <c r="P390" s="253" t="s">
        <v>144</v>
      </c>
      <c r="Q390" s="220" t="s">
        <v>338</v>
      </c>
      <c r="R390" s="220" t="s">
        <v>339</v>
      </c>
      <c r="S390" s="276" t="s">
        <v>147</v>
      </c>
      <c r="T390" s="221" t="s">
        <v>144</v>
      </c>
      <c r="U390" s="221" t="s">
        <v>144</v>
      </c>
      <c r="V390" s="253">
        <v>3</v>
      </c>
      <c r="W390" s="217" t="s">
        <v>144</v>
      </c>
      <c r="X390" s="221" t="s">
        <v>144</v>
      </c>
      <c r="Y390" s="221" t="s">
        <v>144</v>
      </c>
      <c r="Z390" s="222" t="s">
        <v>144</v>
      </c>
      <c r="AA390" s="253" t="s">
        <v>144</v>
      </c>
      <c r="AB390" s="217" t="s">
        <v>144</v>
      </c>
      <c r="AC390" s="253" t="s">
        <v>265</v>
      </c>
      <c r="AD390" s="253" t="s">
        <v>144</v>
      </c>
      <c r="AE390" s="253" t="s">
        <v>144</v>
      </c>
      <c r="AF390" s="254" t="s">
        <v>144</v>
      </c>
      <c r="AG390" s="838"/>
      <c r="AH390" s="280"/>
      <c r="AI390" s="281"/>
      <c r="AJ390" s="253"/>
      <c r="AK390" s="878"/>
      <c r="AL390" s="281"/>
      <c r="AM390" s="281"/>
      <c r="AN390" s="253"/>
      <c r="AO390" s="254"/>
      <c r="AP390" s="281"/>
      <c r="AQ390" s="281"/>
      <c r="AR390" s="253"/>
      <c r="AS390" s="254"/>
      <c r="AT390" s="281"/>
      <c r="AU390" s="281"/>
      <c r="AV390" s="253"/>
      <c r="AW390" s="254"/>
      <c r="AX390" s="281"/>
      <c r="AY390" s="281"/>
      <c r="AZ390" s="253"/>
      <c r="BA390" s="254"/>
      <c r="BB390" s="280"/>
      <c r="BC390" s="281"/>
      <c r="BD390" s="253"/>
      <c r="BE390" s="254"/>
      <c r="BF390" s="838"/>
    </row>
    <row r="391" spans="1:58" s="88" customFormat="1" ht="54" hidden="1" customHeight="1" x14ac:dyDescent="0.25">
      <c r="A391" s="267" t="s">
        <v>1687</v>
      </c>
      <c r="B391" s="268">
        <v>156</v>
      </c>
      <c r="C391" s="240" t="s">
        <v>2513</v>
      </c>
      <c r="D391" s="270" t="s">
        <v>2514</v>
      </c>
      <c r="E391" s="268" t="s">
        <v>3061</v>
      </c>
      <c r="F391" s="861" t="s">
        <v>3062</v>
      </c>
      <c r="G391" s="269" t="s">
        <v>3063</v>
      </c>
      <c r="H391" s="861" t="s">
        <v>3064</v>
      </c>
      <c r="I391" s="269" t="s">
        <v>3065</v>
      </c>
      <c r="J391" s="240" t="s">
        <v>140</v>
      </c>
      <c r="K391" s="270" t="s">
        <v>140</v>
      </c>
      <c r="L391" s="862" t="s">
        <v>3066</v>
      </c>
      <c r="M391" s="847" t="s">
        <v>973</v>
      </c>
      <c r="N391" s="211" t="s">
        <v>974</v>
      </c>
      <c r="O391" s="240" t="s">
        <v>3067</v>
      </c>
      <c r="P391" s="240" t="s">
        <v>3068</v>
      </c>
      <c r="Q391" s="845" t="s">
        <v>3069</v>
      </c>
      <c r="R391" s="208" t="s">
        <v>3070</v>
      </c>
      <c r="S391" s="864" t="s">
        <v>147</v>
      </c>
      <c r="T391" s="212" t="s">
        <v>144</v>
      </c>
      <c r="U391" s="213" t="s">
        <v>144</v>
      </c>
      <c r="V391" s="847">
        <v>1</v>
      </c>
      <c r="W391" s="415" t="s">
        <v>144</v>
      </c>
      <c r="X391" s="212">
        <v>40</v>
      </c>
      <c r="Y391" s="212" t="s">
        <v>144</v>
      </c>
      <c r="Z391" s="212" t="s">
        <v>144</v>
      </c>
      <c r="AA391" s="240" t="s">
        <v>1790</v>
      </c>
      <c r="AB391" s="206" t="s">
        <v>140</v>
      </c>
      <c r="AC391" s="847" t="s">
        <v>265</v>
      </c>
      <c r="AD391" s="847" t="s">
        <v>3071</v>
      </c>
      <c r="AE391" s="847" t="s">
        <v>144</v>
      </c>
      <c r="AF391" s="848" t="s">
        <v>144</v>
      </c>
      <c r="AG391" s="838"/>
      <c r="AH391" s="866" t="s">
        <v>3072</v>
      </c>
      <c r="AI391" s="273" t="s">
        <v>3073</v>
      </c>
      <c r="AJ391" s="847">
        <v>7</v>
      </c>
      <c r="AK391" s="878" t="s">
        <v>3074</v>
      </c>
      <c r="AL391" s="867" t="s">
        <v>294</v>
      </c>
      <c r="AM391" s="273" t="s">
        <v>295</v>
      </c>
      <c r="AN391" s="847">
        <v>7</v>
      </c>
      <c r="AO391" s="187" t="s">
        <v>966</v>
      </c>
      <c r="AP391" s="287"/>
      <c r="AQ391" s="288"/>
      <c r="AR391" s="289"/>
      <c r="AS391" s="323"/>
      <c r="AT391" s="867"/>
      <c r="AU391" s="273"/>
      <c r="AV391" s="847"/>
      <c r="AW391" s="848"/>
      <c r="AX391" s="867"/>
      <c r="AY391" s="273"/>
      <c r="AZ391" s="847"/>
      <c r="BA391" s="848"/>
      <c r="BB391" s="866"/>
      <c r="BC391" s="273"/>
      <c r="BD391" s="847"/>
      <c r="BE391" s="848"/>
      <c r="BF391" s="838"/>
    </row>
    <row r="392" spans="1:58" s="57" customFormat="1" ht="54" hidden="1" customHeight="1" x14ac:dyDescent="0.25">
      <c r="A392" s="275" t="s">
        <v>1687</v>
      </c>
      <c r="B392" s="276">
        <v>157</v>
      </c>
      <c r="C392" s="253" t="s">
        <v>144</v>
      </c>
      <c r="D392" s="253" t="s">
        <v>144</v>
      </c>
      <c r="E392" s="276" t="s">
        <v>3075</v>
      </c>
      <c r="F392" s="277" t="s">
        <v>3076</v>
      </c>
      <c r="G392" s="277" t="s">
        <v>3077</v>
      </c>
      <c r="H392" s="218" t="s">
        <v>3076</v>
      </c>
      <c r="I392" s="218" t="s">
        <v>3077</v>
      </c>
      <c r="J392" s="253" t="s">
        <v>144</v>
      </c>
      <c r="K392" s="253" t="s">
        <v>144</v>
      </c>
      <c r="L392" s="718" t="s">
        <v>3078</v>
      </c>
      <c r="M392" s="253" t="s">
        <v>144</v>
      </c>
      <c r="N392" s="253" t="s">
        <v>144</v>
      </c>
      <c r="O392" s="253" t="s">
        <v>3079</v>
      </c>
      <c r="P392" s="253" t="s">
        <v>3080</v>
      </c>
      <c r="Q392" s="220" t="s">
        <v>338</v>
      </c>
      <c r="R392" s="220" t="s">
        <v>339</v>
      </c>
      <c r="S392" s="276" t="s">
        <v>147</v>
      </c>
      <c r="T392" s="221" t="s">
        <v>144</v>
      </c>
      <c r="U392" s="221" t="s">
        <v>144</v>
      </c>
      <c r="V392" s="253">
        <v>1</v>
      </c>
      <c r="W392" s="217" t="s">
        <v>144</v>
      </c>
      <c r="X392" s="221">
        <v>40</v>
      </c>
      <c r="Y392" s="221">
        <v>42</v>
      </c>
      <c r="Z392" s="221" t="s">
        <v>144</v>
      </c>
      <c r="AA392" s="253" t="s">
        <v>144</v>
      </c>
      <c r="AB392" s="217" t="s">
        <v>144</v>
      </c>
      <c r="AC392" s="253" t="s">
        <v>265</v>
      </c>
      <c r="AD392" s="253" t="s">
        <v>144</v>
      </c>
      <c r="AE392" s="253" t="s">
        <v>144</v>
      </c>
      <c r="AF392" s="254" t="s">
        <v>144</v>
      </c>
      <c r="AG392" s="838"/>
      <c r="AH392" s="280"/>
      <c r="AI392" s="281"/>
      <c r="AJ392" s="253"/>
      <c r="AK392" s="878"/>
      <c r="AL392" s="281"/>
      <c r="AM392" s="281"/>
      <c r="AN392" s="253"/>
      <c r="AO392" s="254"/>
      <c r="AP392" s="281"/>
      <c r="AQ392" s="281"/>
      <c r="AR392" s="253"/>
      <c r="AS392" s="254"/>
      <c r="AT392" s="281"/>
      <c r="AU392" s="281"/>
      <c r="AV392" s="253"/>
      <c r="AW392" s="254"/>
      <c r="AX392" s="281"/>
      <c r="AY392" s="281"/>
      <c r="AZ392" s="253"/>
      <c r="BA392" s="254"/>
      <c r="BB392" s="280"/>
      <c r="BC392" s="281"/>
      <c r="BD392" s="253"/>
      <c r="BE392" s="254"/>
      <c r="BF392" s="838"/>
    </row>
    <row r="393" spans="1:58" s="88" customFormat="1" ht="54" hidden="1" customHeight="1" x14ac:dyDescent="0.25">
      <c r="A393" s="275" t="s">
        <v>1687</v>
      </c>
      <c r="B393" s="276">
        <v>158</v>
      </c>
      <c r="C393" s="253" t="s">
        <v>1022</v>
      </c>
      <c r="D393" s="253" t="s">
        <v>1023</v>
      </c>
      <c r="E393" s="276" t="s">
        <v>3081</v>
      </c>
      <c r="F393" s="277" t="s">
        <v>3082</v>
      </c>
      <c r="G393" s="277" t="s">
        <v>3083</v>
      </c>
      <c r="H393" s="218" t="s">
        <v>3084</v>
      </c>
      <c r="I393" s="218" t="s">
        <v>3085</v>
      </c>
      <c r="J393" s="253" t="s">
        <v>144</v>
      </c>
      <c r="K393" s="253" t="s">
        <v>144</v>
      </c>
      <c r="L393" s="718" t="s">
        <v>3086</v>
      </c>
      <c r="M393" s="253" t="s">
        <v>144</v>
      </c>
      <c r="N393" s="253" t="s">
        <v>144</v>
      </c>
      <c r="O393" s="253" t="s">
        <v>144</v>
      </c>
      <c r="P393" s="253" t="s">
        <v>144</v>
      </c>
      <c r="Q393" s="218" t="s">
        <v>144</v>
      </c>
      <c r="R393" s="218" t="s">
        <v>144</v>
      </c>
      <c r="S393" s="219" t="s">
        <v>233</v>
      </c>
      <c r="T393" s="221" t="s">
        <v>234</v>
      </c>
      <c r="U393" s="221" t="s">
        <v>235</v>
      </c>
      <c r="V393" s="253">
        <v>8</v>
      </c>
      <c r="W393" s="217" t="s">
        <v>144</v>
      </c>
      <c r="X393" s="221">
        <v>40</v>
      </c>
      <c r="Y393" s="221">
        <v>42</v>
      </c>
      <c r="Z393" s="221" t="s">
        <v>144</v>
      </c>
      <c r="AA393" s="253" t="s">
        <v>1790</v>
      </c>
      <c r="AB393" s="217" t="s">
        <v>144</v>
      </c>
      <c r="AC393" s="253" t="s">
        <v>265</v>
      </c>
      <c r="AD393" s="253" t="s">
        <v>144</v>
      </c>
      <c r="AE393" s="253" t="s">
        <v>144</v>
      </c>
      <c r="AF393" s="254" t="s">
        <v>144</v>
      </c>
      <c r="AG393" s="681"/>
      <c r="AH393" s="280"/>
      <c r="AI393" s="281"/>
      <c r="AJ393" s="253"/>
      <c r="AK393" s="878"/>
      <c r="AL393" s="281"/>
      <c r="AM393" s="281"/>
      <c r="AN393" s="253"/>
      <c r="AO393" s="254"/>
      <c r="AP393" s="281"/>
      <c r="AQ393" s="281"/>
      <c r="AR393" s="253"/>
      <c r="AS393" s="254"/>
      <c r="AT393" s="281"/>
      <c r="AU393" s="281"/>
      <c r="AV393" s="253"/>
      <c r="AW393" s="254"/>
      <c r="AX393" s="281"/>
      <c r="AY393" s="281"/>
      <c r="AZ393" s="253"/>
      <c r="BA393" s="254"/>
      <c r="BB393" s="280"/>
      <c r="BC393" s="281"/>
      <c r="BD393" s="253"/>
      <c r="BE393" s="254"/>
      <c r="BF393" s="838"/>
    </row>
    <row r="394" spans="1:58" s="88" customFormat="1" ht="54" hidden="1" customHeight="1" x14ac:dyDescent="0.25">
      <c r="A394" s="267" t="s">
        <v>1687</v>
      </c>
      <c r="B394" s="268">
        <v>159</v>
      </c>
      <c r="C394" s="240" t="s">
        <v>1022</v>
      </c>
      <c r="D394" s="270" t="s">
        <v>1023</v>
      </c>
      <c r="E394" s="268" t="s">
        <v>3087</v>
      </c>
      <c r="F394" s="861" t="s">
        <v>3088</v>
      </c>
      <c r="G394" s="269" t="s">
        <v>3089</v>
      </c>
      <c r="H394" s="861" t="s">
        <v>3090</v>
      </c>
      <c r="I394" s="269" t="s">
        <v>3091</v>
      </c>
      <c r="J394" s="240" t="s">
        <v>140</v>
      </c>
      <c r="K394" s="270" t="s">
        <v>140</v>
      </c>
      <c r="L394" s="862" t="s">
        <v>3092</v>
      </c>
      <c r="M394" s="847" t="s">
        <v>973</v>
      </c>
      <c r="N394" s="211" t="s">
        <v>974</v>
      </c>
      <c r="O394" s="240" t="s">
        <v>144</v>
      </c>
      <c r="P394" s="240" t="s">
        <v>144</v>
      </c>
      <c r="Q394" s="845" t="s">
        <v>3093</v>
      </c>
      <c r="R394" s="208" t="s">
        <v>3094</v>
      </c>
      <c r="S394" s="864" t="s">
        <v>746</v>
      </c>
      <c r="T394" s="212" t="s">
        <v>1307</v>
      </c>
      <c r="U394" s="213" t="s">
        <v>1308</v>
      </c>
      <c r="V394" s="847">
        <v>10</v>
      </c>
      <c r="W394" s="415" t="s">
        <v>144</v>
      </c>
      <c r="X394" s="212">
        <v>40</v>
      </c>
      <c r="Y394" s="212" t="s">
        <v>144</v>
      </c>
      <c r="Z394" s="241" t="s">
        <v>144</v>
      </c>
      <c r="AA394" s="437" t="s">
        <v>2720</v>
      </c>
      <c r="AB394" s="206" t="s">
        <v>140</v>
      </c>
      <c r="AC394" s="847" t="s">
        <v>265</v>
      </c>
      <c r="AD394" s="847" t="s">
        <v>3095</v>
      </c>
      <c r="AE394" s="847" t="s">
        <v>144</v>
      </c>
      <c r="AF394" s="848" t="s">
        <v>144</v>
      </c>
      <c r="AG394" s="838"/>
      <c r="AH394" s="866" t="s">
        <v>3096</v>
      </c>
      <c r="AI394" s="273" t="s">
        <v>3097</v>
      </c>
      <c r="AJ394" s="847">
        <v>5</v>
      </c>
      <c r="AK394" s="878" t="s">
        <v>3098</v>
      </c>
      <c r="AL394" s="867"/>
      <c r="AM394" s="273"/>
      <c r="AN394" s="847"/>
      <c r="AO394" s="848"/>
      <c r="AP394" s="867" t="s">
        <v>1107</v>
      </c>
      <c r="AQ394" s="273" t="s">
        <v>1108</v>
      </c>
      <c r="AR394" s="847">
        <v>7</v>
      </c>
      <c r="AS394" s="286" t="s">
        <v>1109</v>
      </c>
      <c r="AT394" s="867"/>
      <c r="AU394" s="273"/>
      <c r="AV394" s="847"/>
      <c r="AW394" s="848"/>
      <c r="AX394" s="867"/>
      <c r="AY394" s="273"/>
      <c r="AZ394" s="847"/>
      <c r="BA394" s="848"/>
      <c r="BB394" s="866"/>
      <c r="BC394" s="273"/>
      <c r="BD394" s="847"/>
      <c r="BE394" s="848"/>
      <c r="BF394" s="838"/>
    </row>
    <row r="395" spans="1:58" s="88" customFormat="1" ht="54" hidden="1" customHeight="1" x14ac:dyDescent="0.25">
      <c r="A395" s="267" t="s">
        <v>1687</v>
      </c>
      <c r="B395" s="268">
        <v>160</v>
      </c>
      <c r="C395" s="240" t="s">
        <v>1022</v>
      </c>
      <c r="D395" s="270" t="s">
        <v>1023</v>
      </c>
      <c r="E395" s="268" t="s">
        <v>3099</v>
      </c>
      <c r="F395" s="861" t="s">
        <v>3100</v>
      </c>
      <c r="G395" s="269" t="s">
        <v>3101</v>
      </c>
      <c r="H395" s="861" t="s">
        <v>3102</v>
      </c>
      <c r="I395" s="269" t="s">
        <v>3103</v>
      </c>
      <c r="J395" s="240" t="s">
        <v>140</v>
      </c>
      <c r="K395" s="270" t="s">
        <v>140</v>
      </c>
      <c r="L395" s="862" t="s">
        <v>3104</v>
      </c>
      <c r="M395" s="847" t="s">
        <v>973</v>
      </c>
      <c r="N395" s="211" t="s">
        <v>974</v>
      </c>
      <c r="O395" s="240" t="s">
        <v>144</v>
      </c>
      <c r="P395" s="240" t="s">
        <v>144</v>
      </c>
      <c r="Q395" s="845" t="s">
        <v>3105</v>
      </c>
      <c r="R395" s="208" t="s">
        <v>3106</v>
      </c>
      <c r="S395" s="864" t="s">
        <v>746</v>
      </c>
      <c r="T395" s="212" t="s">
        <v>1307</v>
      </c>
      <c r="U395" s="213" t="s">
        <v>1308</v>
      </c>
      <c r="V395" s="847">
        <v>10</v>
      </c>
      <c r="W395" s="415" t="s">
        <v>144</v>
      </c>
      <c r="X395" s="212">
        <v>40</v>
      </c>
      <c r="Y395" s="212" t="s">
        <v>144</v>
      </c>
      <c r="Z395" s="241" t="s">
        <v>144</v>
      </c>
      <c r="AA395" s="437" t="s">
        <v>2575</v>
      </c>
      <c r="AB395" s="206" t="s">
        <v>140</v>
      </c>
      <c r="AC395" s="847" t="s">
        <v>265</v>
      </c>
      <c r="AD395" s="847" t="s">
        <v>3095</v>
      </c>
      <c r="AE395" s="847" t="s">
        <v>144</v>
      </c>
      <c r="AF395" s="848" t="s">
        <v>144</v>
      </c>
      <c r="AG395" s="838"/>
      <c r="AH395" s="866" t="s">
        <v>3096</v>
      </c>
      <c r="AI395" s="273" t="s">
        <v>3097</v>
      </c>
      <c r="AJ395" s="847">
        <v>5</v>
      </c>
      <c r="AK395" s="878" t="s">
        <v>3098</v>
      </c>
      <c r="AL395" s="867"/>
      <c r="AM395" s="273"/>
      <c r="AN395" s="847"/>
      <c r="AO395" s="848"/>
      <c r="AP395" s="867" t="s">
        <v>1107</v>
      </c>
      <c r="AQ395" s="273" t="s">
        <v>1108</v>
      </c>
      <c r="AR395" s="847">
        <v>7</v>
      </c>
      <c r="AS395" s="286" t="s">
        <v>1109</v>
      </c>
      <c r="AT395" s="867"/>
      <c r="AU395" s="273"/>
      <c r="AV395" s="847"/>
      <c r="AW395" s="848"/>
      <c r="AX395" s="867"/>
      <c r="AY395" s="273"/>
      <c r="AZ395" s="847"/>
      <c r="BA395" s="848"/>
      <c r="BB395" s="866"/>
      <c r="BC395" s="273"/>
      <c r="BD395" s="847"/>
      <c r="BE395" s="848"/>
      <c r="BF395" s="838"/>
    </row>
    <row r="396" spans="1:58" s="88" customFormat="1" ht="54" hidden="1" customHeight="1" x14ac:dyDescent="0.25">
      <c r="A396" s="267" t="s">
        <v>1687</v>
      </c>
      <c r="B396" s="268">
        <v>161</v>
      </c>
      <c r="C396" s="240" t="s">
        <v>1022</v>
      </c>
      <c r="D396" s="270" t="s">
        <v>1023</v>
      </c>
      <c r="E396" s="268" t="s">
        <v>3107</v>
      </c>
      <c r="F396" s="861" t="s">
        <v>3108</v>
      </c>
      <c r="G396" s="269" t="s">
        <v>3109</v>
      </c>
      <c r="H396" s="845" t="s">
        <v>3108</v>
      </c>
      <c r="I396" s="208" t="s">
        <v>3109</v>
      </c>
      <c r="J396" s="240" t="s">
        <v>140</v>
      </c>
      <c r="K396" s="270" t="s">
        <v>140</v>
      </c>
      <c r="L396" s="862" t="s">
        <v>3110</v>
      </c>
      <c r="M396" s="206" t="s">
        <v>973</v>
      </c>
      <c r="N396" s="211" t="s">
        <v>974</v>
      </c>
      <c r="O396" s="240" t="s">
        <v>144</v>
      </c>
      <c r="P396" s="240" t="s">
        <v>144</v>
      </c>
      <c r="Q396" s="845" t="s">
        <v>3111</v>
      </c>
      <c r="R396" s="208" t="s">
        <v>3112</v>
      </c>
      <c r="S396" s="181" t="s">
        <v>233</v>
      </c>
      <c r="T396" s="212" t="s">
        <v>234</v>
      </c>
      <c r="U396" s="213" t="s">
        <v>235</v>
      </c>
      <c r="V396" s="847">
        <v>8</v>
      </c>
      <c r="W396" s="415" t="s">
        <v>144</v>
      </c>
      <c r="X396" s="212">
        <v>40</v>
      </c>
      <c r="Y396" s="212" t="s">
        <v>144</v>
      </c>
      <c r="Z396" s="241" t="s">
        <v>144</v>
      </c>
      <c r="AA396" s="437" t="s">
        <v>3113</v>
      </c>
      <c r="AB396" s="206" t="s">
        <v>140</v>
      </c>
      <c r="AC396" s="847" t="s">
        <v>265</v>
      </c>
      <c r="AD396" s="847" t="s">
        <v>3114</v>
      </c>
      <c r="AE396" s="847" t="s">
        <v>144</v>
      </c>
      <c r="AF396" s="848" t="s">
        <v>144</v>
      </c>
      <c r="AG396" s="838"/>
      <c r="AH396" s="866" t="s">
        <v>1931</v>
      </c>
      <c r="AI396" s="273" t="s">
        <v>1932</v>
      </c>
      <c r="AJ396" s="847">
        <v>6</v>
      </c>
      <c r="AK396" s="878" t="s">
        <v>1933</v>
      </c>
      <c r="AL396" s="867"/>
      <c r="AM396" s="273"/>
      <c r="AN396" s="847"/>
      <c r="AO396" s="848"/>
      <c r="AP396" s="867" t="s">
        <v>1160</v>
      </c>
      <c r="AQ396" s="273" t="s">
        <v>1161</v>
      </c>
      <c r="AR396" s="847">
        <v>7</v>
      </c>
      <c r="AS396" s="848" t="s">
        <v>1162</v>
      </c>
      <c r="AT396" s="867" t="s">
        <v>1163</v>
      </c>
      <c r="AU396" s="273" t="s">
        <v>1164</v>
      </c>
      <c r="AV396" s="847">
        <v>7</v>
      </c>
      <c r="AW396" s="286" t="s">
        <v>1165</v>
      </c>
      <c r="AX396" s="867"/>
      <c r="AY396" s="273"/>
      <c r="AZ396" s="847"/>
      <c r="BA396" s="848"/>
      <c r="BB396" s="866"/>
      <c r="BC396" s="273"/>
      <c r="BD396" s="847"/>
      <c r="BE396" s="848"/>
      <c r="BF396" s="838"/>
    </row>
    <row r="397" spans="1:58" s="88" customFormat="1" ht="54" hidden="1" customHeight="1" x14ac:dyDescent="0.25">
      <c r="A397" s="267" t="s">
        <v>1687</v>
      </c>
      <c r="B397" s="268">
        <v>162</v>
      </c>
      <c r="C397" s="240" t="s">
        <v>1022</v>
      </c>
      <c r="D397" s="270" t="s">
        <v>1023</v>
      </c>
      <c r="E397" s="268" t="s">
        <v>3115</v>
      </c>
      <c r="F397" s="861" t="s">
        <v>3116</v>
      </c>
      <c r="G397" s="269" t="s">
        <v>3117</v>
      </c>
      <c r="H397" s="207" t="s">
        <v>3116</v>
      </c>
      <c r="I397" s="208" t="s">
        <v>3117</v>
      </c>
      <c r="J397" s="240" t="s">
        <v>140</v>
      </c>
      <c r="K397" s="270" t="s">
        <v>140</v>
      </c>
      <c r="L397" s="862" t="s">
        <v>3118</v>
      </c>
      <c r="M397" s="847" t="s">
        <v>973</v>
      </c>
      <c r="N397" s="211" t="s">
        <v>974</v>
      </c>
      <c r="O397" s="240" t="s">
        <v>3119</v>
      </c>
      <c r="P397" s="240" t="s">
        <v>3120</v>
      </c>
      <c r="Q397" s="845" t="s">
        <v>3121</v>
      </c>
      <c r="R397" s="208" t="s">
        <v>3122</v>
      </c>
      <c r="S397" s="864" t="s">
        <v>147</v>
      </c>
      <c r="T397" s="212" t="s">
        <v>144</v>
      </c>
      <c r="U397" s="213" t="s">
        <v>144</v>
      </c>
      <c r="V397" s="847">
        <v>1</v>
      </c>
      <c r="W397" s="415" t="s">
        <v>144</v>
      </c>
      <c r="X397" s="212">
        <v>40</v>
      </c>
      <c r="Y397" s="212" t="s">
        <v>144</v>
      </c>
      <c r="Z397" s="212" t="s">
        <v>144</v>
      </c>
      <c r="AA397" s="240" t="s">
        <v>1790</v>
      </c>
      <c r="AB397" s="206" t="s">
        <v>140</v>
      </c>
      <c r="AC397" s="847" t="s">
        <v>265</v>
      </c>
      <c r="AD397" s="894" t="s">
        <v>3071</v>
      </c>
      <c r="AE397" s="847" t="s">
        <v>144</v>
      </c>
      <c r="AF397" s="848" t="s">
        <v>144</v>
      </c>
      <c r="AG397" s="838"/>
      <c r="AH397" s="866" t="s">
        <v>3123</v>
      </c>
      <c r="AI397" s="273" t="s">
        <v>3124</v>
      </c>
      <c r="AJ397" s="847">
        <v>6</v>
      </c>
      <c r="AK397" s="878" t="s">
        <v>3125</v>
      </c>
      <c r="AL397" s="867" t="s">
        <v>294</v>
      </c>
      <c r="AM397" s="273" t="s">
        <v>295</v>
      </c>
      <c r="AN397" s="847">
        <v>7</v>
      </c>
      <c r="AO397" s="187" t="s">
        <v>966</v>
      </c>
      <c r="AP397" s="867"/>
      <c r="AQ397" s="273"/>
      <c r="AR397" s="847"/>
      <c r="AS397" s="848"/>
      <c r="AT397" s="867"/>
      <c r="AU397" s="273"/>
      <c r="AV397" s="847"/>
      <c r="AW397" s="848"/>
      <c r="AX397" s="867"/>
      <c r="AY397" s="273"/>
      <c r="AZ397" s="847"/>
      <c r="BA397" s="848"/>
      <c r="BB397" s="866"/>
      <c r="BC397" s="273"/>
      <c r="BD397" s="847"/>
      <c r="BE397" s="848"/>
      <c r="BF397" s="838"/>
    </row>
    <row r="398" spans="1:58" s="88" customFormat="1" ht="54" hidden="1" customHeight="1" x14ac:dyDescent="0.25">
      <c r="A398" s="267" t="s">
        <v>1687</v>
      </c>
      <c r="B398" s="268">
        <v>163</v>
      </c>
      <c r="C398" s="240" t="s">
        <v>1022</v>
      </c>
      <c r="D398" s="270" t="s">
        <v>1023</v>
      </c>
      <c r="E398" s="298" t="s">
        <v>3126</v>
      </c>
      <c r="F398" s="861" t="s">
        <v>3127</v>
      </c>
      <c r="G398" s="269" t="s">
        <v>3128</v>
      </c>
      <c r="H398" s="846" t="s">
        <v>3129</v>
      </c>
      <c r="I398" s="294" t="s">
        <v>3130</v>
      </c>
      <c r="J398" s="325" t="s">
        <v>140</v>
      </c>
      <c r="K398" s="326" t="s">
        <v>140</v>
      </c>
      <c r="L398" s="862" t="s">
        <v>3131</v>
      </c>
      <c r="M398" s="847" t="s">
        <v>973</v>
      </c>
      <c r="N398" s="270" t="s">
        <v>974</v>
      </c>
      <c r="O398" s="240" t="s">
        <v>3132</v>
      </c>
      <c r="P398" s="240" t="s">
        <v>3133</v>
      </c>
      <c r="Q398" s="845" t="s">
        <v>144</v>
      </c>
      <c r="R398" s="208" t="s">
        <v>144</v>
      </c>
      <c r="S398" s="864" t="s">
        <v>147</v>
      </c>
      <c r="T398" s="212" t="s">
        <v>144</v>
      </c>
      <c r="U398" s="213" t="s">
        <v>144</v>
      </c>
      <c r="V398" s="847">
        <v>1</v>
      </c>
      <c r="W398" s="415" t="s">
        <v>144</v>
      </c>
      <c r="X398" s="212">
        <v>43</v>
      </c>
      <c r="Y398" s="212" t="s">
        <v>144</v>
      </c>
      <c r="Z398" s="241" t="s">
        <v>144</v>
      </c>
      <c r="AA398" s="437" t="s">
        <v>2575</v>
      </c>
      <c r="AB398" s="206" t="s">
        <v>140</v>
      </c>
      <c r="AC398" s="847" t="s">
        <v>265</v>
      </c>
      <c r="AD398" s="847" t="s">
        <v>2221</v>
      </c>
      <c r="AE398" s="847" t="s">
        <v>144</v>
      </c>
      <c r="AF398" s="848" t="s">
        <v>144</v>
      </c>
      <c r="AG398" s="838"/>
      <c r="AH398" s="291" t="s">
        <v>3134</v>
      </c>
      <c r="AI398" s="273" t="s">
        <v>3135</v>
      </c>
      <c r="AJ398" s="847">
        <v>6</v>
      </c>
      <c r="AK398" s="878" t="s">
        <v>3136</v>
      </c>
      <c r="AL398" s="875" t="s">
        <v>294</v>
      </c>
      <c r="AM398" s="301" t="s">
        <v>295</v>
      </c>
      <c r="AN398" s="847">
        <v>7</v>
      </c>
      <c r="AO398" s="187" t="s">
        <v>966</v>
      </c>
      <c r="AP398" s="867"/>
      <c r="AQ398" s="273"/>
      <c r="AR398" s="847"/>
      <c r="AS398" s="848"/>
      <c r="AT398" s="867"/>
      <c r="AU398" s="273"/>
      <c r="AV398" s="847"/>
      <c r="AW398" s="848"/>
      <c r="AX398" s="867"/>
      <c r="AY398" s="273"/>
      <c r="AZ398" s="847"/>
      <c r="BA398" s="848"/>
      <c r="BB398" s="866"/>
      <c r="BC398" s="273"/>
      <c r="BD398" s="847"/>
      <c r="BE398" s="848"/>
      <c r="BF398" s="838"/>
    </row>
    <row r="399" spans="1:58" s="57" customFormat="1" ht="54" customHeight="1" x14ac:dyDescent="0.25">
      <c r="A399" s="275" t="s">
        <v>1687</v>
      </c>
      <c r="B399" s="276">
        <v>164</v>
      </c>
      <c r="C399" s="253" t="s">
        <v>144</v>
      </c>
      <c r="D399" s="253" t="s">
        <v>144</v>
      </c>
      <c r="E399" s="276" t="s">
        <v>3137</v>
      </c>
      <c r="F399" s="277" t="s">
        <v>251</v>
      </c>
      <c r="G399" s="277" t="s">
        <v>251</v>
      </c>
      <c r="H399" s="220" t="s">
        <v>336</v>
      </c>
      <c r="I399" s="218" t="s">
        <v>337</v>
      </c>
      <c r="J399" s="253" t="s">
        <v>144</v>
      </c>
      <c r="K399" s="253" t="s">
        <v>144</v>
      </c>
      <c r="L399" s="718" t="s">
        <v>1371</v>
      </c>
      <c r="M399" s="253" t="s">
        <v>144</v>
      </c>
      <c r="N399" s="253" t="s">
        <v>144</v>
      </c>
      <c r="O399" s="253" t="s">
        <v>144</v>
      </c>
      <c r="P399" s="253" t="s">
        <v>144</v>
      </c>
      <c r="Q399" s="220" t="s">
        <v>338</v>
      </c>
      <c r="R399" s="220" t="s">
        <v>339</v>
      </c>
      <c r="S399" s="276" t="s">
        <v>147</v>
      </c>
      <c r="T399" s="221" t="s">
        <v>144</v>
      </c>
      <c r="U399" s="221" t="s">
        <v>144</v>
      </c>
      <c r="V399" s="253">
        <v>4</v>
      </c>
      <c r="W399" s="217" t="s">
        <v>144</v>
      </c>
      <c r="X399" s="221" t="s">
        <v>144</v>
      </c>
      <c r="Y399" s="221" t="s">
        <v>144</v>
      </c>
      <c r="Z399" s="222" t="s">
        <v>144</v>
      </c>
      <c r="AA399" s="253" t="s">
        <v>144</v>
      </c>
      <c r="AB399" s="217" t="s">
        <v>144</v>
      </c>
      <c r="AC399" s="253" t="s">
        <v>265</v>
      </c>
      <c r="AD399" s="253" t="s">
        <v>144</v>
      </c>
      <c r="AE399" s="253" t="s">
        <v>144</v>
      </c>
      <c r="AF399" s="254" t="s">
        <v>144</v>
      </c>
      <c r="AG399" s="838"/>
      <c r="AH399" s="280"/>
      <c r="AI399" s="281"/>
      <c r="AJ399" s="253"/>
      <c r="AK399" s="878"/>
      <c r="AL399" s="281"/>
      <c r="AM399" s="281"/>
      <c r="AN399" s="253"/>
      <c r="AO399" s="254"/>
      <c r="AP399" s="281"/>
      <c r="AQ399" s="281"/>
      <c r="AR399" s="253"/>
      <c r="AS399" s="254"/>
      <c r="AT399" s="281"/>
      <c r="AU399" s="281"/>
      <c r="AV399" s="253"/>
      <c r="AW399" s="254"/>
      <c r="AX399" s="281"/>
      <c r="AY399" s="281"/>
      <c r="AZ399" s="253"/>
      <c r="BA399" s="254"/>
      <c r="BB399" s="280"/>
      <c r="BC399" s="281"/>
      <c r="BD399" s="253"/>
      <c r="BE399" s="254"/>
      <c r="BF399" s="838"/>
    </row>
    <row r="400" spans="1:58" s="88" customFormat="1" ht="54" hidden="1" customHeight="1" x14ac:dyDescent="0.25">
      <c r="A400" s="267" t="s">
        <v>1687</v>
      </c>
      <c r="B400" s="268">
        <v>165</v>
      </c>
      <c r="C400" s="240" t="s">
        <v>1022</v>
      </c>
      <c r="D400" s="270" t="s">
        <v>1023</v>
      </c>
      <c r="E400" s="327" t="s">
        <v>3138</v>
      </c>
      <c r="F400" s="861" t="s">
        <v>3139</v>
      </c>
      <c r="G400" s="269" t="s">
        <v>3140</v>
      </c>
      <c r="H400" s="845" t="s">
        <v>3141</v>
      </c>
      <c r="I400" s="269" t="s">
        <v>3142</v>
      </c>
      <c r="J400" s="296" t="s">
        <v>140</v>
      </c>
      <c r="K400" s="297" t="s">
        <v>140</v>
      </c>
      <c r="L400" s="862" t="s">
        <v>3143</v>
      </c>
      <c r="M400" s="847" t="s">
        <v>193</v>
      </c>
      <c r="N400" s="211" t="s">
        <v>194</v>
      </c>
      <c r="O400" s="240" t="s">
        <v>1853</v>
      </c>
      <c r="P400" s="240" t="s">
        <v>1854</v>
      </c>
      <c r="Q400" s="845" t="s">
        <v>1855</v>
      </c>
      <c r="R400" s="208" t="s">
        <v>1856</v>
      </c>
      <c r="S400" s="864" t="s">
        <v>147</v>
      </c>
      <c r="T400" s="212" t="s">
        <v>144</v>
      </c>
      <c r="U400" s="213" t="s">
        <v>144</v>
      </c>
      <c r="V400" s="307">
        <v>12</v>
      </c>
      <c r="W400" s="415" t="s">
        <v>144</v>
      </c>
      <c r="X400" s="212">
        <v>41</v>
      </c>
      <c r="Y400" s="212" t="s">
        <v>144</v>
      </c>
      <c r="Z400" s="241" t="s">
        <v>144</v>
      </c>
      <c r="AA400" s="437" t="s">
        <v>148</v>
      </c>
      <c r="AB400" s="206" t="s">
        <v>140</v>
      </c>
      <c r="AC400" s="847" t="s">
        <v>265</v>
      </c>
      <c r="AD400" s="847" t="s">
        <v>3144</v>
      </c>
      <c r="AE400" s="847" t="s">
        <v>144</v>
      </c>
      <c r="AF400" s="848" t="s">
        <v>144</v>
      </c>
      <c r="AG400" s="838"/>
      <c r="AH400" s="866"/>
      <c r="AI400" s="273"/>
      <c r="AJ400" s="847"/>
      <c r="AK400" s="878"/>
      <c r="AL400" s="867" t="s">
        <v>294</v>
      </c>
      <c r="AM400" s="273" t="s">
        <v>295</v>
      </c>
      <c r="AN400" s="847">
        <v>7</v>
      </c>
      <c r="AO400" s="187" t="s">
        <v>966</v>
      </c>
      <c r="AP400" s="867"/>
      <c r="AQ400" s="273"/>
      <c r="AR400" s="847"/>
      <c r="AS400" s="848"/>
      <c r="AT400" s="867"/>
      <c r="AU400" s="273"/>
      <c r="AV400" s="847"/>
      <c r="AW400" s="848"/>
      <c r="AX400" s="867"/>
      <c r="AY400" s="273"/>
      <c r="AZ400" s="847"/>
      <c r="BA400" s="848"/>
      <c r="BB400" s="866"/>
      <c r="BC400" s="273"/>
      <c r="BD400" s="847"/>
      <c r="BE400" s="848"/>
      <c r="BF400" s="838"/>
    </row>
    <row r="401" spans="1:58" s="57" customFormat="1" ht="54" hidden="1" customHeight="1" x14ac:dyDescent="0.25">
      <c r="A401" s="275" t="s">
        <v>1687</v>
      </c>
      <c r="B401" s="276">
        <v>166</v>
      </c>
      <c r="C401" s="253" t="s">
        <v>2135</v>
      </c>
      <c r="D401" s="253" t="s">
        <v>2136</v>
      </c>
      <c r="E401" s="276" t="s">
        <v>3145</v>
      </c>
      <c r="F401" s="277" t="s">
        <v>3146</v>
      </c>
      <c r="G401" s="277" t="s">
        <v>3147</v>
      </c>
      <c r="H401" s="279" t="s">
        <v>336</v>
      </c>
      <c r="I401" s="279" t="s">
        <v>337</v>
      </c>
      <c r="J401" s="278" t="s">
        <v>144</v>
      </c>
      <c r="K401" s="278" t="s">
        <v>144</v>
      </c>
      <c r="L401" s="718" t="s">
        <v>3148</v>
      </c>
      <c r="M401" s="253" t="s">
        <v>144</v>
      </c>
      <c r="N401" s="217" t="s">
        <v>144</v>
      </c>
      <c r="O401" s="253" t="s">
        <v>144</v>
      </c>
      <c r="P401" s="253" t="s">
        <v>144</v>
      </c>
      <c r="Q401" s="311" t="s">
        <v>338</v>
      </c>
      <c r="R401" s="218" t="s">
        <v>339</v>
      </c>
      <c r="S401" s="282" t="s">
        <v>147</v>
      </c>
      <c r="T401" s="229" t="s">
        <v>144</v>
      </c>
      <c r="U401" s="229" t="s">
        <v>144</v>
      </c>
      <c r="V401" s="278">
        <v>12</v>
      </c>
      <c r="W401" s="217" t="s">
        <v>144</v>
      </c>
      <c r="X401" s="221" t="s">
        <v>144</v>
      </c>
      <c r="Y401" s="221" t="s">
        <v>144</v>
      </c>
      <c r="Z401" s="221" t="s">
        <v>144</v>
      </c>
      <c r="AA401" s="253" t="s">
        <v>144</v>
      </c>
      <c r="AB401" s="217" t="s">
        <v>144</v>
      </c>
      <c r="AC401" s="253" t="s">
        <v>265</v>
      </c>
      <c r="AD401" s="253" t="s">
        <v>144</v>
      </c>
      <c r="AE401" s="253" t="s">
        <v>144</v>
      </c>
      <c r="AF401" s="254" t="s">
        <v>144</v>
      </c>
      <c r="AG401" s="838"/>
      <c r="AH401" s="280"/>
      <c r="AI401" s="281"/>
      <c r="AJ401" s="253"/>
      <c r="AK401" s="878"/>
      <c r="AL401" s="281"/>
      <c r="AM401" s="281"/>
      <c r="AN401" s="253"/>
      <c r="AO401" s="254"/>
      <c r="AP401" s="281"/>
      <c r="AQ401" s="281"/>
      <c r="AR401" s="253"/>
      <c r="AS401" s="254"/>
      <c r="AT401" s="281"/>
      <c r="AU401" s="281"/>
      <c r="AV401" s="253"/>
      <c r="AW401" s="254"/>
      <c r="AX401" s="281"/>
      <c r="AY401" s="281"/>
      <c r="AZ401" s="253"/>
      <c r="BA401" s="254"/>
      <c r="BB401" s="280"/>
      <c r="BC401" s="281"/>
      <c r="BD401" s="253"/>
      <c r="BE401" s="254"/>
      <c r="BF401" s="838"/>
    </row>
    <row r="402" spans="1:58" s="88" customFormat="1" ht="54" hidden="1" customHeight="1" x14ac:dyDescent="0.25">
      <c r="A402" s="267" t="s">
        <v>1687</v>
      </c>
      <c r="B402" s="268">
        <v>167</v>
      </c>
      <c r="C402" s="240" t="s">
        <v>1022</v>
      </c>
      <c r="D402" s="270" t="s">
        <v>1023</v>
      </c>
      <c r="E402" s="268" t="s">
        <v>3149</v>
      </c>
      <c r="F402" s="861" t="s">
        <v>3150</v>
      </c>
      <c r="G402" s="269" t="s">
        <v>3151</v>
      </c>
      <c r="H402" s="861" t="s">
        <v>3150</v>
      </c>
      <c r="I402" s="269" t="s">
        <v>3151</v>
      </c>
      <c r="J402" s="296" t="s">
        <v>140</v>
      </c>
      <c r="K402" s="297" t="s">
        <v>140</v>
      </c>
      <c r="L402" s="862" t="s">
        <v>3152</v>
      </c>
      <c r="M402" s="847" t="s">
        <v>193</v>
      </c>
      <c r="N402" s="211" t="s">
        <v>194</v>
      </c>
      <c r="O402" s="240" t="s">
        <v>144</v>
      </c>
      <c r="P402" s="240" t="s">
        <v>144</v>
      </c>
      <c r="Q402" s="845" t="s">
        <v>3153</v>
      </c>
      <c r="R402" s="208" t="s">
        <v>3154</v>
      </c>
      <c r="S402" s="864" t="s">
        <v>746</v>
      </c>
      <c r="T402" s="212" t="s">
        <v>3155</v>
      </c>
      <c r="U402" s="213" t="s">
        <v>3156</v>
      </c>
      <c r="V402" s="307">
        <v>6</v>
      </c>
      <c r="W402" s="415" t="s">
        <v>144</v>
      </c>
      <c r="X402" s="212">
        <v>40</v>
      </c>
      <c r="Y402" s="212" t="s">
        <v>144</v>
      </c>
      <c r="Z402" s="433" t="s">
        <v>29</v>
      </c>
      <c r="AA402" s="728" t="s">
        <v>3157</v>
      </c>
      <c r="AB402" s="206" t="s">
        <v>140</v>
      </c>
      <c r="AC402" s="847" t="s">
        <v>265</v>
      </c>
      <c r="AD402" s="847" t="s">
        <v>1690</v>
      </c>
      <c r="AE402" s="847" t="s">
        <v>144</v>
      </c>
      <c r="AF402" s="848" t="s">
        <v>144</v>
      </c>
      <c r="AG402" s="838"/>
      <c r="AH402" s="866"/>
      <c r="AI402" s="273"/>
      <c r="AJ402" s="847"/>
      <c r="AK402" s="878"/>
      <c r="AL402" s="867"/>
      <c r="AM402" s="273"/>
      <c r="AN402" s="847"/>
      <c r="AO402" s="848"/>
      <c r="AP402" s="867"/>
      <c r="AQ402" s="273"/>
      <c r="AR402" s="847"/>
      <c r="AS402" s="848"/>
      <c r="AT402" s="867"/>
      <c r="AU402" s="273"/>
      <c r="AV402" s="847"/>
      <c r="AW402" s="848"/>
      <c r="AX402" s="867"/>
      <c r="AY402" s="273"/>
      <c r="AZ402" s="847"/>
      <c r="BA402" s="848"/>
      <c r="BB402" s="866"/>
      <c r="BC402" s="273"/>
      <c r="BD402" s="847"/>
      <c r="BE402" s="848"/>
      <c r="BF402" s="838"/>
    </row>
    <row r="403" spans="1:58" s="88" customFormat="1" ht="54" hidden="1" customHeight="1" x14ac:dyDescent="0.25">
      <c r="A403" s="267" t="s">
        <v>1687</v>
      </c>
      <c r="B403" s="268">
        <v>168</v>
      </c>
      <c r="C403" s="240" t="s">
        <v>1022</v>
      </c>
      <c r="D403" s="270" t="s">
        <v>1023</v>
      </c>
      <c r="E403" s="268" t="s">
        <v>3158</v>
      </c>
      <c r="F403" s="861" t="s">
        <v>3159</v>
      </c>
      <c r="G403" s="269" t="s">
        <v>3160</v>
      </c>
      <c r="H403" s="845" t="s">
        <v>3161</v>
      </c>
      <c r="I403" s="269" t="s">
        <v>3160</v>
      </c>
      <c r="J403" s="296" t="s">
        <v>140</v>
      </c>
      <c r="K403" s="297" t="s">
        <v>140</v>
      </c>
      <c r="L403" s="862" t="s">
        <v>3162</v>
      </c>
      <c r="M403" s="847" t="s">
        <v>142</v>
      </c>
      <c r="N403" s="211" t="s">
        <v>143</v>
      </c>
      <c r="O403" s="240" t="s">
        <v>3163</v>
      </c>
      <c r="P403" s="240" t="s">
        <v>3164</v>
      </c>
      <c r="Q403" s="845" t="s">
        <v>144</v>
      </c>
      <c r="R403" s="208" t="s">
        <v>144</v>
      </c>
      <c r="S403" s="864" t="s">
        <v>147</v>
      </c>
      <c r="T403" s="212" t="s">
        <v>144</v>
      </c>
      <c r="U403" s="213" t="s">
        <v>144</v>
      </c>
      <c r="V403" s="307">
        <v>1</v>
      </c>
      <c r="W403" s="415" t="s">
        <v>144</v>
      </c>
      <c r="X403" s="212">
        <v>40</v>
      </c>
      <c r="Y403" s="212" t="s">
        <v>144</v>
      </c>
      <c r="Z403" s="433" t="s">
        <v>144</v>
      </c>
      <c r="AA403" s="437" t="s">
        <v>3165</v>
      </c>
      <c r="AB403" s="206" t="s">
        <v>140</v>
      </c>
      <c r="AC403" s="847" t="s">
        <v>265</v>
      </c>
      <c r="AD403" s="847" t="s">
        <v>1690</v>
      </c>
      <c r="AE403" s="847" t="s">
        <v>144</v>
      </c>
      <c r="AF403" s="848" t="s">
        <v>144</v>
      </c>
      <c r="AG403" s="838"/>
      <c r="AH403" s="866" t="s">
        <v>266</v>
      </c>
      <c r="AI403" s="273" t="s">
        <v>267</v>
      </c>
      <c r="AJ403" s="847">
        <v>7</v>
      </c>
      <c r="AK403" s="878" t="s">
        <v>1046</v>
      </c>
      <c r="AL403" s="867" t="s">
        <v>294</v>
      </c>
      <c r="AM403" s="273" t="s">
        <v>295</v>
      </c>
      <c r="AN403" s="847">
        <v>7</v>
      </c>
      <c r="AO403" s="187" t="s">
        <v>966</v>
      </c>
      <c r="AP403" s="312"/>
      <c r="AQ403" s="313"/>
      <c r="AR403" s="289"/>
      <c r="AS403" s="314"/>
      <c r="AT403" s="867"/>
      <c r="AU403" s="273"/>
      <c r="AV403" s="847"/>
      <c r="AW403" s="848"/>
      <c r="AX403" s="867"/>
      <c r="AY403" s="273"/>
      <c r="AZ403" s="847"/>
      <c r="BA403" s="848"/>
      <c r="BB403" s="866"/>
      <c r="BC403" s="273"/>
      <c r="BD403" s="847"/>
      <c r="BE403" s="848"/>
      <c r="BF403" s="838"/>
    </row>
    <row r="404" spans="1:58" s="88" customFormat="1" ht="54" hidden="1" customHeight="1" x14ac:dyDescent="0.25">
      <c r="A404" s="267" t="s">
        <v>1687</v>
      </c>
      <c r="B404" s="268">
        <v>169</v>
      </c>
      <c r="C404" s="240" t="s">
        <v>1022</v>
      </c>
      <c r="D404" s="270" t="s">
        <v>1023</v>
      </c>
      <c r="E404" s="268" t="s">
        <v>3166</v>
      </c>
      <c r="F404" s="861" t="s">
        <v>1425</v>
      </c>
      <c r="G404" s="269" t="s">
        <v>1426</v>
      </c>
      <c r="H404" s="249" t="s">
        <v>3167</v>
      </c>
      <c r="I404" s="135" t="s">
        <v>3168</v>
      </c>
      <c r="J404" s="296" t="s">
        <v>140</v>
      </c>
      <c r="K404" s="297" t="s">
        <v>140</v>
      </c>
      <c r="L404" s="862" t="s">
        <v>1429</v>
      </c>
      <c r="M404" s="847" t="s">
        <v>973</v>
      </c>
      <c r="N404" s="270" t="s">
        <v>974</v>
      </c>
      <c r="O404" s="240" t="s">
        <v>1408</v>
      </c>
      <c r="P404" s="240" t="s">
        <v>1409</v>
      </c>
      <c r="Q404" s="845" t="s">
        <v>144</v>
      </c>
      <c r="R404" s="208" t="s">
        <v>144</v>
      </c>
      <c r="S404" s="864" t="s">
        <v>147</v>
      </c>
      <c r="T404" s="212" t="s">
        <v>144</v>
      </c>
      <c r="U404" s="213" t="s">
        <v>144</v>
      </c>
      <c r="V404" s="307">
        <v>3</v>
      </c>
      <c r="W404" s="415" t="s">
        <v>144</v>
      </c>
      <c r="X404" s="212">
        <v>40</v>
      </c>
      <c r="Y404" s="212" t="s">
        <v>144</v>
      </c>
      <c r="Z404" s="241" t="s">
        <v>144</v>
      </c>
      <c r="AA404" s="437" t="s">
        <v>3169</v>
      </c>
      <c r="AB404" s="206" t="s">
        <v>140</v>
      </c>
      <c r="AC404" s="847" t="s">
        <v>265</v>
      </c>
      <c r="AD404" s="847" t="s">
        <v>3170</v>
      </c>
      <c r="AE404" s="847" t="s">
        <v>144</v>
      </c>
      <c r="AF404" s="848" t="s">
        <v>144</v>
      </c>
      <c r="AG404" s="838"/>
      <c r="AH404" s="291" t="s">
        <v>2448</v>
      </c>
      <c r="AI404" s="273" t="s">
        <v>2449</v>
      </c>
      <c r="AJ404" s="240">
        <v>6</v>
      </c>
      <c r="AK404" s="878" t="s">
        <v>2450</v>
      </c>
      <c r="AL404" s="875" t="s">
        <v>294</v>
      </c>
      <c r="AM404" s="301" t="s">
        <v>295</v>
      </c>
      <c r="AN404" s="847">
        <v>7</v>
      </c>
      <c r="AO404" s="187" t="s">
        <v>966</v>
      </c>
      <c r="AP404" s="867"/>
      <c r="AQ404" s="273"/>
      <c r="AR404" s="847"/>
      <c r="AS404" s="848"/>
      <c r="AT404" s="867"/>
      <c r="AU404" s="273"/>
      <c r="AV404" s="847"/>
      <c r="AW404" s="848"/>
      <c r="AX404" s="867"/>
      <c r="AY404" s="273"/>
      <c r="AZ404" s="847"/>
      <c r="BA404" s="848"/>
      <c r="BB404" s="866"/>
      <c r="BC404" s="273"/>
      <c r="BD404" s="847"/>
      <c r="BE404" s="848"/>
      <c r="BF404" s="838"/>
    </row>
    <row r="405" spans="1:58" s="88" customFormat="1" ht="54" hidden="1" customHeight="1" x14ac:dyDescent="0.25">
      <c r="A405" s="267" t="s">
        <v>1687</v>
      </c>
      <c r="B405" s="268">
        <v>170</v>
      </c>
      <c r="C405" s="240" t="s">
        <v>1022</v>
      </c>
      <c r="D405" s="270" t="s">
        <v>1023</v>
      </c>
      <c r="E405" s="268" t="s">
        <v>3171</v>
      </c>
      <c r="F405" s="861" t="s">
        <v>3172</v>
      </c>
      <c r="G405" s="269" t="s">
        <v>3173</v>
      </c>
      <c r="H405" s="845" t="s">
        <v>3174</v>
      </c>
      <c r="I405" s="269" t="s">
        <v>3175</v>
      </c>
      <c r="J405" s="296" t="s">
        <v>140</v>
      </c>
      <c r="K405" s="297" t="s">
        <v>140</v>
      </c>
      <c r="L405" s="862" t="s">
        <v>3176</v>
      </c>
      <c r="M405" s="847" t="s">
        <v>973</v>
      </c>
      <c r="N405" s="270" t="s">
        <v>974</v>
      </c>
      <c r="O405" s="240" t="s">
        <v>3177</v>
      </c>
      <c r="P405" s="240" t="s">
        <v>3178</v>
      </c>
      <c r="Q405" s="845" t="s">
        <v>144</v>
      </c>
      <c r="R405" s="208" t="s">
        <v>144</v>
      </c>
      <c r="S405" s="864" t="s">
        <v>147</v>
      </c>
      <c r="T405" s="212" t="s">
        <v>144</v>
      </c>
      <c r="U405" s="213" t="s">
        <v>144</v>
      </c>
      <c r="V405" s="307">
        <v>2</v>
      </c>
      <c r="W405" s="415" t="s">
        <v>144</v>
      </c>
      <c r="X405" s="212" t="s">
        <v>925</v>
      </c>
      <c r="Y405" s="212" t="s">
        <v>144</v>
      </c>
      <c r="Z405" s="433" t="s">
        <v>25</v>
      </c>
      <c r="AA405" s="407" t="s">
        <v>3179</v>
      </c>
      <c r="AB405" s="206" t="s">
        <v>140</v>
      </c>
      <c r="AC405" s="847" t="s">
        <v>265</v>
      </c>
      <c r="AD405" s="847" t="s">
        <v>3180</v>
      </c>
      <c r="AE405" s="847" t="s">
        <v>144</v>
      </c>
      <c r="AF405" s="848" t="s">
        <v>144</v>
      </c>
      <c r="AG405" s="838"/>
      <c r="AH405" s="866" t="s">
        <v>3181</v>
      </c>
      <c r="AI405" s="273" t="s">
        <v>3182</v>
      </c>
      <c r="AJ405" s="847">
        <v>6</v>
      </c>
      <c r="AK405" s="878" t="s">
        <v>3183</v>
      </c>
      <c r="AL405" s="875" t="s">
        <v>294</v>
      </c>
      <c r="AM405" s="301" t="s">
        <v>295</v>
      </c>
      <c r="AN405" s="847">
        <v>7</v>
      </c>
      <c r="AO405" s="187" t="s">
        <v>966</v>
      </c>
      <c r="AP405" s="867"/>
      <c r="AQ405" s="273"/>
      <c r="AR405" s="847"/>
      <c r="AS405" s="848"/>
      <c r="AT405" s="867"/>
      <c r="AU405" s="273"/>
      <c r="AV405" s="847"/>
      <c r="AW405" s="848"/>
      <c r="AX405" s="867"/>
      <c r="AY405" s="273"/>
      <c r="AZ405" s="847"/>
      <c r="BA405" s="848"/>
      <c r="BB405" s="249" t="s">
        <v>3184</v>
      </c>
      <c r="BC405" s="135" t="s">
        <v>3185</v>
      </c>
      <c r="BD405" s="847">
        <v>6</v>
      </c>
      <c r="BE405" s="848" t="s">
        <v>3186</v>
      </c>
      <c r="BF405" s="838"/>
    </row>
    <row r="406" spans="1:58" s="88" customFormat="1" ht="54" hidden="1" customHeight="1" x14ac:dyDescent="0.25">
      <c r="A406" s="267" t="s">
        <v>1687</v>
      </c>
      <c r="B406" s="268">
        <v>171</v>
      </c>
      <c r="C406" s="240" t="s">
        <v>1022</v>
      </c>
      <c r="D406" s="270" t="s">
        <v>1023</v>
      </c>
      <c r="E406" s="268" t="s">
        <v>3187</v>
      </c>
      <c r="F406" s="299" t="s">
        <v>1141</v>
      </c>
      <c r="G406" s="269" t="s">
        <v>1142</v>
      </c>
      <c r="H406" s="272" t="s">
        <v>1143</v>
      </c>
      <c r="I406" s="208" t="s">
        <v>1144</v>
      </c>
      <c r="J406" s="240" t="s">
        <v>140</v>
      </c>
      <c r="K406" s="270" t="s">
        <v>140</v>
      </c>
      <c r="L406" s="862" t="s">
        <v>3188</v>
      </c>
      <c r="M406" s="847" t="s">
        <v>142</v>
      </c>
      <c r="N406" s="211" t="s">
        <v>143</v>
      </c>
      <c r="O406" s="240" t="s">
        <v>1146</v>
      </c>
      <c r="P406" s="240" t="s">
        <v>1147</v>
      </c>
      <c r="Q406" s="207" t="s">
        <v>144</v>
      </c>
      <c r="R406" s="271" t="s">
        <v>144</v>
      </c>
      <c r="S406" s="864" t="s">
        <v>147</v>
      </c>
      <c r="T406" s="212" t="s">
        <v>144</v>
      </c>
      <c r="U406" s="213" t="s">
        <v>144</v>
      </c>
      <c r="V406" s="307">
        <v>6</v>
      </c>
      <c r="W406" s="415" t="s">
        <v>144</v>
      </c>
      <c r="X406" s="212">
        <v>41</v>
      </c>
      <c r="Y406" s="212" t="s">
        <v>144</v>
      </c>
      <c r="Z406" s="452" t="s">
        <v>25</v>
      </c>
      <c r="AA406" s="407" t="s">
        <v>3189</v>
      </c>
      <c r="AB406" s="206" t="s">
        <v>140</v>
      </c>
      <c r="AC406" s="847" t="s">
        <v>265</v>
      </c>
      <c r="AD406" s="847" t="s">
        <v>1690</v>
      </c>
      <c r="AE406" s="847" t="s">
        <v>144</v>
      </c>
      <c r="AF406" s="848" t="s">
        <v>144</v>
      </c>
      <c r="AG406" s="838"/>
      <c r="AH406" s="291" t="s">
        <v>266</v>
      </c>
      <c r="AI406" s="273" t="s">
        <v>267</v>
      </c>
      <c r="AJ406" s="240">
        <v>7</v>
      </c>
      <c r="AK406" s="878" t="s">
        <v>1046</v>
      </c>
      <c r="AL406" s="300" t="s">
        <v>294</v>
      </c>
      <c r="AM406" s="301" t="s">
        <v>295</v>
      </c>
      <c r="AN406" s="240">
        <v>7</v>
      </c>
      <c r="AO406" s="187" t="s">
        <v>966</v>
      </c>
      <c r="AP406" s="867"/>
      <c r="AQ406" s="273"/>
      <c r="AR406" s="847"/>
      <c r="AS406" s="848"/>
      <c r="AT406" s="292" t="s">
        <v>1148</v>
      </c>
      <c r="AU406" s="273" t="s">
        <v>1149</v>
      </c>
      <c r="AV406" s="240">
        <v>7</v>
      </c>
      <c r="AW406" s="848" t="s">
        <v>1150</v>
      </c>
      <c r="AX406" s="867"/>
      <c r="AY406" s="273"/>
      <c r="AZ406" s="847"/>
      <c r="BA406" s="848"/>
      <c r="BB406" s="249" t="s">
        <v>3190</v>
      </c>
      <c r="BC406" s="135" t="s">
        <v>3191</v>
      </c>
      <c r="BD406" s="847">
        <v>6</v>
      </c>
      <c r="BE406" s="306" t="s">
        <v>3192</v>
      </c>
      <c r="BF406" s="838"/>
    </row>
    <row r="407" spans="1:58" s="88" customFormat="1" ht="54" hidden="1" customHeight="1" x14ac:dyDescent="0.25">
      <c r="A407" s="267" t="s">
        <v>1687</v>
      </c>
      <c r="B407" s="268">
        <v>172</v>
      </c>
      <c r="C407" s="240" t="s">
        <v>1022</v>
      </c>
      <c r="D407" s="270" t="s">
        <v>1023</v>
      </c>
      <c r="E407" s="268" t="s">
        <v>3193</v>
      </c>
      <c r="F407" s="861" t="s">
        <v>3194</v>
      </c>
      <c r="G407" s="269" t="s">
        <v>3195</v>
      </c>
      <c r="H407" s="845" t="s">
        <v>3196</v>
      </c>
      <c r="I407" s="269" t="s">
        <v>3197</v>
      </c>
      <c r="J407" s="296" t="s">
        <v>140</v>
      </c>
      <c r="K407" s="297" t="s">
        <v>140</v>
      </c>
      <c r="L407" s="862" t="s">
        <v>3198</v>
      </c>
      <c r="M407" s="847" t="s">
        <v>142</v>
      </c>
      <c r="N407" s="211" t="s">
        <v>143</v>
      </c>
      <c r="O407" s="240" t="s">
        <v>144</v>
      </c>
      <c r="P407" s="240" t="s">
        <v>144</v>
      </c>
      <c r="Q407" s="845" t="s">
        <v>3199</v>
      </c>
      <c r="R407" s="208" t="s">
        <v>3200</v>
      </c>
      <c r="S407" s="181" t="s">
        <v>233</v>
      </c>
      <c r="T407" s="212" t="s">
        <v>234</v>
      </c>
      <c r="U407" s="213" t="s">
        <v>235</v>
      </c>
      <c r="V407" s="847">
        <v>8</v>
      </c>
      <c r="W407" s="415" t="s">
        <v>144</v>
      </c>
      <c r="X407" s="212">
        <v>41</v>
      </c>
      <c r="Y407" s="212" t="s">
        <v>144</v>
      </c>
      <c r="Z407" s="252" t="s">
        <v>25</v>
      </c>
      <c r="AA407" s="407" t="s">
        <v>3201</v>
      </c>
      <c r="AB407" s="206" t="s">
        <v>140</v>
      </c>
      <c r="AC407" s="847" t="s">
        <v>265</v>
      </c>
      <c r="AD407" s="847" t="s">
        <v>1690</v>
      </c>
      <c r="AE407" s="847" t="s">
        <v>144</v>
      </c>
      <c r="AF407" s="848" t="s">
        <v>144</v>
      </c>
      <c r="AG407" s="838"/>
      <c r="AH407" s="291" t="s">
        <v>266</v>
      </c>
      <c r="AI407" s="273" t="s">
        <v>267</v>
      </c>
      <c r="AJ407" s="240">
        <v>6</v>
      </c>
      <c r="AK407" s="878" t="s">
        <v>1046</v>
      </c>
      <c r="AL407" s="867"/>
      <c r="AM407" s="273"/>
      <c r="AN407" s="847"/>
      <c r="AO407" s="848"/>
      <c r="AP407" s="873" t="s">
        <v>1160</v>
      </c>
      <c r="AQ407" s="406" t="s">
        <v>1161</v>
      </c>
      <c r="AR407" s="872">
        <v>7</v>
      </c>
      <c r="AS407" s="878" t="s">
        <v>1162</v>
      </c>
      <c r="AT407" s="867" t="s">
        <v>3202</v>
      </c>
      <c r="AU407" s="273" t="s">
        <v>3203</v>
      </c>
      <c r="AV407" s="847">
        <v>6</v>
      </c>
      <c r="AW407" s="286" t="s">
        <v>3204</v>
      </c>
      <c r="AX407" s="867"/>
      <c r="AY407" s="273"/>
      <c r="AZ407" s="847"/>
      <c r="BA407" s="848"/>
      <c r="BB407" s="866"/>
      <c r="BC407" s="273"/>
      <c r="BD407" s="847"/>
      <c r="BE407" s="848"/>
      <c r="BF407" s="838"/>
    </row>
    <row r="408" spans="1:58" s="88" customFormat="1" ht="54" hidden="1" customHeight="1" x14ac:dyDescent="0.25">
      <c r="A408" s="267" t="s">
        <v>1687</v>
      </c>
      <c r="B408" s="268">
        <v>173</v>
      </c>
      <c r="C408" s="240" t="s">
        <v>532</v>
      </c>
      <c r="D408" s="270" t="s">
        <v>533</v>
      </c>
      <c r="E408" s="268" t="s">
        <v>3205</v>
      </c>
      <c r="F408" s="861" t="s">
        <v>3206</v>
      </c>
      <c r="G408" s="269" t="s">
        <v>3207</v>
      </c>
      <c r="H408" s="845" t="s">
        <v>3208</v>
      </c>
      <c r="I408" s="269" t="s">
        <v>3209</v>
      </c>
      <c r="J408" s="296" t="s">
        <v>140</v>
      </c>
      <c r="K408" s="297" t="s">
        <v>140</v>
      </c>
      <c r="L408" s="862" t="s">
        <v>3210</v>
      </c>
      <c r="M408" s="847" t="s">
        <v>193</v>
      </c>
      <c r="N408" s="211" t="s">
        <v>194</v>
      </c>
      <c r="O408" s="240" t="s">
        <v>3211</v>
      </c>
      <c r="P408" s="240" t="s">
        <v>3212</v>
      </c>
      <c r="Q408" s="845" t="s">
        <v>3213</v>
      </c>
      <c r="R408" s="208" t="s">
        <v>3214</v>
      </c>
      <c r="S408" s="864" t="s">
        <v>147</v>
      </c>
      <c r="T408" s="212" t="s">
        <v>144</v>
      </c>
      <c r="U408" s="213" t="s">
        <v>144</v>
      </c>
      <c r="V408" s="847">
        <v>2</v>
      </c>
      <c r="W408" s="415" t="s">
        <v>144</v>
      </c>
      <c r="X408" s="212">
        <v>41</v>
      </c>
      <c r="Y408" s="212" t="s">
        <v>144</v>
      </c>
      <c r="Z408" s="212" t="s">
        <v>144</v>
      </c>
      <c r="AA408" s="240" t="s">
        <v>2588</v>
      </c>
      <c r="AB408" s="206" t="s">
        <v>140</v>
      </c>
      <c r="AC408" s="847" t="s">
        <v>265</v>
      </c>
      <c r="AD408" s="847" t="s">
        <v>1690</v>
      </c>
      <c r="AE408" s="847" t="s">
        <v>144</v>
      </c>
      <c r="AF408" s="848" t="s">
        <v>144</v>
      </c>
      <c r="AG408" s="838"/>
      <c r="AH408" s="866"/>
      <c r="AI408" s="273"/>
      <c r="AJ408" s="847"/>
      <c r="AK408" s="878"/>
      <c r="AL408" s="867" t="s">
        <v>294</v>
      </c>
      <c r="AM408" s="273" t="s">
        <v>295</v>
      </c>
      <c r="AN408" s="847">
        <v>7</v>
      </c>
      <c r="AO408" s="187" t="s">
        <v>966</v>
      </c>
      <c r="AP408" s="867"/>
      <c r="AQ408" s="273"/>
      <c r="AR408" s="847"/>
      <c r="AS408" s="848"/>
      <c r="AT408" s="867"/>
      <c r="AU408" s="273"/>
      <c r="AV408" s="847"/>
      <c r="AW408" s="848"/>
      <c r="AX408" s="867"/>
      <c r="AY408" s="273"/>
      <c r="AZ408" s="847"/>
      <c r="BA408" s="848"/>
      <c r="BB408" s="866"/>
      <c r="BC408" s="273"/>
      <c r="BD408" s="847"/>
      <c r="BE408" s="848"/>
      <c r="BF408" s="838"/>
    </row>
    <row r="409" spans="1:58" s="88" customFormat="1" ht="54" hidden="1" customHeight="1" x14ac:dyDescent="0.25">
      <c r="A409" s="267" t="s">
        <v>1687</v>
      </c>
      <c r="B409" s="268">
        <v>174</v>
      </c>
      <c r="C409" s="240" t="s">
        <v>1022</v>
      </c>
      <c r="D409" s="270" t="s">
        <v>1023</v>
      </c>
      <c r="E409" s="268" t="s">
        <v>3215</v>
      </c>
      <c r="F409" s="861" t="s">
        <v>3216</v>
      </c>
      <c r="G409" s="269" t="s">
        <v>3217</v>
      </c>
      <c r="H409" s="845" t="s">
        <v>3218</v>
      </c>
      <c r="I409" s="269" t="s">
        <v>3219</v>
      </c>
      <c r="J409" s="296" t="s">
        <v>140</v>
      </c>
      <c r="K409" s="297" t="s">
        <v>140</v>
      </c>
      <c r="L409" s="862" t="s">
        <v>3220</v>
      </c>
      <c r="M409" s="872" t="s">
        <v>1821</v>
      </c>
      <c r="N409" s="443" t="s">
        <v>1822</v>
      </c>
      <c r="O409" s="240" t="s">
        <v>144</v>
      </c>
      <c r="P409" s="240" t="s">
        <v>144</v>
      </c>
      <c r="Q409" s="845" t="s">
        <v>3221</v>
      </c>
      <c r="R409" s="208" t="s">
        <v>3222</v>
      </c>
      <c r="S409" s="864" t="s">
        <v>147</v>
      </c>
      <c r="T409" s="212" t="s">
        <v>144</v>
      </c>
      <c r="U409" s="213" t="s">
        <v>144</v>
      </c>
      <c r="V409" s="847">
        <v>5</v>
      </c>
      <c r="W409" s="415" t="s">
        <v>144</v>
      </c>
      <c r="X409" s="212">
        <v>41</v>
      </c>
      <c r="Y409" s="212" t="s">
        <v>144</v>
      </c>
      <c r="Z409" s="241" t="s">
        <v>25</v>
      </c>
      <c r="AA409" s="437" t="s">
        <v>2966</v>
      </c>
      <c r="AB409" s="206" t="s">
        <v>140</v>
      </c>
      <c r="AC409" s="847" t="s">
        <v>265</v>
      </c>
      <c r="AD409" s="847" t="s">
        <v>1690</v>
      </c>
      <c r="AE409" s="847" t="s">
        <v>144</v>
      </c>
      <c r="AF409" s="848" t="s">
        <v>144</v>
      </c>
      <c r="AG409" s="838"/>
      <c r="AH409" s="866"/>
      <c r="AI409" s="273"/>
      <c r="AJ409" s="847"/>
      <c r="AK409" s="878"/>
      <c r="AL409" s="867"/>
      <c r="AM409" s="273"/>
      <c r="AN409" s="847"/>
      <c r="AO409" s="848"/>
      <c r="AP409" s="867"/>
      <c r="AQ409" s="273"/>
      <c r="AR409" s="847"/>
      <c r="AS409" s="848"/>
      <c r="AT409" s="867"/>
      <c r="AU409" s="273"/>
      <c r="AV409" s="847"/>
      <c r="AW409" s="848"/>
      <c r="AX409" s="867"/>
      <c r="AY409" s="273"/>
      <c r="AZ409" s="847"/>
      <c r="BA409" s="848"/>
      <c r="BB409" s="866"/>
      <c r="BC409" s="273"/>
      <c r="BD409" s="847"/>
      <c r="BE409" s="848"/>
      <c r="BF409" s="838"/>
    </row>
    <row r="410" spans="1:58" s="88" customFormat="1" ht="54" hidden="1" customHeight="1" x14ac:dyDescent="0.25">
      <c r="A410" s="267" t="s">
        <v>1687</v>
      </c>
      <c r="B410" s="268">
        <v>175</v>
      </c>
      <c r="C410" s="240" t="s">
        <v>1022</v>
      </c>
      <c r="D410" s="270" t="s">
        <v>1023</v>
      </c>
      <c r="E410" s="298" t="s">
        <v>3223</v>
      </c>
      <c r="F410" s="861" t="s">
        <v>3224</v>
      </c>
      <c r="G410" s="269" t="s">
        <v>3225</v>
      </c>
      <c r="H410" s="845" t="s">
        <v>3224</v>
      </c>
      <c r="I410" s="269" t="s">
        <v>3225</v>
      </c>
      <c r="J410" s="296" t="s">
        <v>140</v>
      </c>
      <c r="K410" s="297" t="s">
        <v>140</v>
      </c>
      <c r="L410" s="862" t="s">
        <v>3226</v>
      </c>
      <c r="M410" s="847" t="s">
        <v>973</v>
      </c>
      <c r="N410" s="211" t="s">
        <v>974</v>
      </c>
      <c r="O410" s="240" t="s">
        <v>144</v>
      </c>
      <c r="P410" s="240" t="s">
        <v>144</v>
      </c>
      <c r="Q410" s="845" t="s">
        <v>144</v>
      </c>
      <c r="R410" s="208" t="s">
        <v>144</v>
      </c>
      <c r="S410" s="181" t="s">
        <v>233</v>
      </c>
      <c r="T410" s="212" t="s">
        <v>234</v>
      </c>
      <c r="U410" s="213" t="s">
        <v>235</v>
      </c>
      <c r="V410" s="847">
        <v>8</v>
      </c>
      <c r="W410" s="415" t="s">
        <v>144</v>
      </c>
      <c r="X410" s="212">
        <v>42</v>
      </c>
      <c r="Y410" s="212" t="s">
        <v>144</v>
      </c>
      <c r="Z410" s="241" t="s">
        <v>25</v>
      </c>
      <c r="AA410" s="240" t="s">
        <v>398</v>
      </c>
      <c r="AB410" s="206" t="s">
        <v>140</v>
      </c>
      <c r="AC410" s="847" t="s">
        <v>265</v>
      </c>
      <c r="AD410" s="847" t="s">
        <v>2286</v>
      </c>
      <c r="AE410" s="847" t="s">
        <v>144</v>
      </c>
      <c r="AF410" s="848" t="s">
        <v>144</v>
      </c>
      <c r="AG410" s="838"/>
      <c r="AH410" s="866" t="s">
        <v>3227</v>
      </c>
      <c r="AI410" s="273" t="s">
        <v>3228</v>
      </c>
      <c r="AJ410" s="847">
        <v>6</v>
      </c>
      <c r="AK410" s="878" t="s">
        <v>3229</v>
      </c>
      <c r="AL410" s="867"/>
      <c r="AM410" s="273"/>
      <c r="AN410" s="847"/>
      <c r="AO410" s="848"/>
      <c r="AP410" s="873" t="s">
        <v>1160</v>
      </c>
      <c r="AQ410" s="406" t="s">
        <v>1161</v>
      </c>
      <c r="AR410" s="872">
        <v>7</v>
      </c>
      <c r="AS410" s="878" t="s">
        <v>1162</v>
      </c>
      <c r="AT410" s="867" t="s">
        <v>3230</v>
      </c>
      <c r="AU410" s="273" t="s">
        <v>3231</v>
      </c>
      <c r="AV410" s="847">
        <v>6</v>
      </c>
      <c r="AW410" s="848" t="s">
        <v>3232</v>
      </c>
      <c r="AX410" s="867"/>
      <c r="AY410" s="273"/>
      <c r="AZ410" s="847"/>
      <c r="BA410" s="848"/>
      <c r="BB410" s="866"/>
      <c r="BC410" s="273"/>
      <c r="BD410" s="847"/>
      <c r="BE410" s="848"/>
      <c r="BF410" s="838"/>
    </row>
    <row r="411" spans="1:58" s="57" customFormat="1" ht="54" customHeight="1" x14ac:dyDescent="0.25">
      <c r="A411" s="275" t="s">
        <v>1687</v>
      </c>
      <c r="B411" s="276">
        <v>176</v>
      </c>
      <c r="C411" s="253" t="s">
        <v>144</v>
      </c>
      <c r="D411" s="253" t="s">
        <v>144</v>
      </c>
      <c r="E411" s="276" t="s">
        <v>3233</v>
      </c>
      <c r="F411" s="277" t="s">
        <v>251</v>
      </c>
      <c r="G411" s="277" t="s">
        <v>251</v>
      </c>
      <c r="H411" s="220" t="s">
        <v>336</v>
      </c>
      <c r="I411" s="277" t="s">
        <v>337</v>
      </c>
      <c r="J411" s="302" t="s">
        <v>144</v>
      </c>
      <c r="K411" s="302" t="s">
        <v>144</v>
      </c>
      <c r="L411" s="718" t="s">
        <v>1423</v>
      </c>
      <c r="M411" s="253" t="s">
        <v>144</v>
      </c>
      <c r="N411" s="253" t="s">
        <v>144</v>
      </c>
      <c r="O411" s="253" t="s">
        <v>144</v>
      </c>
      <c r="P411" s="253" t="s">
        <v>144</v>
      </c>
      <c r="Q411" s="220" t="s">
        <v>338</v>
      </c>
      <c r="R411" s="220" t="s">
        <v>339</v>
      </c>
      <c r="S411" s="276" t="s">
        <v>147</v>
      </c>
      <c r="T411" s="221" t="s">
        <v>144</v>
      </c>
      <c r="U411" s="221" t="s">
        <v>144</v>
      </c>
      <c r="V411" s="253">
        <v>1</v>
      </c>
      <c r="W411" s="217" t="s">
        <v>144</v>
      </c>
      <c r="X411" s="221" t="s">
        <v>144</v>
      </c>
      <c r="Y411" s="221" t="s">
        <v>144</v>
      </c>
      <c r="Z411" s="221" t="s">
        <v>144</v>
      </c>
      <c r="AA411" s="253" t="s">
        <v>144</v>
      </c>
      <c r="AB411" s="217" t="s">
        <v>144</v>
      </c>
      <c r="AC411" s="253" t="s">
        <v>265</v>
      </c>
      <c r="AD411" s="253" t="s">
        <v>144</v>
      </c>
      <c r="AE411" s="253" t="s">
        <v>144</v>
      </c>
      <c r="AF411" s="254" t="s">
        <v>144</v>
      </c>
      <c r="AG411" s="838"/>
      <c r="AH411" s="280"/>
      <c r="AI411" s="281"/>
      <c r="AJ411" s="253"/>
      <c r="AK411" s="878"/>
      <c r="AL411" s="281"/>
      <c r="AM411" s="281"/>
      <c r="AN411" s="253"/>
      <c r="AO411" s="254"/>
      <c r="AP411" s="281"/>
      <c r="AQ411" s="281"/>
      <c r="AR411" s="253"/>
      <c r="AS411" s="254"/>
      <c r="AT411" s="281"/>
      <c r="AU411" s="281"/>
      <c r="AV411" s="253"/>
      <c r="AW411" s="254"/>
      <c r="AX411" s="281"/>
      <c r="AY411" s="281"/>
      <c r="AZ411" s="253"/>
      <c r="BA411" s="254"/>
      <c r="BB411" s="280"/>
      <c r="BC411" s="281"/>
      <c r="BD411" s="253"/>
      <c r="BE411" s="254"/>
      <c r="BF411" s="838"/>
    </row>
    <row r="412" spans="1:58" s="88" customFormat="1" ht="54" hidden="1" customHeight="1" x14ac:dyDescent="0.25">
      <c r="A412" s="267" t="s">
        <v>1687</v>
      </c>
      <c r="B412" s="268">
        <v>177</v>
      </c>
      <c r="C412" s="240" t="s">
        <v>2378</v>
      </c>
      <c r="D412" s="270" t="s">
        <v>2379</v>
      </c>
      <c r="E412" s="268" t="s">
        <v>3234</v>
      </c>
      <c r="F412" s="861" t="s">
        <v>3235</v>
      </c>
      <c r="G412" s="269" t="s">
        <v>3236</v>
      </c>
      <c r="H412" s="845" t="s">
        <v>3237</v>
      </c>
      <c r="I412" s="208" t="s">
        <v>3238</v>
      </c>
      <c r="J412" s="240" t="s">
        <v>140</v>
      </c>
      <c r="K412" s="270" t="s">
        <v>140</v>
      </c>
      <c r="L412" s="862" t="s">
        <v>3239</v>
      </c>
      <c r="M412" s="847" t="s">
        <v>973</v>
      </c>
      <c r="N412" s="211" t="s">
        <v>974</v>
      </c>
      <c r="O412" s="240" t="s">
        <v>144</v>
      </c>
      <c r="P412" s="240" t="s">
        <v>144</v>
      </c>
      <c r="Q412" s="845" t="s">
        <v>3240</v>
      </c>
      <c r="R412" s="208" t="s">
        <v>3241</v>
      </c>
      <c r="S412" s="864" t="s">
        <v>147</v>
      </c>
      <c r="T412" s="212" t="s">
        <v>144</v>
      </c>
      <c r="U412" s="213" t="s">
        <v>144</v>
      </c>
      <c r="V412" s="307">
        <v>20</v>
      </c>
      <c r="W412" s="415" t="s">
        <v>144</v>
      </c>
      <c r="X412" s="212">
        <v>40</v>
      </c>
      <c r="Y412" s="212" t="s">
        <v>144</v>
      </c>
      <c r="Z412" s="241" t="s">
        <v>144</v>
      </c>
      <c r="AA412" s="616" t="s">
        <v>148</v>
      </c>
      <c r="AB412" s="206" t="s">
        <v>140</v>
      </c>
      <c r="AC412" s="847" t="s">
        <v>265</v>
      </c>
      <c r="AD412" s="847" t="s">
        <v>3242</v>
      </c>
      <c r="AE412" s="847" t="s">
        <v>144</v>
      </c>
      <c r="AF412" s="848" t="s">
        <v>144</v>
      </c>
      <c r="AG412" s="838"/>
      <c r="AH412" s="866" t="s">
        <v>3243</v>
      </c>
      <c r="AI412" s="273" t="s">
        <v>3244</v>
      </c>
      <c r="AJ412" s="847">
        <v>6</v>
      </c>
      <c r="AK412" s="878" t="s">
        <v>3245</v>
      </c>
      <c r="AL412" s="867"/>
      <c r="AM412" s="273"/>
      <c r="AN412" s="847"/>
      <c r="AO412" s="848"/>
      <c r="AP412" s="867"/>
      <c r="AQ412" s="273"/>
      <c r="AR412" s="847"/>
      <c r="AS412" s="848"/>
      <c r="AT412" s="867"/>
      <c r="AU412" s="273"/>
      <c r="AV412" s="847"/>
      <c r="AW412" s="848"/>
      <c r="AX412" s="867" t="s">
        <v>1047</v>
      </c>
      <c r="AY412" s="273" t="s">
        <v>1048</v>
      </c>
      <c r="AZ412" s="847">
        <v>7</v>
      </c>
      <c r="BA412" s="848" t="s">
        <v>1049</v>
      </c>
      <c r="BB412" s="866"/>
      <c r="BC412" s="273"/>
      <c r="BD412" s="847"/>
      <c r="BE412" s="848"/>
      <c r="BF412" s="838"/>
    </row>
    <row r="413" spans="1:58" s="88" customFormat="1" ht="54" hidden="1" customHeight="1" x14ac:dyDescent="0.25">
      <c r="A413" s="267" t="s">
        <v>1687</v>
      </c>
      <c r="B413" s="268">
        <v>178</v>
      </c>
      <c r="C413" s="240" t="s">
        <v>2378</v>
      </c>
      <c r="D413" s="270" t="s">
        <v>2379</v>
      </c>
      <c r="E413" s="268" t="s">
        <v>3246</v>
      </c>
      <c r="F413" s="861" t="s">
        <v>3247</v>
      </c>
      <c r="G413" s="269" t="s">
        <v>3248</v>
      </c>
      <c r="H413" s="845" t="s">
        <v>3249</v>
      </c>
      <c r="I413" s="269" t="s">
        <v>3250</v>
      </c>
      <c r="J413" s="296" t="s">
        <v>140</v>
      </c>
      <c r="K413" s="297" t="s">
        <v>140</v>
      </c>
      <c r="L413" s="862" t="s">
        <v>3251</v>
      </c>
      <c r="M413" s="847" t="s">
        <v>193</v>
      </c>
      <c r="N413" s="211" t="s">
        <v>194</v>
      </c>
      <c r="O413" s="240" t="s">
        <v>144</v>
      </c>
      <c r="P413" s="240" t="s">
        <v>144</v>
      </c>
      <c r="Q413" s="845" t="s">
        <v>3252</v>
      </c>
      <c r="R413" s="208" t="s">
        <v>3253</v>
      </c>
      <c r="S413" s="864" t="s">
        <v>147</v>
      </c>
      <c r="T413" s="212" t="s">
        <v>144</v>
      </c>
      <c r="U413" s="213" t="s">
        <v>144</v>
      </c>
      <c r="V413" s="307">
        <v>10</v>
      </c>
      <c r="W413" s="415" t="s">
        <v>144</v>
      </c>
      <c r="X413" s="212">
        <v>40</v>
      </c>
      <c r="Y413" s="212" t="s">
        <v>144</v>
      </c>
      <c r="Z413" s="433" t="s">
        <v>25</v>
      </c>
      <c r="AA413" s="437" t="s">
        <v>3254</v>
      </c>
      <c r="AB413" s="206" t="s">
        <v>140</v>
      </c>
      <c r="AC413" s="847" t="s">
        <v>265</v>
      </c>
      <c r="AD413" s="847" t="s">
        <v>3242</v>
      </c>
      <c r="AE413" s="847" t="s">
        <v>144</v>
      </c>
      <c r="AF413" s="848" t="s">
        <v>144</v>
      </c>
      <c r="AG413" s="838"/>
      <c r="AH413" s="866"/>
      <c r="AI413" s="273"/>
      <c r="AJ413" s="847"/>
      <c r="AK413" s="878"/>
      <c r="AL413" s="867"/>
      <c r="AM413" s="273"/>
      <c r="AN413" s="847"/>
      <c r="AO413" s="848"/>
      <c r="AP413" s="867"/>
      <c r="AQ413" s="273"/>
      <c r="AR413" s="847"/>
      <c r="AS413" s="848"/>
      <c r="AT413" s="867"/>
      <c r="AU413" s="273"/>
      <c r="AV413" s="847"/>
      <c r="AW413" s="848"/>
      <c r="AX413" s="873" t="s">
        <v>3255</v>
      </c>
      <c r="AY413" s="406" t="s">
        <v>3256</v>
      </c>
      <c r="AZ413" s="872" t="s">
        <v>1061</v>
      </c>
      <c r="BA413" s="878" t="s">
        <v>1732</v>
      </c>
      <c r="BB413" s="866"/>
      <c r="BC413" s="273"/>
      <c r="BD413" s="847"/>
      <c r="BE413" s="848"/>
      <c r="BF413" s="838"/>
    </row>
    <row r="414" spans="1:58" s="57" customFormat="1" ht="54" hidden="1" customHeight="1" x14ac:dyDescent="0.25">
      <c r="A414" s="275" t="s">
        <v>1687</v>
      </c>
      <c r="B414" s="276">
        <v>179</v>
      </c>
      <c r="C414" s="253" t="s">
        <v>2378</v>
      </c>
      <c r="D414" s="253" t="s">
        <v>2379</v>
      </c>
      <c r="E414" s="276" t="s">
        <v>3257</v>
      </c>
      <c r="F414" s="277" t="s">
        <v>3258</v>
      </c>
      <c r="G414" s="277" t="s">
        <v>3259</v>
      </c>
      <c r="H414" s="279" t="s">
        <v>336</v>
      </c>
      <c r="I414" s="279" t="s">
        <v>337</v>
      </c>
      <c r="J414" s="278" t="s">
        <v>144</v>
      </c>
      <c r="K414" s="278" t="s">
        <v>144</v>
      </c>
      <c r="L414" s="718" t="s">
        <v>3260</v>
      </c>
      <c r="M414" s="253" t="s">
        <v>144</v>
      </c>
      <c r="N414" s="217" t="s">
        <v>144</v>
      </c>
      <c r="O414" s="253" t="s">
        <v>144</v>
      </c>
      <c r="P414" s="253" t="s">
        <v>144</v>
      </c>
      <c r="Q414" s="311" t="s">
        <v>338</v>
      </c>
      <c r="R414" s="218" t="s">
        <v>339</v>
      </c>
      <c r="S414" s="282" t="s">
        <v>147</v>
      </c>
      <c r="T414" s="229" t="s">
        <v>144</v>
      </c>
      <c r="U414" s="229" t="s">
        <v>144</v>
      </c>
      <c r="V414" s="278">
        <v>1</v>
      </c>
      <c r="W414" s="217" t="s">
        <v>144</v>
      </c>
      <c r="X414" s="221" t="s">
        <v>144</v>
      </c>
      <c r="Y414" s="221" t="s">
        <v>144</v>
      </c>
      <c r="Z414" s="221" t="s">
        <v>144</v>
      </c>
      <c r="AA414" s="253" t="s">
        <v>144</v>
      </c>
      <c r="AB414" s="217" t="s">
        <v>144</v>
      </c>
      <c r="AC414" s="253" t="s">
        <v>265</v>
      </c>
      <c r="AD414" s="253" t="s">
        <v>144</v>
      </c>
      <c r="AE414" s="253" t="s">
        <v>144</v>
      </c>
      <c r="AF414" s="254" t="s">
        <v>144</v>
      </c>
      <c r="AG414" s="838"/>
      <c r="AH414" s="280"/>
      <c r="AI414" s="281"/>
      <c r="AJ414" s="253"/>
      <c r="AK414" s="878"/>
      <c r="AL414" s="281"/>
      <c r="AM414" s="281"/>
      <c r="AN414" s="253"/>
      <c r="AO414" s="254"/>
      <c r="AP414" s="281"/>
      <c r="AQ414" s="281"/>
      <c r="AR414" s="253"/>
      <c r="AS414" s="254"/>
      <c r="AT414" s="281"/>
      <c r="AU414" s="281"/>
      <c r="AV414" s="253"/>
      <c r="AW414" s="254"/>
      <c r="AX414" s="281"/>
      <c r="AY414" s="281"/>
      <c r="AZ414" s="253"/>
      <c r="BA414" s="254"/>
      <c r="BB414" s="280"/>
      <c r="BC414" s="281"/>
      <c r="BD414" s="253"/>
      <c r="BE414" s="254"/>
      <c r="BF414" s="838"/>
    </row>
    <row r="415" spans="1:58" s="57" customFormat="1" ht="54" hidden="1" customHeight="1" x14ac:dyDescent="0.25">
      <c r="A415" s="275" t="s">
        <v>1687</v>
      </c>
      <c r="B415" s="276">
        <v>180</v>
      </c>
      <c r="C415" s="253" t="s">
        <v>2378</v>
      </c>
      <c r="D415" s="253" t="s">
        <v>2379</v>
      </c>
      <c r="E415" s="276" t="s">
        <v>3261</v>
      </c>
      <c r="F415" s="277" t="s">
        <v>3262</v>
      </c>
      <c r="G415" s="277" t="s">
        <v>3263</v>
      </c>
      <c r="H415" s="279" t="s">
        <v>336</v>
      </c>
      <c r="I415" s="279" t="s">
        <v>337</v>
      </c>
      <c r="J415" s="278" t="s">
        <v>144</v>
      </c>
      <c r="K415" s="278" t="s">
        <v>144</v>
      </c>
      <c r="L415" s="718" t="s">
        <v>3264</v>
      </c>
      <c r="M415" s="253" t="s">
        <v>144</v>
      </c>
      <c r="N415" s="217" t="s">
        <v>144</v>
      </c>
      <c r="O415" s="253" t="s">
        <v>144</v>
      </c>
      <c r="P415" s="253" t="s">
        <v>144</v>
      </c>
      <c r="Q415" s="311" t="s">
        <v>338</v>
      </c>
      <c r="R415" s="218" t="s">
        <v>339</v>
      </c>
      <c r="S415" s="282" t="s">
        <v>147</v>
      </c>
      <c r="T415" s="229" t="s">
        <v>144</v>
      </c>
      <c r="U415" s="229" t="s">
        <v>144</v>
      </c>
      <c r="V415" s="278">
        <v>19</v>
      </c>
      <c r="W415" s="217" t="s">
        <v>144</v>
      </c>
      <c r="X415" s="221" t="s">
        <v>144</v>
      </c>
      <c r="Y415" s="221" t="s">
        <v>144</v>
      </c>
      <c r="Z415" s="221" t="s">
        <v>144</v>
      </c>
      <c r="AA415" s="253" t="s">
        <v>144</v>
      </c>
      <c r="AB415" s="217" t="s">
        <v>144</v>
      </c>
      <c r="AC415" s="253" t="s">
        <v>265</v>
      </c>
      <c r="AD415" s="253" t="s">
        <v>144</v>
      </c>
      <c r="AE415" s="253" t="s">
        <v>144</v>
      </c>
      <c r="AF415" s="254" t="s">
        <v>144</v>
      </c>
      <c r="AG415" s="838"/>
      <c r="AH415" s="280"/>
      <c r="AI415" s="281"/>
      <c r="AJ415" s="253"/>
      <c r="AK415" s="878"/>
      <c r="AL415" s="281"/>
      <c r="AM415" s="281"/>
      <c r="AN415" s="253"/>
      <c r="AO415" s="254"/>
      <c r="AP415" s="281"/>
      <c r="AQ415" s="281"/>
      <c r="AR415" s="253"/>
      <c r="AS415" s="254"/>
      <c r="AT415" s="281"/>
      <c r="AU415" s="281"/>
      <c r="AV415" s="253"/>
      <c r="AW415" s="254"/>
      <c r="AX415" s="281"/>
      <c r="AY415" s="281"/>
      <c r="AZ415" s="253"/>
      <c r="BA415" s="254"/>
      <c r="BB415" s="280"/>
      <c r="BC415" s="281"/>
      <c r="BD415" s="253"/>
      <c r="BE415" s="254"/>
      <c r="BF415" s="838"/>
    </row>
    <row r="416" spans="1:58" s="57" customFormat="1" ht="54" hidden="1" customHeight="1" x14ac:dyDescent="0.25">
      <c r="A416" s="275" t="s">
        <v>1687</v>
      </c>
      <c r="B416" s="276">
        <v>181</v>
      </c>
      <c r="C416" s="253" t="s">
        <v>2378</v>
      </c>
      <c r="D416" s="253" t="s">
        <v>2379</v>
      </c>
      <c r="E416" s="276" t="s">
        <v>3265</v>
      </c>
      <c r="F416" s="277" t="s">
        <v>3266</v>
      </c>
      <c r="G416" s="277" t="s">
        <v>3267</v>
      </c>
      <c r="H416" s="279" t="s">
        <v>336</v>
      </c>
      <c r="I416" s="279" t="s">
        <v>337</v>
      </c>
      <c r="J416" s="278" t="s">
        <v>144</v>
      </c>
      <c r="K416" s="278" t="s">
        <v>144</v>
      </c>
      <c r="L416" s="718" t="s">
        <v>3268</v>
      </c>
      <c r="M416" s="253" t="s">
        <v>144</v>
      </c>
      <c r="N416" s="217" t="s">
        <v>144</v>
      </c>
      <c r="O416" s="253" t="s">
        <v>814</v>
      </c>
      <c r="P416" s="253" t="s">
        <v>815</v>
      </c>
      <c r="Q416" s="311" t="s">
        <v>338</v>
      </c>
      <c r="R416" s="218" t="s">
        <v>339</v>
      </c>
      <c r="S416" s="282" t="s">
        <v>147</v>
      </c>
      <c r="T416" s="229" t="s">
        <v>144</v>
      </c>
      <c r="U416" s="229" t="s">
        <v>144</v>
      </c>
      <c r="V416" s="278">
        <v>3</v>
      </c>
      <c r="W416" s="217" t="s">
        <v>144</v>
      </c>
      <c r="X416" s="221" t="s">
        <v>144</v>
      </c>
      <c r="Y416" s="221" t="s">
        <v>144</v>
      </c>
      <c r="Z416" s="221" t="s">
        <v>144</v>
      </c>
      <c r="AA416" s="253" t="s">
        <v>144</v>
      </c>
      <c r="AB416" s="217" t="s">
        <v>144</v>
      </c>
      <c r="AC416" s="253" t="s">
        <v>265</v>
      </c>
      <c r="AD416" s="253" t="s">
        <v>144</v>
      </c>
      <c r="AE416" s="253" t="s">
        <v>144</v>
      </c>
      <c r="AF416" s="254" t="s">
        <v>144</v>
      </c>
      <c r="AG416" s="838"/>
      <c r="AH416" s="280"/>
      <c r="AI416" s="281"/>
      <c r="AJ416" s="253"/>
      <c r="AK416" s="878"/>
      <c r="AL416" s="281"/>
      <c r="AM416" s="281"/>
      <c r="AN416" s="253"/>
      <c r="AO416" s="254"/>
      <c r="AP416" s="281"/>
      <c r="AQ416" s="281"/>
      <c r="AR416" s="253"/>
      <c r="AS416" s="254"/>
      <c r="AT416" s="330"/>
      <c r="AU416" s="218"/>
      <c r="AV416" s="253"/>
      <c r="AW416" s="254"/>
      <c r="AX416" s="281"/>
      <c r="AY416" s="281"/>
      <c r="AZ416" s="253"/>
      <c r="BA416" s="254"/>
      <c r="BB416" s="280"/>
      <c r="BC416" s="281"/>
      <c r="BD416" s="253"/>
      <c r="BE416" s="254"/>
      <c r="BF416" s="838"/>
    </row>
    <row r="417" spans="1:58" s="57" customFormat="1" ht="54" customHeight="1" x14ac:dyDescent="0.25">
      <c r="A417" s="275" t="s">
        <v>1687</v>
      </c>
      <c r="B417" s="276">
        <v>182</v>
      </c>
      <c r="C417" s="253" t="s">
        <v>144</v>
      </c>
      <c r="D417" s="253" t="s">
        <v>144</v>
      </c>
      <c r="E417" s="276" t="s">
        <v>3269</v>
      </c>
      <c r="F417" s="277" t="s">
        <v>251</v>
      </c>
      <c r="G417" s="277" t="s">
        <v>251</v>
      </c>
      <c r="H417" s="220" t="s">
        <v>336</v>
      </c>
      <c r="I417" s="277" t="s">
        <v>337</v>
      </c>
      <c r="J417" s="302" t="s">
        <v>144</v>
      </c>
      <c r="K417" s="302" t="s">
        <v>144</v>
      </c>
      <c r="L417" s="718" t="s">
        <v>3270</v>
      </c>
      <c r="M417" s="253" t="s">
        <v>144</v>
      </c>
      <c r="N417" s="253" t="s">
        <v>144</v>
      </c>
      <c r="O417" s="253" t="s">
        <v>144</v>
      </c>
      <c r="P417" s="253" t="s">
        <v>144</v>
      </c>
      <c r="Q417" s="220" t="s">
        <v>338</v>
      </c>
      <c r="R417" s="220" t="s">
        <v>339</v>
      </c>
      <c r="S417" s="276" t="s">
        <v>147</v>
      </c>
      <c r="T417" s="221" t="s">
        <v>144</v>
      </c>
      <c r="U417" s="221" t="s">
        <v>144</v>
      </c>
      <c r="V417" s="253">
        <v>7</v>
      </c>
      <c r="W417" s="217" t="s">
        <v>144</v>
      </c>
      <c r="X417" s="221" t="s">
        <v>144</v>
      </c>
      <c r="Y417" s="221" t="s">
        <v>144</v>
      </c>
      <c r="Z417" s="221" t="s">
        <v>144</v>
      </c>
      <c r="AA417" s="253" t="s">
        <v>144</v>
      </c>
      <c r="AB417" s="217" t="s">
        <v>144</v>
      </c>
      <c r="AC417" s="253" t="s">
        <v>265</v>
      </c>
      <c r="AD417" s="253" t="s">
        <v>144</v>
      </c>
      <c r="AE417" s="253" t="s">
        <v>144</v>
      </c>
      <c r="AF417" s="254" t="s">
        <v>144</v>
      </c>
      <c r="AG417" s="838"/>
      <c r="AH417" s="280"/>
      <c r="AI417" s="281"/>
      <c r="AJ417" s="253"/>
      <c r="AK417" s="878"/>
      <c r="AL417" s="281"/>
      <c r="AM417" s="281"/>
      <c r="AN417" s="253"/>
      <c r="AO417" s="254"/>
      <c r="AP417" s="281"/>
      <c r="AQ417" s="281"/>
      <c r="AR417" s="253"/>
      <c r="AS417" s="254"/>
      <c r="AT417" s="330"/>
      <c r="AU417" s="218"/>
      <c r="AV417" s="253"/>
      <c r="AW417" s="254"/>
      <c r="AX417" s="281"/>
      <c r="AY417" s="281"/>
      <c r="AZ417" s="253"/>
      <c r="BA417" s="254"/>
      <c r="BB417" s="280"/>
      <c r="BC417" s="281"/>
      <c r="BD417" s="253"/>
      <c r="BE417" s="254"/>
      <c r="BF417" s="838"/>
    </row>
    <row r="418" spans="1:58" s="88" customFormat="1" ht="54" hidden="1" customHeight="1" x14ac:dyDescent="0.25">
      <c r="A418" s="267" t="s">
        <v>1687</v>
      </c>
      <c r="B418" s="268">
        <v>183</v>
      </c>
      <c r="C418" s="240" t="s">
        <v>3271</v>
      </c>
      <c r="D418" s="270" t="s">
        <v>3272</v>
      </c>
      <c r="E418" s="268" t="s">
        <v>3273</v>
      </c>
      <c r="F418" s="861" t="s">
        <v>1651</v>
      </c>
      <c r="G418" s="269" t="s">
        <v>1652</v>
      </c>
      <c r="H418" s="861" t="s">
        <v>1651</v>
      </c>
      <c r="I418" s="269" t="s">
        <v>1652</v>
      </c>
      <c r="J418" s="296" t="s">
        <v>140</v>
      </c>
      <c r="K418" s="297" t="s">
        <v>140</v>
      </c>
      <c r="L418" s="862" t="s">
        <v>1654</v>
      </c>
      <c r="M418" s="847" t="s">
        <v>973</v>
      </c>
      <c r="N418" s="211" t="s">
        <v>974</v>
      </c>
      <c r="O418" s="240" t="s">
        <v>144</v>
      </c>
      <c r="P418" s="240" t="s">
        <v>144</v>
      </c>
      <c r="Q418" s="845" t="s">
        <v>3274</v>
      </c>
      <c r="R418" s="208" t="s">
        <v>3275</v>
      </c>
      <c r="S418" s="864" t="s">
        <v>746</v>
      </c>
      <c r="T418" s="212" t="s">
        <v>1104</v>
      </c>
      <c r="U418" s="213" t="s">
        <v>1105</v>
      </c>
      <c r="V418" s="307">
        <v>19</v>
      </c>
      <c r="W418" s="415" t="s">
        <v>144</v>
      </c>
      <c r="X418" s="212">
        <v>40</v>
      </c>
      <c r="Y418" s="212" t="s">
        <v>144</v>
      </c>
      <c r="Z418" s="212" t="s">
        <v>144</v>
      </c>
      <c r="AA418" s="240" t="s">
        <v>398</v>
      </c>
      <c r="AB418" s="206" t="s">
        <v>140</v>
      </c>
      <c r="AC418" s="847" t="s">
        <v>265</v>
      </c>
      <c r="AD418" s="847" t="s">
        <v>2060</v>
      </c>
      <c r="AE418" s="847" t="s">
        <v>144</v>
      </c>
      <c r="AF418" s="848" t="s">
        <v>144</v>
      </c>
      <c r="AG418" s="838"/>
      <c r="AH418" s="866" t="s">
        <v>2264</v>
      </c>
      <c r="AI418" s="273" t="s">
        <v>2265</v>
      </c>
      <c r="AJ418" s="847">
        <v>5</v>
      </c>
      <c r="AK418" s="878" t="s">
        <v>2266</v>
      </c>
      <c r="AL418" s="867"/>
      <c r="AM418" s="273"/>
      <c r="AN418" s="847"/>
      <c r="AO418" s="848"/>
      <c r="AP418" s="867" t="s">
        <v>1107</v>
      </c>
      <c r="AQ418" s="273" t="s">
        <v>1108</v>
      </c>
      <c r="AR418" s="847">
        <v>7</v>
      </c>
      <c r="AS418" s="286" t="s">
        <v>1109</v>
      </c>
      <c r="AT418" s="867"/>
      <c r="AU418" s="273"/>
      <c r="AV418" s="847"/>
      <c r="AW418" s="848"/>
      <c r="AX418" s="867"/>
      <c r="AY418" s="273"/>
      <c r="AZ418" s="847"/>
      <c r="BA418" s="848"/>
      <c r="BB418" s="866"/>
      <c r="BC418" s="273"/>
      <c r="BD418" s="847"/>
      <c r="BE418" s="848"/>
      <c r="BF418" s="838"/>
    </row>
    <row r="419" spans="1:58" s="88" customFormat="1" ht="54" hidden="1" customHeight="1" x14ac:dyDescent="0.25">
      <c r="A419" s="267" t="s">
        <v>1687</v>
      </c>
      <c r="B419" s="268">
        <v>184</v>
      </c>
      <c r="C419" s="240" t="s">
        <v>3271</v>
      </c>
      <c r="D419" s="270" t="s">
        <v>3272</v>
      </c>
      <c r="E419" s="268" t="s">
        <v>3276</v>
      </c>
      <c r="F419" s="861" t="s">
        <v>1661</v>
      </c>
      <c r="G419" s="269" t="s">
        <v>1662</v>
      </c>
      <c r="H419" s="845" t="s">
        <v>3277</v>
      </c>
      <c r="I419" s="269" t="s">
        <v>1663</v>
      </c>
      <c r="J419" s="296" t="s">
        <v>140</v>
      </c>
      <c r="K419" s="297" t="s">
        <v>140</v>
      </c>
      <c r="L419" s="862" t="s">
        <v>1664</v>
      </c>
      <c r="M419" s="847" t="s">
        <v>973</v>
      </c>
      <c r="N419" s="211" t="s">
        <v>974</v>
      </c>
      <c r="O419" s="240" t="s">
        <v>814</v>
      </c>
      <c r="P419" s="240" t="s">
        <v>815</v>
      </c>
      <c r="Q419" s="845" t="s">
        <v>144</v>
      </c>
      <c r="R419" s="208" t="s">
        <v>144</v>
      </c>
      <c r="S419" s="864" t="s">
        <v>147</v>
      </c>
      <c r="T419" s="212" t="s">
        <v>144</v>
      </c>
      <c r="U419" s="213" t="s">
        <v>144</v>
      </c>
      <c r="V419" s="307">
        <v>3</v>
      </c>
      <c r="W419" s="415" t="s">
        <v>144</v>
      </c>
      <c r="X419" s="212">
        <v>40</v>
      </c>
      <c r="Y419" s="212" t="s">
        <v>144</v>
      </c>
      <c r="Z419" s="241" t="s">
        <v>144</v>
      </c>
      <c r="AA419" s="437" t="s">
        <v>2966</v>
      </c>
      <c r="AB419" s="206" t="s">
        <v>140</v>
      </c>
      <c r="AC419" s="847" t="s">
        <v>265</v>
      </c>
      <c r="AD419" s="847" t="s">
        <v>2060</v>
      </c>
      <c r="AE419" s="847" t="s">
        <v>144</v>
      </c>
      <c r="AF419" s="848" t="s">
        <v>144</v>
      </c>
      <c r="AG419" s="838"/>
      <c r="AH419" s="866" t="s">
        <v>3278</v>
      </c>
      <c r="AI419" s="273" t="s">
        <v>3279</v>
      </c>
      <c r="AJ419" s="847">
        <v>7</v>
      </c>
      <c r="AK419" s="878" t="s">
        <v>1280</v>
      </c>
      <c r="AL419" s="867" t="s">
        <v>294</v>
      </c>
      <c r="AM419" s="273" t="s">
        <v>295</v>
      </c>
      <c r="AN419" s="847">
        <v>7</v>
      </c>
      <c r="AO419" s="187" t="s">
        <v>966</v>
      </c>
      <c r="AP419" s="867"/>
      <c r="AQ419" s="273"/>
      <c r="AR419" s="847"/>
      <c r="AS419" s="848"/>
      <c r="AT419" s="281"/>
      <c r="AU419" s="273"/>
      <c r="AV419" s="847"/>
      <c r="AW419" s="848"/>
      <c r="AX419" s="867"/>
      <c r="AY419" s="273"/>
      <c r="AZ419" s="847"/>
      <c r="BA419" s="848"/>
      <c r="BB419" s="866"/>
      <c r="BC419" s="273"/>
      <c r="BD419" s="847"/>
      <c r="BE419" s="848"/>
      <c r="BF419" s="838"/>
    </row>
    <row r="420" spans="1:58" s="88" customFormat="1" ht="54" hidden="1" customHeight="1" x14ac:dyDescent="0.25">
      <c r="A420" s="267" t="s">
        <v>1687</v>
      </c>
      <c r="B420" s="268">
        <v>185</v>
      </c>
      <c r="C420" s="240" t="s">
        <v>3271</v>
      </c>
      <c r="D420" s="270" t="s">
        <v>3272</v>
      </c>
      <c r="E420" s="268" t="s">
        <v>3280</v>
      </c>
      <c r="F420" s="861" t="s">
        <v>3281</v>
      </c>
      <c r="G420" s="269" t="s">
        <v>3282</v>
      </c>
      <c r="H420" s="845" t="s">
        <v>3281</v>
      </c>
      <c r="I420" s="269" t="s">
        <v>3283</v>
      </c>
      <c r="J420" s="296" t="s">
        <v>140</v>
      </c>
      <c r="K420" s="297" t="s">
        <v>140</v>
      </c>
      <c r="L420" s="862" t="s">
        <v>3284</v>
      </c>
      <c r="M420" s="847" t="s">
        <v>973</v>
      </c>
      <c r="N420" s="211" t="s">
        <v>974</v>
      </c>
      <c r="O420" s="240" t="s">
        <v>144</v>
      </c>
      <c r="P420" s="240" t="s">
        <v>144</v>
      </c>
      <c r="Q420" s="845" t="s">
        <v>3285</v>
      </c>
      <c r="R420" s="208" t="s">
        <v>3286</v>
      </c>
      <c r="S420" s="864" t="s">
        <v>746</v>
      </c>
      <c r="T420" s="212" t="s">
        <v>1104</v>
      </c>
      <c r="U420" s="213" t="s">
        <v>1105</v>
      </c>
      <c r="V420" s="307">
        <v>19</v>
      </c>
      <c r="W420" s="415" t="s">
        <v>144</v>
      </c>
      <c r="X420" s="212">
        <v>40</v>
      </c>
      <c r="Y420" s="212" t="s">
        <v>144</v>
      </c>
      <c r="Z420" s="212" t="s">
        <v>144</v>
      </c>
      <c r="AA420" s="240" t="s">
        <v>398</v>
      </c>
      <c r="AB420" s="206" t="s">
        <v>140</v>
      </c>
      <c r="AC420" s="847" t="s">
        <v>265</v>
      </c>
      <c r="AD420" s="847" t="s">
        <v>2060</v>
      </c>
      <c r="AE420" s="847" t="s">
        <v>144</v>
      </c>
      <c r="AF420" s="848" t="s">
        <v>144</v>
      </c>
      <c r="AG420" s="838"/>
      <c r="AH420" s="866" t="s">
        <v>2264</v>
      </c>
      <c r="AI420" s="273" t="s">
        <v>2265</v>
      </c>
      <c r="AJ420" s="847">
        <v>5</v>
      </c>
      <c r="AK420" s="878" t="s">
        <v>2266</v>
      </c>
      <c r="AL420" s="867"/>
      <c r="AM420" s="273"/>
      <c r="AN420" s="847"/>
      <c r="AO420" s="848"/>
      <c r="AP420" s="867" t="s">
        <v>1107</v>
      </c>
      <c r="AQ420" s="273" t="s">
        <v>1108</v>
      </c>
      <c r="AR420" s="847">
        <v>7</v>
      </c>
      <c r="AS420" s="286" t="s">
        <v>1109</v>
      </c>
      <c r="AT420" s="867"/>
      <c r="AU420" s="273"/>
      <c r="AV420" s="847"/>
      <c r="AW420" s="848"/>
      <c r="AX420" s="867"/>
      <c r="AY420" s="273"/>
      <c r="AZ420" s="847"/>
      <c r="BA420" s="848"/>
      <c r="BB420" s="866"/>
      <c r="BC420" s="273"/>
      <c r="BD420" s="847"/>
      <c r="BE420" s="848"/>
      <c r="BF420" s="838"/>
    </row>
    <row r="421" spans="1:58" s="88" customFormat="1" ht="54" hidden="1" customHeight="1" x14ac:dyDescent="0.25">
      <c r="A421" s="267" t="s">
        <v>1687</v>
      </c>
      <c r="B421" s="268">
        <v>186</v>
      </c>
      <c r="C421" s="240" t="s">
        <v>3271</v>
      </c>
      <c r="D421" s="270" t="s">
        <v>3272</v>
      </c>
      <c r="E421" s="268" t="s">
        <v>3287</v>
      </c>
      <c r="F421" s="861" t="s">
        <v>3288</v>
      </c>
      <c r="G421" s="269" t="s">
        <v>3289</v>
      </c>
      <c r="H421" s="845" t="s">
        <v>3290</v>
      </c>
      <c r="I421" s="269" t="s">
        <v>3291</v>
      </c>
      <c r="J421" s="296" t="s">
        <v>140</v>
      </c>
      <c r="K421" s="297" t="s">
        <v>140</v>
      </c>
      <c r="L421" s="862" t="s">
        <v>3292</v>
      </c>
      <c r="M421" s="847" t="s">
        <v>973</v>
      </c>
      <c r="N421" s="211" t="s">
        <v>974</v>
      </c>
      <c r="O421" s="240" t="s">
        <v>814</v>
      </c>
      <c r="P421" s="240" t="s">
        <v>815</v>
      </c>
      <c r="Q421" s="845" t="s">
        <v>144</v>
      </c>
      <c r="R421" s="208" t="s">
        <v>144</v>
      </c>
      <c r="S421" s="864" t="s">
        <v>147</v>
      </c>
      <c r="T421" s="212" t="s">
        <v>144</v>
      </c>
      <c r="U421" s="213" t="s">
        <v>144</v>
      </c>
      <c r="V421" s="307">
        <v>3</v>
      </c>
      <c r="W421" s="415" t="s">
        <v>144</v>
      </c>
      <c r="X421" s="212">
        <v>40</v>
      </c>
      <c r="Y421" s="212" t="s">
        <v>144</v>
      </c>
      <c r="Z421" s="212" t="s">
        <v>144</v>
      </c>
      <c r="AA421" s="240" t="s">
        <v>398</v>
      </c>
      <c r="AB421" s="206" t="s">
        <v>140</v>
      </c>
      <c r="AC421" s="847" t="s">
        <v>265</v>
      </c>
      <c r="AD421" s="847" t="s">
        <v>2060</v>
      </c>
      <c r="AE421" s="847" t="s">
        <v>144</v>
      </c>
      <c r="AF421" s="848" t="s">
        <v>144</v>
      </c>
      <c r="AG421" s="838"/>
      <c r="AH421" s="866" t="s">
        <v>3293</v>
      </c>
      <c r="AI421" s="273" t="s">
        <v>3294</v>
      </c>
      <c r="AJ421" s="847">
        <v>7</v>
      </c>
      <c r="AK421" s="878" t="s">
        <v>1280</v>
      </c>
      <c r="AL421" s="867" t="s">
        <v>294</v>
      </c>
      <c r="AM421" s="273" t="s">
        <v>295</v>
      </c>
      <c r="AN421" s="847">
        <v>7</v>
      </c>
      <c r="AO421" s="187" t="s">
        <v>966</v>
      </c>
      <c r="AP421" s="867"/>
      <c r="AQ421" s="273"/>
      <c r="AR421" s="847"/>
      <c r="AS421" s="848"/>
      <c r="AT421" s="867"/>
      <c r="AU421" s="273"/>
      <c r="AV421" s="847"/>
      <c r="AW421" s="848"/>
      <c r="AX421" s="895"/>
      <c r="AY421" s="208"/>
      <c r="AZ421" s="847"/>
      <c r="BA421" s="848"/>
      <c r="BB421" s="866"/>
      <c r="BC421" s="273"/>
      <c r="BD421" s="847"/>
      <c r="BE421" s="848"/>
      <c r="BF421" s="838"/>
    </row>
    <row r="422" spans="1:58" s="89" customFormat="1" ht="54" hidden="1" customHeight="1" x14ac:dyDescent="0.25">
      <c r="A422" s="267" t="s">
        <v>1687</v>
      </c>
      <c r="B422" s="268">
        <v>187</v>
      </c>
      <c r="C422" s="240" t="s">
        <v>3271</v>
      </c>
      <c r="D422" s="270" t="s">
        <v>3272</v>
      </c>
      <c r="E422" s="298" t="s">
        <v>3295</v>
      </c>
      <c r="F422" s="896" t="s">
        <v>3296</v>
      </c>
      <c r="G422" s="331" t="s">
        <v>3297</v>
      </c>
      <c r="H422" s="863" t="s">
        <v>3298</v>
      </c>
      <c r="I422" s="269" t="s">
        <v>3299</v>
      </c>
      <c r="J422" s="296" t="s">
        <v>140</v>
      </c>
      <c r="K422" s="297" t="s">
        <v>140</v>
      </c>
      <c r="L422" s="862" t="s">
        <v>3300</v>
      </c>
      <c r="M422" s="847" t="s">
        <v>193</v>
      </c>
      <c r="N422" s="211" t="s">
        <v>194</v>
      </c>
      <c r="O422" s="240" t="s">
        <v>144</v>
      </c>
      <c r="P422" s="240" t="s">
        <v>144</v>
      </c>
      <c r="Q422" s="845" t="s">
        <v>3301</v>
      </c>
      <c r="R422" s="208" t="s">
        <v>3302</v>
      </c>
      <c r="S422" s="897" t="s">
        <v>746</v>
      </c>
      <c r="T422" s="212" t="s">
        <v>1307</v>
      </c>
      <c r="U422" s="213" t="s">
        <v>1308</v>
      </c>
      <c r="V422" s="865">
        <v>10</v>
      </c>
      <c r="W422" s="415" t="s">
        <v>144</v>
      </c>
      <c r="X422" s="212">
        <v>42</v>
      </c>
      <c r="Y422" s="212" t="s">
        <v>144</v>
      </c>
      <c r="Z422" s="241" t="s">
        <v>25</v>
      </c>
      <c r="AA422" s="615" t="s">
        <v>733</v>
      </c>
      <c r="AB422" s="206" t="s">
        <v>140</v>
      </c>
      <c r="AC422" s="847" t="s">
        <v>265</v>
      </c>
      <c r="AD422" s="847" t="s">
        <v>2060</v>
      </c>
      <c r="AE422" s="847" t="s">
        <v>144</v>
      </c>
      <c r="AF422" s="848" t="s">
        <v>144</v>
      </c>
      <c r="AG422" s="838"/>
      <c r="AH422" s="866"/>
      <c r="AI422" s="273"/>
      <c r="AJ422" s="847"/>
      <c r="AK422" s="878"/>
      <c r="AL422" s="867"/>
      <c r="AM422" s="273"/>
      <c r="AN422" s="847"/>
      <c r="AO422" s="848"/>
      <c r="AP422" s="873" t="s">
        <v>3303</v>
      </c>
      <c r="AQ422" s="406" t="s">
        <v>3304</v>
      </c>
      <c r="AR422" s="847">
        <v>7</v>
      </c>
      <c r="AS422" s="878" t="s">
        <v>1311</v>
      </c>
      <c r="AT422" s="867"/>
      <c r="AU422" s="273"/>
      <c r="AV422" s="847"/>
      <c r="AW422" s="848"/>
      <c r="AX422" s="867"/>
      <c r="AY422" s="273"/>
      <c r="AZ422" s="847"/>
      <c r="BA422" s="848"/>
      <c r="BB422" s="866"/>
      <c r="BC422" s="273"/>
      <c r="BD422" s="847"/>
      <c r="BE422" s="848"/>
      <c r="BF422" s="838"/>
    </row>
    <row r="423" spans="1:58" s="57" customFormat="1" ht="54" customHeight="1" x14ac:dyDescent="0.25">
      <c r="A423" s="275" t="s">
        <v>1687</v>
      </c>
      <c r="B423" s="276">
        <v>188</v>
      </c>
      <c r="C423" s="253" t="s">
        <v>144</v>
      </c>
      <c r="D423" s="253" t="s">
        <v>144</v>
      </c>
      <c r="E423" s="276" t="s">
        <v>3305</v>
      </c>
      <c r="F423" s="277" t="s">
        <v>251</v>
      </c>
      <c r="G423" s="218" t="s">
        <v>251</v>
      </c>
      <c r="H423" s="220" t="s">
        <v>336</v>
      </c>
      <c r="I423" s="218" t="s">
        <v>337</v>
      </c>
      <c r="J423" s="253" t="s">
        <v>144</v>
      </c>
      <c r="K423" s="253" t="s">
        <v>144</v>
      </c>
      <c r="L423" s="718" t="s">
        <v>3306</v>
      </c>
      <c r="M423" s="253" t="s">
        <v>144</v>
      </c>
      <c r="N423" s="253" t="s">
        <v>144</v>
      </c>
      <c r="O423" s="253" t="s">
        <v>144</v>
      </c>
      <c r="P423" s="253" t="s">
        <v>144</v>
      </c>
      <c r="Q423" s="220" t="s">
        <v>338</v>
      </c>
      <c r="R423" s="220" t="s">
        <v>339</v>
      </c>
      <c r="S423" s="276" t="s">
        <v>147</v>
      </c>
      <c r="T423" s="221" t="s">
        <v>144</v>
      </c>
      <c r="U423" s="221" t="s">
        <v>144</v>
      </c>
      <c r="V423" s="253">
        <v>20</v>
      </c>
      <c r="W423" s="217" t="s">
        <v>144</v>
      </c>
      <c r="X423" s="221" t="s">
        <v>144</v>
      </c>
      <c r="Y423" s="221" t="s">
        <v>144</v>
      </c>
      <c r="Z423" s="221" t="s">
        <v>144</v>
      </c>
      <c r="AA423" s="253" t="s">
        <v>144</v>
      </c>
      <c r="AB423" s="217" t="s">
        <v>144</v>
      </c>
      <c r="AC423" s="253" t="s">
        <v>265</v>
      </c>
      <c r="AD423" s="253" t="s">
        <v>144</v>
      </c>
      <c r="AE423" s="253" t="s">
        <v>144</v>
      </c>
      <c r="AF423" s="254" t="s">
        <v>144</v>
      </c>
      <c r="AG423" s="838"/>
      <c r="AH423" s="280"/>
      <c r="AI423" s="281"/>
      <c r="AJ423" s="253"/>
      <c r="AK423" s="878"/>
      <c r="AL423" s="281"/>
      <c r="AM423" s="281"/>
      <c r="AN423" s="253"/>
      <c r="AO423" s="254"/>
      <c r="AP423" s="281"/>
      <c r="AQ423" s="281"/>
      <c r="AR423" s="253"/>
      <c r="AS423" s="254"/>
      <c r="AT423" s="281"/>
      <c r="AU423" s="281"/>
      <c r="AV423" s="253"/>
      <c r="AW423" s="254"/>
      <c r="AX423" s="281"/>
      <c r="AY423" s="281"/>
      <c r="AZ423" s="253"/>
      <c r="BA423" s="254"/>
      <c r="BB423" s="280"/>
      <c r="BC423" s="281"/>
      <c r="BD423" s="253"/>
      <c r="BE423" s="254"/>
      <c r="BF423" s="838"/>
    </row>
    <row r="424" spans="1:58" s="88" customFormat="1" ht="54" hidden="1" customHeight="1" x14ac:dyDescent="0.25">
      <c r="A424" s="267" t="s">
        <v>1687</v>
      </c>
      <c r="B424" s="268">
        <v>189</v>
      </c>
      <c r="C424" s="240" t="s">
        <v>1372</v>
      </c>
      <c r="D424" s="270" t="s">
        <v>1373</v>
      </c>
      <c r="E424" s="268" t="s">
        <v>3307</v>
      </c>
      <c r="F424" s="861" t="s">
        <v>3308</v>
      </c>
      <c r="G424" s="269" t="s">
        <v>3309</v>
      </c>
      <c r="H424" s="207" t="s">
        <v>3308</v>
      </c>
      <c r="I424" s="208" t="s">
        <v>3309</v>
      </c>
      <c r="J424" s="240" t="s">
        <v>140</v>
      </c>
      <c r="K424" s="270" t="s">
        <v>140</v>
      </c>
      <c r="L424" s="862" t="s">
        <v>3310</v>
      </c>
      <c r="M424" s="206" t="s">
        <v>973</v>
      </c>
      <c r="N424" s="211" t="s">
        <v>974</v>
      </c>
      <c r="O424" s="240" t="s">
        <v>1380</v>
      </c>
      <c r="P424" s="240" t="s">
        <v>1381</v>
      </c>
      <c r="Q424" s="845" t="s">
        <v>144</v>
      </c>
      <c r="R424" s="208" t="s">
        <v>144</v>
      </c>
      <c r="S424" s="864" t="s">
        <v>147</v>
      </c>
      <c r="T424" s="212" t="s">
        <v>144</v>
      </c>
      <c r="U424" s="213" t="s">
        <v>144</v>
      </c>
      <c r="V424" s="307">
        <v>1</v>
      </c>
      <c r="W424" s="415" t="s">
        <v>144</v>
      </c>
      <c r="X424" s="212">
        <v>40</v>
      </c>
      <c r="Y424" s="212" t="s">
        <v>144</v>
      </c>
      <c r="Z424" s="241" t="s">
        <v>144</v>
      </c>
      <c r="AA424" s="437" t="s">
        <v>2966</v>
      </c>
      <c r="AB424" s="206" t="s">
        <v>140</v>
      </c>
      <c r="AC424" s="847" t="s">
        <v>265</v>
      </c>
      <c r="AD424" s="847" t="s">
        <v>2205</v>
      </c>
      <c r="AE424" s="847" t="s">
        <v>144</v>
      </c>
      <c r="AF424" s="848" t="s">
        <v>144</v>
      </c>
      <c r="AG424" s="838"/>
      <c r="AH424" s="866" t="s">
        <v>3311</v>
      </c>
      <c r="AI424" s="273" t="s">
        <v>3312</v>
      </c>
      <c r="AJ424" s="847">
        <v>7</v>
      </c>
      <c r="AK424" s="878" t="s">
        <v>3313</v>
      </c>
      <c r="AL424" s="867" t="s">
        <v>294</v>
      </c>
      <c r="AM424" s="273" t="s">
        <v>295</v>
      </c>
      <c r="AN424" s="847">
        <v>7</v>
      </c>
      <c r="AO424" s="187" t="s">
        <v>966</v>
      </c>
      <c r="AP424" s="867" t="s">
        <v>3314</v>
      </c>
      <c r="AQ424" s="273" t="s">
        <v>3315</v>
      </c>
      <c r="AR424" s="847">
        <v>6</v>
      </c>
      <c r="AS424" s="848" t="s">
        <v>3316</v>
      </c>
      <c r="AT424" s="867"/>
      <c r="AU424" s="273"/>
      <c r="AV424" s="847"/>
      <c r="AW424" s="848"/>
      <c r="AX424" s="867"/>
      <c r="AY424" s="273"/>
      <c r="AZ424" s="847"/>
      <c r="BA424" s="848"/>
      <c r="BB424" s="866"/>
      <c r="BC424" s="273"/>
      <c r="BD424" s="847"/>
      <c r="BE424" s="848"/>
      <c r="BF424" s="838"/>
    </row>
    <row r="425" spans="1:58" s="88" customFormat="1" ht="54" hidden="1" customHeight="1" x14ac:dyDescent="0.25">
      <c r="A425" s="267" t="s">
        <v>1687</v>
      </c>
      <c r="B425" s="268">
        <v>190</v>
      </c>
      <c r="C425" s="240" t="s">
        <v>1372</v>
      </c>
      <c r="D425" s="270" t="s">
        <v>1373</v>
      </c>
      <c r="E425" s="268" t="s">
        <v>3317</v>
      </c>
      <c r="F425" s="861" t="s">
        <v>3318</v>
      </c>
      <c r="G425" s="269" t="s">
        <v>3319</v>
      </c>
      <c r="H425" s="845" t="s">
        <v>3320</v>
      </c>
      <c r="I425" s="208" t="s">
        <v>3321</v>
      </c>
      <c r="J425" s="240" t="s">
        <v>140</v>
      </c>
      <c r="K425" s="270" t="s">
        <v>140</v>
      </c>
      <c r="L425" s="862" t="s">
        <v>3322</v>
      </c>
      <c r="M425" s="847" t="s">
        <v>193</v>
      </c>
      <c r="N425" s="211" t="s">
        <v>194</v>
      </c>
      <c r="O425" s="240" t="s">
        <v>144</v>
      </c>
      <c r="P425" s="240" t="s">
        <v>144</v>
      </c>
      <c r="Q425" s="845" t="s">
        <v>3323</v>
      </c>
      <c r="R425" s="208" t="s">
        <v>3324</v>
      </c>
      <c r="S425" s="864" t="s">
        <v>147</v>
      </c>
      <c r="T425" s="212" t="s">
        <v>144</v>
      </c>
      <c r="U425" s="213" t="s">
        <v>144</v>
      </c>
      <c r="V425" s="847">
        <v>3</v>
      </c>
      <c r="W425" s="415" t="s">
        <v>144</v>
      </c>
      <c r="X425" s="212">
        <v>40</v>
      </c>
      <c r="Y425" s="212" t="s">
        <v>144</v>
      </c>
      <c r="Z425" s="212" t="s">
        <v>144</v>
      </c>
      <c r="AA425" s="240" t="s">
        <v>3015</v>
      </c>
      <c r="AB425" s="206" t="s">
        <v>140</v>
      </c>
      <c r="AC425" s="847" t="s">
        <v>265</v>
      </c>
      <c r="AD425" s="847" t="s">
        <v>2060</v>
      </c>
      <c r="AE425" s="847" t="s">
        <v>144</v>
      </c>
      <c r="AF425" s="848" t="s">
        <v>144</v>
      </c>
      <c r="AG425" s="838"/>
      <c r="AH425" s="866"/>
      <c r="AI425" s="273"/>
      <c r="AJ425" s="847"/>
      <c r="AK425" s="878"/>
      <c r="AL425" s="867"/>
      <c r="AM425" s="273"/>
      <c r="AN425" s="847"/>
      <c r="AO425" s="848"/>
      <c r="AP425" s="867"/>
      <c r="AQ425" s="273"/>
      <c r="AR425" s="847"/>
      <c r="AS425" s="848"/>
      <c r="AT425" s="867"/>
      <c r="AU425" s="273"/>
      <c r="AV425" s="847"/>
      <c r="AW425" s="848"/>
      <c r="AX425" s="867"/>
      <c r="AY425" s="273"/>
      <c r="AZ425" s="847"/>
      <c r="BA425" s="848"/>
      <c r="BB425" s="249"/>
      <c r="BC425" s="135"/>
      <c r="BD425" s="847"/>
      <c r="BE425" s="306"/>
      <c r="BF425" s="838"/>
    </row>
    <row r="426" spans="1:58" s="88" customFormat="1" ht="54" hidden="1" customHeight="1" x14ac:dyDescent="0.25">
      <c r="A426" s="267" t="s">
        <v>1687</v>
      </c>
      <c r="B426" s="268">
        <v>191</v>
      </c>
      <c r="C426" s="240" t="s">
        <v>1372</v>
      </c>
      <c r="D426" s="270" t="s">
        <v>1373</v>
      </c>
      <c r="E426" s="268" t="s">
        <v>3325</v>
      </c>
      <c r="F426" s="861" t="s">
        <v>3326</v>
      </c>
      <c r="G426" s="269" t="s">
        <v>3327</v>
      </c>
      <c r="H426" s="845" t="s">
        <v>3328</v>
      </c>
      <c r="I426" s="208" t="s">
        <v>3329</v>
      </c>
      <c r="J426" s="240" t="s">
        <v>140</v>
      </c>
      <c r="K426" s="270" t="s">
        <v>140</v>
      </c>
      <c r="L426" s="862" t="s">
        <v>3330</v>
      </c>
      <c r="M426" s="847" t="s">
        <v>973</v>
      </c>
      <c r="N426" s="211" t="s">
        <v>974</v>
      </c>
      <c r="O426" s="240" t="s">
        <v>3331</v>
      </c>
      <c r="P426" s="240" t="s">
        <v>3332</v>
      </c>
      <c r="Q426" s="845" t="s">
        <v>3323</v>
      </c>
      <c r="R426" s="208" t="s">
        <v>3324</v>
      </c>
      <c r="S426" s="864" t="s">
        <v>147</v>
      </c>
      <c r="T426" s="212" t="s">
        <v>144</v>
      </c>
      <c r="U426" s="213" t="s">
        <v>144</v>
      </c>
      <c r="V426" s="847">
        <v>1</v>
      </c>
      <c r="W426" s="415" t="s">
        <v>144</v>
      </c>
      <c r="X426" s="212">
        <v>40</v>
      </c>
      <c r="Y426" s="212" t="s">
        <v>144</v>
      </c>
      <c r="Z426" s="241" t="s">
        <v>144</v>
      </c>
      <c r="AA426" s="437" t="s">
        <v>2588</v>
      </c>
      <c r="AB426" s="206" t="s">
        <v>140</v>
      </c>
      <c r="AC426" s="847" t="s">
        <v>265</v>
      </c>
      <c r="AD426" s="847" t="s">
        <v>2060</v>
      </c>
      <c r="AE426" s="847" t="s">
        <v>144</v>
      </c>
      <c r="AF426" s="848" t="s">
        <v>144</v>
      </c>
      <c r="AG426" s="838"/>
      <c r="AH426" s="866" t="s">
        <v>3333</v>
      </c>
      <c r="AI426" s="273" t="s">
        <v>3334</v>
      </c>
      <c r="AJ426" s="847">
        <v>7</v>
      </c>
      <c r="AK426" s="878" t="s">
        <v>3335</v>
      </c>
      <c r="AL426" s="867" t="s">
        <v>294</v>
      </c>
      <c r="AM426" s="273" t="s">
        <v>295</v>
      </c>
      <c r="AN426" s="847">
        <v>7</v>
      </c>
      <c r="AO426" s="187" t="s">
        <v>966</v>
      </c>
      <c r="AP426" s="867"/>
      <c r="AQ426" s="273"/>
      <c r="AR426" s="847"/>
      <c r="AS426" s="848"/>
      <c r="AT426" s="867"/>
      <c r="AU426" s="273"/>
      <c r="AV426" s="847"/>
      <c r="AW426" s="848"/>
      <c r="AX426" s="867"/>
      <c r="AY426" s="273"/>
      <c r="AZ426" s="847"/>
      <c r="BA426" s="848"/>
      <c r="BB426" s="866"/>
      <c r="BC426" s="273"/>
      <c r="BD426" s="847"/>
      <c r="BE426" s="848"/>
      <c r="BF426" s="838"/>
    </row>
    <row r="427" spans="1:58" s="88" customFormat="1" ht="54" hidden="1" customHeight="1" x14ac:dyDescent="0.25">
      <c r="A427" s="267" t="s">
        <v>1687</v>
      </c>
      <c r="B427" s="268">
        <v>192</v>
      </c>
      <c r="C427" s="240" t="s">
        <v>1372</v>
      </c>
      <c r="D427" s="270" t="s">
        <v>1373</v>
      </c>
      <c r="E427" s="298" t="s">
        <v>3336</v>
      </c>
      <c r="F427" s="863" t="s">
        <v>3337</v>
      </c>
      <c r="G427" s="269" t="s">
        <v>3338</v>
      </c>
      <c r="H427" s="845" t="s">
        <v>3339</v>
      </c>
      <c r="I427" s="208" t="s">
        <v>3340</v>
      </c>
      <c r="J427" s="240" t="s">
        <v>140</v>
      </c>
      <c r="K427" s="270" t="s">
        <v>140</v>
      </c>
      <c r="L427" s="862" t="s">
        <v>3341</v>
      </c>
      <c r="M427" s="847" t="s">
        <v>973</v>
      </c>
      <c r="N427" s="270" t="s">
        <v>974</v>
      </c>
      <c r="O427" s="240" t="s">
        <v>3342</v>
      </c>
      <c r="P427" s="240" t="s">
        <v>3343</v>
      </c>
      <c r="Q427" s="845" t="s">
        <v>144</v>
      </c>
      <c r="R427" s="208" t="s">
        <v>144</v>
      </c>
      <c r="S427" s="864" t="s">
        <v>147</v>
      </c>
      <c r="T427" s="212" t="s">
        <v>144</v>
      </c>
      <c r="U427" s="213" t="s">
        <v>144</v>
      </c>
      <c r="V427" s="307">
        <v>1</v>
      </c>
      <c r="W427" s="415" t="s">
        <v>144</v>
      </c>
      <c r="X427" s="212">
        <v>43</v>
      </c>
      <c r="Y427" s="212" t="s">
        <v>144</v>
      </c>
      <c r="Z427" s="780" t="s">
        <v>29</v>
      </c>
      <c r="AA427" s="437" t="s">
        <v>3344</v>
      </c>
      <c r="AB427" s="206" t="s">
        <v>140</v>
      </c>
      <c r="AC427" s="847" t="s">
        <v>265</v>
      </c>
      <c r="AD427" s="898" t="s">
        <v>2190</v>
      </c>
      <c r="AE427" s="847" t="s">
        <v>144</v>
      </c>
      <c r="AF427" s="848" t="s">
        <v>144</v>
      </c>
      <c r="AG427" s="838"/>
      <c r="AH427" s="806" t="s">
        <v>3345</v>
      </c>
      <c r="AI427" s="726" t="s">
        <v>3346</v>
      </c>
      <c r="AJ427" s="847">
        <v>6</v>
      </c>
      <c r="AK427" s="881" t="s">
        <v>3347</v>
      </c>
      <c r="AL427" s="875" t="s">
        <v>294</v>
      </c>
      <c r="AM427" s="301" t="s">
        <v>295</v>
      </c>
      <c r="AN427" s="240">
        <v>7</v>
      </c>
      <c r="AO427" s="187" t="s">
        <v>966</v>
      </c>
      <c r="AP427" s="867"/>
      <c r="AQ427" s="273"/>
      <c r="AR427" s="847"/>
      <c r="AS427" s="848"/>
      <c r="AT427" s="867"/>
      <c r="AU427" s="273"/>
      <c r="AV427" s="847"/>
      <c r="AW427" s="848"/>
      <c r="AX427" s="867"/>
      <c r="AY427" s="273"/>
      <c r="AZ427" s="847"/>
      <c r="BA427" s="848"/>
      <c r="BB427" s="866"/>
      <c r="BC427" s="273"/>
      <c r="BD427" s="847"/>
      <c r="BE427" s="848"/>
      <c r="BF427" s="838"/>
    </row>
    <row r="428" spans="1:58" s="57" customFormat="1" ht="54" hidden="1" customHeight="1" x14ac:dyDescent="0.25">
      <c r="A428" s="275" t="s">
        <v>1687</v>
      </c>
      <c r="B428" s="276">
        <v>193</v>
      </c>
      <c r="C428" s="253" t="s">
        <v>1372</v>
      </c>
      <c r="D428" s="253" t="s">
        <v>1373</v>
      </c>
      <c r="E428" s="276" t="s">
        <v>3348</v>
      </c>
      <c r="F428" s="277" t="s">
        <v>3349</v>
      </c>
      <c r="G428" s="277" t="s">
        <v>3350</v>
      </c>
      <c r="H428" s="218" t="s">
        <v>3349</v>
      </c>
      <c r="I428" s="218" t="s">
        <v>3350</v>
      </c>
      <c r="J428" s="278" t="s">
        <v>144</v>
      </c>
      <c r="K428" s="278" t="s">
        <v>144</v>
      </c>
      <c r="L428" s="718" t="s">
        <v>3351</v>
      </c>
      <c r="M428" s="253" t="s">
        <v>144</v>
      </c>
      <c r="N428" s="253" t="s">
        <v>144</v>
      </c>
      <c r="O428" s="253" t="s">
        <v>144</v>
      </c>
      <c r="P428" s="253" t="s">
        <v>144</v>
      </c>
      <c r="Q428" s="218" t="s">
        <v>144</v>
      </c>
      <c r="R428" s="218" t="s">
        <v>144</v>
      </c>
      <c r="S428" s="276" t="s">
        <v>147</v>
      </c>
      <c r="T428" s="221" t="s">
        <v>144</v>
      </c>
      <c r="U428" s="221" t="s">
        <v>144</v>
      </c>
      <c r="V428" s="253">
        <v>45</v>
      </c>
      <c r="W428" s="217" t="s">
        <v>144</v>
      </c>
      <c r="X428" s="221" t="s">
        <v>144</v>
      </c>
      <c r="Y428" s="221" t="s">
        <v>144</v>
      </c>
      <c r="Z428" s="222" t="s">
        <v>144</v>
      </c>
      <c r="AA428" s="253" t="s">
        <v>144</v>
      </c>
      <c r="AB428" s="217" t="s">
        <v>144</v>
      </c>
      <c r="AC428" s="253" t="s">
        <v>265</v>
      </c>
      <c r="AD428" s="253" t="s">
        <v>144</v>
      </c>
      <c r="AE428" s="253" t="s">
        <v>144</v>
      </c>
      <c r="AF428" s="254" t="s">
        <v>144</v>
      </c>
      <c r="AG428" s="838"/>
      <c r="AH428" s="280"/>
      <c r="AI428" s="281"/>
      <c r="AJ428" s="253"/>
      <c r="AK428" s="878"/>
      <c r="AL428" s="281"/>
      <c r="AM428" s="281"/>
      <c r="AN428" s="253"/>
      <c r="AO428" s="254"/>
      <c r="AP428" s="281"/>
      <c r="AQ428" s="281"/>
      <c r="AR428" s="253"/>
      <c r="AS428" s="254"/>
      <c r="AT428" s="281"/>
      <c r="AU428" s="281"/>
      <c r="AV428" s="253"/>
      <c r="AW428" s="254"/>
      <c r="AX428" s="281"/>
      <c r="AY428" s="281"/>
      <c r="AZ428" s="253"/>
      <c r="BA428" s="254"/>
      <c r="BB428" s="280"/>
      <c r="BC428" s="281"/>
      <c r="BD428" s="253"/>
      <c r="BE428" s="254"/>
      <c r="BF428" s="838"/>
    </row>
    <row r="429" spans="1:58" s="57" customFormat="1" ht="54" customHeight="1" x14ac:dyDescent="0.25">
      <c r="A429" s="275" t="s">
        <v>1687</v>
      </c>
      <c r="B429" s="276">
        <v>194</v>
      </c>
      <c r="C429" s="253" t="s">
        <v>144</v>
      </c>
      <c r="D429" s="253" t="s">
        <v>144</v>
      </c>
      <c r="E429" s="276" t="s">
        <v>3352</v>
      </c>
      <c r="F429" s="277" t="s">
        <v>251</v>
      </c>
      <c r="G429" s="277" t="s">
        <v>251</v>
      </c>
      <c r="H429" s="220" t="s">
        <v>336</v>
      </c>
      <c r="I429" s="218" t="s">
        <v>337</v>
      </c>
      <c r="J429" s="253" t="s">
        <v>144</v>
      </c>
      <c r="K429" s="253" t="s">
        <v>144</v>
      </c>
      <c r="L429" s="718" t="s">
        <v>3353</v>
      </c>
      <c r="M429" s="253" t="s">
        <v>144</v>
      </c>
      <c r="N429" s="253" t="s">
        <v>144</v>
      </c>
      <c r="O429" s="253" t="s">
        <v>144</v>
      </c>
      <c r="P429" s="253" t="s">
        <v>144</v>
      </c>
      <c r="Q429" s="220" t="s">
        <v>338</v>
      </c>
      <c r="R429" s="220" t="s">
        <v>339</v>
      </c>
      <c r="S429" s="276" t="s">
        <v>147</v>
      </c>
      <c r="T429" s="221" t="s">
        <v>144</v>
      </c>
      <c r="U429" s="221" t="s">
        <v>144</v>
      </c>
      <c r="V429" s="253">
        <v>10</v>
      </c>
      <c r="W429" s="217" t="s">
        <v>144</v>
      </c>
      <c r="X429" s="221" t="s">
        <v>144</v>
      </c>
      <c r="Y429" s="221" t="s">
        <v>144</v>
      </c>
      <c r="Z429" s="221" t="s">
        <v>144</v>
      </c>
      <c r="AA429" s="253" t="s">
        <v>144</v>
      </c>
      <c r="AB429" s="217" t="s">
        <v>144</v>
      </c>
      <c r="AC429" s="253" t="s">
        <v>265</v>
      </c>
      <c r="AD429" s="253" t="s">
        <v>144</v>
      </c>
      <c r="AE429" s="253" t="s">
        <v>144</v>
      </c>
      <c r="AF429" s="254" t="s">
        <v>144</v>
      </c>
      <c r="AG429" s="838"/>
      <c r="AH429" s="280"/>
      <c r="AI429" s="281"/>
      <c r="AJ429" s="253"/>
      <c r="AK429" s="878"/>
      <c r="AL429" s="281"/>
      <c r="AM429" s="281"/>
      <c r="AN429" s="253"/>
      <c r="AO429" s="254"/>
      <c r="AP429" s="281"/>
      <c r="AQ429" s="281"/>
      <c r="AR429" s="253"/>
      <c r="AS429" s="254"/>
      <c r="AT429" s="281"/>
      <c r="AU429" s="281"/>
      <c r="AV429" s="253"/>
      <c r="AW429" s="254"/>
      <c r="AX429" s="281"/>
      <c r="AY429" s="281"/>
      <c r="AZ429" s="253"/>
      <c r="BA429" s="254"/>
      <c r="BB429" s="280"/>
      <c r="BC429" s="281"/>
      <c r="BD429" s="253"/>
      <c r="BE429" s="254"/>
      <c r="BF429" s="838"/>
    </row>
    <row r="430" spans="1:58" s="88" customFormat="1" ht="54" hidden="1" customHeight="1" x14ac:dyDescent="0.25">
      <c r="A430" s="267" t="s">
        <v>1687</v>
      </c>
      <c r="B430" s="268">
        <v>195</v>
      </c>
      <c r="C430" s="240" t="s">
        <v>1022</v>
      </c>
      <c r="D430" s="270" t="s">
        <v>1023</v>
      </c>
      <c r="E430" s="268" t="s">
        <v>3354</v>
      </c>
      <c r="F430" s="861" t="s">
        <v>3355</v>
      </c>
      <c r="G430" s="269" t="s">
        <v>3356</v>
      </c>
      <c r="H430" s="845" t="s">
        <v>3357</v>
      </c>
      <c r="I430" s="208" t="s">
        <v>3358</v>
      </c>
      <c r="J430" s="240" t="s">
        <v>140</v>
      </c>
      <c r="K430" s="270" t="s">
        <v>140</v>
      </c>
      <c r="L430" s="862" t="s">
        <v>3359</v>
      </c>
      <c r="M430" s="847" t="s">
        <v>973</v>
      </c>
      <c r="N430" s="211" t="s">
        <v>974</v>
      </c>
      <c r="O430" s="240" t="s">
        <v>3360</v>
      </c>
      <c r="P430" s="240" t="s">
        <v>3361</v>
      </c>
      <c r="Q430" s="845" t="s">
        <v>3362</v>
      </c>
      <c r="R430" s="208" t="s">
        <v>3363</v>
      </c>
      <c r="S430" s="864" t="s">
        <v>147</v>
      </c>
      <c r="T430" s="212" t="s">
        <v>144</v>
      </c>
      <c r="U430" s="213" t="s">
        <v>144</v>
      </c>
      <c r="V430" s="847">
        <v>1</v>
      </c>
      <c r="W430" s="415" t="s">
        <v>144</v>
      </c>
      <c r="X430" s="212">
        <v>40</v>
      </c>
      <c r="Y430" s="212" t="s">
        <v>144</v>
      </c>
      <c r="Z430" s="241" t="s">
        <v>144</v>
      </c>
      <c r="AA430" s="615" t="s">
        <v>733</v>
      </c>
      <c r="AB430" s="206" t="s">
        <v>140</v>
      </c>
      <c r="AC430" s="847" t="s">
        <v>265</v>
      </c>
      <c r="AD430" s="847" t="s">
        <v>3364</v>
      </c>
      <c r="AE430" s="847" t="s">
        <v>144</v>
      </c>
      <c r="AF430" s="848" t="s">
        <v>144</v>
      </c>
      <c r="AG430" s="838"/>
      <c r="AH430" s="866" t="s">
        <v>3365</v>
      </c>
      <c r="AI430" s="273" t="s">
        <v>3366</v>
      </c>
      <c r="AJ430" s="847">
        <v>6</v>
      </c>
      <c r="AK430" s="878" t="s">
        <v>3367</v>
      </c>
      <c r="AL430" s="875" t="s">
        <v>294</v>
      </c>
      <c r="AM430" s="301" t="s">
        <v>295</v>
      </c>
      <c r="AN430" s="240">
        <v>7</v>
      </c>
      <c r="AO430" s="187" t="s">
        <v>966</v>
      </c>
      <c r="AP430" s="332"/>
      <c r="AQ430" s="273"/>
      <c r="AR430" s="847"/>
      <c r="AS430" s="848"/>
      <c r="AT430" s="867"/>
      <c r="AU430" s="273"/>
      <c r="AV430" s="847"/>
      <c r="AW430" s="848"/>
      <c r="AX430" s="867"/>
      <c r="AY430" s="273"/>
      <c r="AZ430" s="847"/>
      <c r="BA430" s="848"/>
      <c r="BB430" s="866"/>
      <c r="BC430" s="273"/>
      <c r="BD430" s="847"/>
      <c r="BE430" s="848"/>
      <c r="BF430" s="838"/>
    </row>
    <row r="431" spans="1:58" s="88" customFormat="1" ht="54" hidden="1" customHeight="1" x14ac:dyDescent="0.25">
      <c r="A431" s="267" t="s">
        <v>1687</v>
      </c>
      <c r="B431" s="268">
        <v>196</v>
      </c>
      <c r="C431" s="240" t="s">
        <v>1022</v>
      </c>
      <c r="D431" s="270" t="s">
        <v>1023</v>
      </c>
      <c r="E431" s="268" t="s">
        <v>3368</v>
      </c>
      <c r="F431" s="861" t="s">
        <v>3369</v>
      </c>
      <c r="G431" s="269" t="s">
        <v>3370</v>
      </c>
      <c r="H431" s="845" t="s">
        <v>3371</v>
      </c>
      <c r="I431" s="208" t="s">
        <v>3372</v>
      </c>
      <c r="J431" s="240" t="s">
        <v>140</v>
      </c>
      <c r="K431" s="270" t="s">
        <v>140</v>
      </c>
      <c r="L431" s="862" t="s">
        <v>3373</v>
      </c>
      <c r="M431" s="847" t="s">
        <v>973</v>
      </c>
      <c r="N431" s="211" t="s">
        <v>974</v>
      </c>
      <c r="O431" s="240" t="s">
        <v>3374</v>
      </c>
      <c r="P431" s="240" t="s">
        <v>3375</v>
      </c>
      <c r="Q431" s="845" t="s">
        <v>3376</v>
      </c>
      <c r="R431" s="208" t="s">
        <v>3377</v>
      </c>
      <c r="S431" s="864" t="s">
        <v>147</v>
      </c>
      <c r="T431" s="212" t="s">
        <v>144</v>
      </c>
      <c r="U431" s="213" t="s">
        <v>144</v>
      </c>
      <c r="V431" s="847">
        <v>1</v>
      </c>
      <c r="W431" s="415" t="s">
        <v>144</v>
      </c>
      <c r="X431" s="212">
        <v>40</v>
      </c>
      <c r="Y431" s="212" t="s">
        <v>144</v>
      </c>
      <c r="Z431" s="241" t="s">
        <v>144</v>
      </c>
      <c r="AA431" s="615" t="s">
        <v>733</v>
      </c>
      <c r="AB431" s="206" t="s">
        <v>140</v>
      </c>
      <c r="AC431" s="847" t="s">
        <v>265</v>
      </c>
      <c r="AD431" s="847" t="s">
        <v>3364</v>
      </c>
      <c r="AE431" s="847" t="s">
        <v>144</v>
      </c>
      <c r="AF431" s="848" t="s">
        <v>144</v>
      </c>
      <c r="AG431" s="838"/>
      <c r="AH431" s="866" t="s">
        <v>3365</v>
      </c>
      <c r="AI431" s="273" t="s">
        <v>3366</v>
      </c>
      <c r="AJ431" s="847">
        <v>6</v>
      </c>
      <c r="AK431" s="878" t="s">
        <v>3367</v>
      </c>
      <c r="AL431" s="875" t="s">
        <v>294</v>
      </c>
      <c r="AM431" s="301" t="s">
        <v>295</v>
      </c>
      <c r="AN431" s="240">
        <v>7</v>
      </c>
      <c r="AO431" s="187" t="s">
        <v>966</v>
      </c>
      <c r="AP431" s="332"/>
      <c r="AQ431" s="273"/>
      <c r="AR431" s="847"/>
      <c r="AS431" s="848"/>
      <c r="AT431" s="867"/>
      <c r="AU431" s="273"/>
      <c r="AV431" s="847"/>
      <c r="AW431" s="848"/>
      <c r="AX431" s="867"/>
      <c r="AY431" s="273"/>
      <c r="AZ431" s="847"/>
      <c r="BA431" s="848"/>
      <c r="BB431" s="866"/>
      <c r="BC431" s="273"/>
      <c r="BD431" s="847"/>
      <c r="BE431" s="848"/>
      <c r="BF431" s="838"/>
    </row>
    <row r="432" spans="1:58" s="88" customFormat="1" ht="54" hidden="1" customHeight="1" x14ac:dyDescent="0.25">
      <c r="A432" s="267" t="s">
        <v>1687</v>
      </c>
      <c r="B432" s="268">
        <v>197</v>
      </c>
      <c r="C432" s="240" t="s">
        <v>1022</v>
      </c>
      <c r="D432" s="270" t="s">
        <v>1023</v>
      </c>
      <c r="E432" s="268" t="s">
        <v>3378</v>
      </c>
      <c r="F432" s="861" t="s">
        <v>3379</v>
      </c>
      <c r="G432" s="269" t="s">
        <v>3380</v>
      </c>
      <c r="H432" s="845" t="s">
        <v>3381</v>
      </c>
      <c r="I432" s="208" t="s">
        <v>3382</v>
      </c>
      <c r="J432" s="240" t="s">
        <v>140</v>
      </c>
      <c r="K432" s="270" t="s">
        <v>140</v>
      </c>
      <c r="L432" s="862" t="s">
        <v>3383</v>
      </c>
      <c r="M432" s="847" t="s">
        <v>973</v>
      </c>
      <c r="N432" s="211" t="s">
        <v>974</v>
      </c>
      <c r="O432" s="240" t="s">
        <v>3384</v>
      </c>
      <c r="P432" s="240" t="s">
        <v>3385</v>
      </c>
      <c r="Q432" s="845" t="s">
        <v>3386</v>
      </c>
      <c r="R432" s="208" t="s">
        <v>3387</v>
      </c>
      <c r="S432" s="864" t="s">
        <v>147</v>
      </c>
      <c r="T432" s="212" t="s">
        <v>144</v>
      </c>
      <c r="U432" s="213" t="s">
        <v>144</v>
      </c>
      <c r="V432" s="307">
        <v>1</v>
      </c>
      <c r="W432" s="415" t="s">
        <v>144</v>
      </c>
      <c r="X432" s="212">
        <v>40</v>
      </c>
      <c r="Y432" s="212" t="s">
        <v>144</v>
      </c>
      <c r="Z432" s="241" t="s">
        <v>144</v>
      </c>
      <c r="AA432" s="437" t="s">
        <v>3388</v>
      </c>
      <c r="AB432" s="206" t="s">
        <v>140</v>
      </c>
      <c r="AC432" s="847" t="s">
        <v>265</v>
      </c>
      <c r="AD432" s="847" t="s">
        <v>3364</v>
      </c>
      <c r="AE432" s="847" t="s">
        <v>144</v>
      </c>
      <c r="AF432" s="848" t="s">
        <v>144</v>
      </c>
      <c r="AG432" s="838"/>
      <c r="AH432" s="866" t="s">
        <v>3365</v>
      </c>
      <c r="AI432" s="273" t="s">
        <v>3366</v>
      </c>
      <c r="AJ432" s="847">
        <v>6</v>
      </c>
      <c r="AK432" s="878" t="s">
        <v>3367</v>
      </c>
      <c r="AL432" s="875" t="s">
        <v>294</v>
      </c>
      <c r="AM432" s="301" t="s">
        <v>295</v>
      </c>
      <c r="AN432" s="240">
        <v>7</v>
      </c>
      <c r="AO432" s="187" t="s">
        <v>966</v>
      </c>
      <c r="AP432" s="867"/>
      <c r="AQ432" s="273"/>
      <c r="AR432" s="847"/>
      <c r="AS432" s="848"/>
      <c r="AT432" s="867"/>
      <c r="AU432" s="273"/>
      <c r="AV432" s="847"/>
      <c r="AW432" s="848"/>
      <c r="AX432" s="867"/>
      <c r="AY432" s="273"/>
      <c r="AZ432" s="847"/>
      <c r="BA432" s="848"/>
      <c r="BB432" s="866"/>
      <c r="BC432" s="273"/>
      <c r="BD432" s="847"/>
      <c r="BE432" s="848"/>
      <c r="BF432" s="838"/>
    </row>
    <row r="433" spans="1:58" s="88" customFormat="1" ht="54" hidden="1" customHeight="1" x14ac:dyDescent="0.25">
      <c r="A433" s="267" t="s">
        <v>1687</v>
      </c>
      <c r="B433" s="268">
        <v>198</v>
      </c>
      <c r="C433" s="240" t="s">
        <v>1022</v>
      </c>
      <c r="D433" s="270" t="s">
        <v>1023</v>
      </c>
      <c r="E433" s="268" t="s">
        <v>3389</v>
      </c>
      <c r="F433" s="861" t="s">
        <v>3390</v>
      </c>
      <c r="G433" s="269" t="s">
        <v>3391</v>
      </c>
      <c r="H433" s="845" t="s">
        <v>3392</v>
      </c>
      <c r="I433" s="208" t="s">
        <v>3391</v>
      </c>
      <c r="J433" s="240" t="s">
        <v>140</v>
      </c>
      <c r="K433" s="270" t="s">
        <v>140</v>
      </c>
      <c r="L433" s="862" t="s">
        <v>3393</v>
      </c>
      <c r="M433" s="847" t="s">
        <v>973</v>
      </c>
      <c r="N433" s="211" t="s">
        <v>974</v>
      </c>
      <c r="O433" s="240" t="s">
        <v>3394</v>
      </c>
      <c r="P433" s="240" t="s">
        <v>3395</v>
      </c>
      <c r="Q433" s="845" t="s">
        <v>3396</v>
      </c>
      <c r="R433" s="208" t="s">
        <v>3397</v>
      </c>
      <c r="S433" s="864" t="s">
        <v>147</v>
      </c>
      <c r="T433" s="212" t="s">
        <v>144</v>
      </c>
      <c r="U433" s="213" t="s">
        <v>144</v>
      </c>
      <c r="V433" s="307">
        <v>1</v>
      </c>
      <c r="W433" s="415" t="s">
        <v>144</v>
      </c>
      <c r="X433" s="212">
        <v>40</v>
      </c>
      <c r="Y433" s="212" t="s">
        <v>144</v>
      </c>
      <c r="Z433" s="241" t="s">
        <v>144</v>
      </c>
      <c r="AA433" s="615" t="s">
        <v>733</v>
      </c>
      <c r="AB433" s="206" t="s">
        <v>140</v>
      </c>
      <c r="AC433" s="847" t="s">
        <v>265</v>
      </c>
      <c r="AD433" s="847" t="s">
        <v>3364</v>
      </c>
      <c r="AE433" s="847" t="s">
        <v>144</v>
      </c>
      <c r="AF433" s="848" t="s">
        <v>144</v>
      </c>
      <c r="AG433" s="838"/>
      <c r="AH433" s="866" t="s">
        <v>3365</v>
      </c>
      <c r="AI433" s="273" t="s">
        <v>3366</v>
      </c>
      <c r="AJ433" s="847">
        <v>6</v>
      </c>
      <c r="AK433" s="878" t="s">
        <v>3367</v>
      </c>
      <c r="AL433" s="875" t="s">
        <v>294</v>
      </c>
      <c r="AM433" s="301" t="s">
        <v>295</v>
      </c>
      <c r="AN433" s="240">
        <v>7</v>
      </c>
      <c r="AO433" s="187" t="s">
        <v>966</v>
      </c>
      <c r="AP433" s="867"/>
      <c r="AQ433" s="273"/>
      <c r="AR433" s="847"/>
      <c r="AS433" s="848"/>
      <c r="AT433" s="867"/>
      <c r="AU433" s="273"/>
      <c r="AV433" s="847"/>
      <c r="AW433" s="848"/>
      <c r="AX433" s="867"/>
      <c r="AY433" s="273"/>
      <c r="AZ433" s="847"/>
      <c r="BA433" s="848"/>
      <c r="BB433" s="866"/>
      <c r="BC433" s="273"/>
      <c r="BD433" s="847"/>
      <c r="BE433" s="848"/>
      <c r="BF433" s="838"/>
    </row>
    <row r="434" spans="1:58" s="88" customFormat="1" ht="54" hidden="1" customHeight="1" x14ac:dyDescent="0.25">
      <c r="A434" s="267" t="s">
        <v>1687</v>
      </c>
      <c r="B434" s="268">
        <v>199</v>
      </c>
      <c r="C434" s="240" t="s">
        <v>1022</v>
      </c>
      <c r="D434" s="270" t="s">
        <v>1023</v>
      </c>
      <c r="E434" s="268" t="s">
        <v>3398</v>
      </c>
      <c r="F434" s="861" t="s">
        <v>3399</v>
      </c>
      <c r="G434" s="269" t="s">
        <v>3400</v>
      </c>
      <c r="H434" s="845" t="s">
        <v>3401</v>
      </c>
      <c r="I434" s="208" t="s">
        <v>3402</v>
      </c>
      <c r="J434" s="240" t="s">
        <v>140</v>
      </c>
      <c r="K434" s="270" t="s">
        <v>140</v>
      </c>
      <c r="L434" s="862" t="s">
        <v>3403</v>
      </c>
      <c r="M434" s="847" t="s">
        <v>973</v>
      </c>
      <c r="N434" s="211" t="s">
        <v>974</v>
      </c>
      <c r="O434" s="240" t="s">
        <v>3404</v>
      </c>
      <c r="P434" s="240" t="s">
        <v>3405</v>
      </c>
      <c r="Q434" s="845" t="s">
        <v>3406</v>
      </c>
      <c r="R434" s="208" t="s">
        <v>3407</v>
      </c>
      <c r="S434" s="864" t="s">
        <v>147</v>
      </c>
      <c r="T434" s="212" t="s">
        <v>144</v>
      </c>
      <c r="U434" s="213" t="s">
        <v>144</v>
      </c>
      <c r="V434" s="307">
        <v>1</v>
      </c>
      <c r="W434" s="415" t="s">
        <v>144</v>
      </c>
      <c r="X434" s="212">
        <v>40</v>
      </c>
      <c r="Y434" s="212" t="s">
        <v>144</v>
      </c>
      <c r="Z434" s="433" t="s">
        <v>144</v>
      </c>
      <c r="AA434" s="437" t="s">
        <v>3408</v>
      </c>
      <c r="AB434" s="206" t="s">
        <v>140</v>
      </c>
      <c r="AC434" s="847" t="s">
        <v>265</v>
      </c>
      <c r="AD434" s="847" t="s">
        <v>2643</v>
      </c>
      <c r="AE434" s="847" t="s">
        <v>144</v>
      </c>
      <c r="AF434" s="848" t="s">
        <v>144</v>
      </c>
      <c r="AG434" s="838"/>
      <c r="AH434" s="866" t="s">
        <v>3409</v>
      </c>
      <c r="AI434" s="273" t="s">
        <v>3410</v>
      </c>
      <c r="AJ434" s="847">
        <v>6</v>
      </c>
      <c r="AK434" s="878" t="s">
        <v>3411</v>
      </c>
      <c r="AL434" s="867" t="s">
        <v>294</v>
      </c>
      <c r="AM434" s="273" t="s">
        <v>295</v>
      </c>
      <c r="AN434" s="847">
        <v>7</v>
      </c>
      <c r="AO434" s="187" t="s">
        <v>966</v>
      </c>
      <c r="AP434" s="867"/>
      <c r="AQ434" s="273"/>
      <c r="AR434" s="847"/>
      <c r="AS434" s="848"/>
      <c r="AT434" s="867"/>
      <c r="AU434" s="273"/>
      <c r="AV434" s="847"/>
      <c r="AW434" s="848"/>
      <c r="AX434" s="867"/>
      <c r="AY434" s="273"/>
      <c r="AZ434" s="847"/>
      <c r="BA434" s="848"/>
      <c r="BB434" s="866"/>
      <c r="BC434" s="273"/>
      <c r="BD434" s="847"/>
      <c r="BE434" s="848"/>
      <c r="BF434" s="838"/>
    </row>
    <row r="435" spans="1:58" s="57" customFormat="1" ht="54" customHeight="1" x14ac:dyDescent="0.25">
      <c r="A435" s="275" t="s">
        <v>1687</v>
      </c>
      <c r="B435" s="276">
        <v>200</v>
      </c>
      <c r="C435" s="253" t="s">
        <v>144</v>
      </c>
      <c r="D435" s="253" t="s">
        <v>144</v>
      </c>
      <c r="E435" s="276" t="s">
        <v>3412</v>
      </c>
      <c r="F435" s="277" t="s">
        <v>251</v>
      </c>
      <c r="G435" s="277" t="s">
        <v>251</v>
      </c>
      <c r="H435" s="220" t="s">
        <v>336</v>
      </c>
      <c r="I435" s="218" t="s">
        <v>337</v>
      </c>
      <c r="J435" s="253" t="s">
        <v>144</v>
      </c>
      <c r="K435" s="253" t="s">
        <v>144</v>
      </c>
      <c r="L435" s="718" t="s">
        <v>3413</v>
      </c>
      <c r="M435" s="253" t="s">
        <v>144</v>
      </c>
      <c r="N435" s="253" t="s">
        <v>144</v>
      </c>
      <c r="O435" s="253" t="s">
        <v>144</v>
      </c>
      <c r="P435" s="253" t="s">
        <v>144</v>
      </c>
      <c r="Q435" s="220" t="s">
        <v>338</v>
      </c>
      <c r="R435" s="220" t="s">
        <v>339</v>
      </c>
      <c r="S435" s="276" t="s">
        <v>147</v>
      </c>
      <c r="T435" s="221" t="s">
        <v>144</v>
      </c>
      <c r="U435" s="221" t="s">
        <v>144</v>
      </c>
      <c r="V435" s="253">
        <v>30</v>
      </c>
      <c r="W435" s="217" t="s">
        <v>144</v>
      </c>
      <c r="X435" s="221" t="s">
        <v>144</v>
      </c>
      <c r="Y435" s="221" t="s">
        <v>144</v>
      </c>
      <c r="Z435" s="221" t="s">
        <v>144</v>
      </c>
      <c r="AA435" s="253" t="s">
        <v>144</v>
      </c>
      <c r="AB435" s="217" t="s">
        <v>144</v>
      </c>
      <c r="AC435" s="253" t="s">
        <v>265</v>
      </c>
      <c r="AD435" s="253" t="s">
        <v>144</v>
      </c>
      <c r="AE435" s="253" t="s">
        <v>144</v>
      </c>
      <c r="AF435" s="254" t="s">
        <v>144</v>
      </c>
      <c r="AG435" s="838"/>
      <c r="AH435" s="280"/>
      <c r="AI435" s="281"/>
      <c r="AJ435" s="253"/>
      <c r="AK435" s="878"/>
      <c r="AL435" s="281"/>
      <c r="AM435" s="281"/>
      <c r="AN435" s="253"/>
      <c r="AO435" s="254"/>
      <c r="AP435" s="281"/>
      <c r="AQ435" s="281"/>
      <c r="AR435" s="253"/>
      <c r="AS435" s="254"/>
      <c r="AT435" s="281"/>
      <c r="AU435" s="281"/>
      <c r="AV435" s="253"/>
      <c r="AW435" s="254"/>
      <c r="AX435" s="281"/>
      <c r="AY435" s="281"/>
      <c r="AZ435" s="253"/>
      <c r="BA435" s="254"/>
      <c r="BB435" s="280"/>
      <c r="BC435" s="281"/>
      <c r="BD435" s="253"/>
      <c r="BE435" s="254"/>
      <c r="BF435" s="838"/>
    </row>
    <row r="436" spans="1:58" s="88" customFormat="1" ht="54" hidden="1" customHeight="1" x14ac:dyDescent="0.25">
      <c r="A436" s="267" t="s">
        <v>1687</v>
      </c>
      <c r="B436" s="268">
        <v>201</v>
      </c>
      <c r="C436" s="240" t="s">
        <v>2513</v>
      </c>
      <c r="D436" s="270" t="s">
        <v>2514</v>
      </c>
      <c r="E436" s="268" t="s">
        <v>3414</v>
      </c>
      <c r="F436" s="861" t="s">
        <v>3415</v>
      </c>
      <c r="G436" s="269" t="s">
        <v>3416</v>
      </c>
      <c r="H436" s="861" t="s">
        <v>3417</v>
      </c>
      <c r="I436" s="269" t="s">
        <v>3418</v>
      </c>
      <c r="J436" s="296" t="s">
        <v>140</v>
      </c>
      <c r="K436" s="297" t="s">
        <v>140</v>
      </c>
      <c r="L436" s="862" t="s">
        <v>3419</v>
      </c>
      <c r="M436" s="847" t="s">
        <v>973</v>
      </c>
      <c r="N436" s="270" t="s">
        <v>974</v>
      </c>
      <c r="O436" s="240" t="s">
        <v>144</v>
      </c>
      <c r="P436" s="240" t="s">
        <v>144</v>
      </c>
      <c r="Q436" s="887" t="s">
        <v>3420</v>
      </c>
      <c r="R436" s="445" t="s">
        <v>3421</v>
      </c>
      <c r="S436" s="864" t="s">
        <v>147</v>
      </c>
      <c r="T436" s="212" t="s">
        <v>144</v>
      </c>
      <c r="U436" s="213" t="s">
        <v>144</v>
      </c>
      <c r="V436" s="307">
        <v>12</v>
      </c>
      <c r="W436" s="415" t="s">
        <v>144</v>
      </c>
      <c r="X436" s="212">
        <v>40</v>
      </c>
      <c r="Y436" s="212" t="s">
        <v>144</v>
      </c>
      <c r="Z436" s="241" t="s">
        <v>29</v>
      </c>
      <c r="AA436" s="407" t="s">
        <v>3422</v>
      </c>
      <c r="AB436" s="206" t="s">
        <v>140</v>
      </c>
      <c r="AC436" s="847" t="s">
        <v>265</v>
      </c>
      <c r="AD436" s="240" t="s">
        <v>3423</v>
      </c>
      <c r="AE436" s="847" t="s">
        <v>144</v>
      </c>
      <c r="AF436" s="848" t="s">
        <v>144</v>
      </c>
      <c r="AG436" s="838"/>
      <c r="AH436" s="463" t="s">
        <v>3424</v>
      </c>
      <c r="AI436" s="406" t="s">
        <v>3425</v>
      </c>
      <c r="AJ436" s="407">
        <v>6</v>
      </c>
      <c r="AK436" s="871" t="s">
        <v>3426</v>
      </c>
      <c r="AL436" s="867"/>
      <c r="AM436" s="273"/>
      <c r="AN436" s="847"/>
      <c r="AO436" s="848"/>
      <c r="AP436" s="867" t="s">
        <v>3427</v>
      </c>
      <c r="AQ436" s="273" t="s">
        <v>3428</v>
      </c>
      <c r="AR436" s="847">
        <v>6</v>
      </c>
      <c r="AS436" s="848" t="s">
        <v>2790</v>
      </c>
      <c r="AT436" s="867"/>
      <c r="AU436" s="273"/>
      <c r="AV436" s="847"/>
      <c r="AW436" s="848"/>
      <c r="AX436" s="867"/>
      <c r="AY436" s="273"/>
      <c r="AZ436" s="847"/>
      <c r="BA436" s="848"/>
      <c r="BB436" s="866"/>
      <c r="BC436" s="273"/>
      <c r="BD436" s="847"/>
      <c r="BE436" s="848"/>
      <c r="BF436" s="838"/>
    </row>
    <row r="437" spans="1:58" s="88" customFormat="1" ht="54" hidden="1" customHeight="1" x14ac:dyDescent="0.25">
      <c r="A437" s="267" t="s">
        <v>1687</v>
      </c>
      <c r="B437" s="268">
        <v>202</v>
      </c>
      <c r="C437" s="240" t="s">
        <v>2513</v>
      </c>
      <c r="D437" s="270" t="s">
        <v>2514</v>
      </c>
      <c r="E437" s="268" t="s">
        <v>3429</v>
      </c>
      <c r="F437" s="861" t="s">
        <v>3430</v>
      </c>
      <c r="G437" s="269" t="s">
        <v>3431</v>
      </c>
      <c r="H437" s="845" t="s">
        <v>3432</v>
      </c>
      <c r="I437" s="269" t="s">
        <v>3433</v>
      </c>
      <c r="J437" s="296" t="s">
        <v>140</v>
      </c>
      <c r="K437" s="297" t="s">
        <v>140</v>
      </c>
      <c r="L437" s="862" t="s">
        <v>3434</v>
      </c>
      <c r="M437" s="847" t="s">
        <v>973</v>
      </c>
      <c r="N437" s="211" t="s">
        <v>974</v>
      </c>
      <c r="O437" s="240" t="s">
        <v>2797</v>
      </c>
      <c r="P437" s="240" t="s">
        <v>2798</v>
      </c>
      <c r="Q437" s="845" t="s">
        <v>3435</v>
      </c>
      <c r="R437" s="208" t="s">
        <v>3436</v>
      </c>
      <c r="S437" s="864" t="s">
        <v>147</v>
      </c>
      <c r="T437" s="212" t="s">
        <v>144</v>
      </c>
      <c r="U437" s="213" t="s">
        <v>144</v>
      </c>
      <c r="V437" s="307">
        <v>1</v>
      </c>
      <c r="W437" s="415" t="s">
        <v>144</v>
      </c>
      <c r="X437" s="212">
        <v>40</v>
      </c>
      <c r="Y437" s="212" t="s">
        <v>144</v>
      </c>
      <c r="Z437" s="241" t="s">
        <v>29</v>
      </c>
      <c r="AA437" s="437" t="s">
        <v>1545</v>
      </c>
      <c r="AB437" s="206" t="s">
        <v>140</v>
      </c>
      <c r="AC437" s="847" t="s">
        <v>265</v>
      </c>
      <c r="AD437" s="847" t="s">
        <v>3437</v>
      </c>
      <c r="AE437" s="847" t="s">
        <v>144</v>
      </c>
      <c r="AF437" s="848" t="s">
        <v>144</v>
      </c>
      <c r="AG437" s="838"/>
      <c r="AH437" s="885" t="s">
        <v>3438</v>
      </c>
      <c r="AI437" s="406" t="s">
        <v>3439</v>
      </c>
      <c r="AJ437" s="872">
        <v>6</v>
      </c>
      <c r="AK437" s="871" t="s">
        <v>3440</v>
      </c>
      <c r="AL437" s="867" t="s">
        <v>294</v>
      </c>
      <c r="AM437" s="273" t="s">
        <v>295</v>
      </c>
      <c r="AN437" s="847">
        <v>7</v>
      </c>
      <c r="AO437" s="187" t="s">
        <v>966</v>
      </c>
      <c r="AP437" s="867"/>
      <c r="AQ437" s="273"/>
      <c r="AR437" s="847"/>
      <c r="AS437" s="848"/>
      <c r="AT437" s="867"/>
      <c r="AU437" s="273"/>
      <c r="AV437" s="847"/>
      <c r="AW437" s="848"/>
      <c r="AX437" s="867"/>
      <c r="AY437" s="273"/>
      <c r="AZ437" s="847"/>
      <c r="BA437" s="848"/>
      <c r="BB437" s="866"/>
      <c r="BC437" s="273"/>
      <c r="BD437" s="847"/>
      <c r="BE437" s="848"/>
      <c r="BF437" s="838"/>
    </row>
    <row r="438" spans="1:58" s="88" customFormat="1" ht="54" hidden="1" customHeight="1" x14ac:dyDescent="0.25">
      <c r="A438" s="267" t="s">
        <v>1687</v>
      </c>
      <c r="B438" s="268">
        <v>203</v>
      </c>
      <c r="C438" s="240" t="s">
        <v>2513</v>
      </c>
      <c r="D438" s="270" t="s">
        <v>2514</v>
      </c>
      <c r="E438" s="268" t="s">
        <v>3441</v>
      </c>
      <c r="F438" s="861" t="s">
        <v>3442</v>
      </c>
      <c r="G438" s="269" t="s">
        <v>3443</v>
      </c>
      <c r="H438" s="845" t="s">
        <v>3444</v>
      </c>
      <c r="I438" s="269" t="s">
        <v>3445</v>
      </c>
      <c r="J438" s="296" t="s">
        <v>140</v>
      </c>
      <c r="K438" s="297" t="s">
        <v>140</v>
      </c>
      <c r="L438" s="862" t="s">
        <v>3446</v>
      </c>
      <c r="M438" s="847" t="s">
        <v>973</v>
      </c>
      <c r="N438" s="211" t="s">
        <v>974</v>
      </c>
      <c r="O438" s="240" t="s">
        <v>144</v>
      </c>
      <c r="P438" s="240" t="s">
        <v>144</v>
      </c>
      <c r="Q438" s="845" t="s">
        <v>144</v>
      </c>
      <c r="R438" s="208" t="s">
        <v>144</v>
      </c>
      <c r="S438" s="181" t="s">
        <v>233</v>
      </c>
      <c r="T438" s="212" t="s">
        <v>234</v>
      </c>
      <c r="U438" s="213" t="s">
        <v>235</v>
      </c>
      <c r="V438" s="307">
        <v>8</v>
      </c>
      <c r="W438" s="415" t="s">
        <v>144</v>
      </c>
      <c r="X438" s="212">
        <v>40</v>
      </c>
      <c r="Y438" s="212" t="s">
        <v>144</v>
      </c>
      <c r="Z438" s="241" t="s">
        <v>29</v>
      </c>
      <c r="AA438" s="437" t="s">
        <v>3447</v>
      </c>
      <c r="AB438" s="206" t="s">
        <v>140</v>
      </c>
      <c r="AC438" s="847" t="s">
        <v>265</v>
      </c>
      <c r="AD438" s="847" t="s">
        <v>3448</v>
      </c>
      <c r="AE438" s="847" t="s">
        <v>144</v>
      </c>
      <c r="AF438" s="848" t="s">
        <v>144</v>
      </c>
      <c r="AG438" s="838"/>
      <c r="AH438" s="885" t="s">
        <v>3449</v>
      </c>
      <c r="AI438" s="406" t="s">
        <v>3450</v>
      </c>
      <c r="AJ438" s="872">
        <v>6</v>
      </c>
      <c r="AK438" s="871" t="s">
        <v>3451</v>
      </c>
      <c r="AL438" s="867"/>
      <c r="AM438" s="273"/>
      <c r="AN438" s="847"/>
      <c r="AO438" s="848"/>
      <c r="AP438" s="867"/>
      <c r="AQ438" s="273"/>
      <c r="AR438" s="847"/>
      <c r="AS438" s="848"/>
      <c r="AT438" s="867"/>
      <c r="AU438" s="273"/>
      <c r="AV438" s="847"/>
      <c r="AW438" s="848"/>
      <c r="AX438" s="867"/>
      <c r="AY438" s="273"/>
      <c r="AZ438" s="847"/>
      <c r="BA438" s="848"/>
      <c r="BB438" s="866"/>
      <c r="BC438" s="273"/>
      <c r="BD438" s="847"/>
      <c r="BE438" s="848"/>
      <c r="BF438" s="838"/>
    </row>
    <row r="439" spans="1:58" s="88" customFormat="1" ht="54" hidden="1" customHeight="1" x14ac:dyDescent="0.25">
      <c r="A439" s="267" t="s">
        <v>1687</v>
      </c>
      <c r="B439" s="268">
        <v>204</v>
      </c>
      <c r="C439" s="240" t="s">
        <v>2513</v>
      </c>
      <c r="D439" s="270" t="s">
        <v>2514</v>
      </c>
      <c r="E439" s="268" t="s">
        <v>3452</v>
      </c>
      <c r="F439" s="861" t="s">
        <v>3453</v>
      </c>
      <c r="G439" s="269" t="s">
        <v>3454</v>
      </c>
      <c r="H439" s="845" t="s">
        <v>3455</v>
      </c>
      <c r="I439" s="269" t="s">
        <v>3456</v>
      </c>
      <c r="J439" s="296" t="s">
        <v>140</v>
      </c>
      <c r="K439" s="297" t="s">
        <v>140</v>
      </c>
      <c r="L439" s="862" t="s">
        <v>3457</v>
      </c>
      <c r="M439" s="847" t="s">
        <v>973</v>
      </c>
      <c r="N439" s="211" t="s">
        <v>974</v>
      </c>
      <c r="O439" s="240" t="s">
        <v>2771</v>
      </c>
      <c r="P439" s="240" t="s">
        <v>2772</v>
      </c>
      <c r="Q439" s="845" t="s">
        <v>144</v>
      </c>
      <c r="R439" s="208" t="s">
        <v>144</v>
      </c>
      <c r="S439" s="864" t="s">
        <v>147</v>
      </c>
      <c r="T439" s="212" t="s">
        <v>144</v>
      </c>
      <c r="U439" s="213" t="s">
        <v>144</v>
      </c>
      <c r="V439" s="307">
        <v>2</v>
      </c>
      <c r="W439" s="415" t="s">
        <v>144</v>
      </c>
      <c r="X439" s="212">
        <v>40</v>
      </c>
      <c r="Y439" s="212" t="s">
        <v>144</v>
      </c>
      <c r="Z439" s="241" t="s">
        <v>29</v>
      </c>
      <c r="AA439" s="437" t="s">
        <v>3458</v>
      </c>
      <c r="AB439" s="206" t="s">
        <v>140</v>
      </c>
      <c r="AC439" s="847" t="s">
        <v>265</v>
      </c>
      <c r="AD439" s="847" t="s">
        <v>3459</v>
      </c>
      <c r="AE439" s="847" t="s">
        <v>144</v>
      </c>
      <c r="AF439" s="848" t="s">
        <v>144</v>
      </c>
      <c r="AG439" s="838"/>
      <c r="AH439" s="885" t="s">
        <v>3460</v>
      </c>
      <c r="AI439" s="406" t="s">
        <v>3461</v>
      </c>
      <c r="AJ439" s="872">
        <v>6</v>
      </c>
      <c r="AK439" s="871" t="s">
        <v>3462</v>
      </c>
      <c r="AL439" s="867" t="s">
        <v>294</v>
      </c>
      <c r="AM439" s="273" t="s">
        <v>295</v>
      </c>
      <c r="AN439" s="847">
        <v>7</v>
      </c>
      <c r="AO439" s="187" t="s">
        <v>966</v>
      </c>
      <c r="AP439" s="867"/>
      <c r="AQ439" s="273"/>
      <c r="AR439" s="847"/>
      <c r="AS439" s="848"/>
      <c r="AT439" s="867"/>
      <c r="AU439" s="273"/>
      <c r="AV439" s="847"/>
      <c r="AW439" s="848"/>
      <c r="AX439" s="867"/>
      <c r="AY439" s="273"/>
      <c r="AZ439" s="847"/>
      <c r="BA439" s="848"/>
      <c r="BB439" s="866"/>
      <c r="BC439" s="273"/>
      <c r="BD439" s="847"/>
      <c r="BE439" s="848"/>
      <c r="BF439" s="838"/>
    </row>
    <row r="440" spans="1:58" s="88" customFormat="1" ht="54" hidden="1" customHeight="1" x14ac:dyDescent="0.25">
      <c r="A440" s="267" t="s">
        <v>1687</v>
      </c>
      <c r="B440" s="268">
        <v>205</v>
      </c>
      <c r="C440" s="240" t="s">
        <v>2513</v>
      </c>
      <c r="D440" s="270" t="s">
        <v>2514</v>
      </c>
      <c r="E440" s="268" t="s">
        <v>3463</v>
      </c>
      <c r="F440" s="886" t="s">
        <v>3464</v>
      </c>
      <c r="G440" s="430" t="s">
        <v>3465</v>
      </c>
      <c r="H440" s="845" t="s">
        <v>3466</v>
      </c>
      <c r="I440" s="269" t="s">
        <v>3467</v>
      </c>
      <c r="J440" s="296" t="s">
        <v>140</v>
      </c>
      <c r="K440" s="297" t="s">
        <v>140</v>
      </c>
      <c r="L440" s="862" t="s">
        <v>3468</v>
      </c>
      <c r="M440" s="847" t="s">
        <v>973</v>
      </c>
      <c r="N440" s="211" t="s">
        <v>974</v>
      </c>
      <c r="O440" s="240" t="s">
        <v>2760</v>
      </c>
      <c r="P440" s="240" t="s">
        <v>2761</v>
      </c>
      <c r="Q440" s="845" t="s">
        <v>3435</v>
      </c>
      <c r="R440" s="208" t="s">
        <v>3436</v>
      </c>
      <c r="S440" s="864" t="s">
        <v>147</v>
      </c>
      <c r="T440" s="212" t="s">
        <v>144</v>
      </c>
      <c r="U440" s="213" t="s">
        <v>144</v>
      </c>
      <c r="V440" s="307">
        <v>2</v>
      </c>
      <c r="W440" s="415" t="s">
        <v>144</v>
      </c>
      <c r="X440" s="212">
        <v>40</v>
      </c>
      <c r="Y440" s="212" t="s">
        <v>144</v>
      </c>
      <c r="Z440" s="241" t="s">
        <v>29</v>
      </c>
      <c r="AA440" s="437" t="s">
        <v>3458</v>
      </c>
      <c r="AB440" s="206" t="s">
        <v>140</v>
      </c>
      <c r="AC440" s="847" t="s">
        <v>265</v>
      </c>
      <c r="AD440" s="847" t="s">
        <v>3469</v>
      </c>
      <c r="AE440" s="847" t="s">
        <v>144</v>
      </c>
      <c r="AF440" s="848" t="s">
        <v>144</v>
      </c>
      <c r="AG440" s="838"/>
      <c r="AH440" s="885" t="s">
        <v>3449</v>
      </c>
      <c r="AI440" s="406" t="s">
        <v>3450</v>
      </c>
      <c r="AJ440" s="872">
        <v>6</v>
      </c>
      <c r="AK440" s="871" t="s">
        <v>3470</v>
      </c>
      <c r="AL440" s="867" t="s">
        <v>294</v>
      </c>
      <c r="AM440" s="273" t="s">
        <v>295</v>
      </c>
      <c r="AN440" s="847">
        <v>7</v>
      </c>
      <c r="AO440" s="187" t="s">
        <v>966</v>
      </c>
      <c r="AP440" s="867"/>
      <c r="AQ440" s="273"/>
      <c r="AR440" s="847"/>
      <c r="AS440" s="848"/>
      <c r="AT440" s="867"/>
      <c r="AU440" s="273"/>
      <c r="AV440" s="847"/>
      <c r="AW440" s="848"/>
      <c r="AX440" s="867"/>
      <c r="AY440" s="273"/>
      <c r="AZ440" s="847"/>
      <c r="BA440" s="848"/>
      <c r="BB440" s="866"/>
      <c r="BC440" s="273"/>
      <c r="BD440" s="847"/>
      <c r="BE440" s="848"/>
      <c r="BF440" s="838"/>
    </row>
    <row r="441" spans="1:58" s="88" customFormat="1" ht="54" hidden="1" customHeight="1" x14ac:dyDescent="0.25">
      <c r="A441" s="267" t="s">
        <v>1687</v>
      </c>
      <c r="B441" s="268">
        <v>206</v>
      </c>
      <c r="C441" s="240" t="s">
        <v>2513</v>
      </c>
      <c r="D441" s="270" t="s">
        <v>2514</v>
      </c>
      <c r="E441" s="268" t="s">
        <v>3471</v>
      </c>
      <c r="F441" s="861" t="s">
        <v>3472</v>
      </c>
      <c r="G441" s="269" t="s">
        <v>3473</v>
      </c>
      <c r="H441" s="845" t="s">
        <v>3474</v>
      </c>
      <c r="I441" s="269" t="s">
        <v>3475</v>
      </c>
      <c r="J441" s="296" t="s">
        <v>140</v>
      </c>
      <c r="K441" s="297" t="s">
        <v>140</v>
      </c>
      <c r="L441" s="862" t="s">
        <v>3476</v>
      </c>
      <c r="M441" s="847" t="s">
        <v>973</v>
      </c>
      <c r="N441" s="211" t="s">
        <v>974</v>
      </c>
      <c r="O441" s="240" t="s">
        <v>144</v>
      </c>
      <c r="P441" s="240" t="s">
        <v>144</v>
      </c>
      <c r="Q441" s="845" t="s">
        <v>3477</v>
      </c>
      <c r="R441" s="208" t="s">
        <v>3478</v>
      </c>
      <c r="S441" s="864" t="s">
        <v>147</v>
      </c>
      <c r="T441" s="212" t="s">
        <v>144</v>
      </c>
      <c r="U441" s="213" t="s">
        <v>144</v>
      </c>
      <c r="V441" s="307">
        <v>20</v>
      </c>
      <c r="W441" s="415" t="s">
        <v>144</v>
      </c>
      <c r="X441" s="212">
        <v>40</v>
      </c>
      <c r="Y441" s="212" t="s">
        <v>144</v>
      </c>
      <c r="Z441" s="241" t="s">
        <v>144</v>
      </c>
      <c r="AA441" s="437" t="s">
        <v>3479</v>
      </c>
      <c r="AB441" s="206" t="s">
        <v>140</v>
      </c>
      <c r="AC441" s="847" t="s">
        <v>265</v>
      </c>
      <c r="AD441" s="847" t="s">
        <v>3480</v>
      </c>
      <c r="AE441" s="847" t="s">
        <v>144</v>
      </c>
      <c r="AF441" s="848" t="s">
        <v>144</v>
      </c>
      <c r="AG441" s="838"/>
      <c r="AH441" s="866" t="s">
        <v>3481</v>
      </c>
      <c r="AI441" s="273" t="s">
        <v>3482</v>
      </c>
      <c r="AJ441" s="847">
        <v>6</v>
      </c>
      <c r="AK441" s="878" t="s">
        <v>3483</v>
      </c>
      <c r="AL441" s="867"/>
      <c r="AM441" s="273"/>
      <c r="AN441" s="847"/>
      <c r="AO441" s="848"/>
      <c r="AP441" s="867"/>
      <c r="AQ441" s="273"/>
      <c r="AR441" s="847"/>
      <c r="AS441" s="848"/>
      <c r="AT441" s="867"/>
      <c r="AU441" s="273"/>
      <c r="AV441" s="847"/>
      <c r="AW441" s="848"/>
      <c r="AX441" s="867" t="s">
        <v>1047</v>
      </c>
      <c r="AY441" s="273" t="s">
        <v>1048</v>
      </c>
      <c r="AZ441" s="847">
        <v>6</v>
      </c>
      <c r="BA441" s="848" t="s">
        <v>1049</v>
      </c>
      <c r="BB441" s="866"/>
      <c r="BC441" s="273"/>
      <c r="BD441" s="847"/>
      <c r="BE441" s="848"/>
      <c r="BF441" s="838"/>
    </row>
    <row r="442" spans="1:58" s="88" customFormat="1" ht="54" hidden="1" customHeight="1" x14ac:dyDescent="0.25">
      <c r="A442" s="267" t="s">
        <v>1687</v>
      </c>
      <c r="B442" s="268">
        <v>207</v>
      </c>
      <c r="C442" s="240" t="s">
        <v>2513</v>
      </c>
      <c r="D442" s="270" t="s">
        <v>2514</v>
      </c>
      <c r="E442" s="268" t="s">
        <v>3484</v>
      </c>
      <c r="F442" s="861" t="s">
        <v>3485</v>
      </c>
      <c r="G442" s="269" t="s">
        <v>3486</v>
      </c>
      <c r="H442" s="845" t="s">
        <v>3487</v>
      </c>
      <c r="I442" s="269" t="s">
        <v>3488</v>
      </c>
      <c r="J442" s="296" t="s">
        <v>140</v>
      </c>
      <c r="K442" s="297" t="s">
        <v>140</v>
      </c>
      <c r="L442" s="862" t="s">
        <v>3489</v>
      </c>
      <c r="M442" s="847" t="s">
        <v>193</v>
      </c>
      <c r="N442" s="211" t="s">
        <v>194</v>
      </c>
      <c r="O442" s="240" t="s">
        <v>144</v>
      </c>
      <c r="P442" s="240" t="s">
        <v>144</v>
      </c>
      <c r="Q442" s="845" t="s">
        <v>3252</v>
      </c>
      <c r="R442" s="208" t="s">
        <v>3253</v>
      </c>
      <c r="S442" s="864" t="s">
        <v>147</v>
      </c>
      <c r="T442" s="212" t="s">
        <v>144</v>
      </c>
      <c r="U442" s="213" t="s">
        <v>144</v>
      </c>
      <c r="V442" s="307">
        <v>10</v>
      </c>
      <c r="W442" s="415" t="s">
        <v>144</v>
      </c>
      <c r="X442" s="212">
        <v>40</v>
      </c>
      <c r="Y442" s="212" t="s">
        <v>144</v>
      </c>
      <c r="Z442" s="241" t="s">
        <v>25</v>
      </c>
      <c r="AA442" s="437" t="s">
        <v>3490</v>
      </c>
      <c r="AB442" s="206" t="s">
        <v>140</v>
      </c>
      <c r="AC442" s="847" t="s">
        <v>265</v>
      </c>
      <c r="AD442" s="847" t="s">
        <v>3480</v>
      </c>
      <c r="AE442" s="847" t="s">
        <v>144</v>
      </c>
      <c r="AF442" s="848" t="s">
        <v>144</v>
      </c>
      <c r="AG442" s="838"/>
      <c r="AH442" s="866"/>
      <c r="AI442" s="273"/>
      <c r="AJ442" s="847"/>
      <c r="AK442" s="878"/>
      <c r="AL442" s="867"/>
      <c r="AM442" s="273"/>
      <c r="AN442" s="847"/>
      <c r="AO442" s="848"/>
      <c r="AP442" s="867"/>
      <c r="AQ442" s="273"/>
      <c r="AR442" s="847"/>
      <c r="AS442" s="848"/>
      <c r="AT442" s="867"/>
      <c r="AU442" s="273"/>
      <c r="AV442" s="847"/>
      <c r="AW442" s="848"/>
      <c r="AX442" s="873" t="s">
        <v>3491</v>
      </c>
      <c r="AY442" s="406" t="s">
        <v>3492</v>
      </c>
      <c r="AZ442" s="872" t="s">
        <v>1061</v>
      </c>
      <c r="BA442" s="878" t="s">
        <v>1732</v>
      </c>
      <c r="BB442" s="866"/>
      <c r="BC442" s="273"/>
      <c r="BD442" s="847"/>
      <c r="BE442" s="848"/>
      <c r="BF442" s="838"/>
    </row>
    <row r="443" spans="1:58" s="57" customFormat="1" ht="54" customHeight="1" x14ac:dyDescent="0.25">
      <c r="A443" s="275" t="s">
        <v>1687</v>
      </c>
      <c r="B443" s="276">
        <v>208</v>
      </c>
      <c r="C443" s="253" t="s">
        <v>144</v>
      </c>
      <c r="D443" s="253" t="s">
        <v>144</v>
      </c>
      <c r="E443" s="276" t="s">
        <v>3493</v>
      </c>
      <c r="F443" s="277" t="s">
        <v>251</v>
      </c>
      <c r="G443" s="277" t="s">
        <v>251</v>
      </c>
      <c r="H443" s="220" t="s">
        <v>336</v>
      </c>
      <c r="I443" s="277" t="s">
        <v>337</v>
      </c>
      <c r="J443" s="302" t="s">
        <v>144</v>
      </c>
      <c r="K443" s="302" t="s">
        <v>144</v>
      </c>
      <c r="L443" s="718" t="s">
        <v>3494</v>
      </c>
      <c r="M443" s="253" t="s">
        <v>144</v>
      </c>
      <c r="N443" s="253" t="s">
        <v>144</v>
      </c>
      <c r="O443" s="253" t="s">
        <v>144</v>
      </c>
      <c r="P443" s="253" t="s">
        <v>144</v>
      </c>
      <c r="Q443" s="220" t="s">
        <v>338</v>
      </c>
      <c r="R443" s="220" t="s">
        <v>339</v>
      </c>
      <c r="S443" s="276" t="s">
        <v>147</v>
      </c>
      <c r="T443" s="221" t="s">
        <v>144</v>
      </c>
      <c r="U443" s="221" t="s">
        <v>144</v>
      </c>
      <c r="V443" s="253">
        <v>24</v>
      </c>
      <c r="W443" s="217" t="s">
        <v>144</v>
      </c>
      <c r="X443" s="221" t="s">
        <v>144</v>
      </c>
      <c r="Y443" s="221" t="s">
        <v>144</v>
      </c>
      <c r="Z443" s="221" t="s">
        <v>144</v>
      </c>
      <c r="AA443" s="253" t="s">
        <v>144</v>
      </c>
      <c r="AB443" s="217" t="s">
        <v>144</v>
      </c>
      <c r="AC443" s="253" t="s">
        <v>265</v>
      </c>
      <c r="AD443" s="253" t="s">
        <v>144</v>
      </c>
      <c r="AE443" s="253" t="s">
        <v>144</v>
      </c>
      <c r="AF443" s="254" t="s">
        <v>144</v>
      </c>
      <c r="AG443" s="838"/>
      <c r="AH443" s="280"/>
      <c r="AI443" s="281"/>
      <c r="AJ443" s="253"/>
      <c r="AK443" s="878"/>
      <c r="AL443" s="281"/>
      <c r="AM443" s="281"/>
      <c r="AN443" s="253"/>
      <c r="AO443" s="254"/>
      <c r="AP443" s="281"/>
      <c r="AQ443" s="281"/>
      <c r="AR443" s="253"/>
      <c r="AS443" s="254"/>
      <c r="AT443" s="281"/>
      <c r="AU443" s="281"/>
      <c r="AV443" s="253"/>
      <c r="AW443" s="254"/>
      <c r="AX443" s="281"/>
      <c r="AY443" s="281"/>
      <c r="AZ443" s="253"/>
      <c r="BA443" s="254"/>
      <c r="BB443" s="280"/>
      <c r="BC443" s="281"/>
      <c r="BD443" s="253"/>
      <c r="BE443" s="254"/>
      <c r="BF443" s="838"/>
    </row>
    <row r="444" spans="1:58" s="88" customFormat="1" ht="54" hidden="1" customHeight="1" x14ac:dyDescent="0.25">
      <c r="A444" s="267" t="s">
        <v>1687</v>
      </c>
      <c r="B444" s="268">
        <v>209</v>
      </c>
      <c r="C444" s="240" t="s">
        <v>2530</v>
      </c>
      <c r="D444" s="270" t="s">
        <v>2531</v>
      </c>
      <c r="E444" s="268" t="s">
        <v>3495</v>
      </c>
      <c r="F444" s="861" t="s">
        <v>3496</v>
      </c>
      <c r="G444" s="269" t="s">
        <v>3497</v>
      </c>
      <c r="H444" s="845" t="s">
        <v>3498</v>
      </c>
      <c r="I444" s="269" t="s">
        <v>3499</v>
      </c>
      <c r="J444" s="296" t="s">
        <v>140</v>
      </c>
      <c r="K444" s="297" t="s">
        <v>140</v>
      </c>
      <c r="L444" s="862" t="s">
        <v>3500</v>
      </c>
      <c r="M444" s="847" t="s">
        <v>973</v>
      </c>
      <c r="N444" s="211" t="s">
        <v>974</v>
      </c>
      <c r="O444" s="240" t="s">
        <v>3501</v>
      </c>
      <c r="P444" s="240" t="s">
        <v>3502</v>
      </c>
      <c r="Q444" s="845" t="s">
        <v>144</v>
      </c>
      <c r="R444" s="208" t="s">
        <v>144</v>
      </c>
      <c r="S444" s="864" t="s">
        <v>147</v>
      </c>
      <c r="T444" s="212" t="s">
        <v>144</v>
      </c>
      <c r="U444" s="213" t="s">
        <v>144</v>
      </c>
      <c r="V444" s="847">
        <v>3</v>
      </c>
      <c r="W444" s="415" t="s">
        <v>144</v>
      </c>
      <c r="X444" s="212">
        <v>41</v>
      </c>
      <c r="Y444" s="212" t="s">
        <v>144</v>
      </c>
      <c r="Z444" s="241" t="s">
        <v>144</v>
      </c>
      <c r="AA444" s="615" t="s">
        <v>733</v>
      </c>
      <c r="AB444" s="206" t="s">
        <v>140</v>
      </c>
      <c r="AC444" s="847" t="s">
        <v>265</v>
      </c>
      <c r="AD444" s="847" t="s">
        <v>3503</v>
      </c>
      <c r="AE444" s="847" t="s">
        <v>144</v>
      </c>
      <c r="AF444" s="848" t="s">
        <v>144</v>
      </c>
      <c r="AG444" s="838"/>
      <c r="AH444" s="291" t="s">
        <v>3409</v>
      </c>
      <c r="AI444" s="273" t="s">
        <v>3410</v>
      </c>
      <c r="AJ444" s="847">
        <v>6</v>
      </c>
      <c r="AK444" s="878" t="s">
        <v>3411</v>
      </c>
      <c r="AL444" s="867" t="s">
        <v>294</v>
      </c>
      <c r="AM444" s="273" t="s">
        <v>295</v>
      </c>
      <c r="AN444" s="847">
        <v>7</v>
      </c>
      <c r="AO444" s="187" t="s">
        <v>966</v>
      </c>
      <c r="AP444" s="867"/>
      <c r="AQ444" s="273"/>
      <c r="AR444" s="847"/>
      <c r="AS444" s="848"/>
      <c r="AT444" s="867"/>
      <c r="AU444" s="273"/>
      <c r="AV444" s="847"/>
      <c r="AW444" s="848"/>
      <c r="AX444" s="867"/>
      <c r="AY444" s="273"/>
      <c r="AZ444" s="847"/>
      <c r="BA444" s="848"/>
      <c r="BB444" s="866"/>
      <c r="BC444" s="273"/>
      <c r="BD444" s="847"/>
      <c r="BE444" s="848"/>
      <c r="BF444" s="838"/>
    </row>
    <row r="445" spans="1:58" s="88" customFormat="1" ht="54" hidden="1" customHeight="1" x14ac:dyDescent="0.25">
      <c r="A445" s="267" t="s">
        <v>1687</v>
      </c>
      <c r="B445" s="268">
        <v>210</v>
      </c>
      <c r="C445" s="240" t="s">
        <v>2530</v>
      </c>
      <c r="D445" s="270" t="s">
        <v>2531</v>
      </c>
      <c r="E445" s="268" t="s">
        <v>3504</v>
      </c>
      <c r="F445" s="861" t="s">
        <v>3505</v>
      </c>
      <c r="G445" s="269" t="s">
        <v>3506</v>
      </c>
      <c r="H445" s="845" t="s">
        <v>3505</v>
      </c>
      <c r="I445" s="269" t="s">
        <v>3507</v>
      </c>
      <c r="J445" s="296" t="s">
        <v>140</v>
      </c>
      <c r="K445" s="297" t="s">
        <v>140</v>
      </c>
      <c r="L445" s="862" t="s">
        <v>3508</v>
      </c>
      <c r="M445" s="847" t="s">
        <v>973</v>
      </c>
      <c r="N445" s="211" t="s">
        <v>974</v>
      </c>
      <c r="O445" s="240" t="s">
        <v>3509</v>
      </c>
      <c r="P445" s="240" t="s">
        <v>3510</v>
      </c>
      <c r="Q445" s="845" t="s">
        <v>144</v>
      </c>
      <c r="R445" s="208" t="s">
        <v>144</v>
      </c>
      <c r="S445" s="864" t="s">
        <v>147</v>
      </c>
      <c r="T445" s="212" t="s">
        <v>144</v>
      </c>
      <c r="U445" s="213" t="s">
        <v>144</v>
      </c>
      <c r="V445" s="847">
        <v>3</v>
      </c>
      <c r="W445" s="415" t="s">
        <v>144</v>
      </c>
      <c r="X445" s="212">
        <v>41</v>
      </c>
      <c r="Y445" s="212" t="s">
        <v>144</v>
      </c>
      <c r="Z445" s="241" t="s">
        <v>144</v>
      </c>
      <c r="AA445" s="615" t="s">
        <v>733</v>
      </c>
      <c r="AB445" s="206" t="s">
        <v>140</v>
      </c>
      <c r="AC445" s="847" t="s">
        <v>265</v>
      </c>
      <c r="AD445" s="847" t="s">
        <v>2701</v>
      </c>
      <c r="AE445" s="847" t="s">
        <v>144</v>
      </c>
      <c r="AF445" s="848" t="s">
        <v>144</v>
      </c>
      <c r="AG445" s="838"/>
      <c r="AH445" s="291" t="s">
        <v>3409</v>
      </c>
      <c r="AI445" s="273" t="s">
        <v>3410</v>
      </c>
      <c r="AJ445" s="847">
        <v>6</v>
      </c>
      <c r="AK445" s="878" t="s">
        <v>3411</v>
      </c>
      <c r="AL445" s="867" t="s">
        <v>294</v>
      </c>
      <c r="AM445" s="273" t="s">
        <v>295</v>
      </c>
      <c r="AN445" s="847">
        <v>7</v>
      </c>
      <c r="AO445" s="187" t="s">
        <v>966</v>
      </c>
      <c r="AP445" s="867"/>
      <c r="AQ445" s="273"/>
      <c r="AR445" s="847"/>
      <c r="AS445" s="848"/>
      <c r="AT445" s="867"/>
      <c r="AU445" s="273"/>
      <c r="AV445" s="847"/>
      <c r="AW445" s="848"/>
      <c r="AX445" s="867"/>
      <c r="AY445" s="273"/>
      <c r="AZ445" s="847"/>
      <c r="BA445" s="848"/>
      <c r="BB445" s="866"/>
      <c r="BC445" s="273"/>
      <c r="BD445" s="847"/>
      <c r="BE445" s="848"/>
      <c r="BF445" s="838"/>
    </row>
    <row r="446" spans="1:58" s="88" customFormat="1" ht="54" hidden="1" customHeight="1" x14ac:dyDescent="0.25">
      <c r="A446" s="267" t="s">
        <v>1687</v>
      </c>
      <c r="B446" s="268">
        <v>211</v>
      </c>
      <c r="C446" s="240" t="s">
        <v>2530</v>
      </c>
      <c r="D446" s="270" t="s">
        <v>2531</v>
      </c>
      <c r="E446" s="268" t="s">
        <v>3511</v>
      </c>
      <c r="F446" s="861" t="s">
        <v>3512</v>
      </c>
      <c r="G446" s="269" t="s">
        <v>3513</v>
      </c>
      <c r="H446" s="845" t="s">
        <v>3514</v>
      </c>
      <c r="I446" s="269" t="s">
        <v>3515</v>
      </c>
      <c r="J446" s="296" t="s">
        <v>140</v>
      </c>
      <c r="K446" s="297" t="s">
        <v>140</v>
      </c>
      <c r="L446" s="862" t="s">
        <v>3516</v>
      </c>
      <c r="M446" s="847" t="s">
        <v>973</v>
      </c>
      <c r="N446" s="211" t="s">
        <v>974</v>
      </c>
      <c r="O446" s="240" t="s">
        <v>144</v>
      </c>
      <c r="P446" s="240" t="s">
        <v>144</v>
      </c>
      <c r="Q446" s="845" t="s">
        <v>3514</v>
      </c>
      <c r="R446" s="208" t="s">
        <v>3515</v>
      </c>
      <c r="S446" s="864" t="s">
        <v>746</v>
      </c>
      <c r="T446" s="212" t="s">
        <v>1104</v>
      </c>
      <c r="U446" s="213" t="s">
        <v>1105</v>
      </c>
      <c r="V446" s="307">
        <v>19</v>
      </c>
      <c r="W446" s="415" t="s">
        <v>144</v>
      </c>
      <c r="X446" s="212">
        <v>40</v>
      </c>
      <c r="Y446" s="212" t="s">
        <v>144</v>
      </c>
      <c r="Z446" s="241" t="s">
        <v>144</v>
      </c>
      <c r="AA446" s="437" t="s">
        <v>3517</v>
      </c>
      <c r="AB446" s="206" t="s">
        <v>140</v>
      </c>
      <c r="AC446" s="847" t="s">
        <v>265</v>
      </c>
      <c r="AD446" s="847" t="s">
        <v>3503</v>
      </c>
      <c r="AE446" s="847" t="s">
        <v>144</v>
      </c>
      <c r="AF446" s="848" t="s">
        <v>144</v>
      </c>
      <c r="AG446" s="838"/>
      <c r="AH446" s="866" t="s">
        <v>3409</v>
      </c>
      <c r="AI446" s="273" t="s">
        <v>3410</v>
      </c>
      <c r="AJ446" s="847">
        <v>7</v>
      </c>
      <c r="AK446" s="878" t="s">
        <v>3411</v>
      </c>
      <c r="AL446" s="867"/>
      <c r="AM446" s="273"/>
      <c r="AN446" s="847"/>
      <c r="AO446" s="848"/>
      <c r="AP446" s="867" t="s">
        <v>1107</v>
      </c>
      <c r="AQ446" s="273" t="s">
        <v>1108</v>
      </c>
      <c r="AR446" s="847">
        <v>7</v>
      </c>
      <c r="AS446" s="286" t="s">
        <v>1109</v>
      </c>
      <c r="AT446" s="867"/>
      <c r="AU446" s="273"/>
      <c r="AV446" s="847"/>
      <c r="AW446" s="848"/>
      <c r="AX446" s="867"/>
      <c r="AY446" s="273"/>
      <c r="AZ446" s="847"/>
      <c r="BA446" s="848"/>
      <c r="BB446" s="866"/>
      <c r="BC446" s="273"/>
      <c r="BD446" s="847"/>
      <c r="BE446" s="848"/>
      <c r="BF446" s="838"/>
    </row>
    <row r="447" spans="1:58" s="88" customFormat="1" ht="54" hidden="1" customHeight="1" x14ac:dyDescent="0.25">
      <c r="A447" s="267" t="s">
        <v>1687</v>
      </c>
      <c r="B447" s="268">
        <v>212</v>
      </c>
      <c r="C447" s="240" t="s">
        <v>2530</v>
      </c>
      <c r="D447" s="270" t="s">
        <v>2531</v>
      </c>
      <c r="E447" s="268" t="s">
        <v>3518</v>
      </c>
      <c r="F447" s="861" t="s">
        <v>3519</v>
      </c>
      <c r="G447" s="269" t="s">
        <v>3520</v>
      </c>
      <c r="H447" s="845" t="s">
        <v>3521</v>
      </c>
      <c r="I447" s="269" t="s">
        <v>3522</v>
      </c>
      <c r="J447" s="296" t="s">
        <v>140</v>
      </c>
      <c r="K447" s="297" t="s">
        <v>140</v>
      </c>
      <c r="L447" s="862" t="s">
        <v>3523</v>
      </c>
      <c r="M447" s="847" t="s">
        <v>973</v>
      </c>
      <c r="N447" s="211" t="s">
        <v>974</v>
      </c>
      <c r="O447" s="240" t="s">
        <v>814</v>
      </c>
      <c r="P447" s="240" t="s">
        <v>815</v>
      </c>
      <c r="Q447" s="845" t="s">
        <v>144</v>
      </c>
      <c r="R447" s="208" t="s">
        <v>144</v>
      </c>
      <c r="S447" s="864" t="s">
        <v>147</v>
      </c>
      <c r="T447" s="212" t="s">
        <v>144</v>
      </c>
      <c r="U447" s="213" t="s">
        <v>144</v>
      </c>
      <c r="V447" s="307">
        <v>3</v>
      </c>
      <c r="W447" s="415" t="s">
        <v>144</v>
      </c>
      <c r="X447" s="212">
        <v>40</v>
      </c>
      <c r="Y447" s="212" t="s">
        <v>144</v>
      </c>
      <c r="Z447" s="241" t="s">
        <v>144</v>
      </c>
      <c r="AA447" s="437" t="s">
        <v>3517</v>
      </c>
      <c r="AB447" s="206" t="s">
        <v>140</v>
      </c>
      <c r="AC447" s="847" t="s">
        <v>265</v>
      </c>
      <c r="AD447" s="847" t="s">
        <v>3503</v>
      </c>
      <c r="AE447" s="847" t="s">
        <v>144</v>
      </c>
      <c r="AF447" s="848" t="s">
        <v>144</v>
      </c>
      <c r="AG447" s="838"/>
      <c r="AH447" s="866" t="s">
        <v>3524</v>
      </c>
      <c r="AI447" s="273" t="s">
        <v>3525</v>
      </c>
      <c r="AJ447" s="847">
        <v>7</v>
      </c>
      <c r="AK447" s="878" t="s">
        <v>1280</v>
      </c>
      <c r="AL447" s="867" t="s">
        <v>294</v>
      </c>
      <c r="AM447" s="273" t="s">
        <v>295</v>
      </c>
      <c r="AN447" s="847">
        <v>7</v>
      </c>
      <c r="AO447" s="187" t="s">
        <v>966</v>
      </c>
      <c r="AP447" s="867"/>
      <c r="AQ447" s="273"/>
      <c r="AR447" s="847"/>
      <c r="AS447" s="848"/>
      <c r="AT447" s="867"/>
      <c r="AU447" s="273"/>
      <c r="AV447" s="847"/>
      <c r="AW447" s="848"/>
      <c r="AX447" s="867"/>
      <c r="AY447" s="273"/>
      <c r="AZ447" s="847"/>
      <c r="BA447" s="848"/>
      <c r="BB447" s="866"/>
      <c r="BC447" s="273"/>
      <c r="BD447" s="847"/>
      <c r="BE447" s="848"/>
      <c r="BF447" s="838"/>
    </row>
    <row r="448" spans="1:58" s="88" customFormat="1" ht="54" hidden="1" customHeight="1" x14ac:dyDescent="0.25">
      <c r="A448" s="267" t="s">
        <v>1687</v>
      </c>
      <c r="B448" s="268">
        <v>213</v>
      </c>
      <c r="C448" s="240" t="s">
        <v>2530</v>
      </c>
      <c r="D448" s="270" t="s">
        <v>2531</v>
      </c>
      <c r="E448" s="268" t="s">
        <v>3526</v>
      </c>
      <c r="F448" s="861" t="s">
        <v>3527</v>
      </c>
      <c r="G448" s="269" t="s">
        <v>3528</v>
      </c>
      <c r="H448" s="845" t="s">
        <v>3529</v>
      </c>
      <c r="I448" s="269" t="s">
        <v>3530</v>
      </c>
      <c r="J448" s="296" t="s">
        <v>140</v>
      </c>
      <c r="K448" s="297" t="s">
        <v>140</v>
      </c>
      <c r="L448" s="862" t="s">
        <v>3531</v>
      </c>
      <c r="M448" s="847" t="s">
        <v>973</v>
      </c>
      <c r="N448" s="211" t="s">
        <v>974</v>
      </c>
      <c r="O448" s="240" t="s">
        <v>3532</v>
      </c>
      <c r="P448" s="240" t="s">
        <v>3533</v>
      </c>
      <c r="Q448" s="845" t="s">
        <v>144</v>
      </c>
      <c r="R448" s="208" t="s">
        <v>144</v>
      </c>
      <c r="S448" s="864" t="s">
        <v>147</v>
      </c>
      <c r="T448" s="212" t="s">
        <v>144</v>
      </c>
      <c r="U448" s="213" t="s">
        <v>144</v>
      </c>
      <c r="V448" s="307">
        <v>1</v>
      </c>
      <c r="W448" s="415" t="s">
        <v>144</v>
      </c>
      <c r="X448" s="212">
        <v>40</v>
      </c>
      <c r="Y448" s="212" t="s">
        <v>144</v>
      </c>
      <c r="Z448" s="241" t="s">
        <v>144</v>
      </c>
      <c r="AA448" s="615" t="s">
        <v>733</v>
      </c>
      <c r="AB448" s="206" t="s">
        <v>140</v>
      </c>
      <c r="AC448" s="847" t="s">
        <v>265</v>
      </c>
      <c r="AD448" s="847" t="s">
        <v>3503</v>
      </c>
      <c r="AE448" s="847" t="s">
        <v>144</v>
      </c>
      <c r="AF448" s="848" t="s">
        <v>144</v>
      </c>
      <c r="AG448" s="838"/>
      <c r="AH448" s="866" t="s">
        <v>3409</v>
      </c>
      <c r="AI448" s="273" t="s">
        <v>3410</v>
      </c>
      <c r="AJ448" s="847">
        <v>6</v>
      </c>
      <c r="AK448" s="878" t="s">
        <v>3411</v>
      </c>
      <c r="AL448" s="867" t="s">
        <v>294</v>
      </c>
      <c r="AM448" s="273" t="s">
        <v>295</v>
      </c>
      <c r="AN448" s="847">
        <v>7</v>
      </c>
      <c r="AO448" s="187" t="s">
        <v>966</v>
      </c>
      <c r="AP448" s="312"/>
      <c r="AQ448" s="288"/>
      <c r="AR448" s="289"/>
      <c r="AS448" s="314"/>
      <c r="AT448" s="867"/>
      <c r="AU448" s="273"/>
      <c r="AV448" s="847"/>
      <c r="AW448" s="848"/>
      <c r="AX448" s="867"/>
      <c r="AY448" s="273"/>
      <c r="AZ448" s="847"/>
      <c r="BA448" s="848"/>
      <c r="BB448" s="866"/>
      <c r="BC448" s="273"/>
      <c r="BD448" s="847"/>
      <c r="BE448" s="848"/>
      <c r="BF448" s="838"/>
    </row>
    <row r="449" spans="1:58" s="88" customFormat="1" ht="54" hidden="1" customHeight="1" x14ac:dyDescent="0.25">
      <c r="A449" s="267" t="s">
        <v>1687</v>
      </c>
      <c r="B449" s="268">
        <v>214</v>
      </c>
      <c r="C449" s="240" t="s">
        <v>2530</v>
      </c>
      <c r="D449" s="270" t="s">
        <v>2531</v>
      </c>
      <c r="E449" s="268" t="s">
        <v>3534</v>
      </c>
      <c r="F449" s="861" t="s">
        <v>3535</v>
      </c>
      <c r="G449" s="269" t="s">
        <v>3536</v>
      </c>
      <c r="H449" s="845" t="s">
        <v>3537</v>
      </c>
      <c r="I449" s="269" t="s">
        <v>3538</v>
      </c>
      <c r="J449" s="296" t="s">
        <v>140</v>
      </c>
      <c r="K449" s="297" t="s">
        <v>140</v>
      </c>
      <c r="L449" s="862" t="s">
        <v>3539</v>
      </c>
      <c r="M449" s="847" t="s">
        <v>193</v>
      </c>
      <c r="N449" s="211" t="s">
        <v>194</v>
      </c>
      <c r="O449" s="240" t="s">
        <v>144</v>
      </c>
      <c r="P449" s="240" t="s">
        <v>144</v>
      </c>
      <c r="Q449" s="845" t="s">
        <v>3540</v>
      </c>
      <c r="R449" s="208" t="s">
        <v>3541</v>
      </c>
      <c r="S449" s="864" t="s">
        <v>147</v>
      </c>
      <c r="T449" s="212" t="s">
        <v>144</v>
      </c>
      <c r="U449" s="213" t="s">
        <v>144</v>
      </c>
      <c r="V449" s="307">
        <v>20</v>
      </c>
      <c r="W449" s="415" t="s">
        <v>144</v>
      </c>
      <c r="X449" s="212">
        <v>41</v>
      </c>
      <c r="Y449" s="212" t="s">
        <v>144</v>
      </c>
      <c r="Z449" s="241" t="s">
        <v>144</v>
      </c>
      <c r="AA449" s="616" t="s">
        <v>148</v>
      </c>
      <c r="AB449" s="206" t="s">
        <v>140</v>
      </c>
      <c r="AC449" s="847" t="s">
        <v>265</v>
      </c>
      <c r="AD449" s="847" t="s">
        <v>3542</v>
      </c>
      <c r="AE449" s="847" t="s">
        <v>144</v>
      </c>
      <c r="AF449" s="848" t="s">
        <v>144</v>
      </c>
      <c r="AG449" s="838"/>
      <c r="AH449" s="866"/>
      <c r="AI449" s="273"/>
      <c r="AJ449" s="847"/>
      <c r="AK449" s="878"/>
      <c r="AL449" s="867"/>
      <c r="AM449" s="273"/>
      <c r="AN449" s="847"/>
      <c r="AO449" s="848"/>
      <c r="AP449" s="867"/>
      <c r="AQ449" s="273"/>
      <c r="AR449" s="847"/>
      <c r="AS449" s="848"/>
      <c r="AT449" s="867"/>
      <c r="AU449" s="273"/>
      <c r="AV449" s="847"/>
      <c r="AW449" s="848"/>
      <c r="AX449" s="867" t="s">
        <v>1047</v>
      </c>
      <c r="AY449" s="273" t="s">
        <v>1048</v>
      </c>
      <c r="AZ449" s="847">
        <v>7</v>
      </c>
      <c r="BA449" s="848" t="s">
        <v>1049</v>
      </c>
      <c r="BB449" s="866"/>
      <c r="BC449" s="273"/>
      <c r="BD449" s="847"/>
      <c r="BE449" s="848"/>
      <c r="BF449" s="838"/>
    </row>
    <row r="450" spans="1:58" s="88" customFormat="1" ht="54" hidden="1" customHeight="1" x14ac:dyDescent="0.25">
      <c r="A450" s="267" t="s">
        <v>1687</v>
      </c>
      <c r="B450" s="268">
        <v>215</v>
      </c>
      <c r="C450" s="240" t="s">
        <v>2530</v>
      </c>
      <c r="D450" s="270" t="s">
        <v>2531</v>
      </c>
      <c r="E450" s="268" t="s">
        <v>3543</v>
      </c>
      <c r="F450" s="861" t="s">
        <v>3544</v>
      </c>
      <c r="G450" s="269" t="s">
        <v>3545</v>
      </c>
      <c r="H450" s="845" t="s">
        <v>3546</v>
      </c>
      <c r="I450" s="208" t="s">
        <v>3547</v>
      </c>
      <c r="J450" s="240" t="s">
        <v>140</v>
      </c>
      <c r="K450" s="270" t="s">
        <v>140</v>
      </c>
      <c r="L450" s="862" t="s">
        <v>3548</v>
      </c>
      <c r="M450" s="847" t="s">
        <v>193</v>
      </c>
      <c r="N450" s="211" t="s">
        <v>194</v>
      </c>
      <c r="O450" s="240" t="s">
        <v>144</v>
      </c>
      <c r="P450" s="240" t="s">
        <v>144</v>
      </c>
      <c r="Q450" s="845" t="s">
        <v>2225</v>
      </c>
      <c r="R450" s="208" t="s">
        <v>2226</v>
      </c>
      <c r="S450" s="864" t="s">
        <v>147</v>
      </c>
      <c r="T450" s="212" t="s">
        <v>144</v>
      </c>
      <c r="U450" s="213" t="s">
        <v>144</v>
      </c>
      <c r="V450" s="307">
        <v>10</v>
      </c>
      <c r="W450" s="415" t="s">
        <v>144</v>
      </c>
      <c r="X450" s="212">
        <v>41</v>
      </c>
      <c r="Y450" s="212" t="s">
        <v>144</v>
      </c>
      <c r="Z450" s="241" t="s">
        <v>25</v>
      </c>
      <c r="AA450" s="437" t="s">
        <v>1001</v>
      </c>
      <c r="AB450" s="206" t="s">
        <v>140</v>
      </c>
      <c r="AC450" s="847" t="s">
        <v>265</v>
      </c>
      <c r="AD450" s="847" t="s">
        <v>3549</v>
      </c>
      <c r="AE450" s="847" t="s">
        <v>144</v>
      </c>
      <c r="AF450" s="848" t="s">
        <v>144</v>
      </c>
      <c r="AG450" s="838"/>
      <c r="AH450" s="866"/>
      <c r="AI450" s="270"/>
      <c r="AJ450" s="847"/>
      <c r="AK450" s="878"/>
      <c r="AL450" s="273"/>
      <c r="AM450" s="899"/>
      <c r="AN450" s="847"/>
      <c r="AO450" s="848"/>
      <c r="AP450" s="867"/>
      <c r="AQ450" s="273"/>
      <c r="AR450" s="847"/>
      <c r="AS450" s="848"/>
      <c r="AT450" s="867"/>
      <c r="AU450" s="273"/>
      <c r="AV450" s="847"/>
      <c r="AW450" s="848"/>
      <c r="AX450" s="873" t="s">
        <v>3550</v>
      </c>
      <c r="AY450" s="406" t="s">
        <v>3551</v>
      </c>
      <c r="AZ450" s="872" t="s">
        <v>1061</v>
      </c>
      <c r="BA450" s="878" t="s">
        <v>1732</v>
      </c>
      <c r="BB450" s="866"/>
      <c r="BC450" s="273"/>
      <c r="BD450" s="847"/>
      <c r="BE450" s="848"/>
      <c r="BF450" s="838"/>
    </row>
    <row r="451" spans="1:58" s="88" customFormat="1" ht="54" hidden="1" customHeight="1" x14ac:dyDescent="0.25">
      <c r="A451" s="267" t="s">
        <v>1687</v>
      </c>
      <c r="B451" s="268">
        <v>216</v>
      </c>
      <c r="C451" s="240" t="s">
        <v>2530</v>
      </c>
      <c r="D451" s="270" t="s">
        <v>2531</v>
      </c>
      <c r="E451" s="268" t="s">
        <v>3552</v>
      </c>
      <c r="F451" s="861" t="s">
        <v>3553</v>
      </c>
      <c r="G451" s="269" t="s">
        <v>3554</v>
      </c>
      <c r="H451" s="845" t="s">
        <v>3553</v>
      </c>
      <c r="I451" s="269" t="s">
        <v>3555</v>
      </c>
      <c r="J451" s="296" t="s">
        <v>140</v>
      </c>
      <c r="K451" s="297" t="s">
        <v>140</v>
      </c>
      <c r="L451" s="862" t="s">
        <v>3556</v>
      </c>
      <c r="M451" s="847" t="s">
        <v>973</v>
      </c>
      <c r="N451" s="211" t="s">
        <v>974</v>
      </c>
      <c r="O451" s="240" t="s">
        <v>3557</v>
      </c>
      <c r="P451" s="240" t="s">
        <v>3558</v>
      </c>
      <c r="Q451" s="845" t="s">
        <v>3559</v>
      </c>
      <c r="R451" s="208" t="s">
        <v>3560</v>
      </c>
      <c r="S451" s="864" t="s">
        <v>147</v>
      </c>
      <c r="T451" s="212" t="s">
        <v>144</v>
      </c>
      <c r="U451" s="213" t="s">
        <v>144</v>
      </c>
      <c r="V451" s="307">
        <v>3</v>
      </c>
      <c r="W451" s="415" t="s">
        <v>144</v>
      </c>
      <c r="X451" s="212">
        <v>40</v>
      </c>
      <c r="Y451" s="212" t="s">
        <v>144</v>
      </c>
      <c r="Z451" s="433" t="s">
        <v>144</v>
      </c>
      <c r="AA451" s="437" t="s">
        <v>3561</v>
      </c>
      <c r="AB451" s="206" t="s">
        <v>140</v>
      </c>
      <c r="AC451" s="847" t="s">
        <v>265</v>
      </c>
      <c r="AD451" s="847" t="s">
        <v>3562</v>
      </c>
      <c r="AE451" s="847" t="s">
        <v>144</v>
      </c>
      <c r="AF451" s="848" t="s">
        <v>144</v>
      </c>
      <c r="AG451" s="838"/>
      <c r="AH451" s="866" t="s">
        <v>2577</v>
      </c>
      <c r="AI451" s="273" t="s">
        <v>2578</v>
      </c>
      <c r="AJ451" s="847">
        <v>7</v>
      </c>
      <c r="AK451" s="878" t="s">
        <v>2579</v>
      </c>
      <c r="AL451" s="867" t="s">
        <v>294</v>
      </c>
      <c r="AM451" s="273" t="s">
        <v>295</v>
      </c>
      <c r="AN451" s="847">
        <v>7</v>
      </c>
      <c r="AO451" s="187" t="s">
        <v>966</v>
      </c>
      <c r="AP451" s="867"/>
      <c r="AQ451" s="273"/>
      <c r="AR451" s="847"/>
      <c r="AS451" s="848"/>
      <c r="AT451" s="867"/>
      <c r="AU451" s="273"/>
      <c r="AV451" s="847"/>
      <c r="AW451" s="848"/>
      <c r="AX451" s="867"/>
      <c r="AY451" s="273"/>
      <c r="AZ451" s="847"/>
      <c r="BA451" s="848"/>
      <c r="BB451" s="866"/>
      <c r="BC451" s="273"/>
      <c r="BD451" s="847"/>
      <c r="BE451" s="848"/>
      <c r="BF451" s="838"/>
    </row>
    <row r="452" spans="1:58" s="88" customFormat="1" ht="54" hidden="1" customHeight="1" x14ac:dyDescent="0.25">
      <c r="A452" s="267" t="s">
        <v>1687</v>
      </c>
      <c r="B452" s="268">
        <v>217</v>
      </c>
      <c r="C452" s="240" t="s">
        <v>2530</v>
      </c>
      <c r="D452" s="270" t="s">
        <v>2531</v>
      </c>
      <c r="E452" s="268" t="s">
        <v>3563</v>
      </c>
      <c r="F452" s="861" t="s">
        <v>3564</v>
      </c>
      <c r="G452" s="269" t="s">
        <v>3565</v>
      </c>
      <c r="H452" s="845" t="s">
        <v>3566</v>
      </c>
      <c r="I452" s="269" t="s">
        <v>3567</v>
      </c>
      <c r="J452" s="296" t="s">
        <v>140</v>
      </c>
      <c r="K452" s="297" t="s">
        <v>140</v>
      </c>
      <c r="L452" s="862" t="s">
        <v>3568</v>
      </c>
      <c r="M452" s="847" t="s">
        <v>973</v>
      </c>
      <c r="N452" s="211" t="s">
        <v>974</v>
      </c>
      <c r="O452" s="240" t="s">
        <v>3569</v>
      </c>
      <c r="P452" s="240" t="s">
        <v>3570</v>
      </c>
      <c r="Q452" s="845" t="s">
        <v>3559</v>
      </c>
      <c r="R452" s="208" t="s">
        <v>3560</v>
      </c>
      <c r="S452" s="864" t="s">
        <v>147</v>
      </c>
      <c r="T452" s="212" t="s">
        <v>144</v>
      </c>
      <c r="U452" s="213" t="s">
        <v>144</v>
      </c>
      <c r="V452" s="307">
        <v>1</v>
      </c>
      <c r="W452" s="415" t="s">
        <v>144</v>
      </c>
      <c r="X452" s="212">
        <v>40</v>
      </c>
      <c r="Y452" s="212" t="s">
        <v>144</v>
      </c>
      <c r="Z452" s="241" t="s">
        <v>144</v>
      </c>
      <c r="AA452" s="615" t="s">
        <v>733</v>
      </c>
      <c r="AB452" s="206" t="s">
        <v>140</v>
      </c>
      <c r="AC452" s="847" t="s">
        <v>265</v>
      </c>
      <c r="AD452" s="847" t="s">
        <v>3562</v>
      </c>
      <c r="AE452" s="847" t="s">
        <v>144</v>
      </c>
      <c r="AF452" s="848" t="s">
        <v>144</v>
      </c>
      <c r="AG452" s="838"/>
      <c r="AH452" s="866" t="s">
        <v>2577</v>
      </c>
      <c r="AI452" s="273" t="s">
        <v>2578</v>
      </c>
      <c r="AJ452" s="847">
        <v>6</v>
      </c>
      <c r="AK452" s="878" t="s">
        <v>2579</v>
      </c>
      <c r="AL452" s="867" t="s">
        <v>294</v>
      </c>
      <c r="AM452" s="273" t="s">
        <v>295</v>
      </c>
      <c r="AN452" s="847">
        <v>7</v>
      </c>
      <c r="AO452" s="187" t="s">
        <v>966</v>
      </c>
      <c r="AP452" s="312"/>
      <c r="AQ452" s="313"/>
      <c r="AR452" s="289"/>
      <c r="AS452" s="314"/>
      <c r="AT452" s="867"/>
      <c r="AU452" s="273"/>
      <c r="AV452" s="847"/>
      <c r="AW452" s="848"/>
      <c r="AX452" s="867"/>
      <c r="AY452" s="273"/>
      <c r="AZ452" s="847"/>
      <c r="BA452" s="848"/>
      <c r="BB452" s="866"/>
      <c r="BC452" s="273"/>
      <c r="BD452" s="847"/>
      <c r="BE452" s="848"/>
      <c r="BF452" s="838"/>
    </row>
    <row r="453" spans="1:58" s="88" customFormat="1" ht="54" hidden="1" customHeight="1" x14ac:dyDescent="0.25">
      <c r="A453" s="267" t="s">
        <v>1687</v>
      </c>
      <c r="B453" s="268">
        <v>218</v>
      </c>
      <c r="C453" s="240" t="s">
        <v>2530</v>
      </c>
      <c r="D453" s="270" t="s">
        <v>2531</v>
      </c>
      <c r="E453" s="268" t="s">
        <v>3571</v>
      </c>
      <c r="F453" s="861" t="s">
        <v>3572</v>
      </c>
      <c r="G453" s="269" t="s">
        <v>3573</v>
      </c>
      <c r="H453" s="845" t="s">
        <v>3574</v>
      </c>
      <c r="I453" s="269" t="s">
        <v>3575</v>
      </c>
      <c r="J453" s="296" t="s">
        <v>140</v>
      </c>
      <c r="K453" s="297" t="s">
        <v>140</v>
      </c>
      <c r="L453" s="862" t="s">
        <v>3576</v>
      </c>
      <c r="M453" s="847" t="s">
        <v>973</v>
      </c>
      <c r="N453" s="211" t="s">
        <v>974</v>
      </c>
      <c r="O453" s="240" t="s">
        <v>3577</v>
      </c>
      <c r="P453" s="240" t="s">
        <v>3578</v>
      </c>
      <c r="Q453" s="845" t="s">
        <v>144</v>
      </c>
      <c r="R453" s="208" t="s">
        <v>144</v>
      </c>
      <c r="S453" s="864" t="s">
        <v>147</v>
      </c>
      <c r="T453" s="212" t="s">
        <v>144</v>
      </c>
      <c r="U453" s="213" t="s">
        <v>144</v>
      </c>
      <c r="V453" s="307">
        <v>1</v>
      </c>
      <c r="W453" s="415" t="s">
        <v>144</v>
      </c>
      <c r="X453" s="212">
        <v>40</v>
      </c>
      <c r="Y453" s="212" t="s">
        <v>144</v>
      </c>
      <c r="Z453" s="241" t="s">
        <v>144</v>
      </c>
      <c r="AA453" s="615" t="s">
        <v>733</v>
      </c>
      <c r="AB453" s="206" t="s">
        <v>140</v>
      </c>
      <c r="AC453" s="847" t="s">
        <v>265</v>
      </c>
      <c r="AD453" s="847" t="s">
        <v>3579</v>
      </c>
      <c r="AE453" s="847" t="s">
        <v>144</v>
      </c>
      <c r="AF453" s="848" t="s">
        <v>144</v>
      </c>
      <c r="AG453" s="838"/>
      <c r="AH453" s="866" t="s">
        <v>2577</v>
      </c>
      <c r="AI453" s="273" t="s">
        <v>2578</v>
      </c>
      <c r="AJ453" s="847">
        <v>6</v>
      </c>
      <c r="AK453" s="878" t="s">
        <v>2579</v>
      </c>
      <c r="AL453" s="867" t="s">
        <v>294</v>
      </c>
      <c r="AM453" s="273" t="s">
        <v>295</v>
      </c>
      <c r="AN453" s="847">
        <v>7</v>
      </c>
      <c r="AO453" s="187" t="s">
        <v>966</v>
      </c>
      <c r="AP453" s="312"/>
      <c r="AQ453" s="313"/>
      <c r="AR453" s="289"/>
      <c r="AS453" s="314"/>
      <c r="AT453" s="867"/>
      <c r="AU453" s="273"/>
      <c r="AV453" s="847"/>
      <c r="AW453" s="848"/>
      <c r="AX453" s="867"/>
      <c r="AY453" s="273"/>
      <c r="AZ453" s="847"/>
      <c r="BA453" s="848"/>
      <c r="BB453" s="866"/>
      <c r="BC453" s="273"/>
      <c r="BD453" s="847"/>
      <c r="BE453" s="848"/>
      <c r="BF453" s="838"/>
    </row>
    <row r="454" spans="1:58" s="88" customFormat="1" ht="54" hidden="1" customHeight="1" x14ac:dyDescent="0.25">
      <c r="A454" s="267" t="s">
        <v>1687</v>
      </c>
      <c r="B454" s="268">
        <v>219</v>
      </c>
      <c r="C454" s="240" t="s">
        <v>2530</v>
      </c>
      <c r="D454" s="270" t="s">
        <v>2531</v>
      </c>
      <c r="E454" s="268" t="s">
        <v>3580</v>
      </c>
      <c r="F454" s="861" t="s">
        <v>3581</v>
      </c>
      <c r="G454" s="269" t="s">
        <v>3582</v>
      </c>
      <c r="H454" s="845" t="s">
        <v>3583</v>
      </c>
      <c r="I454" s="269" t="s">
        <v>3584</v>
      </c>
      <c r="J454" s="296" t="s">
        <v>140</v>
      </c>
      <c r="K454" s="297" t="s">
        <v>140</v>
      </c>
      <c r="L454" s="862" t="s">
        <v>3585</v>
      </c>
      <c r="M454" s="847" t="s">
        <v>193</v>
      </c>
      <c r="N454" s="211" t="s">
        <v>194</v>
      </c>
      <c r="O454" s="240" t="s">
        <v>144</v>
      </c>
      <c r="P454" s="240" t="s">
        <v>144</v>
      </c>
      <c r="Q454" s="845" t="s">
        <v>3586</v>
      </c>
      <c r="R454" s="208" t="s">
        <v>3587</v>
      </c>
      <c r="S454" s="864" t="s">
        <v>147</v>
      </c>
      <c r="T454" s="212" t="s">
        <v>144</v>
      </c>
      <c r="U454" s="213" t="s">
        <v>144</v>
      </c>
      <c r="V454" s="307">
        <v>20</v>
      </c>
      <c r="W454" s="415" t="s">
        <v>144</v>
      </c>
      <c r="X454" s="212">
        <v>40</v>
      </c>
      <c r="Y454" s="212" t="s">
        <v>144</v>
      </c>
      <c r="Z454" s="241" t="s">
        <v>144</v>
      </c>
      <c r="AA454" s="437" t="s">
        <v>3588</v>
      </c>
      <c r="AB454" s="206" t="s">
        <v>140</v>
      </c>
      <c r="AC454" s="847" t="s">
        <v>265</v>
      </c>
      <c r="AD454" s="847" t="s">
        <v>3579</v>
      </c>
      <c r="AE454" s="847" t="s">
        <v>144</v>
      </c>
      <c r="AF454" s="848" t="s">
        <v>144</v>
      </c>
      <c r="AG454" s="838"/>
      <c r="AH454" s="866"/>
      <c r="AI454" s="273"/>
      <c r="AJ454" s="847"/>
      <c r="AK454" s="878"/>
      <c r="AL454" s="867"/>
      <c r="AM454" s="273"/>
      <c r="AN454" s="847"/>
      <c r="AO454" s="848"/>
      <c r="AP454" s="867"/>
      <c r="AQ454" s="273"/>
      <c r="AR454" s="847"/>
      <c r="AS454" s="848"/>
      <c r="AT454" s="867"/>
      <c r="AU454" s="273"/>
      <c r="AV454" s="847"/>
      <c r="AW454" s="848"/>
      <c r="AX454" s="867" t="s">
        <v>1047</v>
      </c>
      <c r="AY454" s="273" t="s">
        <v>1048</v>
      </c>
      <c r="AZ454" s="847">
        <v>6</v>
      </c>
      <c r="BA454" s="848" t="s">
        <v>1049</v>
      </c>
      <c r="BB454" s="866"/>
      <c r="BC454" s="273"/>
      <c r="BD454" s="847"/>
      <c r="BE454" s="848"/>
      <c r="BF454" s="838"/>
    </row>
    <row r="455" spans="1:58" s="88" customFormat="1" ht="54" hidden="1" customHeight="1" x14ac:dyDescent="0.25">
      <c r="A455" s="267" t="s">
        <v>1687</v>
      </c>
      <c r="B455" s="268">
        <v>220</v>
      </c>
      <c r="C455" s="240" t="s">
        <v>2530</v>
      </c>
      <c r="D455" s="270" t="s">
        <v>2531</v>
      </c>
      <c r="E455" s="268" t="s">
        <v>3589</v>
      </c>
      <c r="F455" s="861" t="s">
        <v>3590</v>
      </c>
      <c r="G455" s="269" t="s">
        <v>3591</v>
      </c>
      <c r="H455" s="845" t="s">
        <v>3592</v>
      </c>
      <c r="I455" s="208" t="s">
        <v>3593</v>
      </c>
      <c r="J455" s="240" t="s">
        <v>140</v>
      </c>
      <c r="K455" s="270" t="s">
        <v>140</v>
      </c>
      <c r="L455" s="862" t="s">
        <v>3594</v>
      </c>
      <c r="M455" s="847" t="s">
        <v>193</v>
      </c>
      <c r="N455" s="211" t="s">
        <v>194</v>
      </c>
      <c r="O455" s="240" t="s">
        <v>144</v>
      </c>
      <c r="P455" s="240" t="s">
        <v>144</v>
      </c>
      <c r="Q455" s="845" t="s">
        <v>3252</v>
      </c>
      <c r="R455" s="208" t="s">
        <v>3253</v>
      </c>
      <c r="S455" s="864" t="s">
        <v>147</v>
      </c>
      <c r="T455" s="212" t="s">
        <v>144</v>
      </c>
      <c r="U455" s="213" t="s">
        <v>144</v>
      </c>
      <c r="V455" s="307">
        <v>10</v>
      </c>
      <c r="W455" s="415" t="s">
        <v>144</v>
      </c>
      <c r="X455" s="212">
        <v>40</v>
      </c>
      <c r="Y455" s="212" t="s">
        <v>144</v>
      </c>
      <c r="Z455" s="433" t="s">
        <v>25</v>
      </c>
      <c r="AA455" s="437" t="s">
        <v>3595</v>
      </c>
      <c r="AB455" s="206" t="s">
        <v>140</v>
      </c>
      <c r="AC455" s="847" t="s">
        <v>265</v>
      </c>
      <c r="AD455" s="847" t="s">
        <v>3579</v>
      </c>
      <c r="AE455" s="847" t="s">
        <v>144</v>
      </c>
      <c r="AF455" s="848" t="s">
        <v>144</v>
      </c>
      <c r="AG455" s="838"/>
      <c r="AH455" s="866"/>
      <c r="AI455" s="273"/>
      <c r="AJ455" s="847"/>
      <c r="AK455" s="878"/>
      <c r="AL455" s="867"/>
      <c r="AM455" s="273"/>
      <c r="AN455" s="847"/>
      <c r="AO455" s="848"/>
      <c r="AP455" s="867"/>
      <c r="AQ455" s="273"/>
      <c r="AR455" s="847"/>
      <c r="AS455" s="848"/>
      <c r="AT455" s="867"/>
      <c r="AU455" s="273"/>
      <c r="AV455" s="847"/>
      <c r="AW455" s="848"/>
      <c r="AX455" s="873" t="s">
        <v>3596</v>
      </c>
      <c r="AY455" s="406" t="s">
        <v>3597</v>
      </c>
      <c r="AZ455" s="872" t="s">
        <v>1061</v>
      </c>
      <c r="BA455" s="878" t="s">
        <v>1732</v>
      </c>
      <c r="BB455" s="866"/>
      <c r="BC455" s="273"/>
      <c r="BD455" s="847"/>
      <c r="BE455" s="848"/>
      <c r="BF455" s="838"/>
    </row>
    <row r="456" spans="1:58" s="88" customFormat="1" ht="54" hidden="1" customHeight="1" x14ac:dyDescent="0.25">
      <c r="A456" s="267" t="s">
        <v>1687</v>
      </c>
      <c r="B456" s="268">
        <v>221</v>
      </c>
      <c r="C456" s="240" t="s">
        <v>2530</v>
      </c>
      <c r="D456" s="270" t="s">
        <v>2531</v>
      </c>
      <c r="E456" s="268" t="s">
        <v>3598</v>
      </c>
      <c r="F456" s="861" t="s">
        <v>3599</v>
      </c>
      <c r="G456" s="269" t="s">
        <v>3600</v>
      </c>
      <c r="H456" s="845" t="s">
        <v>3601</v>
      </c>
      <c r="I456" s="208" t="s">
        <v>3602</v>
      </c>
      <c r="J456" s="240" t="s">
        <v>140</v>
      </c>
      <c r="K456" s="270" t="s">
        <v>140</v>
      </c>
      <c r="L456" s="862" t="s">
        <v>3603</v>
      </c>
      <c r="M456" s="847" t="s">
        <v>973</v>
      </c>
      <c r="N456" s="211" t="s">
        <v>974</v>
      </c>
      <c r="O456" s="240" t="s">
        <v>144</v>
      </c>
      <c r="P456" s="240" t="s">
        <v>144</v>
      </c>
      <c r="Q456" s="845" t="s">
        <v>144</v>
      </c>
      <c r="R456" s="208" t="s">
        <v>144</v>
      </c>
      <c r="S456" s="864" t="s">
        <v>746</v>
      </c>
      <c r="T456" s="212" t="s">
        <v>1307</v>
      </c>
      <c r="U456" s="213" t="s">
        <v>1308</v>
      </c>
      <c r="V456" s="307">
        <v>10</v>
      </c>
      <c r="W456" s="415" t="s">
        <v>144</v>
      </c>
      <c r="X456" s="212">
        <v>40</v>
      </c>
      <c r="Y456" s="212" t="s">
        <v>144</v>
      </c>
      <c r="Z456" s="241" t="s">
        <v>144</v>
      </c>
      <c r="AA456" s="616" t="s">
        <v>148</v>
      </c>
      <c r="AB456" s="206" t="s">
        <v>140</v>
      </c>
      <c r="AC456" s="847" t="s">
        <v>265</v>
      </c>
      <c r="AD456" s="847" t="s">
        <v>3579</v>
      </c>
      <c r="AE456" s="847" t="s">
        <v>144</v>
      </c>
      <c r="AF456" s="848" t="s">
        <v>144</v>
      </c>
      <c r="AG456" s="838"/>
      <c r="AH456" s="866" t="s">
        <v>2577</v>
      </c>
      <c r="AI456" s="273" t="s">
        <v>2578</v>
      </c>
      <c r="AJ456" s="847">
        <v>6</v>
      </c>
      <c r="AK456" s="878" t="s">
        <v>2579</v>
      </c>
      <c r="AL456" s="867"/>
      <c r="AM456" s="273"/>
      <c r="AN456" s="847"/>
      <c r="AO456" s="848"/>
      <c r="AP456" s="867"/>
      <c r="AQ456" s="273"/>
      <c r="AR456" s="847"/>
      <c r="AS456" s="848"/>
      <c r="AT456" s="867"/>
      <c r="AU456" s="273"/>
      <c r="AV456" s="847"/>
      <c r="AW456" s="848"/>
      <c r="AX456" s="867"/>
      <c r="AY456" s="273"/>
      <c r="AZ456" s="847"/>
      <c r="BA456" s="848"/>
      <c r="BB456" s="866"/>
      <c r="BC456" s="273"/>
      <c r="BD456" s="847"/>
      <c r="BE456" s="848"/>
      <c r="BF456" s="838"/>
    </row>
    <row r="457" spans="1:58" s="88" customFormat="1" ht="54" hidden="1" customHeight="1" x14ac:dyDescent="0.25">
      <c r="A457" s="267" t="s">
        <v>1687</v>
      </c>
      <c r="B457" s="268">
        <v>222</v>
      </c>
      <c r="C457" s="240" t="s">
        <v>2530</v>
      </c>
      <c r="D457" s="270" t="s">
        <v>2531</v>
      </c>
      <c r="E457" s="268" t="s">
        <v>3604</v>
      </c>
      <c r="F457" s="845" t="s">
        <v>3605</v>
      </c>
      <c r="G457" s="269" t="s">
        <v>3606</v>
      </c>
      <c r="H457" s="845" t="s">
        <v>3605</v>
      </c>
      <c r="I457" s="269" t="s">
        <v>3606</v>
      </c>
      <c r="J457" s="296" t="s">
        <v>140</v>
      </c>
      <c r="K457" s="297" t="s">
        <v>140</v>
      </c>
      <c r="L457" s="862" t="s">
        <v>3607</v>
      </c>
      <c r="M457" s="847" t="s">
        <v>973</v>
      </c>
      <c r="N457" s="211" t="s">
        <v>974</v>
      </c>
      <c r="O457" s="240" t="s">
        <v>144</v>
      </c>
      <c r="P457" s="240" t="s">
        <v>144</v>
      </c>
      <c r="Q457" s="845" t="s">
        <v>144</v>
      </c>
      <c r="R457" s="208" t="s">
        <v>144</v>
      </c>
      <c r="S457" s="864" t="s">
        <v>746</v>
      </c>
      <c r="T457" s="212" t="s">
        <v>1104</v>
      </c>
      <c r="U457" s="213" t="s">
        <v>1105</v>
      </c>
      <c r="V457" s="307">
        <v>19</v>
      </c>
      <c r="W457" s="415" t="s">
        <v>144</v>
      </c>
      <c r="X457" s="212">
        <v>40</v>
      </c>
      <c r="Y457" s="212" t="s">
        <v>144</v>
      </c>
      <c r="Z457" s="433" t="s">
        <v>25</v>
      </c>
      <c r="AA457" s="407" t="s">
        <v>3608</v>
      </c>
      <c r="AB457" s="206" t="s">
        <v>140</v>
      </c>
      <c r="AC457" s="847" t="s">
        <v>265</v>
      </c>
      <c r="AD457" s="847" t="s">
        <v>3579</v>
      </c>
      <c r="AE457" s="847" t="s">
        <v>144</v>
      </c>
      <c r="AF457" s="848" t="s">
        <v>144</v>
      </c>
      <c r="AG457" s="838"/>
      <c r="AH457" s="866" t="s">
        <v>3609</v>
      </c>
      <c r="AI457" s="273" t="s">
        <v>3610</v>
      </c>
      <c r="AJ457" s="847">
        <v>6</v>
      </c>
      <c r="AK457" s="878" t="s">
        <v>3611</v>
      </c>
      <c r="AL457" s="867"/>
      <c r="AM457" s="273"/>
      <c r="AN457" s="847"/>
      <c r="AO457" s="848"/>
      <c r="AP457" s="867" t="s">
        <v>1107</v>
      </c>
      <c r="AQ457" s="273" t="s">
        <v>1108</v>
      </c>
      <c r="AR457" s="847">
        <v>7</v>
      </c>
      <c r="AS457" s="286" t="s">
        <v>1109</v>
      </c>
      <c r="AT457" s="867"/>
      <c r="AU457" s="273"/>
      <c r="AV457" s="847"/>
      <c r="AW457" s="848"/>
      <c r="AX457" s="867"/>
      <c r="AY457" s="273"/>
      <c r="AZ457" s="847"/>
      <c r="BA457" s="848"/>
      <c r="BB457" s="866"/>
      <c r="BC457" s="273"/>
      <c r="BD457" s="847"/>
      <c r="BE457" s="848"/>
      <c r="BF457" s="838"/>
    </row>
    <row r="458" spans="1:58" s="88" customFormat="1" ht="54" hidden="1" customHeight="1" x14ac:dyDescent="0.25">
      <c r="A458" s="267" t="s">
        <v>1687</v>
      </c>
      <c r="B458" s="268">
        <v>223</v>
      </c>
      <c r="C458" s="240" t="s">
        <v>2530</v>
      </c>
      <c r="D458" s="270" t="s">
        <v>2531</v>
      </c>
      <c r="E458" s="268" t="s">
        <v>3612</v>
      </c>
      <c r="F458" s="845" t="s">
        <v>3613</v>
      </c>
      <c r="G458" s="269" t="s">
        <v>3614</v>
      </c>
      <c r="H458" s="845" t="s">
        <v>3613</v>
      </c>
      <c r="I458" s="269" t="s">
        <v>3614</v>
      </c>
      <c r="J458" s="296" t="s">
        <v>140</v>
      </c>
      <c r="K458" s="297" t="s">
        <v>140</v>
      </c>
      <c r="L458" s="862" t="s">
        <v>3615</v>
      </c>
      <c r="M458" s="847" t="s">
        <v>973</v>
      </c>
      <c r="N458" s="270" t="s">
        <v>974</v>
      </c>
      <c r="O458" s="240" t="s">
        <v>814</v>
      </c>
      <c r="P458" s="240" t="s">
        <v>815</v>
      </c>
      <c r="Q458" s="845" t="s">
        <v>144</v>
      </c>
      <c r="R458" s="208" t="s">
        <v>144</v>
      </c>
      <c r="S458" s="864" t="s">
        <v>147</v>
      </c>
      <c r="T458" s="212" t="s">
        <v>144</v>
      </c>
      <c r="U458" s="213" t="s">
        <v>144</v>
      </c>
      <c r="V458" s="307">
        <v>3</v>
      </c>
      <c r="W458" s="415" t="s">
        <v>144</v>
      </c>
      <c r="X458" s="212">
        <v>40</v>
      </c>
      <c r="Y458" s="212" t="s">
        <v>144</v>
      </c>
      <c r="Z458" s="433" t="s">
        <v>25</v>
      </c>
      <c r="AA458" s="407" t="s">
        <v>3616</v>
      </c>
      <c r="AB458" s="206" t="s">
        <v>140</v>
      </c>
      <c r="AC458" s="847" t="s">
        <v>265</v>
      </c>
      <c r="AD458" s="847" t="s">
        <v>3579</v>
      </c>
      <c r="AE458" s="847" t="s">
        <v>144</v>
      </c>
      <c r="AF458" s="848" t="s">
        <v>144</v>
      </c>
      <c r="AG458" s="838"/>
      <c r="AH458" s="877" t="s">
        <v>3617</v>
      </c>
      <c r="AI458" s="273" t="s">
        <v>3618</v>
      </c>
      <c r="AJ458" s="847">
        <v>7</v>
      </c>
      <c r="AK458" s="878" t="s">
        <v>1280</v>
      </c>
      <c r="AL458" s="875" t="s">
        <v>294</v>
      </c>
      <c r="AM458" s="301" t="s">
        <v>295</v>
      </c>
      <c r="AN458" s="847">
        <v>7</v>
      </c>
      <c r="AO458" s="187" t="s">
        <v>966</v>
      </c>
      <c r="AP458" s="867"/>
      <c r="AQ458" s="273"/>
      <c r="AR458" s="847"/>
      <c r="AS458" s="848"/>
      <c r="AT458" s="284" t="s">
        <v>3619</v>
      </c>
      <c r="AU458" s="273" t="s">
        <v>3620</v>
      </c>
      <c r="AV458" s="285">
        <v>6</v>
      </c>
      <c r="AW458" s="848" t="s">
        <v>3621</v>
      </c>
      <c r="AX458" s="867"/>
      <c r="AY458" s="273"/>
      <c r="AZ458" s="847"/>
      <c r="BA458" s="848"/>
      <c r="BB458" s="866"/>
      <c r="BC458" s="273"/>
      <c r="BD458" s="847"/>
      <c r="BE458" s="848"/>
      <c r="BF458" s="838"/>
    </row>
    <row r="459" spans="1:58" s="88" customFormat="1" ht="54" hidden="1" customHeight="1" x14ac:dyDescent="0.25">
      <c r="A459" s="267" t="s">
        <v>1687</v>
      </c>
      <c r="B459" s="268">
        <v>224</v>
      </c>
      <c r="C459" s="240" t="s">
        <v>2530</v>
      </c>
      <c r="D459" s="270" t="s">
        <v>2531</v>
      </c>
      <c r="E459" s="268" t="s">
        <v>3622</v>
      </c>
      <c r="F459" s="861" t="s">
        <v>3623</v>
      </c>
      <c r="G459" s="269" t="s">
        <v>3624</v>
      </c>
      <c r="H459" s="861" t="s">
        <v>3623</v>
      </c>
      <c r="I459" s="269" t="s">
        <v>3624</v>
      </c>
      <c r="J459" s="296" t="s">
        <v>140</v>
      </c>
      <c r="K459" s="297" t="s">
        <v>140</v>
      </c>
      <c r="L459" s="862" t="s">
        <v>3625</v>
      </c>
      <c r="M459" s="847" t="s">
        <v>973</v>
      </c>
      <c r="N459" s="211" t="s">
        <v>974</v>
      </c>
      <c r="O459" s="240" t="s">
        <v>144</v>
      </c>
      <c r="P459" s="240" t="s">
        <v>144</v>
      </c>
      <c r="Q459" s="845" t="s">
        <v>144</v>
      </c>
      <c r="R459" s="208" t="s">
        <v>144</v>
      </c>
      <c r="S459" s="864" t="s">
        <v>746</v>
      </c>
      <c r="T459" s="212" t="s">
        <v>1104</v>
      </c>
      <c r="U459" s="213" t="s">
        <v>1105</v>
      </c>
      <c r="V459" s="307">
        <v>19</v>
      </c>
      <c r="W459" s="415" t="s">
        <v>144</v>
      </c>
      <c r="X459" s="212">
        <v>40</v>
      </c>
      <c r="Y459" s="212" t="s">
        <v>144</v>
      </c>
      <c r="Z459" s="433" t="s">
        <v>25</v>
      </c>
      <c r="AA459" s="407" t="s">
        <v>3608</v>
      </c>
      <c r="AB459" s="206" t="s">
        <v>140</v>
      </c>
      <c r="AC459" s="847" t="s">
        <v>265</v>
      </c>
      <c r="AD459" s="847" t="s">
        <v>3579</v>
      </c>
      <c r="AE459" s="847" t="s">
        <v>144</v>
      </c>
      <c r="AF459" s="848" t="s">
        <v>144</v>
      </c>
      <c r="AG459" s="838"/>
      <c r="AH459" s="866" t="s">
        <v>3609</v>
      </c>
      <c r="AI459" s="273" t="s">
        <v>3610</v>
      </c>
      <c r="AJ459" s="847">
        <v>6</v>
      </c>
      <c r="AK459" s="878" t="s">
        <v>3611</v>
      </c>
      <c r="AL459" s="867"/>
      <c r="AM459" s="273"/>
      <c r="AN459" s="847"/>
      <c r="AO459" s="848"/>
      <c r="AP459" s="867" t="s">
        <v>1107</v>
      </c>
      <c r="AQ459" s="273" t="s">
        <v>1108</v>
      </c>
      <c r="AR459" s="847">
        <v>7</v>
      </c>
      <c r="AS459" s="286" t="s">
        <v>1109</v>
      </c>
      <c r="AT459" s="867"/>
      <c r="AU459" s="273"/>
      <c r="AV459" s="847"/>
      <c r="AW459" s="848"/>
      <c r="AX459" s="867"/>
      <c r="AY459" s="273"/>
      <c r="AZ459" s="847"/>
      <c r="BA459" s="848"/>
      <c r="BB459" s="866"/>
      <c r="BC459" s="273"/>
      <c r="BD459" s="847"/>
      <c r="BE459" s="848"/>
      <c r="BF459" s="838"/>
    </row>
    <row r="460" spans="1:58" s="88" customFormat="1" ht="54" hidden="1" customHeight="1" x14ac:dyDescent="0.25">
      <c r="A460" s="267" t="s">
        <v>1687</v>
      </c>
      <c r="B460" s="268">
        <v>225</v>
      </c>
      <c r="C460" s="240" t="s">
        <v>2530</v>
      </c>
      <c r="D460" s="270" t="s">
        <v>2531</v>
      </c>
      <c r="E460" s="268" t="s">
        <v>3626</v>
      </c>
      <c r="F460" s="861" t="s">
        <v>3627</v>
      </c>
      <c r="G460" s="269" t="s">
        <v>3628</v>
      </c>
      <c r="H460" s="861" t="s">
        <v>3627</v>
      </c>
      <c r="I460" s="269" t="s">
        <v>3628</v>
      </c>
      <c r="J460" s="296" t="s">
        <v>140</v>
      </c>
      <c r="K460" s="297" t="s">
        <v>140</v>
      </c>
      <c r="L460" s="862" t="s">
        <v>3629</v>
      </c>
      <c r="M460" s="847" t="s">
        <v>973</v>
      </c>
      <c r="N460" s="211" t="s">
        <v>974</v>
      </c>
      <c r="O460" s="240" t="s">
        <v>814</v>
      </c>
      <c r="P460" s="240" t="s">
        <v>815</v>
      </c>
      <c r="Q460" s="845" t="s">
        <v>144</v>
      </c>
      <c r="R460" s="208" t="s">
        <v>144</v>
      </c>
      <c r="S460" s="864" t="s">
        <v>147</v>
      </c>
      <c r="T460" s="212" t="s">
        <v>144</v>
      </c>
      <c r="U460" s="213" t="s">
        <v>144</v>
      </c>
      <c r="V460" s="307">
        <v>3</v>
      </c>
      <c r="W460" s="415" t="s">
        <v>144</v>
      </c>
      <c r="X460" s="212">
        <v>40</v>
      </c>
      <c r="Y460" s="212" t="s">
        <v>144</v>
      </c>
      <c r="Z460" s="433" t="s">
        <v>25</v>
      </c>
      <c r="AA460" s="407" t="s">
        <v>3616</v>
      </c>
      <c r="AB460" s="206" t="s">
        <v>140</v>
      </c>
      <c r="AC460" s="847" t="s">
        <v>265</v>
      </c>
      <c r="AD460" s="847" t="s">
        <v>3579</v>
      </c>
      <c r="AE460" s="847" t="s">
        <v>144</v>
      </c>
      <c r="AF460" s="848" t="s">
        <v>144</v>
      </c>
      <c r="AG460" s="838"/>
      <c r="AH460" s="866" t="s">
        <v>3630</v>
      </c>
      <c r="AI460" s="273" t="s">
        <v>3631</v>
      </c>
      <c r="AJ460" s="847">
        <v>7</v>
      </c>
      <c r="AK460" s="878" t="s">
        <v>1280</v>
      </c>
      <c r="AL460" s="867" t="s">
        <v>294</v>
      </c>
      <c r="AM460" s="273" t="s">
        <v>295</v>
      </c>
      <c r="AN460" s="847">
        <v>7</v>
      </c>
      <c r="AO460" s="187" t="s">
        <v>966</v>
      </c>
      <c r="AP460" s="867"/>
      <c r="AQ460" s="273"/>
      <c r="AR460" s="847"/>
      <c r="AS460" s="848"/>
      <c r="AT460" s="867"/>
      <c r="AU460" s="273"/>
      <c r="AV460" s="847"/>
      <c r="AW460" s="848"/>
      <c r="AX460" s="867"/>
      <c r="AY460" s="273"/>
      <c r="AZ460" s="847"/>
      <c r="BA460" s="848"/>
      <c r="BB460" s="866"/>
      <c r="BC460" s="273"/>
      <c r="BD460" s="847"/>
      <c r="BE460" s="848"/>
      <c r="BF460" s="838"/>
    </row>
    <row r="461" spans="1:58" s="88" customFormat="1" ht="54" hidden="1" customHeight="1" x14ac:dyDescent="0.25">
      <c r="A461" s="267" t="s">
        <v>1687</v>
      </c>
      <c r="B461" s="268">
        <v>226</v>
      </c>
      <c r="C461" s="240" t="s">
        <v>2530</v>
      </c>
      <c r="D461" s="270" t="s">
        <v>2531</v>
      </c>
      <c r="E461" s="268" t="s">
        <v>3632</v>
      </c>
      <c r="F461" s="861" t="s">
        <v>3633</v>
      </c>
      <c r="G461" s="269" t="s">
        <v>3634</v>
      </c>
      <c r="H461" s="845" t="s">
        <v>3635</v>
      </c>
      <c r="I461" s="269" t="s">
        <v>3636</v>
      </c>
      <c r="J461" s="296" t="s">
        <v>140</v>
      </c>
      <c r="K461" s="297" t="s">
        <v>140</v>
      </c>
      <c r="L461" s="862" t="s">
        <v>3637</v>
      </c>
      <c r="M461" s="847" t="s">
        <v>973</v>
      </c>
      <c r="N461" s="270" t="s">
        <v>974</v>
      </c>
      <c r="O461" s="240" t="s">
        <v>3638</v>
      </c>
      <c r="P461" s="240" t="s">
        <v>3639</v>
      </c>
      <c r="Q461" s="845" t="s">
        <v>144</v>
      </c>
      <c r="R461" s="208" t="s">
        <v>144</v>
      </c>
      <c r="S461" s="864" t="s">
        <v>147</v>
      </c>
      <c r="T461" s="212" t="s">
        <v>144</v>
      </c>
      <c r="U461" s="213" t="s">
        <v>144</v>
      </c>
      <c r="V461" s="307">
        <v>2</v>
      </c>
      <c r="W461" s="415" t="s">
        <v>144</v>
      </c>
      <c r="X461" s="212">
        <v>40</v>
      </c>
      <c r="Y461" s="212" t="s">
        <v>144</v>
      </c>
      <c r="Z461" s="433" t="s">
        <v>144</v>
      </c>
      <c r="AA461" s="437" t="s">
        <v>3640</v>
      </c>
      <c r="AB461" s="206" t="s">
        <v>140</v>
      </c>
      <c r="AC461" s="847" t="s">
        <v>265</v>
      </c>
      <c r="AD461" s="847" t="s">
        <v>3579</v>
      </c>
      <c r="AE461" s="847" t="s">
        <v>144</v>
      </c>
      <c r="AF461" s="848" t="s">
        <v>144</v>
      </c>
      <c r="AG461" s="838"/>
      <c r="AH461" s="291" t="s">
        <v>3641</v>
      </c>
      <c r="AI461" s="273" t="s">
        <v>3642</v>
      </c>
      <c r="AJ461" s="240">
        <v>6</v>
      </c>
      <c r="AK461" s="878" t="s">
        <v>3643</v>
      </c>
      <c r="AL461" s="875" t="s">
        <v>294</v>
      </c>
      <c r="AM461" s="301" t="s">
        <v>295</v>
      </c>
      <c r="AN461" s="847">
        <v>7</v>
      </c>
      <c r="AO461" s="187" t="s">
        <v>966</v>
      </c>
      <c r="AP461" s="867" t="s">
        <v>3644</v>
      </c>
      <c r="AQ461" s="273" t="s">
        <v>3645</v>
      </c>
      <c r="AR461" s="847">
        <v>6</v>
      </c>
      <c r="AS461" s="848" t="s">
        <v>3646</v>
      </c>
      <c r="AT461" s="867" t="s">
        <v>3647</v>
      </c>
      <c r="AU461" s="273" t="s">
        <v>3648</v>
      </c>
      <c r="AV461" s="847">
        <v>6</v>
      </c>
      <c r="AW461" s="286" t="s">
        <v>3649</v>
      </c>
      <c r="AX461" s="867"/>
      <c r="AY461" s="273"/>
      <c r="AZ461" s="847"/>
      <c r="BA461" s="848"/>
      <c r="BB461" s="866"/>
      <c r="BC461" s="273"/>
      <c r="BD461" s="847"/>
      <c r="BE461" s="848"/>
      <c r="BF461" s="838"/>
    </row>
    <row r="462" spans="1:58" s="88" customFormat="1" ht="54" hidden="1" customHeight="1" x14ac:dyDescent="0.25">
      <c r="A462" s="267" t="s">
        <v>1687</v>
      </c>
      <c r="B462" s="268">
        <v>227</v>
      </c>
      <c r="C462" s="240" t="s">
        <v>2530</v>
      </c>
      <c r="D462" s="270" t="s">
        <v>2531</v>
      </c>
      <c r="E462" s="268" t="s">
        <v>3650</v>
      </c>
      <c r="F462" s="861" t="s">
        <v>3651</v>
      </c>
      <c r="G462" s="269" t="s">
        <v>3652</v>
      </c>
      <c r="H462" s="845" t="s">
        <v>3653</v>
      </c>
      <c r="I462" s="269" t="s">
        <v>3654</v>
      </c>
      <c r="J462" s="296" t="s">
        <v>140</v>
      </c>
      <c r="K462" s="297" t="s">
        <v>140</v>
      </c>
      <c r="L462" s="862" t="s">
        <v>3655</v>
      </c>
      <c r="M462" s="847" t="s">
        <v>973</v>
      </c>
      <c r="N462" s="211" t="s">
        <v>974</v>
      </c>
      <c r="O462" s="240" t="s">
        <v>3656</v>
      </c>
      <c r="P462" s="240" t="s">
        <v>3657</v>
      </c>
      <c r="Q462" s="845" t="s">
        <v>144</v>
      </c>
      <c r="R462" s="208" t="s">
        <v>144</v>
      </c>
      <c r="S462" s="864" t="s">
        <v>147</v>
      </c>
      <c r="T462" s="212" t="s">
        <v>144</v>
      </c>
      <c r="U462" s="213" t="s">
        <v>144</v>
      </c>
      <c r="V462" s="307">
        <v>3</v>
      </c>
      <c r="W462" s="415" t="s">
        <v>144</v>
      </c>
      <c r="X462" s="212">
        <v>40</v>
      </c>
      <c r="Y462" s="212" t="s">
        <v>144</v>
      </c>
      <c r="Z462" s="241" t="s">
        <v>144</v>
      </c>
      <c r="AA462" s="437" t="s">
        <v>3658</v>
      </c>
      <c r="AB462" s="206" t="s">
        <v>140</v>
      </c>
      <c r="AC462" s="847" t="s">
        <v>265</v>
      </c>
      <c r="AD462" s="847" t="s">
        <v>3659</v>
      </c>
      <c r="AE462" s="847" t="s">
        <v>144</v>
      </c>
      <c r="AF462" s="848" t="s">
        <v>144</v>
      </c>
      <c r="AG462" s="838"/>
      <c r="AH462" s="866" t="s">
        <v>3660</v>
      </c>
      <c r="AI462" s="273" t="s">
        <v>3661</v>
      </c>
      <c r="AJ462" s="847">
        <v>5</v>
      </c>
      <c r="AK462" s="878" t="s">
        <v>3662</v>
      </c>
      <c r="AL462" s="867" t="s">
        <v>294</v>
      </c>
      <c r="AM462" s="273" t="s">
        <v>295</v>
      </c>
      <c r="AN462" s="847">
        <v>7</v>
      </c>
      <c r="AO462" s="187" t="s">
        <v>966</v>
      </c>
      <c r="AP462" s="867"/>
      <c r="AQ462" s="273"/>
      <c r="AR462" s="847"/>
      <c r="AS462" s="848"/>
      <c r="AT462" s="867"/>
      <c r="AU462" s="273"/>
      <c r="AV462" s="847"/>
      <c r="AW462" s="848"/>
      <c r="AX462" s="867"/>
      <c r="AY462" s="273"/>
      <c r="AZ462" s="847"/>
      <c r="BA462" s="848"/>
      <c r="BB462" s="866"/>
      <c r="BC462" s="273"/>
      <c r="BD462" s="847"/>
      <c r="BE462" s="848"/>
      <c r="BF462" s="838"/>
    </row>
    <row r="463" spans="1:58" s="88" customFormat="1" ht="54" hidden="1" customHeight="1" x14ac:dyDescent="0.25">
      <c r="A463" s="267" t="s">
        <v>1687</v>
      </c>
      <c r="B463" s="268">
        <v>228</v>
      </c>
      <c r="C463" s="240" t="s">
        <v>2530</v>
      </c>
      <c r="D463" s="270" t="s">
        <v>2531</v>
      </c>
      <c r="E463" s="268" t="s">
        <v>3663</v>
      </c>
      <c r="F463" s="861" t="s">
        <v>3664</v>
      </c>
      <c r="G463" s="269" t="s">
        <v>3665</v>
      </c>
      <c r="H463" s="845" t="s">
        <v>3666</v>
      </c>
      <c r="I463" s="269" t="s">
        <v>3667</v>
      </c>
      <c r="J463" s="296" t="s">
        <v>140</v>
      </c>
      <c r="K463" s="297" t="s">
        <v>140</v>
      </c>
      <c r="L463" s="862" t="s">
        <v>3668</v>
      </c>
      <c r="M463" s="847" t="s">
        <v>973</v>
      </c>
      <c r="N463" s="211" t="s">
        <v>974</v>
      </c>
      <c r="O463" s="240" t="s">
        <v>3669</v>
      </c>
      <c r="P463" s="240" t="s">
        <v>3670</v>
      </c>
      <c r="Q463" s="845" t="s">
        <v>144</v>
      </c>
      <c r="R463" s="208" t="s">
        <v>144</v>
      </c>
      <c r="S463" s="864" t="s">
        <v>147</v>
      </c>
      <c r="T463" s="212" t="s">
        <v>144</v>
      </c>
      <c r="U463" s="213" t="s">
        <v>144</v>
      </c>
      <c r="V463" s="307">
        <v>1</v>
      </c>
      <c r="W463" s="415" t="s">
        <v>144</v>
      </c>
      <c r="X463" s="212">
        <v>40</v>
      </c>
      <c r="Y463" s="212" t="s">
        <v>144</v>
      </c>
      <c r="Z463" s="241" t="s">
        <v>144</v>
      </c>
      <c r="AA463" s="437" t="s">
        <v>3671</v>
      </c>
      <c r="AB463" s="206" t="s">
        <v>140</v>
      </c>
      <c r="AC463" s="847" t="s">
        <v>265</v>
      </c>
      <c r="AD463" s="847" t="s">
        <v>3579</v>
      </c>
      <c r="AE463" s="847" t="s">
        <v>144</v>
      </c>
      <c r="AF463" s="848" t="s">
        <v>144</v>
      </c>
      <c r="AG463" s="838"/>
      <c r="AH463" s="866" t="s">
        <v>3660</v>
      </c>
      <c r="AI463" s="273" t="s">
        <v>3661</v>
      </c>
      <c r="AJ463" s="847">
        <v>6</v>
      </c>
      <c r="AK463" s="878" t="s">
        <v>3662</v>
      </c>
      <c r="AL463" s="867" t="s">
        <v>294</v>
      </c>
      <c r="AM463" s="273" t="s">
        <v>295</v>
      </c>
      <c r="AN463" s="847">
        <v>7</v>
      </c>
      <c r="AO463" s="187" t="s">
        <v>966</v>
      </c>
      <c r="AP463" s="867"/>
      <c r="AQ463" s="273"/>
      <c r="AR463" s="847"/>
      <c r="AS463" s="848"/>
      <c r="AT463" s="867"/>
      <c r="AU463" s="273"/>
      <c r="AV463" s="847"/>
      <c r="AW463" s="848"/>
      <c r="AX463" s="867"/>
      <c r="AY463" s="273"/>
      <c r="AZ463" s="847"/>
      <c r="BA463" s="848"/>
      <c r="BB463" s="866"/>
      <c r="BC463" s="273"/>
      <c r="BD463" s="847"/>
      <c r="BE463" s="848"/>
      <c r="BF463" s="838"/>
    </row>
    <row r="464" spans="1:58" s="88" customFormat="1" ht="54" hidden="1" customHeight="1" x14ac:dyDescent="0.25">
      <c r="A464" s="267" t="s">
        <v>1687</v>
      </c>
      <c r="B464" s="268">
        <v>229</v>
      </c>
      <c r="C464" s="240" t="s">
        <v>2170</v>
      </c>
      <c r="D464" s="270" t="s">
        <v>2171</v>
      </c>
      <c r="E464" s="268" t="s">
        <v>3672</v>
      </c>
      <c r="F464" s="886" t="s">
        <v>3673</v>
      </c>
      <c r="G464" s="430" t="s">
        <v>3674</v>
      </c>
      <c r="H464" s="886" t="s">
        <v>3673</v>
      </c>
      <c r="I464" s="430" t="s">
        <v>3674</v>
      </c>
      <c r="J464" s="296" t="s">
        <v>140</v>
      </c>
      <c r="K464" s="297" t="s">
        <v>140</v>
      </c>
      <c r="L464" s="862" t="s">
        <v>3675</v>
      </c>
      <c r="M464" s="847" t="s">
        <v>973</v>
      </c>
      <c r="N464" s="211" t="s">
        <v>974</v>
      </c>
      <c r="O464" s="240" t="s">
        <v>3676</v>
      </c>
      <c r="P464" s="240" t="s">
        <v>3677</v>
      </c>
      <c r="Q464" s="845" t="s">
        <v>144</v>
      </c>
      <c r="R464" s="208" t="s">
        <v>144</v>
      </c>
      <c r="S464" s="864" t="s">
        <v>147</v>
      </c>
      <c r="T464" s="212" t="s">
        <v>144</v>
      </c>
      <c r="U464" s="213" t="s">
        <v>144</v>
      </c>
      <c r="V464" s="307">
        <v>1</v>
      </c>
      <c r="W464" s="415" t="s">
        <v>144</v>
      </c>
      <c r="X464" s="212">
        <v>40</v>
      </c>
      <c r="Y464" s="212" t="s">
        <v>144</v>
      </c>
      <c r="Z464" s="241" t="s">
        <v>25</v>
      </c>
      <c r="AA464" s="407" t="s">
        <v>3678</v>
      </c>
      <c r="AB464" s="206" t="s">
        <v>140</v>
      </c>
      <c r="AC464" s="847" t="s">
        <v>265</v>
      </c>
      <c r="AD464" s="847" t="s">
        <v>3659</v>
      </c>
      <c r="AE464" s="847" t="s">
        <v>144</v>
      </c>
      <c r="AF464" s="848" t="s">
        <v>144</v>
      </c>
      <c r="AG464" s="838"/>
      <c r="AH464" s="866" t="s">
        <v>3679</v>
      </c>
      <c r="AI464" s="273" t="s">
        <v>3680</v>
      </c>
      <c r="AJ464" s="847">
        <v>6</v>
      </c>
      <c r="AK464" s="878" t="s">
        <v>3681</v>
      </c>
      <c r="AL464" s="867" t="s">
        <v>294</v>
      </c>
      <c r="AM464" s="273" t="s">
        <v>295</v>
      </c>
      <c r="AN464" s="847">
        <v>7</v>
      </c>
      <c r="AO464" s="187" t="s">
        <v>966</v>
      </c>
      <c r="AP464" s="867"/>
      <c r="AQ464" s="273"/>
      <c r="AR464" s="847"/>
      <c r="AS464" s="848"/>
      <c r="AT464" s="867"/>
      <c r="AU464" s="273"/>
      <c r="AV464" s="847"/>
      <c r="AW464" s="848"/>
      <c r="AX464" s="867"/>
      <c r="AY464" s="273"/>
      <c r="AZ464" s="847"/>
      <c r="BA464" s="848"/>
      <c r="BB464" s="866"/>
      <c r="BC464" s="273"/>
      <c r="BD464" s="847"/>
      <c r="BE464" s="848"/>
      <c r="BF464" s="838"/>
    </row>
    <row r="465" spans="1:58" s="88" customFormat="1" ht="54" hidden="1" customHeight="1" x14ac:dyDescent="0.25">
      <c r="A465" s="267" t="s">
        <v>1687</v>
      </c>
      <c r="B465" s="268">
        <v>230</v>
      </c>
      <c r="C465" s="240" t="s">
        <v>2170</v>
      </c>
      <c r="D465" s="270" t="s">
        <v>2171</v>
      </c>
      <c r="E465" s="268" t="s">
        <v>3682</v>
      </c>
      <c r="F465" s="457" t="s">
        <v>3683</v>
      </c>
      <c r="G465" s="430" t="s">
        <v>3684</v>
      </c>
      <c r="H465" s="457" t="s">
        <v>3685</v>
      </c>
      <c r="I465" s="430" t="s">
        <v>3686</v>
      </c>
      <c r="J465" s="296" t="s">
        <v>140</v>
      </c>
      <c r="K465" s="297" t="s">
        <v>140</v>
      </c>
      <c r="L465" s="862" t="s">
        <v>3687</v>
      </c>
      <c r="M465" s="847" t="s">
        <v>973</v>
      </c>
      <c r="N465" s="270" t="s">
        <v>974</v>
      </c>
      <c r="O465" s="240" t="s">
        <v>3688</v>
      </c>
      <c r="P465" s="240" t="s">
        <v>3689</v>
      </c>
      <c r="Q465" s="458" t="s">
        <v>144</v>
      </c>
      <c r="R465" s="445" t="s">
        <v>144</v>
      </c>
      <c r="S465" s="864" t="s">
        <v>147</v>
      </c>
      <c r="T465" s="212" t="s">
        <v>144</v>
      </c>
      <c r="U465" s="213" t="s">
        <v>144</v>
      </c>
      <c r="V465" s="307">
        <v>14</v>
      </c>
      <c r="W465" s="415" t="s">
        <v>144</v>
      </c>
      <c r="X465" s="212">
        <v>40</v>
      </c>
      <c r="Y465" s="212" t="s">
        <v>144</v>
      </c>
      <c r="Z465" s="433" t="s">
        <v>25</v>
      </c>
      <c r="AA465" s="407" t="s">
        <v>3690</v>
      </c>
      <c r="AB465" s="206" t="s">
        <v>140</v>
      </c>
      <c r="AC465" s="847" t="s">
        <v>265</v>
      </c>
      <c r="AD465" s="847" t="s">
        <v>3659</v>
      </c>
      <c r="AE465" s="847" t="s">
        <v>144</v>
      </c>
      <c r="AF465" s="848" t="s">
        <v>144</v>
      </c>
      <c r="AG465" s="838"/>
      <c r="AH465" s="877" t="s">
        <v>3691</v>
      </c>
      <c r="AI465" s="273" t="s">
        <v>3692</v>
      </c>
      <c r="AJ465" s="240">
        <v>6</v>
      </c>
      <c r="AK465" s="878" t="s">
        <v>3693</v>
      </c>
      <c r="AL465" s="873" t="s">
        <v>294</v>
      </c>
      <c r="AM465" s="406" t="s">
        <v>295</v>
      </c>
      <c r="AN465" s="872">
        <v>7</v>
      </c>
      <c r="AO465" s="441" t="s">
        <v>966</v>
      </c>
      <c r="AP465" s="873" t="s">
        <v>3694</v>
      </c>
      <c r="AQ465" s="406" t="s">
        <v>3695</v>
      </c>
      <c r="AR465" s="872">
        <v>7</v>
      </c>
      <c r="AS465" s="878" t="s">
        <v>3696</v>
      </c>
      <c r="AT465" s="867"/>
      <c r="AU465" s="273"/>
      <c r="AV465" s="847"/>
      <c r="AW465" s="848"/>
      <c r="AX465" s="867"/>
      <c r="AY465" s="273"/>
      <c r="AZ465" s="847"/>
      <c r="BA465" s="848"/>
      <c r="BB465" s="866"/>
      <c r="BC465" s="273"/>
      <c r="BD465" s="847"/>
      <c r="BE465" s="848"/>
      <c r="BF465" s="838"/>
    </row>
    <row r="466" spans="1:58" s="88" customFormat="1" ht="54" hidden="1" customHeight="1" x14ac:dyDescent="0.25">
      <c r="A466" s="267" t="s">
        <v>1687</v>
      </c>
      <c r="B466" s="268">
        <v>231</v>
      </c>
      <c r="C466" s="240" t="s">
        <v>2170</v>
      </c>
      <c r="D466" s="270" t="s">
        <v>2171</v>
      </c>
      <c r="E466" s="268" t="s">
        <v>3697</v>
      </c>
      <c r="F466" s="886" t="s">
        <v>3698</v>
      </c>
      <c r="G466" s="430" t="s">
        <v>3699</v>
      </c>
      <c r="H466" s="886" t="s">
        <v>3698</v>
      </c>
      <c r="I466" s="430" t="s">
        <v>3699</v>
      </c>
      <c r="J466" s="296" t="s">
        <v>140</v>
      </c>
      <c r="K466" s="297" t="s">
        <v>140</v>
      </c>
      <c r="L466" s="862" t="s">
        <v>3700</v>
      </c>
      <c r="M466" s="847" t="s">
        <v>973</v>
      </c>
      <c r="N466" s="211" t="s">
        <v>974</v>
      </c>
      <c r="O466" s="240" t="s">
        <v>3676</v>
      </c>
      <c r="P466" s="240" t="s">
        <v>3677</v>
      </c>
      <c r="Q466" s="845" t="s">
        <v>144</v>
      </c>
      <c r="R466" s="208" t="s">
        <v>144</v>
      </c>
      <c r="S466" s="864" t="s">
        <v>147</v>
      </c>
      <c r="T466" s="212" t="s">
        <v>144</v>
      </c>
      <c r="U466" s="213" t="s">
        <v>144</v>
      </c>
      <c r="V466" s="307">
        <v>1</v>
      </c>
      <c r="W466" s="415" t="s">
        <v>144</v>
      </c>
      <c r="X466" s="212">
        <v>40</v>
      </c>
      <c r="Y466" s="212" t="s">
        <v>144</v>
      </c>
      <c r="Z466" s="241" t="s">
        <v>25</v>
      </c>
      <c r="AA466" s="407" t="s">
        <v>3678</v>
      </c>
      <c r="AB466" s="206" t="s">
        <v>140</v>
      </c>
      <c r="AC466" s="847" t="s">
        <v>265</v>
      </c>
      <c r="AD466" s="847" t="s">
        <v>3659</v>
      </c>
      <c r="AE466" s="847" t="s">
        <v>144</v>
      </c>
      <c r="AF466" s="848" t="s">
        <v>144</v>
      </c>
      <c r="AG466" s="838"/>
      <c r="AH466" s="866" t="s">
        <v>3701</v>
      </c>
      <c r="AI466" s="273" t="s">
        <v>3702</v>
      </c>
      <c r="AJ466" s="847">
        <v>6</v>
      </c>
      <c r="AK466" s="878" t="s">
        <v>3703</v>
      </c>
      <c r="AL466" s="867" t="s">
        <v>294</v>
      </c>
      <c r="AM466" s="273" t="s">
        <v>295</v>
      </c>
      <c r="AN466" s="847">
        <v>7</v>
      </c>
      <c r="AO466" s="187" t="s">
        <v>966</v>
      </c>
      <c r="AP466" s="867"/>
      <c r="AQ466" s="273"/>
      <c r="AR466" s="847"/>
      <c r="AS466" s="848"/>
      <c r="AT466" s="867"/>
      <c r="AU466" s="273"/>
      <c r="AV466" s="847"/>
      <c r="AW466" s="848"/>
      <c r="AX466" s="867"/>
      <c r="AY466" s="273"/>
      <c r="AZ466" s="847"/>
      <c r="BA466" s="848"/>
      <c r="BB466" s="866"/>
      <c r="BC466" s="273"/>
      <c r="BD466" s="847"/>
      <c r="BE466" s="848"/>
      <c r="BF466" s="838"/>
    </row>
    <row r="467" spans="1:58" s="88" customFormat="1" ht="54" hidden="1" customHeight="1" x14ac:dyDescent="0.25">
      <c r="A467" s="267" t="s">
        <v>1687</v>
      </c>
      <c r="B467" s="268">
        <v>232</v>
      </c>
      <c r="C467" s="240" t="s">
        <v>2170</v>
      </c>
      <c r="D467" s="270" t="s">
        <v>2171</v>
      </c>
      <c r="E467" s="268" t="s">
        <v>3704</v>
      </c>
      <c r="F467" s="457" t="s">
        <v>3705</v>
      </c>
      <c r="G467" s="430" t="s">
        <v>3706</v>
      </c>
      <c r="H467" s="457" t="s">
        <v>3707</v>
      </c>
      <c r="I467" s="430" t="s">
        <v>3708</v>
      </c>
      <c r="J467" s="296" t="s">
        <v>140</v>
      </c>
      <c r="K467" s="297" t="s">
        <v>140</v>
      </c>
      <c r="L467" s="862" t="s">
        <v>3709</v>
      </c>
      <c r="M467" s="847" t="s">
        <v>973</v>
      </c>
      <c r="N467" s="270" t="s">
        <v>974</v>
      </c>
      <c r="O467" s="240" t="s">
        <v>3688</v>
      </c>
      <c r="P467" s="240" t="s">
        <v>3689</v>
      </c>
      <c r="Q467" s="458" t="s">
        <v>144</v>
      </c>
      <c r="R467" s="445" t="s">
        <v>144</v>
      </c>
      <c r="S467" s="864" t="s">
        <v>147</v>
      </c>
      <c r="T467" s="212" t="s">
        <v>144</v>
      </c>
      <c r="U467" s="213" t="s">
        <v>144</v>
      </c>
      <c r="V467" s="307">
        <v>14</v>
      </c>
      <c r="W467" s="415" t="s">
        <v>144</v>
      </c>
      <c r="X467" s="212">
        <v>40</v>
      </c>
      <c r="Y467" s="212" t="s">
        <v>144</v>
      </c>
      <c r="Z467" s="433" t="s">
        <v>25</v>
      </c>
      <c r="AA467" s="407" t="s">
        <v>3690</v>
      </c>
      <c r="AB467" s="206" t="s">
        <v>140</v>
      </c>
      <c r="AC467" s="847" t="s">
        <v>265</v>
      </c>
      <c r="AD467" s="847" t="s">
        <v>3579</v>
      </c>
      <c r="AE467" s="847" t="s">
        <v>144</v>
      </c>
      <c r="AF467" s="848" t="s">
        <v>144</v>
      </c>
      <c r="AG467" s="838"/>
      <c r="AH467" s="877" t="s">
        <v>3710</v>
      </c>
      <c r="AI467" s="273" t="s">
        <v>3711</v>
      </c>
      <c r="AJ467" s="847">
        <v>6</v>
      </c>
      <c r="AK467" s="878" t="s">
        <v>3712</v>
      </c>
      <c r="AL467" s="873" t="s">
        <v>294</v>
      </c>
      <c r="AM467" s="406" t="s">
        <v>295</v>
      </c>
      <c r="AN467" s="872">
        <v>7</v>
      </c>
      <c r="AO467" s="441" t="s">
        <v>966</v>
      </c>
      <c r="AP467" s="873" t="s">
        <v>3694</v>
      </c>
      <c r="AQ467" s="406" t="s">
        <v>3695</v>
      </c>
      <c r="AR467" s="872">
        <v>7</v>
      </c>
      <c r="AS467" s="878" t="s">
        <v>3696</v>
      </c>
      <c r="AT467" s="867"/>
      <c r="AU467" s="273"/>
      <c r="AV467" s="847"/>
      <c r="AW467" s="848"/>
      <c r="AX467" s="867"/>
      <c r="AY467" s="273"/>
      <c r="AZ467" s="847"/>
      <c r="BA467" s="848"/>
      <c r="BB467" s="866"/>
      <c r="BC467" s="273"/>
      <c r="BD467" s="847"/>
      <c r="BE467" s="848"/>
      <c r="BF467" s="838"/>
    </row>
    <row r="468" spans="1:58" s="88" customFormat="1" ht="54" hidden="1" customHeight="1" x14ac:dyDescent="0.25">
      <c r="A468" s="267" t="s">
        <v>1687</v>
      </c>
      <c r="B468" s="268">
        <v>233</v>
      </c>
      <c r="C468" s="240" t="s">
        <v>2530</v>
      </c>
      <c r="D468" s="270" t="s">
        <v>2531</v>
      </c>
      <c r="E468" s="268" t="s">
        <v>3713</v>
      </c>
      <c r="F468" s="861" t="s">
        <v>3714</v>
      </c>
      <c r="G468" s="269" t="s">
        <v>3715</v>
      </c>
      <c r="H468" s="861" t="s">
        <v>3716</v>
      </c>
      <c r="I468" s="269" t="s">
        <v>3717</v>
      </c>
      <c r="J468" s="296" t="s">
        <v>140</v>
      </c>
      <c r="K468" s="297" t="s">
        <v>140</v>
      </c>
      <c r="L468" s="862" t="s">
        <v>3718</v>
      </c>
      <c r="M468" s="847" t="s">
        <v>973</v>
      </c>
      <c r="N468" s="211" t="s">
        <v>974</v>
      </c>
      <c r="O468" s="240" t="s">
        <v>144</v>
      </c>
      <c r="P468" s="240" t="s">
        <v>144</v>
      </c>
      <c r="Q468" s="845" t="s">
        <v>144</v>
      </c>
      <c r="R468" s="208" t="s">
        <v>144</v>
      </c>
      <c r="S468" s="864" t="s">
        <v>746</v>
      </c>
      <c r="T468" s="212" t="s">
        <v>1104</v>
      </c>
      <c r="U468" s="213" t="s">
        <v>1105</v>
      </c>
      <c r="V468" s="307">
        <v>19</v>
      </c>
      <c r="W468" s="415" t="s">
        <v>144</v>
      </c>
      <c r="X468" s="212">
        <v>40</v>
      </c>
      <c r="Y468" s="212" t="s">
        <v>144</v>
      </c>
      <c r="Z468" s="252" t="s">
        <v>144</v>
      </c>
      <c r="AA468" s="240" t="s">
        <v>1633</v>
      </c>
      <c r="AB468" s="206" t="s">
        <v>140</v>
      </c>
      <c r="AC468" s="847" t="s">
        <v>265</v>
      </c>
      <c r="AD468" s="847" t="s">
        <v>3719</v>
      </c>
      <c r="AE468" s="847" t="s">
        <v>144</v>
      </c>
      <c r="AF468" s="848" t="s">
        <v>144</v>
      </c>
      <c r="AG468" s="838"/>
      <c r="AH468" s="866" t="s">
        <v>3720</v>
      </c>
      <c r="AI468" s="273" t="s">
        <v>3721</v>
      </c>
      <c r="AJ468" s="847">
        <v>6</v>
      </c>
      <c r="AK468" s="878" t="s">
        <v>3722</v>
      </c>
      <c r="AL468" s="867"/>
      <c r="AM468" s="273"/>
      <c r="AN468" s="847"/>
      <c r="AO468" s="848"/>
      <c r="AP468" s="867"/>
      <c r="AQ468" s="273"/>
      <c r="AR468" s="847"/>
      <c r="AS468" s="848"/>
      <c r="AT468" s="867"/>
      <c r="AU468" s="273"/>
      <c r="AV468" s="847"/>
      <c r="AW468" s="848"/>
      <c r="AX468" s="867"/>
      <c r="AY468" s="273"/>
      <c r="AZ468" s="847"/>
      <c r="BA468" s="848"/>
      <c r="BB468" s="866"/>
      <c r="BC468" s="273"/>
      <c r="BD468" s="847"/>
      <c r="BE468" s="848"/>
      <c r="BF468" s="838"/>
    </row>
    <row r="469" spans="1:58" s="88" customFormat="1" ht="54" hidden="1" customHeight="1" x14ac:dyDescent="0.25">
      <c r="A469" s="267" t="s">
        <v>1687</v>
      </c>
      <c r="B469" s="268">
        <v>234</v>
      </c>
      <c r="C469" s="240" t="s">
        <v>2530</v>
      </c>
      <c r="D469" s="270" t="s">
        <v>2531</v>
      </c>
      <c r="E469" s="268" t="s">
        <v>3723</v>
      </c>
      <c r="F469" s="861" t="s">
        <v>3724</v>
      </c>
      <c r="G469" s="269" t="s">
        <v>3725</v>
      </c>
      <c r="H469" s="845" t="s">
        <v>3726</v>
      </c>
      <c r="I469" s="208" t="s">
        <v>3727</v>
      </c>
      <c r="J469" s="240" t="s">
        <v>140</v>
      </c>
      <c r="K469" s="270" t="s">
        <v>140</v>
      </c>
      <c r="L469" s="862" t="s">
        <v>3728</v>
      </c>
      <c r="M469" s="847" t="s">
        <v>973</v>
      </c>
      <c r="N469" s="211" t="s">
        <v>974</v>
      </c>
      <c r="O469" s="240" t="s">
        <v>3729</v>
      </c>
      <c r="P469" s="240" t="s">
        <v>3730</v>
      </c>
      <c r="Q469" s="845" t="s">
        <v>144</v>
      </c>
      <c r="R469" s="208" t="s">
        <v>144</v>
      </c>
      <c r="S469" s="864" t="s">
        <v>147</v>
      </c>
      <c r="T469" s="212" t="s">
        <v>144</v>
      </c>
      <c r="U469" s="213" t="s">
        <v>144</v>
      </c>
      <c r="V469" s="307">
        <v>3</v>
      </c>
      <c r="W469" s="415" t="s">
        <v>144</v>
      </c>
      <c r="X469" s="212">
        <v>40</v>
      </c>
      <c r="Y469" s="212" t="s">
        <v>144</v>
      </c>
      <c r="Z469" s="252" t="s">
        <v>144</v>
      </c>
      <c r="AA469" s="240" t="s">
        <v>1633</v>
      </c>
      <c r="AB469" s="206" t="s">
        <v>140</v>
      </c>
      <c r="AC469" s="847" t="s">
        <v>265</v>
      </c>
      <c r="AD469" s="847" t="s">
        <v>3719</v>
      </c>
      <c r="AE469" s="847" t="s">
        <v>144</v>
      </c>
      <c r="AF469" s="848" t="s">
        <v>144</v>
      </c>
      <c r="AG469" s="838"/>
      <c r="AH469" s="866" t="s">
        <v>3731</v>
      </c>
      <c r="AI469" s="273" t="s">
        <v>3732</v>
      </c>
      <c r="AJ469" s="847">
        <v>6</v>
      </c>
      <c r="AK469" s="878" t="s">
        <v>3733</v>
      </c>
      <c r="AL469" s="867" t="s">
        <v>294</v>
      </c>
      <c r="AM469" s="273" t="s">
        <v>295</v>
      </c>
      <c r="AN469" s="847">
        <v>7</v>
      </c>
      <c r="AO469" s="187" t="s">
        <v>966</v>
      </c>
      <c r="AP469" s="867"/>
      <c r="AQ469" s="273"/>
      <c r="AR469" s="847"/>
      <c r="AS469" s="848"/>
      <c r="AT469" s="867"/>
      <c r="AU469" s="273"/>
      <c r="AV469" s="847"/>
      <c r="AW469" s="848"/>
      <c r="AX469" s="867"/>
      <c r="AY469" s="273"/>
      <c r="AZ469" s="847"/>
      <c r="BA469" s="848"/>
      <c r="BB469" s="866"/>
      <c r="BC469" s="273"/>
      <c r="BD469" s="847"/>
      <c r="BE469" s="848"/>
      <c r="BF469" s="838"/>
    </row>
    <row r="470" spans="1:58" s="88" customFormat="1" ht="54" hidden="1" customHeight="1" x14ac:dyDescent="0.25">
      <c r="A470" s="267" t="s">
        <v>1687</v>
      </c>
      <c r="B470" s="268">
        <v>235</v>
      </c>
      <c r="C470" s="240" t="s">
        <v>2530</v>
      </c>
      <c r="D470" s="270" t="s">
        <v>2531</v>
      </c>
      <c r="E470" s="268" t="s">
        <v>3734</v>
      </c>
      <c r="F470" s="861" t="s">
        <v>3735</v>
      </c>
      <c r="G470" s="269" t="s">
        <v>3736</v>
      </c>
      <c r="H470" s="861" t="s">
        <v>3737</v>
      </c>
      <c r="I470" s="269" t="s">
        <v>3738</v>
      </c>
      <c r="J470" s="296" t="s">
        <v>140</v>
      </c>
      <c r="K470" s="297" t="s">
        <v>140</v>
      </c>
      <c r="L470" s="862" t="s">
        <v>3739</v>
      </c>
      <c r="M470" s="847" t="s">
        <v>973</v>
      </c>
      <c r="N470" s="211" t="s">
        <v>974</v>
      </c>
      <c r="O470" s="240" t="s">
        <v>144</v>
      </c>
      <c r="P470" s="240" t="s">
        <v>144</v>
      </c>
      <c r="Q470" s="845" t="s">
        <v>144</v>
      </c>
      <c r="R470" s="208" t="s">
        <v>144</v>
      </c>
      <c r="S470" s="864" t="s">
        <v>746</v>
      </c>
      <c r="T470" s="212" t="s">
        <v>1104</v>
      </c>
      <c r="U470" s="213" t="s">
        <v>1105</v>
      </c>
      <c r="V470" s="307">
        <v>19</v>
      </c>
      <c r="W470" s="415" t="s">
        <v>144</v>
      </c>
      <c r="X470" s="212">
        <v>40</v>
      </c>
      <c r="Y470" s="212" t="s">
        <v>144</v>
      </c>
      <c r="Z470" s="252" t="s">
        <v>144</v>
      </c>
      <c r="AA470" s="240" t="s">
        <v>1633</v>
      </c>
      <c r="AB470" s="206" t="s">
        <v>140</v>
      </c>
      <c r="AC470" s="847" t="s">
        <v>265</v>
      </c>
      <c r="AD470" s="847" t="s">
        <v>3719</v>
      </c>
      <c r="AE470" s="847" t="s">
        <v>144</v>
      </c>
      <c r="AF470" s="848" t="s">
        <v>144</v>
      </c>
      <c r="AG470" s="838"/>
      <c r="AH470" s="866" t="s">
        <v>3740</v>
      </c>
      <c r="AI470" s="273" t="s">
        <v>3741</v>
      </c>
      <c r="AJ470" s="847">
        <v>6</v>
      </c>
      <c r="AK470" s="878" t="s">
        <v>3742</v>
      </c>
      <c r="AL470" s="867"/>
      <c r="AM470" s="273"/>
      <c r="AN470" s="847"/>
      <c r="AO470" s="848"/>
      <c r="AP470" s="867" t="s">
        <v>1107</v>
      </c>
      <c r="AQ470" s="273" t="s">
        <v>1108</v>
      </c>
      <c r="AR470" s="847">
        <v>7</v>
      </c>
      <c r="AS470" s="286" t="s">
        <v>1109</v>
      </c>
      <c r="AT470" s="867"/>
      <c r="AU470" s="273"/>
      <c r="AV470" s="847"/>
      <c r="AW470" s="848"/>
      <c r="AX470" s="867"/>
      <c r="AY470" s="273"/>
      <c r="AZ470" s="847"/>
      <c r="BA470" s="848"/>
      <c r="BB470" s="866"/>
      <c r="BC470" s="273"/>
      <c r="BD470" s="847"/>
      <c r="BE470" s="848"/>
      <c r="BF470" s="838"/>
    </row>
    <row r="471" spans="1:58" s="88" customFormat="1" ht="54" hidden="1" customHeight="1" x14ac:dyDescent="0.25">
      <c r="A471" s="267" t="s">
        <v>1687</v>
      </c>
      <c r="B471" s="268">
        <v>236</v>
      </c>
      <c r="C471" s="240" t="s">
        <v>2530</v>
      </c>
      <c r="D471" s="270" t="s">
        <v>2531</v>
      </c>
      <c r="E471" s="268" t="s">
        <v>3743</v>
      </c>
      <c r="F471" s="861" t="s">
        <v>3744</v>
      </c>
      <c r="G471" s="269" t="s">
        <v>3745</v>
      </c>
      <c r="H471" s="845" t="s">
        <v>3746</v>
      </c>
      <c r="I471" s="269" t="s">
        <v>3747</v>
      </c>
      <c r="J471" s="296" t="s">
        <v>140</v>
      </c>
      <c r="K471" s="297" t="s">
        <v>140</v>
      </c>
      <c r="L471" s="862" t="s">
        <v>3748</v>
      </c>
      <c r="M471" s="847" t="s">
        <v>973</v>
      </c>
      <c r="N471" s="211" t="s">
        <v>974</v>
      </c>
      <c r="O471" s="240" t="s">
        <v>3729</v>
      </c>
      <c r="P471" s="240" t="s">
        <v>3730</v>
      </c>
      <c r="Q471" s="845" t="s">
        <v>144</v>
      </c>
      <c r="R471" s="208" t="s">
        <v>144</v>
      </c>
      <c r="S471" s="864" t="s">
        <v>147</v>
      </c>
      <c r="T471" s="212" t="s">
        <v>144</v>
      </c>
      <c r="U471" s="213" t="s">
        <v>144</v>
      </c>
      <c r="V471" s="307">
        <v>3</v>
      </c>
      <c r="W471" s="415" t="s">
        <v>144</v>
      </c>
      <c r="X471" s="212">
        <v>40</v>
      </c>
      <c r="Y471" s="212" t="s">
        <v>144</v>
      </c>
      <c r="Z471" s="252" t="s">
        <v>144</v>
      </c>
      <c r="AA471" s="240" t="s">
        <v>1633</v>
      </c>
      <c r="AB471" s="206" t="s">
        <v>140</v>
      </c>
      <c r="AC471" s="847" t="s">
        <v>265</v>
      </c>
      <c r="AD471" s="847" t="s">
        <v>3719</v>
      </c>
      <c r="AE471" s="847" t="s">
        <v>144</v>
      </c>
      <c r="AF471" s="848" t="s">
        <v>144</v>
      </c>
      <c r="AG471" s="838"/>
      <c r="AH471" s="866" t="s">
        <v>3749</v>
      </c>
      <c r="AI471" s="273" t="s">
        <v>3750</v>
      </c>
      <c r="AJ471" s="847">
        <v>6</v>
      </c>
      <c r="AK471" s="878" t="s">
        <v>3751</v>
      </c>
      <c r="AL471" s="867" t="s">
        <v>294</v>
      </c>
      <c r="AM471" s="273" t="s">
        <v>295</v>
      </c>
      <c r="AN471" s="847">
        <v>7</v>
      </c>
      <c r="AO471" s="187" t="s">
        <v>966</v>
      </c>
      <c r="AP471" s="867"/>
      <c r="AQ471" s="273"/>
      <c r="AR471" s="847"/>
      <c r="AS471" s="848"/>
      <c r="AT471" s="867"/>
      <c r="AU471" s="273"/>
      <c r="AV471" s="847"/>
      <c r="AW471" s="848"/>
      <c r="AX471" s="867"/>
      <c r="AY471" s="273"/>
      <c r="AZ471" s="847"/>
      <c r="BA471" s="848"/>
      <c r="BB471" s="866"/>
      <c r="BC471" s="273"/>
      <c r="BD471" s="847"/>
      <c r="BE471" s="848"/>
      <c r="BF471" s="838"/>
    </row>
    <row r="472" spans="1:58" s="88" customFormat="1" ht="54" hidden="1" customHeight="1" x14ac:dyDescent="0.25">
      <c r="A472" s="267" t="s">
        <v>1687</v>
      </c>
      <c r="B472" s="268">
        <v>237</v>
      </c>
      <c r="C472" s="240" t="s">
        <v>2530</v>
      </c>
      <c r="D472" s="270" t="s">
        <v>2531</v>
      </c>
      <c r="E472" s="268" t="s">
        <v>3752</v>
      </c>
      <c r="F472" s="861" t="s">
        <v>3753</v>
      </c>
      <c r="G472" s="269" t="s">
        <v>3754</v>
      </c>
      <c r="H472" s="845" t="s">
        <v>3753</v>
      </c>
      <c r="I472" s="269" t="s">
        <v>3755</v>
      </c>
      <c r="J472" s="296" t="s">
        <v>140</v>
      </c>
      <c r="K472" s="297" t="s">
        <v>140</v>
      </c>
      <c r="L472" s="862" t="s">
        <v>3756</v>
      </c>
      <c r="M472" s="847" t="s">
        <v>973</v>
      </c>
      <c r="N472" s="211" t="s">
        <v>974</v>
      </c>
      <c r="O472" s="240" t="s">
        <v>3757</v>
      </c>
      <c r="P472" s="240" t="s">
        <v>3758</v>
      </c>
      <c r="Q472" s="845" t="s">
        <v>144</v>
      </c>
      <c r="R472" s="208" t="s">
        <v>144</v>
      </c>
      <c r="S472" s="864" t="s">
        <v>147</v>
      </c>
      <c r="T472" s="212" t="s">
        <v>144</v>
      </c>
      <c r="U472" s="213" t="s">
        <v>144</v>
      </c>
      <c r="V472" s="847">
        <v>1</v>
      </c>
      <c r="W472" s="415" t="s">
        <v>144</v>
      </c>
      <c r="X472" s="212">
        <v>41</v>
      </c>
      <c r="Y472" s="212" t="s">
        <v>144</v>
      </c>
      <c r="Z472" s="241" t="s">
        <v>144</v>
      </c>
      <c r="AA472" s="437" t="s">
        <v>3671</v>
      </c>
      <c r="AB472" s="206" t="s">
        <v>140</v>
      </c>
      <c r="AC472" s="847" t="s">
        <v>265</v>
      </c>
      <c r="AD472" s="847" t="s">
        <v>3579</v>
      </c>
      <c r="AE472" s="847" t="s">
        <v>144</v>
      </c>
      <c r="AF472" s="848" t="s">
        <v>144</v>
      </c>
      <c r="AG472" s="838"/>
      <c r="AH472" s="866" t="s">
        <v>3759</v>
      </c>
      <c r="AI472" s="273" t="s">
        <v>3760</v>
      </c>
      <c r="AJ472" s="847">
        <v>6</v>
      </c>
      <c r="AK472" s="878" t="s">
        <v>3761</v>
      </c>
      <c r="AL472" s="867" t="s">
        <v>294</v>
      </c>
      <c r="AM472" s="273" t="s">
        <v>295</v>
      </c>
      <c r="AN472" s="847">
        <v>7</v>
      </c>
      <c r="AO472" s="187" t="s">
        <v>966</v>
      </c>
      <c r="AP472" s="867"/>
      <c r="AQ472" s="273"/>
      <c r="AR472" s="847"/>
      <c r="AS472" s="848"/>
      <c r="AT472" s="867"/>
      <c r="AU472" s="273"/>
      <c r="AV472" s="847"/>
      <c r="AW472" s="848"/>
      <c r="AX472" s="867"/>
      <c r="AY472" s="273"/>
      <c r="AZ472" s="847"/>
      <c r="BA472" s="848"/>
      <c r="BB472" s="866"/>
      <c r="BC472" s="273"/>
      <c r="BD472" s="847"/>
      <c r="BE472" s="848"/>
      <c r="BF472" s="838"/>
    </row>
    <row r="473" spans="1:58" s="88" customFormat="1" ht="54" hidden="1" customHeight="1" x14ac:dyDescent="0.25">
      <c r="A473" s="267" t="s">
        <v>1687</v>
      </c>
      <c r="B473" s="268">
        <v>238</v>
      </c>
      <c r="C473" s="240" t="s">
        <v>2530</v>
      </c>
      <c r="D473" s="270" t="s">
        <v>2531</v>
      </c>
      <c r="E473" s="268" t="s">
        <v>3762</v>
      </c>
      <c r="F473" s="845" t="s">
        <v>3763</v>
      </c>
      <c r="G473" s="269" t="s">
        <v>3764</v>
      </c>
      <c r="H473" s="845" t="s">
        <v>3763</v>
      </c>
      <c r="I473" s="269" t="s">
        <v>3764</v>
      </c>
      <c r="J473" s="296" t="s">
        <v>140</v>
      </c>
      <c r="K473" s="297" t="s">
        <v>140</v>
      </c>
      <c r="L473" s="862" t="s">
        <v>3765</v>
      </c>
      <c r="M473" s="847" t="s">
        <v>973</v>
      </c>
      <c r="N473" s="211" t="s">
        <v>974</v>
      </c>
      <c r="O473" s="240" t="s">
        <v>144</v>
      </c>
      <c r="P473" s="240" t="s">
        <v>144</v>
      </c>
      <c r="Q473" s="845" t="s">
        <v>144</v>
      </c>
      <c r="R473" s="208" t="s">
        <v>144</v>
      </c>
      <c r="S473" s="864" t="s">
        <v>746</v>
      </c>
      <c r="T473" s="212" t="s">
        <v>1104</v>
      </c>
      <c r="U473" s="213" t="s">
        <v>1105</v>
      </c>
      <c r="V473" s="847">
        <v>19</v>
      </c>
      <c r="W473" s="415" t="s">
        <v>144</v>
      </c>
      <c r="X473" s="212">
        <v>41</v>
      </c>
      <c r="Y473" s="212" t="s">
        <v>144</v>
      </c>
      <c r="Z473" s="241" t="s">
        <v>144</v>
      </c>
      <c r="AA473" s="437" t="s">
        <v>3766</v>
      </c>
      <c r="AB473" s="206" t="s">
        <v>140</v>
      </c>
      <c r="AC473" s="847" t="s">
        <v>265</v>
      </c>
      <c r="AD473" s="847" t="s">
        <v>3579</v>
      </c>
      <c r="AE473" s="847" t="s">
        <v>144</v>
      </c>
      <c r="AF473" s="848" t="s">
        <v>144</v>
      </c>
      <c r="AG473" s="838"/>
      <c r="AH473" s="866" t="s">
        <v>3767</v>
      </c>
      <c r="AI473" s="273" t="s">
        <v>3768</v>
      </c>
      <c r="AJ473" s="847">
        <v>6</v>
      </c>
      <c r="AK473" s="878" t="s">
        <v>3769</v>
      </c>
      <c r="AL473" s="867"/>
      <c r="AM473" s="273"/>
      <c r="AN473" s="847"/>
      <c r="AO473" s="848"/>
      <c r="AP473" s="867"/>
      <c r="AQ473" s="273"/>
      <c r="AR473" s="847"/>
      <c r="AS473" s="848"/>
      <c r="AT473" s="867"/>
      <c r="AU473" s="273"/>
      <c r="AV473" s="847"/>
      <c r="AW473" s="848"/>
      <c r="AX473" s="867"/>
      <c r="AY473" s="273"/>
      <c r="AZ473" s="847"/>
      <c r="BA473" s="848"/>
      <c r="BB473" s="866"/>
      <c r="BC473" s="273"/>
      <c r="BD473" s="847"/>
      <c r="BE473" s="848"/>
      <c r="BF473" s="838"/>
    </row>
    <row r="474" spans="1:58" s="88" customFormat="1" ht="54" hidden="1" customHeight="1" x14ac:dyDescent="0.25">
      <c r="A474" s="267" t="s">
        <v>1687</v>
      </c>
      <c r="B474" s="268">
        <v>239</v>
      </c>
      <c r="C474" s="240" t="s">
        <v>2530</v>
      </c>
      <c r="D474" s="270" t="s">
        <v>2531</v>
      </c>
      <c r="E474" s="268" t="s">
        <v>3770</v>
      </c>
      <c r="F474" s="861" t="s">
        <v>3771</v>
      </c>
      <c r="G474" s="269" t="s">
        <v>3772</v>
      </c>
      <c r="H474" s="845" t="s">
        <v>3771</v>
      </c>
      <c r="I474" s="269" t="s">
        <v>3773</v>
      </c>
      <c r="J474" s="296" t="s">
        <v>140</v>
      </c>
      <c r="K474" s="297" t="s">
        <v>140</v>
      </c>
      <c r="L474" s="862" t="s">
        <v>3774</v>
      </c>
      <c r="M474" s="847" t="s">
        <v>973</v>
      </c>
      <c r="N474" s="270" t="s">
        <v>974</v>
      </c>
      <c r="O474" s="240" t="s">
        <v>814</v>
      </c>
      <c r="P474" s="240" t="s">
        <v>815</v>
      </c>
      <c r="Q474" s="845" t="s">
        <v>144</v>
      </c>
      <c r="R474" s="208" t="s">
        <v>144</v>
      </c>
      <c r="S474" s="864" t="s">
        <v>147</v>
      </c>
      <c r="T474" s="212" t="s">
        <v>144</v>
      </c>
      <c r="U474" s="213" t="s">
        <v>144</v>
      </c>
      <c r="V474" s="307">
        <v>3</v>
      </c>
      <c r="W474" s="415" t="s">
        <v>144</v>
      </c>
      <c r="X474" s="212">
        <v>41</v>
      </c>
      <c r="Y474" s="212" t="s">
        <v>144</v>
      </c>
      <c r="Z474" s="241" t="s">
        <v>144</v>
      </c>
      <c r="AA474" s="437" t="s">
        <v>3775</v>
      </c>
      <c r="AB474" s="206" t="s">
        <v>140</v>
      </c>
      <c r="AC474" s="847" t="s">
        <v>265</v>
      </c>
      <c r="AD474" s="847" t="s">
        <v>3776</v>
      </c>
      <c r="AE474" s="847" t="s">
        <v>144</v>
      </c>
      <c r="AF474" s="848" t="s">
        <v>144</v>
      </c>
      <c r="AG474" s="838"/>
      <c r="AH474" s="866" t="s">
        <v>3777</v>
      </c>
      <c r="AI474" s="273" t="s">
        <v>3778</v>
      </c>
      <c r="AJ474" s="847">
        <v>7</v>
      </c>
      <c r="AK474" s="878" t="s">
        <v>1280</v>
      </c>
      <c r="AL474" s="875" t="s">
        <v>294</v>
      </c>
      <c r="AM474" s="301" t="s">
        <v>295</v>
      </c>
      <c r="AN474" s="847">
        <v>7</v>
      </c>
      <c r="AO474" s="187" t="s">
        <v>966</v>
      </c>
      <c r="AP474" s="867"/>
      <c r="AQ474" s="273"/>
      <c r="AR474" s="847"/>
      <c r="AS474" s="848"/>
      <c r="AT474" s="867"/>
      <c r="AU474" s="273"/>
      <c r="AV474" s="847"/>
      <c r="AW474" s="848"/>
      <c r="AX474" s="867"/>
      <c r="AY474" s="273"/>
      <c r="AZ474" s="847"/>
      <c r="BA474" s="848"/>
      <c r="BB474" s="866"/>
      <c r="BC474" s="273"/>
      <c r="BD474" s="847"/>
      <c r="BE474" s="848"/>
      <c r="BF474" s="838"/>
    </row>
    <row r="475" spans="1:58" s="88" customFormat="1" ht="54" hidden="1" customHeight="1" x14ac:dyDescent="0.25">
      <c r="A475" s="267" t="s">
        <v>1687</v>
      </c>
      <c r="B475" s="268">
        <v>240</v>
      </c>
      <c r="C475" s="240" t="s">
        <v>2170</v>
      </c>
      <c r="D475" s="270" t="s">
        <v>2171</v>
      </c>
      <c r="E475" s="268" t="s">
        <v>3779</v>
      </c>
      <c r="F475" s="861" t="s">
        <v>3780</v>
      </c>
      <c r="G475" s="269" t="s">
        <v>3781</v>
      </c>
      <c r="H475" s="861" t="s">
        <v>3782</v>
      </c>
      <c r="I475" s="269" t="s">
        <v>3783</v>
      </c>
      <c r="J475" s="296" t="s">
        <v>140</v>
      </c>
      <c r="K475" s="297" t="s">
        <v>140</v>
      </c>
      <c r="L475" s="862" t="s">
        <v>3784</v>
      </c>
      <c r="M475" s="847" t="s">
        <v>973</v>
      </c>
      <c r="N475" s="211" t="s">
        <v>974</v>
      </c>
      <c r="O475" s="240" t="s">
        <v>144</v>
      </c>
      <c r="P475" s="240" t="s">
        <v>144</v>
      </c>
      <c r="Q475" s="845" t="s">
        <v>144</v>
      </c>
      <c r="R475" s="208" t="s">
        <v>144</v>
      </c>
      <c r="S475" s="864" t="s">
        <v>746</v>
      </c>
      <c r="T475" s="212" t="s">
        <v>1307</v>
      </c>
      <c r="U475" s="213" t="s">
        <v>1308</v>
      </c>
      <c r="V475" s="847">
        <v>10</v>
      </c>
      <c r="W475" s="415" t="s">
        <v>144</v>
      </c>
      <c r="X475" s="212">
        <v>41</v>
      </c>
      <c r="Y475" s="212" t="s">
        <v>144</v>
      </c>
      <c r="Z475" s="241" t="s">
        <v>144</v>
      </c>
      <c r="AA475" s="437" t="s">
        <v>3775</v>
      </c>
      <c r="AB475" s="206" t="s">
        <v>140</v>
      </c>
      <c r="AC475" s="847" t="s">
        <v>265</v>
      </c>
      <c r="AD475" s="847" t="s">
        <v>3579</v>
      </c>
      <c r="AE475" s="847" t="s">
        <v>144</v>
      </c>
      <c r="AF475" s="848" t="s">
        <v>144</v>
      </c>
      <c r="AG475" s="838"/>
      <c r="AH475" s="866" t="s">
        <v>3785</v>
      </c>
      <c r="AI475" s="273" t="s">
        <v>3786</v>
      </c>
      <c r="AJ475" s="847">
        <v>6</v>
      </c>
      <c r="AK475" s="878" t="s">
        <v>3787</v>
      </c>
      <c r="AL475" s="867"/>
      <c r="AM475" s="273"/>
      <c r="AN475" s="847"/>
      <c r="AO475" s="848"/>
      <c r="AP475" s="867"/>
      <c r="AQ475" s="273"/>
      <c r="AR475" s="847"/>
      <c r="AS475" s="848"/>
      <c r="AT475" s="867"/>
      <c r="AU475" s="273"/>
      <c r="AV475" s="847"/>
      <c r="AW475" s="848"/>
      <c r="AX475" s="867"/>
      <c r="AY475" s="273"/>
      <c r="AZ475" s="847"/>
      <c r="BA475" s="848"/>
      <c r="BB475" s="866"/>
      <c r="BC475" s="273"/>
      <c r="BD475" s="847"/>
      <c r="BE475" s="848"/>
      <c r="BF475" s="838"/>
    </row>
    <row r="476" spans="1:58" s="88" customFormat="1" ht="54" hidden="1" customHeight="1" x14ac:dyDescent="0.25">
      <c r="A476" s="267" t="s">
        <v>1687</v>
      </c>
      <c r="B476" s="268">
        <v>241</v>
      </c>
      <c r="C476" s="240" t="s">
        <v>2530</v>
      </c>
      <c r="D476" s="270" t="s">
        <v>2531</v>
      </c>
      <c r="E476" s="268" t="s">
        <v>3788</v>
      </c>
      <c r="F476" s="861" t="s">
        <v>3789</v>
      </c>
      <c r="G476" s="269" t="s">
        <v>3790</v>
      </c>
      <c r="H476" s="861" t="s">
        <v>3791</v>
      </c>
      <c r="I476" s="269" t="s">
        <v>3792</v>
      </c>
      <c r="J476" s="296" t="s">
        <v>140</v>
      </c>
      <c r="K476" s="297" t="s">
        <v>140</v>
      </c>
      <c r="L476" s="862" t="s">
        <v>3793</v>
      </c>
      <c r="M476" s="847" t="s">
        <v>973</v>
      </c>
      <c r="N476" s="211" t="s">
        <v>974</v>
      </c>
      <c r="O476" s="240" t="s">
        <v>144</v>
      </c>
      <c r="P476" s="240" t="s">
        <v>144</v>
      </c>
      <c r="Q476" s="845" t="s">
        <v>3794</v>
      </c>
      <c r="R476" s="208" t="s">
        <v>3795</v>
      </c>
      <c r="S476" s="864" t="s">
        <v>746</v>
      </c>
      <c r="T476" s="212" t="s">
        <v>1307</v>
      </c>
      <c r="U476" s="213" t="s">
        <v>1308</v>
      </c>
      <c r="V476" s="847">
        <v>10</v>
      </c>
      <c r="W476" s="415" t="s">
        <v>144</v>
      </c>
      <c r="X476" s="212">
        <v>41</v>
      </c>
      <c r="Y476" s="212" t="s">
        <v>144</v>
      </c>
      <c r="Z476" s="241" t="s">
        <v>144</v>
      </c>
      <c r="AA476" s="437" t="s">
        <v>3796</v>
      </c>
      <c r="AB476" s="206" t="s">
        <v>140</v>
      </c>
      <c r="AC476" s="847" t="s">
        <v>265</v>
      </c>
      <c r="AD476" s="847" t="s">
        <v>3659</v>
      </c>
      <c r="AE476" s="847" t="s">
        <v>144</v>
      </c>
      <c r="AF476" s="848" t="s">
        <v>144</v>
      </c>
      <c r="AG476" s="838"/>
      <c r="AH476" s="866" t="s">
        <v>3797</v>
      </c>
      <c r="AI476" s="273" t="s">
        <v>3798</v>
      </c>
      <c r="AJ476" s="847">
        <v>5</v>
      </c>
      <c r="AK476" s="878" t="s">
        <v>3799</v>
      </c>
      <c r="AL476" s="867"/>
      <c r="AM476" s="273"/>
      <c r="AN476" s="847"/>
      <c r="AO476" s="848"/>
      <c r="AP476" s="867"/>
      <c r="AQ476" s="273"/>
      <c r="AR476" s="847"/>
      <c r="AS476" s="848"/>
      <c r="AT476" s="867"/>
      <c r="AU476" s="273"/>
      <c r="AV476" s="847"/>
      <c r="AW476" s="848"/>
      <c r="AX476" s="867"/>
      <c r="AY476" s="273"/>
      <c r="AZ476" s="847"/>
      <c r="BA476" s="848"/>
      <c r="BB476" s="866"/>
      <c r="BC476" s="273"/>
      <c r="BD476" s="847"/>
      <c r="BE476" s="848"/>
      <c r="BF476" s="838"/>
    </row>
    <row r="477" spans="1:58" s="88" customFormat="1" ht="54" hidden="1" customHeight="1" x14ac:dyDescent="0.25">
      <c r="A477" s="267" t="s">
        <v>1687</v>
      </c>
      <c r="B477" s="268">
        <v>242</v>
      </c>
      <c r="C477" s="240" t="s">
        <v>2530</v>
      </c>
      <c r="D477" s="270" t="s">
        <v>2531</v>
      </c>
      <c r="E477" s="268" t="s">
        <v>3800</v>
      </c>
      <c r="F477" s="861" t="s">
        <v>3801</v>
      </c>
      <c r="G477" s="269" t="s">
        <v>3802</v>
      </c>
      <c r="H477" s="861" t="s">
        <v>3801</v>
      </c>
      <c r="I477" s="269" t="s">
        <v>3802</v>
      </c>
      <c r="J477" s="296" t="s">
        <v>140</v>
      </c>
      <c r="K477" s="297" t="s">
        <v>140</v>
      </c>
      <c r="L477" s="862" t="s">
        <v>3803</v>
      </c>
      <c r="M477" s="847" t="s">
        <v>973</v>
      </c>
      <c r="N477" s="211" t="s">
        <v>974</v>
      </c>
      <c r="O477" s="240" t="s">
        <v>144</v>
      </c>
      <c r="P477" s="240" t="s">
        <v>144</v>
      </c>
      <c r="Q477" s="845" t="s">
        <v>3794</v>
      </c>
      <c r="R477" s="208" t="s">
        <v>3795</v>
      </c>
      <c r="S477" s="864" t="s">
        <v>746</v>
      </c>
      <c r="T477" s="212" t="s">
        <v>1104</v>
      </c>
      <c r="U477" s="213" t="s">
        <v>1105</v>
      </c>
      <c r="V477" s="847">
        <v>19</v>
      </c>
      <c r="W477" s="415" t="s">
        <v>144</v>
      </c>
      <c r="X477" s="212">
        <v>41</v>
      </c>
      <c r="Y477" s="212" t="s">
        <v>144</v>
      </c>
      <c r="Z477" s="241" t="s">
        <v>144</v>
      </c>
      <c r="AA477" s="437" t="s">
        <v>3796</v>
      </c>
      <c r="AB477" s="206" t="s">
        <v>140</v>
      </c>
      <c r="AC477" s="847" t="s">
        <v>265</v>
      </c>
      <c r="AD477" s="847" t="s">
        <v>3659</v>
      </c>
      <c r="AE477" s="847" t="s">
        <v>144</v>
      </c>
      <c r="AF477" s="848" t="s">
        <v>144</v>
      </c>
      <c r="AG477" s="838"/>
      <c r="AH477" s="866" t="s">
        <v>3804</v>
      </c>
      <c r="AI477" s="273" t="s">
        <v>3805</v>
      </c>
      <c r="AJ477" s="847">
        <v>5</v>
      </c>
      <c r="AK477" s="878" t="s">
        <v>3806</v>
      </c>
      <c r="AL477" s="867"/>
      <c r="AM477" s="273"/>
      <c r="AN477" s="847"/>
      <c r="AO477" s="848"/>
      <c r="AP477" s="867" t="s">
        <v>1107</v>
      </c>
      <c r="AQ477" s="273" t="s">
        <v>1108</v>
      </c>
      <c r="AR477" s="847">
        <v>7</v>
      </c>
      <c r="AS477" s="286" t="s">
        <v>1109</v>
      </c>
      <c r="AT477" s="867"/>
      <c r="AU477" s="273"/>
      <c r="AV477" s="847"/>
      <c r="AW477" s="848"/>
      <c r="AX477" s="867"/>
      <c r="AY477" s="273"/>
      <c r="AZ477" s="847"/>
      <c r="BA477" s="848"/>
      <c r="BB477" s="866"/>
      <c r="BC477" s="273"/>
      <c r="BD477" s="847"/>
      <c r="BE477" s="848"/>
      <c r="BF477" s="838"/>
    </row>
    <row r="478" spans="1:58" s="88" customFormat="1" ht="54" hidden="1" customHeight="1" x14ac:dyDescent="0.25">
      <c r="A478" s="267" t="s">
        <v>1687</v>
      </c>
      <c r="B478" s="268">
        <v>243</v>
      </c>
      <c r="C478" s="240" t="s">
        <v>2530</v>
      </c>
      <c r="D478" s="270" t="s">
        <v>2531</v>
      </c>
      <c r="E478" s="268" t="s">
        <v>3807</v>
      </c>
      <c r="F478" s="861" t="s">
        <v>3808</v>
      </c>
      <c r="G478" s="269" t="s">
        <v>3809</v>
      </c>
      <c r="H478" s="845" t="s">
        <v>3808</v>
      </c>
      <c r="I478" s="269" t="s">
        <v>3809</v>
      </c>
      <c r="J478" s="296" t="s">
        <v>140</v>
      </c>
      <c r="K478" s="297" t="s">
        <v>140</v>
      </c>
      <c r="L478" s="862" t="s">
        <v>3810</v>
      </c>
      <c r="M478" s="847" t="s">
        <v>973</v>
      </c>
      <c r="N478" s="211" t="s">
        <v>974</v>
      </c>
      <c r="O478" s="240" t="s">
        <v>814</v>
      </c>
      <c r="P478" s="240" t="s">
        <v>815</v>
      </c>
      <c r="Q478" s="845" t="s">
        <v>3794</v>
      </c>
      <c r="R478" s="208" t="s">
        <v>3795</v>
      </c>
      <c r="S478" s="864" t="s">
        <v>147</v>
      </c>
      <c r="T478" s="212" t="s">
        <v>144</v>
      </c>
      <c r="U478" s="213" t="s">
        <v>144</v>
      </c>
      <c r="V478" s="307">
        <v>3</v>
      </c>
      <c r="W478" s="415" t="s">
        <v>144</v>
      </c>
      <c r="X478" s="212">
        <v>41</v>
      </c>
      <c r="Y478" s="212" t="s">
        <v>144</v>
      </c>
      <c r="Z478" s="241" t="s">
        <v>144</v>
      </c>
      <c r="AA478" s="437" t="s">
        <v>3796</v>
      </c>
      <c r="AB478" s="206" t="s">
        <v>140</v>
      </c>
      <c r="AC478" s="847" t="s">
        <v>265</v>
      </c>
      <c r="AD478" s="847" t="s">
        <v>3776</v>
      </c>
      <c r="AE478" s="847" t="s">
        <v>144</v>
      </c>
      <c r="AF478" s="848" t="s">
        <v>144</v>
      </c>
      <c r="AG478" s="838"/>
      <c r="AH478" s="866" t="s">
        <v>3811</v>
      </c>
      <c r="AI478" s="273" t="s">
        <v>3812</v>
      </c>
      <c r="AJ478" s="847">
        <v>7</v>
      </c>
      <c r="AK478" s="878" t="s">
        <v>1280</v>
      </c>
      <c r="AL478" s="867" t="s">
        <v>294</v>
      </c>
      <c r="AM478" s="273" t="s">
        <v>295</v>
      </c>
      <c r="AN478" s="847">
        <v>7</v>
      </c>
      <c r="AO478" s="187" t="s">
        <v>966</v>
      </c>
      <c r="AP478" s="867"/>
      <c r="AQ478" s="273"/>
      <c r="AR478" s="847"/>
      <c r="AS478" s="848"/>
      <c r="AT478" s="867"/>
      <c r="AU478" s="273"/>
      <c r="AV478" s="847"/>
      <c r="AW478" s="848"/>
      <c r="AX478" s="867"/>
      <c r="AY478" s="273"/>
      <c r="AZ478" s="847"/>
      <c r="BA478" s="848"/>
      <c r="BB478" s="866"/>
      <c r="BC478" s="273"/>
      <c r="BD478" s="847"/>
      <c r="BE478" s="848"/>
      <c r="BF478" s="838"/>
    </row>
    <row r="479" spans="1:58" s="88" customFormat="1" ht="54" hidden="1" customHeight="1" x14ac:dyDescent="0.25">
      <c r="A479" s="267" t="s">
        <v>1687</v>
      </c>
      <c r="B479" s="268">
        <v>244</v>
      </c>
      <c r="C479" s="240" t="s">
        <v>2530</v>
      </c>
      <c r="D479" s="270" t="s">
        <v>2531</v>
      </c>
      <c r="E479" s="268" t="s">
        <v>3813</v>
      </c>
      <c r="F479" s="845" t="s">
        <v>3814</v>
      </c>
      <c r="G479" s="269" t="s">
        <v>3815</v>
      </c>
      <c r="H479" s="845" t="s">
        <v>3814</v>
      </c>
      <c r="I479" s="269" t="s">
        <v>3815</v>
      </c>
      <c r="J479" s="296" t="s">
        <v>140</v>
      </c>
      <c r="K479" s="297" t="s">
        <v>140</v>
      </c>
      <c r="L479" s="862" t="s">
        <v>3816</v>
      </c>
      <c r="M479" s="847" t="s">
        <v>973</v>
      </c>
      <c r="N479" s="211" t="s">
        <v>974</v>
      </c>
      <c r="O479" s="240" t="s">
        <v>144</v>
      </c>
      <c r="P479" s="240" t="s">
        <v>144</v>
      </c>
      <c r="Q479" s="845" t="s">
        <v>144</v>
      </c>
      <c r="R479" s="208" t="s">
        <v>144</v>
      </c>
      <c r="S479" s="864" t="s">
        <v>746</v>
      </c>
      <c r="T479" s="212" t="s">
        <v>1104</v>
      </c>
      <c r="U479" s="213" t="s">
        <v>1105</v>
      </c>
      <c r="V479" s="847">
        <v>19</v>
      </c>
      <c r="W479" s="415" t="s">
        <v>144</v>
      </c>
      <c r="X479" s="212">
        <v>41</v>
      </c>
      <c r="Y479" s="212" t="s">
        <v>144</v>
      </c>
      <c r="Z479" s="241" t="s">
        <v>144</v>
      </c>
      <c r="AA479" s="437" t="s">
        <v>3388</v>
      </c>
      <c r="AB479" s="206" t="s">
        <v>140</v>
      </c>
      <c r="AC479" s="847" t="s">
        <v>265</v>
      </c>
      <c r="AD479" s="847" t="s">
        <v>3817</v>
      </c>
      <c r="AE479" s="847" t="s">
        <v>144</v>
      </c>
      <c r="AF479" s="848" t="s">
        <v>144</v>
      </c>
      <c r="AG479" s="838"/>
      <c r="AH479" s="866" t="s">
        <v>3818</v>
      </c>
      <c r="AI479" s="273" t="s">
        <v>3819</v>
      </c>
      <c r="AJ479" s="847">
        <v>5</v>
      </c>
      <c r="AK479" s="878" t="s">
        <v>3820</v>
      </c>
      <c r="AL479" s="867"/>
      <c r="AM479" s="273"/>
      <c r="AN479" s="847"/>
      <c r="AO479" s="848"/>
      <c r="AP479" s="867"/>
      <c r="AQ479" s="273"/>
      <c r="AR479" s="847"/>
      <c r="AS479" s="848"/>
      <c r="AT479" s="867"/>
      <c r="AU479" s="273"/>
      <c r="AV479" s="847"/>
      <c r="AW479" s="848"/>
      <c r="AX479" s="867"/>
      <c r="AY479" s="273"/>
      <c r="AZ479" s="847"/>
      <c r="BA479" s="848"/>
      <c r="BB479" s="866"/>
      <c r="BC479" s="273"/>
      <c r="BD479" s="847"/>
      <c r="BE479" s="848"/>
      <c r="BF479" s="838"/>
    </row>
    <row r="480" spans="1:58" s="88" customFormat="1" ht="54" hidden="1" customHeight="1" x14ac:dyDescent="0.25">
      <c r="A480" s="267" t="s">
        <v>1687</v>
      </c>
      <c r="B480" s="268">
        <v>245</v>
      </c>
      <c r="C480" s="240" t="s">
        <v>2530</v>
      </c>
      <c r="D480" s="270" t="s">
        <v>2531</v>
      </c>
      <c r="E480" s="268" t="s">
        <v>3821</v>
      </c>
      <c r="F480" s="861" t="s">
        <v>3822</v>
      </c>
      <c r="G480" s="269" t="s">
        <v>3823</v>
      </c>
      <c r="H480" s="861" t="s">
        <v>3822</v>
      </c>
      <c r="I480" s="269" t="s">
        <v>3823</v>
      </c>
      <c r="J480" s="240" t="s">
        <v>140</v>
      </c>
      <c r="K480" s="270" t="s">
        <v>140</v>
      </c>
      <c r="L480" s="862" t="s">
        <v>3824</v>
      </c>
      <c r="M480" s="847" t="s">
        <v>973</v>
      </c>
      <c r="N480" s="211" t="s">
        <v>974</v>
      </c>
      <c r="O480" s="240" t="s">
        <v>814</v>
      </c>
      <c r="P480" s="240" t="s">
        <v>815</v>
      </c>
      <c r="Q480" s="845" t="s">
        <v>144</v>
      </c>
      <c r="R480" s="208" t="s">
        <v>144</v>
      </c>
      <c r="S480" s="864" t="s">
        <v>147</v>
      </c>
      <c r="T480" s="212" t="s">
        <v>144</v>
      </c>
      <c r="U480" s="213" t="s">
        <v>144</v>
      </c>
      <c r="V480" s="847">
        <v>3</v>
      </c>
      <c r="W480" s="415" t="s">
        <v>144</v>
      </c>
      <c r="X480" s="212">
        <v>41</v>
      </c>
      <c r="Y480" s="212" t="s">
        <v>144</v>
      </c>
      <c r="Z480" s="241" t="s">
        <v>144</v>
      </c>
      <c r="AA480" s="437" t="s">
        <v>3388</v>
      </c>
      <c r="AB480" s="206" t="s">
        <v>140</v>
      </c>
      <c r="AC480" s="847" t="s">
        <v>265</v>
      </c>
      <c r="AD480" s="847" t="s">
        <v>3825</v>
      </c>
      <c r="AE480" s="847" t="s">
        <v>144</v>
      </c>
      <c r="AF480" s="848" t="s">
        <v>144</v>
      </c>
      <c r="AG480" s="838"/>
      <c r="AH480" s="866" t="s">
        <v>3826</v>
      </c>
      <c r="AI480" s="273" t="s">
        <v>3827</v>
      </c>
      <c r="AJ480" s="847">
        <v>7</v>
      </c>
      <c r="AK480" s="878" t="s">
        <v>1280</v>
      </c>
      <c r="AL480" s="867" t="s">
        <v>294</v>
      </c>
      <c r="AM480" s="273" t="s">
        <v>295</v>
      </c>
      <c r="AN480" s="847">
        <v>7</v>
      </c>
      <c r="AO480" s="187" t="s">
        <v>966</v>
      </c>
      <c r="AP480" s="867"/>
      <c r="AQ480" s="273"/>
      <c r="AR480" s="847"/>
      <c r="AS480" s="848"/>
      <c r="AT480" s="867"/>
      <c r="AU480" s="273"/>
      <c r="AV480" s="847"/>
      <c r="AW480" s="848"/>
      <c r="AX480" s="867"/>
      <c r="AY480" s="273"/>
      <c r="AZ480" s="847"/>
      <c r="BA480" s="848"/>
      <c r="BB480" s="866"/>
      <c r="BC480" s="273"/>
      <c r="BD480" s="847"/>
      <c r="BE480" s="848"/>
      <c r="BF480" s="838"/>
    </row>
    <row r="481" spans="1:58" s="88" customFormat="1" ht="54" hidden="1" customHeight="1" x14ac:dyDescent="0.25">
      <c r="A481" s="267" t="s">
        <v>1687</v>
      </c>
      <c r="B481" s="268">
        <v>246</v>
      </c>
      <c r="C481" s="240" t="s">
        <v>2530</v>
      </c>
      <c r="D481" s="270" t="s">
        <v>2531</v>
      </c>
      <c r="E481" s="268" t="s">
        <v>3828</v>
      </c>
      <c r="F481" s="861" t="s">
        <v>3829</v>
      </c>
      <c r="G481" s="269" t="s">
        <v>3830</v>
      </c>
      <c r="H481" s="861" t="s">
        <v>3829</v>
      </c>
      <c r="I481" s="269" t="s">
        <v>3830</v>
      </c>
      <c r="J481" s="296" t="s">
        <v>140</v>
      </c>
      <c r="K481" s="297" t="s">
        <v>140</v>
      </c>
      <c r="L481" s="862" t="s">
        <v>3831</v>
      </c>
      <c r="M481" s="847" t="s">
        <v>973</v>
      </c>
      <c r="N481" s="211" t="s">
        <v>974</v>
      </c>
      <c r="O481" s="240" t="s">
        <v>144</v>
      </c>
      <c r="P481" s="240" t="s">
        <v>144</v>
      </c>
      <c r="Q481" s="845" t="s">
        <v>144</v>
      </c>
      <c r="R481" s="208" t="s">
        <v>144</v>
      </c>
      <c r="S481" s="864" t="s">
        <v>746</v>
      </c>
      <c r="T481" s="212" t="s">
        <v>1104</v>
      </c>
      <c r="U481" s="213" t="s">
        <v>1105</v>
      </c>
      <c r="V481" s="847">
        <v>19</v>
      </c>
      <c r="W481" s="415" t="s">
        <v>144</v>
      </c>
      <c r="X481" s="212">
        <v>41</v>
      </c>
      <c r="Y481" s="212" t="s">
        <v>144</v>
      </c>
      <c r="Z481" s="241" t="s">
        <v>144</v>
      </c>
      <c r="AA481" s="437" t="s">
        <v>3388</v>
      </c>
      <c r="AB481" s="206" t="s">
        <v>140</v>
      </c>
      <c r="AC481" s="847" t="s">
        <v>265</v>
      </c>
      <c r="AD481" s="847" t="s">
        <v>3817</v>
      </c>
      <c r="AE481" s="847" t="s">
        <v>144</v>
      </c>
      <c r="AF481" s="848" t="s">
        <v>144</v>
      </c>
      <c r="AG481" s="838"/>
      <c r="AH481" s="866" t="s">
        <v>3818</v>
      </c>
      <c r="AI481" s="273" t="s">
        <v>3819</v>
      </c>
      <c r="AJ481" s="847">
        <v>5</v>
      </c>
      <c r="AK481" s="878" t="s">
        <v>3820</v>
      </c>
      <c r="AL481" s="867"/>
      <c r="AM481" s="273"/>
      <c r="AN481" s="847"/>
      <c r="AO481" s="848"/>
      <c r="AP481" s="867" t="s">
        <v>1107</v>
      </c>
      <c r="AQ481" s="273" t="s">
        <v>1108</v>
      </c>
      <c r="AR481" s="847">
        <v>7</v>
      </c>
      <c r="AS481" s="286" t="s">
        <v>1109</v>
      </c>
      <c r="AT481" s="867"/>
      <c r="AU481" s="273"/>
      <c r="AV481" s="847"/>
      <c r="AW481" s="848"/>
      <c r="AX481" s="867"/>
      <c r="AY481" s="273"/>
      <c r="AZ481" s="847"/>
      <c r="BA481" s="848"/>
      <c r="BB481" s="866"/>
      <c r="BC481" s="273"/>
      <c r="BD481" s="847"/>
      <c r="BE481" s="848"/>
      <c r="BF481" s="838"/>
    </row>
    <row r="482" spans="1:58" s="88" customFormat="1" ht="54" hidden="1" customHeight="1" x14ac:dyDescent="0.25">
      <c r="A482" s="267" t="s">
        <v>1687</v>
      </c>
      <c r="B482" s="268">
        <v>247</v>
      </c>
      <c r="C482" s="240" t="s">
        <v>2530</v>
      </c>
      <c r="D482" s="270" t="s">
        <v>2531</v>
      </c>
      <c r="E482" s="268" t="s">
        <v>3832</v>
      </c>
      <c r="F482" s="861" t="s">
        <v>3833</v>
      </c>
      <c r="G482" s="269" t="s">
        <v>3834</v>
      </c>
      <c r="H482" s="861" t="s">
        <v>3833</v>
      </c>
      <c r="I482" s="269" t="s">
        <v>3834</v>
      </c>
      <c r="J482" s="296" t="s">
        <v>140</v>
      </c>
      <c r="K482" s="297" t="s">
        <v>140</v>
      </c>
      <c r="L482" s="862" t="s">
        <v>3835</v>
      </c>
      <c r="M482" s="847" t="s">
        <v>973</v>
      </c>
      <c r="N482" s="211" t="s">
        <v>974</v>
      </c>
      <c r="O482" s="240" t="s">
        <v>814</v>
      </c>
      <c r="P482" s="240" t="s">
        <v>815</v>
      </c>
      <c r="Q482" s="845" t="s">
        <v>144</v>
      </c>
      <c r="R482" s="208" t="s">
        <v>144</v>
      </c>
      <c r="S482" s="864" t="s">
        <v>147</v>
      </c>
      <c r="T482" s="212" t="s">
        <v>144</v>
      </c>
      <c r="U482" s="213" t="s">
        <v>144</v>
      </c>
      <c r="V482" s="847">
        <v>3</v>
      </c>
      <c r="W482" s="415" t="s">
        <v>144</v>
      </c>
      <c r="X482" s="212">
        <v>41</v>
      </c>
      <c r="Y482" s="212" t="s">
        <v>144</v>
      </c>
      <c r="Z482" s="241" t="s">
        <v>144</v>
      </c>
      <c r="AA482" s="437" t="s">
        <v>3388</v>
      </c>
      <c r="AB482" s="206" t="s">
        <v>140</v>
      </c>
      <c r="AC482" s="847" t="s">
        <v>265</v>
      </c>
      <c r="AD482" s="847" t="s">
        <v>3825</v>
      </c>
      <c r="AE482" s="847" t="s">
        <v>144</v>
      </c>
      <c r="AF482" s="848" t="s">
        <v>144</v>
      </c>
      <c r="AG482" s="838"/>
      <c r="AH482" s="866" t="s">
        <v>3836</v>
      </c>
      <c r="AI482" s="273" t="s">
        <v>3837</v>
      </c>
      <c r="AJ482" s="847">
        <v>7</v>
      </c>
      <c r="AK482" s="878" t="s">
        <v>1280</v>
      </c>
      <c r="AL482" s="867" t="s">
        <v>294</v>
      </c>
      <c r="AM482" s="273" t="s">
        <v>295</v>
      </c>
      <c r="AN482" s="847">
        <v>7</v>
      </c>
      <c r="AO482" s="187" t="s">
        <v>966</v>
      </c>
      <c r="AP482" s="867"/>
      <c r="AQ482" s="273"/>
      <c r="AR482" s="847"/>
      <c r="AS482" s="848"/>
      <c r="AT482" s="867"/>
      <c r="AU482" s="273"/>
      <c r="AV482" s="847"/>
      <c r="AW482" s="848"/>
      <c r="AX482" s="867"/>
      <c r="AY482" s="273"/>
      <c r="AZ482" s="847"/>
      <c r="BA482" s="848"/>
      <c r="BB482" s="866"/>
      <c r="BC482" s="273"/>
      <c r="BD482" s="847"/>
      <c r="BE482" s="848"/>
      <c r="BF482" s="838"/>
    </row>
    <row r="483" spans="1:58" s="114" customFormat="1" ht="54" hidden="1" customHeight="1" x14ac:dyDescent="0.25">
      <c r="A483" s="267" t="s">
        <v>1687</v>
      </c>
      <c r="B483" s="268">
        <v>248</v>
      </c>
      <c r="C483" s="240" t="s">
        <v>256</v>
      </c>
      <c r="D483" s="270" t="s">
        <v>257</v>
      </c>
      <c r="E483" s="268" t="s">
        <v>3838</v>
      </c>
      <c r="F483" s="299" t="s">
        <v>3839</v>
      </c>
      <c r="G483" s="269" t="s">
        <v>3840</v>
      </c>
      <c r="H483" s="299" t="s">
        <v>3841</v>
      </c>
      <c r="I483" s="269" t="s">
        <v>3842</v>
      </c>
      <c r="J483" s="296" t="s">
        <v>140</v>
      </c>
      <c r="K483" s="297" t="s">
        <v>140</v>
      </c>
      <c r="L483" s="721" t="s">
        <v>3843</v>
      </c>
      <c r="M483" s="206" t="s">
        <v>1821</v>
      </c>
      <c r="N483" s="211" t="s">
        <v>1822</v>
      </c>
      <c r="O483" s="240" t="s">
        <v>144</v>
      </c>
      <c r="P483" s="240" t="s">
        <v>144</v>
      </c>
      <c r="Q483" s="209" t="s">
        <v>144</v>
      </c>
      <c r="R483" s="210" t="s">
        <v>144</v>
      </c>
      <c r="S483" s="268" t="s">
        <v>147</v>
      </c>
      <c r="T483" s="212" t="s">
        <v>144</v>
      </c>
      <c r="U483" s="213" t="s">
        <v>144</v>
      </c>
      <c r="V483" s="240">
        <v>50</v>
      </c>
      <c r="W483" s="206" t="s">
        <v>144</v>
      </c>
      <c r="X483" s="212" t="s">
        <v>144</v>
      </c>
      <c r="Y483" s="212" t="s">
        <v>144</v>
      </c>
      <c r="Z483" s="212" t="s">
        <v>144</v>
      </c>
      <c r="AA483" s="240" t="s">
        <v>3844</v>
      </c>
      <c r="AB483" s="206" t="s">
        <v>140</v>
      </c>
      <c r="AC483" s="240" t="s">
        <v>265</v>
      </c>
      <c r="AD483" s="240" t="s">
        <v>144</v>
      </c>
      <c r="AE483" s="240" t="s">
        <v>144</v>
      </c>
      <c r="AF483" s="295" t="s">
        <v>144</v>
      </c>
      <c r="AG483" s="680"/>
      <c r="AH483" s="291"/>
      <c r="AI483" s="292"/>
      <c r="AJ483" s="240"/>
      <c r="AK483" s="878"/>
      <c r="AL483" s="292"/>
      <c r="AM483" s="292"/>
      <c r="AN483" s="240"/>
      <c r="AO483" s="295"/>
      <c r="AP483" s="292"/>
      <c r="AQ483" s="292"/>
      <c r="AR483" s="240"/>
      <c r="AS483" s="295"/>
      <c r="AT483" s="292"/>
      <c r="AU483" s="292"/>
      <c r="AV483" s="240"/>
      <c r="AW483" s="295"/>
      <c r="AX483" s="292"/>
      <c r="AY483" s="292"/>
      <c r="AZ483" s="240"/>
      <c r="BA483" s="295"/>
      <c r="BB483" s="291"/>
      <c r="BC483" s="292"/>
      <c r="BD483" s="240"/>
      <c r="BE483" s="295"/>
      <c r="BF483" s="838"/>
    </row>
    <row r="484" spans="1:58" s="88" customFormat="1" ht="54" hidden="1" customHeight="1" x14ac:dyDescent="0.25">
      <c r="A484" s="267" t="s">
        <v>1687</v>
      </c>
      <c r="B484" s="268">
        <v>249</v>
      </c>
      <c r="C484" s="240" t="s">
        <v>1955</v>
      </c>
      <c r="D484" s="270" t="s">
        <v>1956</v>
      </c>
      <c r="E484" s="268" t="s">
        <v>3845</v>
      </c>
      <c r="F484" s="861" t="s">
        <v>3846</v>
      </c>
      <c r="G484" s="269" t="s">
        <v>3847</v>
      </c>
      <c r="H484" s="845" t="s">
        <v>3848</v>
      </c>
      <c r="I484" s="269" t="s">
        <v>3849</v>
      </c>
      <c r="J484" s="296" t="s">
        <v>140</v>
      </c>
      <c r="K484" s="297" t="s">
        <v>140</v>
      </c>
      <c r="L484" s="862" t="s">
        <v>3850</v>
      </c>
      <c r="M484" s="847" t="s">
        <v>973</v>
      </c>
      <c r="N484" s="211" t="s">
        <v>974</v>
      </c>
      <c r="O484" s="240" t="s">
        <v>3851</v>
      </c>
      <c r="P484" s="240" t="s">
        <v>3852</v>
      </c>
      <c r="Q484" s="845" t="s">
        <v>3853</v>
      </c>
      <c r="R484" s="208" t="s">
        <v>3854</v>
      </c>
      <c r="S484" s="864" t="s">
        <v>147</v>
      </c>
      <c r="T484" s="212" t="s">
        <v>144</v>
      </c>
      <c r="U484" s="213" t="s">
        <v>144</v>
      </c>
      <c r="V484" s="847">
        <v>1</v>
      </c>
      <c r="W484" s="415" t="s">
        <v>144</v>
      </c>
      <c r="X484" s="212">
        <v>41</v>
      </c>
      <c r="Y484" s="212" t="s">
        <v>144</v>
      </c>
      <c r="Z484" s="212" t="s">
        <v>144</v>
      </c>
      <c r="AA484" s="240" t="s">
        <v>3855</v>
      </c>
      <c r="AB484" s="206" t="s">
        <v>140</v>
      </c>
      <c r="AC484" s="847" t="s">
        <v>265</v>
      </c>
      <c r="AD484" s="847" t="s">
        <v>3856</v>
      </c>
      <c r="AE484" s="847" t="s">
        <v>144</v>
      </c>
      <c r="AF484" s="848" t="s">
        <v>144</v>
      </c>
      <c r="AG484" s="838"/>
      <c r="AH484" s="866" t="s">
        <v>3857</v>
      </c>
      <c r="AI484" s="273" t="s">
        <v>3858</v>
      </c>
      <c r="AJ484" s="847">
        <v>6</v>
      </c>
      <c r="AK484" s="878" t="s">
        <v>3859</v>
      </c>
      <c r="AL484" s="867" t="s">
        <v>294</v>
      </c>
      <c r="AM484" s="273" t="s">
        <v>295</v>
      </c>
      <c r="AN484" s="847">
        <v>7</v>
      </c>
      <c r="AO484" s="187" t="s">
        <v>966</v>
      </c>
      <c r="AP484" s="867"/>
      <c r="AQ484" s="273"/>
      <c r="AR484" s="847"/>
      <c r="AS484" s="848"/>
      <c r="AT484" s="867"/>
      <c r="AU484" s="273"/>
      <c r="AV484" s="847"/>
      <c r="AW484" s="848"/>
      <c r="AX484" s="867"/>
      <c r="AY484" s="273"/>
      <c r="AZ484" s="847"/>
      <c r="BA484" s="848"/>
      <c r="BB484" s="866"/>
      <c r="BC484" s="273"/>
      <c r="BD484" s="847"/>
      <c r="BE484" s="848"/>
      <c r="BF484" s="838"/>
    </row>
    <row r="485" spans="1:58" s="88" customFormat="1" ht="54" hidden="1" customHeight="1" x14ac:dyDescent="0.25">
      <c r="A485" s="267" t="s">
        <v>1687</v>
      </c>
      <c r="B485" s="268">
        <v>250</v>
      </c>
      <c r="C485" s="240" t="s">
        <v>1955</v>
      </c>
      <c r="D485" s="270" t="s">
        <v>1956</v>
      </c>
      <c r="E485" s="268" t="s">
        <v>3860</v>
      </c>
      <c r="F485" s="861" t="s">
        <v>3861</v>
      </c>
      <c r="G485" s="269" t="s">
        <v>3862</v>
      </c>
      <c r="H485" s="845" t="s">
        <v>3863</v>
      </c>
      <c r="I485" s="269" t="s">
        <v>3864</v>
      </c>
      <c r="J485" s="296" t="s">
        <v>140</v>
      </c>
      <c r="K485" s="297" t="s">
        <v>140</v>
      </c>
      <c r="L485" s="862" t="s">
        <v>3865</v>
      </c>
      <c r="M485" s="847" t="s">
        <v>973</v>
      </c>
      <c r="N485" s="211" t="s">
        <v>974</v>
      </c>
      <c r="O485" s="240" t="s">
        <v>3866</v>
      </c>
      <c r="P485" s="240" t="s">
        <v>3867</v>
      </c>
      <c r="Q485" s="845" t="s">
        <v>3868</v>
      </c>
      <c r="R485" s="208" t="s">
        <v>3869</v>
      </c>
      <c r="S485" s="864" t="s">
        <v>147</v>
      </c>
      <c r="T485" s="212" t="s">
        <v>144</v>
      </c>
      <c r="U485" s="213" t="s">
        <v>144</v>
      </c>
      <c r="V485" s="847">
        <v>1</v>
      </c>
      <c r="W485" s="415" t="s">
        <v>144</v>
      </c>
      <c r="X485" s="212">
        <v>41</v>
      </c>
      <c r="Y485" s="212" t="s">
        <v>144</v>
      </c>
      <c r="Z485" s="212" t="s">
        <v>144</v>
      </c>
      <c r="AA485" s="240" t="s">
        <v>3855</v>
      </c>
      <c r="AB485" s="206" t="s">
        <v>140</v>
      </c>
      <c r="AC485" s="847" t="s">
        <v>265</v>
      </c>
      <c r="AD485" s="847" t="s">
        <v>3856</v>
      </c>
      <c r="AE485" s="847" t="s">
        <v>144</v>
      </c>
      <c r="AF485" s="848" t="s">
        <v>144</v>
      </c>
      <c r="AG485" s="838"/>
      <c r="AH485" s="866" t="s">
        <v>3857</v>
      </c>
      <c r="AI485" s="273" t="s">
        <v>3858</v>
      </c>
      <c r="AJ485" s="847">
        <v>6</v>
      </c>
      <c r="AK485" s="878" t="s">
        <v>3859</v>
      </c>
      <c r="AL485" s="867" t="s">
        <v>294</v>
      </c>
      <c r="AM485" s="273" t="s">
        <v>295</v>
      </c>
      <c r="AN485" s="847">
        <v>7</v>
      </c>
      <c r="AO485" s="187" t="s">
        <v>966</v>
      </c>
      <c r="AP485" s="867"/>
      <c r="AQ485" s="273"/>
      <c r="AR485" s="847"/>
      <c r="AS485" s="848"/>
      <c r="AT485" s="867"/>
      <c r="AU485" s="273"/>
      <c r="AV485" s="847"/>
      <c r="AW485" s="848"/>
      <c r="AX485" s="867"/>
      <c r="AY485" s="273"/>
      <c r="AZ485" s="847"/>
      <c r="BA485" s="848"/>
      <c r="BB485" s="866"/>
      <c r="BC485" s="273"/>
      <c r="BD485" s="847"/>
      <c r="BE485" s="848"/>
      <c r="BF485" s="838"/>
    </row>
    <row r="486" spans="1:58" s="88" customFormat="1" ht="54" hidden="1" customHeight="1" x14ac:dyDescent="0.25">
      <c r="A486" s="267" t="s">
        <v>1687</v>
      </c>
      <c r="B486" s="268">
        <v>251</v>
      </c>
      <c r="C486" s="240" t="s">
        <v>1955</v>
      </c>
      <c r="D486" s="270" t="s">
        <v>1956</v>
      </c>
      <c r="E486" s="268" t="s">
        <v>3870</v>
      </c>
      <c r="F486" s="861" t="s">
        <v>3871</v>
      </c>
      <c r="G486" s="269" t="s">
        <v>3872</v>
      </c>
      <c r="H486" s="887" t="s">
        <v>3873</v>
      </c>
      <c r="I486" s="430" t="s">
        <v>3874</v>
      </c>
      <c r="J486" s="296" t="s">
        <v>140</v>
      </c>
      <c r="K486" s="297" t="s">
        <v>140</v>
      </c>
      <c r="L486" s="862" t="s">
        <v>3875</v>
      </c>
      <c r="M486" s="847" t="s">
        <v>973</v>
      </c>
      <c r="N486" s="211" t="s">
        <v>974</v>
      </c>
      <c r="O486" s="240" t="s">
        <v>3876</v>
      </c>
      <c r="P486" s="240" t="s">
        <v>3877</v>
      </c>
      <c r="Q486" s="845" t="s">
        <v>3868</v>
      </c>
      <c r="R486" s="208" t="s">
        <v>3869</v>
      </c>
      <c r="S486" s="864" t="s">
        <v>147</v>
      </c>
      <c r="T486" s="212" t="s">
        <v>144</v>
      </c>
      <c r="U486" s="213" t="s">
        <v>144</v>
      </c>
      <c r="V486" s="847">
        <v>1</v>
      </c>
      <c r="W486" s="415" t="s">
        <v>144</v>
      </c>
      <c r="X486" s="212">
        <v>41</v>
      </c>
      <c r="Y486" s="212" t="s">
        <v>144</v>
      </c>
      <c r="Z486" s="212" t="s">
        <v>25</v>
      </c>
      <c r="AA486" s="240" t="s">
        <v>3855</v>
      </c>
      <c r="AB486" s="206" t="s">
        <v>140</v>
      </c>
      <c r="AC486" s="847" t="s">
        <v>265</v>
      </c>
      <c r="AD486" s="847" t="s">
        <v>3878</v>
      </c>
      <c r="AE486" s="847" t="s">
        <v>144</v>
      </c>
      <c r="AF486" s="848" t="s">
        <v>144</v>
      </c>
      <c r="AG486" s="838"/>
      <c r="AH486" s="866" t="s">
        <v>3879</v>
      </c>
      <c r="AI486" s="273" t="s">
        <v>3880</v>
      </c>
      <c r="AJ486" s="847">
        <v>6</v>
      </c>
      <c r="AK486" s="878" t="s">
        <v>3859</v>
      </c>
      <c r="AL486" s="867" t="s">
        <v>294</v>
      </c>
      <c r="AM486" s="273" t="s">
        <v>295</v>
      </c>
      <c r="AN486" s="847">
        <v>7</v>
      </c>
      <c r="AO486" s="187" t="s">
        <v>966</v>
      </c>
      <c r="AP486" s="867"/>
      <c r="AQ486" s="273"/>
      <c r="AR486" s="847"/>
      <c r="AS486" s="848"/>
      <c r="AT486" s="867"/>
      <c r="AU486" s="273"/>
      <c r="AV486" s="847"/>
      <c r="AW486" s="848"/>
      <c r="AX486" s="867"/>
      <c r="AY486" s="273"/>
      <c r="AZ486" s="847"/>
      <c r="BA486" s="848"/>
      <c r="BB486" s="249" t="s">
        <v>3881</v>
      </c>
      <c r="BC486" s="135" t="s">
        <v>3882</v>
      </c>
      <c r="BD486" s="847">
        <v>6</v>
      </c>
      <c r="BE486" s="306" t="s">
        <v>3883</v>
      </c>
      <c r="BF486" s="838"/>
    </row>
    <row r="487" spans="1:58" s="88" customFormat="1" ht="54" hidden="1" customHeight="1" x14ac:dyDescent="0.25">
      <c r="A487" s="267" t="s">
        <v>1687</v>
      </c>
      <c r="B487" s="268">
        <v>252</v>
      </c>
      <c r="C487" s="240" t="s">
        <v>1955</v>
      </c>
      <c r="D487" s="270" t="s">
        <v>1956</v>
      </c>
      <c r="E487" s="268" t="s">
        <v>3884</v>
      </c>
      <c r="F487" s="861" t="s">
        <v>3885</v>
      </c>
      <c r="G487" s="269" t="s">
        <v>3886</v>
      </c>
      <c r="H487" s="845" t="s">
        <v>3887</v>
      </c>
      <c r="I487" s="269" t="s">
        <v>3888</v>
      </c>
      <c r="J487" s="296" t="s">
        <v>140</v>
      </c>
      <c r="K487" s="297" t="s">
        <v>140</v>
      </c>
      <c r="L487" s="862" t="s">
        <v>3889</v>
      </c>
      <c r="M487" s="847" t="s">
        <v>973</v>
      </c>
      <c r="N487" s="270" t="s">
        <v>974</v>
      </c>
      <c r="O487" s="240" t="s">
        <v>3890</v>
      </c>
      <c r="P487" s="240" t="s">
        <v>3891</v>
      </c>
      <c r="Q487" s="845" t="s">
        <v>3868</v>
      </c>
      <c r="R487" s="208" t="s">
        <v>3869</v>
      </c>
      <c r="S487" s="864" t="s">
        <v>147</v>
      </c>
      <c r="T487" s="212" t="s">
        <v>144</v>
      </c>
      <c r="U487" s="213" t="s">
        <v>144</v>
      </c>
      <c r="V487" s="847">
        <v>2</v>
      </c>
      <c r="W487" s="415" t="s">
        <v>144</v>
      </c>
      <c r="X487" s="212">
        <v>41</v>
      </c>
      <c r="Y487" s="212" t="s">
        <v>144</v>
      </c>
      <c r="Z487" s="433" t="s">
        <v>144</v>
      </c>
      <c r="AA487" s="437" t="s">
        <v>3892</v>
      </c>
      <c r="AB487" s="206" t="s">
        <v>140</v>
      </c>
      <c r="AC487" s="847" t="s">
        <v>265</v>
      </c>
      <c r="AD487" s="847" t="s">
        <v>1690</v>
      </c>
      <c r="AE487" s="847" t="s">
        <v>144</v>
      </c>
      <c r="AF487" s="848" t="s">
        <v>144</v>
      </c>
      <c r="AG487" s="838"/>
      <c r="AH487" s="866" t="s">
        <v>3893</v>
      </c>
      <c r="AI487" s="273" t="s">
        <v>3894</v>
      </c>
      <c r="AJ487" s="847">
        <v>6</v>
      </c>
      <c r="AK487" s="878" t="s">
        <v>3895</v>
      </c>
      <c r="AL487" s="875" t="s">
        <v>294</v>
      </c>
      <c r="AM487" s="301" t="s">
        <v>295</v>
      </c>
      <c r="AN487" s="847">
        <v>7</v>
      </c>
      <c r="AO487" s="187" t="s">
        <v>966</v>
      </c>
      <c r="AP487" s="867" t="s">
        <v>3896</v>
      </c>
      <c r="AQ487" s="273" t="s">
        <v>3897</v>
      </c>
      <c r="AR487" s="847">
        <v>6</v>
      </c>
      <c r="AS487" s="848" t="s">
        <v>3898</v>
      </c>
      <c r="AT487" s="867"/>
      <c r="AU487" s="273"/>
      <c r="AV487" s="847"/>
      <c r="AW487" s="848"/>
      <c r="AX487" s="867"/>
      <c r="AY487" s="273"/>
      <c r="AZ487" s="847"/>
      <c r="BA487" s="848"/>
      <c r="BB487" s="866"/>
      <c r="BC487" s="273"/>
      <c r="BD487" s="847"/>
      <c r="BE487" s="848"/>
      <c r="BF487" s="838"/>
    </row>
    <row r="488" spans="1:58" s="88" customFormat="1" ht="54" hidden="1" customHeight="1" x14ac:dyDescent="0.25">
      <c r="A488" s="267" t="s">
        <v>1687</v>
      </c>
      <c r="B488" s="268">
        <v>253</v>
      </c>
      <c r="C488" s="240" t="s">
        <v>1955</v>
      </c>
      <c r="D488" s="270" t="s">
        <v>1956</v>
      </c>
      <c r="E488" s="268" t="s">
        <v>3899</v>
      </c>
      <c r="F488" s="861" t="s">
        <v>3900</v>
      </c>
      <c r="G488" s="269" t="s">
        <v>3901</v>
      </c>
      <c r="H488" s="845" t="s">
        <v>3902</v>
      </c>
      <c r="I488" s="269" t="s">
        <v>3903</v>
      </c>
      <c r="J488" s="296" t="s">
        <v>140</v>
      </c>
      <c r="K488" s="297" t="s">
        <v>140</v>
      </c>
      <c r="L488" s="862" t="s">
        <v>3904</v>
      </c>
      <c r="M488" s="847" t="s">
        <v>973</v>
      </c>
      <c r="N488" s="211" t="s">
        <v>974</v>
      </c>
      <c r="O488" s="240" t="s">
        <v>144</v>
      </c>
      <c r="P488" s="240" t="s">
        <v>144</v>
      </c>
      <c r="Q488" s="845" t="s">
        <v>3905</v>
      </c>
      <c r="R488" s="208" t="s">
        <v>3906</v>
      </c>
      <c r="S488" s="181" t="s">
        <v>233</v>
      </c>
      <c r="T488" s="212" t="s">
        <v>234</v>
      </c>
      <c r="U488" s="213" t="s">
        <v>235</v>
      </c>
      <c r="V488" s="847">
        <v>8</v>
      </c>
      <c r="W488" s="415" t="s">
        <v>144</v>
      </c>
      <c r="X488" s="212">
        <v>41</v>
      </c>
      <c r="Y488" s="212" t="s">
        <v>144</v>
      </c>
      <c r="Z488" s="212" t="s">
        <v>144</v>
      </c>
      <c r="AA488" s="240" t="s">
        <v>3907</v>
      </c>
      <c r="AB488" s="206" t="s">
        <v>140</v>
      </c>
      <c r="AC488" s="847" t="s">
        <v>265</v>
      </c>
      <c r="AD488" s="847" t="s">
        <v>3856</v>
      </c>
      <c r="AE488" s="847" t="s">
        <v>144</v>
      </c>
      <c r="AF488" s="848" t="s">
        <v>144</v>
      </c>
      <c r="AG488" s="838"/>
      <c r="AH488" s="866" t="s">
        <v>3908</v>
      </c>
      <c r="AI488" s="273" t="s">
        <v>3909</v>
      </c>
      <c r="AJ488" s="847">
        <v>6</v>
      </c>
      <c r="AK488" s="878" t="s">
        <v>3910</v>
      </c>
      <c r="AL488" s="867"/>
      <c r="AM488" s="273"/>
      <c r="AN488" s="847"/>
      <c r="AO488" s="848"/>
      <c r="AP488" s="867" t="s">
        <v>1160</v>
      </c>
      <c r="AQ488" s="273" t="s">
        <v>1161</v>
      </c>
      <c r="AR488" s="847">
        <v>7</v>
      </c>
      <c r="AS488" s="848" t="s">
        <v>1162</v>
      </c>
      <c r="AT488" s="867"/>
      <c r="AU488" s="273"/>
      <c r="AV488" s="847"/>
      <c r="AW488" s="848"/>
      <c r="AX488" s="867"/>
      <c r="AY488" s="273"/>
      <c r="AZ488" s="847"/>
      <c r="BA488" s="848"/>
      <c r="BB488" s="866"/>
      <c r="BC488" s="273"/>
      <c r="BD488" s="847"/>
      <c r="BE488" s="848"/>
      <c r="BF488" s="838"/>
    </row>
    <row r="489" spans="1:58" s="88" customFormat="1" ht="54" hidden="1" customHeight="1" x14ac:dyDescent="0.25">
      <c r="A489" s="267" t="s">
        <v>1687</v>
      </c>
      <c r="B489" s="268">
        <v>254</v>
      </c>
      <c r="C489" s="240" t="s">
        <v>1955</v>
      </c>
      <c r="D489" s="270" t="s">
        <v>1956</v>
      </c>
      <c r="E489" s="268" t="s">
        <v>3911</v>
      </c>
      <c r="F489" s="861" t="s">
        <v>3912</v>
      </c>
      <c r="G489" s="269" t="s">
        <v>3913</v>
      </c>
      <c r="H489" s="845" t="s">
        <v>3912</v>
      </c>
      <c r="I489" s="269" t="s">
        <v>3913</v>
      </c>
      <c r="J489" s="296" t="s">
        <v>140</v>
      </c>
      <c r="K489" s="297" t="s">
        <v>140</v>
      </c>
      <c r="L489" s="862" t="s">
        <v>3914</v>
      </c>
      <c r="M489" s="847" t="s">
        <v>973</v>
      </c>
      <c r="N489" s="211" t="s">
        <v>974</v>
      </c>
      <c r="O489" s="240" t="s">
        <v>144</v>
      </c>
      <c r="P489" s="240" t="s">
        <v>144</v>
      </c>
      <c r="Q489" s="845" t="s">
        <v>3915</v>
      </c>
      <c r="R489" s="208" t="s">
        <v>3916</v>
      </c>
      <c r="S489" s="181" t="s">
        <v>233</v>
      </c>
      <c r="T489" s="212" t="s">
        <v>234</v>
      </c>
      <c r="U489" s="213" t="s">
        <v>235</v>
      </c>
      <c r="V489" s="847">
        <v>8</v>
      </c>
      <c r="W489" s="415" t="s">
        <v>144</v>
      </c>
      <c r="X489" s="212">
        <v>41</v>
      </c>
      <c r="Y489" s="212" t="s">
        <v>144</v>
      </c>
      <c r="Z489" s="212" t="s">
        <v>144</v>
      </c>
      <c r="AA489" s="240" t="s">
        <v>3855</v>
      </c>
      <c r="AB489" s="206" t="s">
        <v>140</v>
      </c>
      <c r="AC489" s="847" t="s">
        <v>265</v>
      </c>
      <c r="AD489" s="847" t="s">
        <v>3856</v>
      </c>
      <c r="AE489" s="847" t="s">
        <v>144</v>
      </c>
      <c r="AF489" s="848" t="s">
        <v>144</v>
      </c>
      <c r="AG489" s="838"/>
      <c r="AH489" s="866" t="s">
        <v>3917</v>
      </c>
      <c r="AI489" s="273" t="s">
        <v>3918</v>
      </c>
      <c r="AJ489" s="847">
        <v>6</v>
      </c>
      <c r="AK489" s="878" t="s">
        <v>3919</v>
      </c>
      <c r="AL489" s="867"/>
      <c r="AM489" s="273"/>
      <c r="AN489" s="847"/>
      <c r="AO489" s="848"/>
      <c r="AP489" s="867"/>
      <c r="AQ489" s="273"/>
      <c r="AR489" s="847"/>
      <c r="AS489" s="848"/>
      <c r="AT489" s="867"/>
      <c r="AU489" s="273"/>
      <c r="AV489" s="847"/>
      <c r="AW489" s="848"/>
      <c r="AX489" s="867"/>
      <c r="AY489" s="273"/>
      <c r="AZ489" s="847"/>
      <c r="BA489" s="848"/>
      <c r="BB489" s="866"/>
      <c r="BC489" s="273"/>
      <c r="BD489" s="847"/>
      <c r="BE489" s="848"/>
      <c r="BF489" s="838"/>
    </row>
    <row r="490" spans="1:58" s="88" customFormat="1" ht="54" hidden="1" customHeight="1" x14ac:dyDescent="0.25">
      <c r="A490" s="267" t="s">
        <v>1687</v>
      </c>
      <c r="B490" s="268">
        <v>255</v>
      </c>
      <c r="C490" s="240" t="s">
        <v>1955</v>
      </c>
      <c r="D490" s="270" t="s">
        <v>1956</v>
      </c>
      <c r="E490" s="268" t="s">
        <v>3920</v>
      </c>
      <c r="F490" s="861" t="s">
        <v>3921</v>
      </c>
      <c r="G490" s="269" t="s">
        <v>3922</v>
      </c>
      <c r="H490" s="845" t="s">
        <v>3923</v>
      </c>
      <c r="I490" s="269" t="s">
        <v>3924</v>
      </c>
      <c r="J490" s="296" t="s">
        <v>140</v>
      </c>
      <c r="K490" s="297" t="s">
        <v>140</v>
      </c>
      <c r="L490" s="862" t="s">
        <v>3925</v>
      </c>
      <c r="M490" s="847" t="s">
        <v>973</v>
      </c>
      <c r="N490" s="211" t="s">
        <v>974</v>
      </c>
      <c r="O490" s="240" t="s">
        <v>144</v>
      </c>
      <c r="P490" s="240" t="s">
        <v>144</v>
      </c>
      <c r="Q490" s="845" t="s">
        <v>3926</v>
      </c>
      <c r="R490" s="208" t="s">
        <v>3927</v>
      </c>
      <c r="S490" s="181" t="s">
        <v>233</v>
      </c>
      <c r="T490" s="212" t="s">
        <v>234</v>
      </c>
      <c r="U490" s="213" t="s">
        <v>235</v>
      </c>
      <c r="V490" s="847">
        <v>8</v>
      </c>
      <c r="W490" s="415" t="s">
        <v>144</v>
      </c>
      <c r="X490" s="212">
        <v>41</v>
      </c>
      <c r="Y490" s="212" t="s">
        <v>144</v>
      </c>
      <c r="Z490" s="212" t="s">
        <v>144</v>
      </c>
      <c r="AA490" s="240" t="s">
        <v>1967</v>
      </c>
      <c r="AB490" s="206" t="s">
        <v>140</v>
      </c>
      <c r="AC490" s="847" t="s">
        <v>265</v>
      </c>
      <c r="AD490" s="847" t="s">
        <v>3856</v>
      </c>
      <c r="AE490" s="847" t="s">
        <v>144</v>
      </c>
      <c r="AF490" s="848" t="s">
        <v>144</v>
      </c>
      <c r="AG490" s="838"/>
      <c r="AH490" s="866" t="s">
        <v>3928</v>
      </c>
      <c r="AI490" s="273" t="s">
        <v>3929</v>
      </c>
      <c r="AJ490" s="847">
        <v>6</v>
      </c>
      <c r="AK490" s="878" t="s">
        <v>3930</v>
      </c>
      <c r="AL490" s="867"/>
      <c r="AM490" s="273"/>
      <c r="AN490" s="847"/>
      <c r="AO490" s="848"/>
      <c r="AP490" s="867"/>
      <c r="AQ490" s="273"/>
      <c r="AR490" s="847"/>
      <c r="AS490" s="848"/>
      <c r="AT490" s="867"/>
      <c r="AU490" s="273"/>
      <c r="AV490" s="847"/>
      <c r="AW490" s="848"/>
      <c r="AX490" s="867"/>
      <c r="AY490" s="273"/>
      <c r="AZ490" s="847"/>
      <c r="BA490" s="848"/>
      <c r="BB490" s="866"/>
      <c r="BC490" s="273"/>
      <c r="BD490" s="847"/>
      <c r="BE490" s="848"/>
      <c r="BF490" s="838"/>
    </row>
    <row r="491" spans="1:58" s="88" customFormat="1" ht="54" hidden="1" customHeight="1" x14ac:dyDescent="0.25">
      <c r="A491" s="267" t="s">
        <v>1687</v>
      </c>
      <c r="B491" s="268">
        <v>256</v>
      </c>
      <c r="C491" s="240" t="s">
        <v>1955</v>
      </c>
      <c r="D491" s="270" t="s">
        <v>1956</v>
      </c>
      <c r="E491" s="268" t="s">
        <v>3931</v>
      </c>
      <c r="F491" s="861" t="s">
        <v>3932</v>
      </c>
      <c r="G491" s="269" t="s">
        <v>3933</v>
      </c>
      <c r="H491" s="845" t="s">
        <v>3934</v>
      </c>
      <c r="I491" s="269" t="s">
        <v>3935</v>
      </c>
      <c r="J491" s="296" t="s">
        <v>140</v>
      </c>
      <c r="K491" s="297" t="s">
        <v>140</v>
      </c>
      <c r="L491" s="862" t="s">
        <v>3936</v>
      </c>
      <c r="M491" s="847" t="s">
        <v>973</v>
      </c>
      <c r="N491" s="211" t="s">
        <v>974</v>
      </c>
      <c r="O491" s="240" t="s">
        <v>144</v>
      </c>
      <c r="P491" s="240" t="s">
        <v>144</v>
      </c>
      <c r="Q491" s="845" t="s">
        <v>144</v>
      </c>
      <c r="R491" s="208" t="s">
        <v>144</v>
      </c>
      <c r="S491" s="181" t="s">
        <v>233</v>
      </c>
      <c r="T491" s="212" t="s">
        <v>234</v>
      </c>
      <c r="U491" s="213" t="s">
        <v>235</v>
      </c>
      <c r="V491" s="847">
        <v>8</v>
      </c>
      <c r="W491" s="415" t="s">
        <v>144</v>
      </c>
      <c r="X491" s="212">
        <v>41</v>
      </c>
      <c r="Y491" s="212" t="s">
        <v>144</v>
      </c>
      <c r="Z491" s="212" t="s">
        <v>144</v>
      </c>
      <c r="AA491" s="240" t="s">
        <v>3937</v>
      </c>
      <c r="AB491" s="206" t="s">
        <v>140</v>
      </c>
      <c r="AC491" s="847" t="s">
        <v>265</v>
      </c>
      <c r="AD491" s="847" t="s">
        <v>3856</v>
      </c>
      <c r="AE491" s="847" t="s">
        <v>144</v>
      </c>
      <c r="AF491" s="848" t="s">
        <v>144</v>
      </c>
      <c r="AG491" s="838"/>
      <c r="AH491" s="866" t="s">
        <v>3938</v>
      </c>
      <c r="AI491" s="273" t="s">
        <v>3939</v>
      </c>
      <c r="AJ491" s="847">
        <v>6</v>
      </c>
      <c r="AK491" s="878" t="s">
        <v>3940</v>
      </c>
      <c r="AL491" s="867"/>
      <c r="AM491" s="273"/>
      <c r="AN491" s="847"/>
      <c r="AO491" s="848"/>
      <c r="AP491" s="867" t="s">
        <v>1160</v>
      </c>
      <c r="AQ491" s="273" t="s">
        <v>1161</v>
      </c>
      <c r="AR491" s="847">
        <v>7</v>
      </c>
      <c r="AS491" s="848" t="s">
        <v>1162</v>
      </c>
      <c r="AT491" s="867"/>
      <c r="AU491" s="273"/>
      <c r="AV491" s="847"/>
      <c r="AW491" s="848"/>
      <c r="AX491" s="867"/>
      <c r="AY491" s="273"/>
      <c r="AZ491" s="847"/>
      <c r="BA491" s="848"/>
      <c r="BB491" s="866"/>
      <c r="BC491" s="273"/>
      <c r="BD491" s="847"/>
      <c r="BE491" s="848"/>
      <c r="BF491" s="838"/>
    </row>
    <row r="492" spans="1:58" s="88" customFormat="1" ht="54" hidden="1" customHeight="1" x14ac:dyDescent="0.25">
      <c r="A492" s="267" t="s">
        <v>1687</v>
      </c>
      <c r="B492" s="268">
        <v>257</v>
      </c>
      <c r="C492" s="240" t="s">
        <v>1955</v>
      </c>
      <c r="D492" s="270" t="s">
        <v>1956</v>
      </c>
      <c r="E492" s="268" t="s">
        <v>3941</v>
      </c>
      <c r="F492" s="861" t="s">
        <v>3942</v>
      </c>
      <c r="G492" s="269" t="s">
        <v>3943</v>
      </c>
      <c r="H492" s="845" t="s">
        <v>3944</v>
      </c>
      <c r="I492" s="269" t="s">
        <v>3945</v>
      </c>
      <c r="J492" s="296" t="s">
        <v>140</v>
      </c>
      <c r="K492" s="297" t="s">
        <v>140</v>
      </c>
      <c r="L492" s="862" t="s">
        <v>3946</v>
      </c>
      <c r="M492" s="847" t="s">
        <v>973</v>
      </c>
      <c r="N492" s="211" t="s">
        <v>974</v>
      </c>
      <c r="O492" s="240" t="s">
        <v>144</v>
      </c>
      <c r="P492" s="240" t="s">
        <v>144</v>
      </c>
      <c r="Q492" s="845" t="s">
        <v>144</v>
      </c>
      <c r="R492" s="208" t="s">
        <v>144</v>
      </c>
      <c r="S492" s="181" t="s">
        <v>233</v>
      </c>
      <c r="T492" s="212" t="s">
        <v>234</v>
      </c>
      <c r="U492" s="213" t="s">
        <v>235</v>
      </c>
      <c r="V492" s="847">
        <v>8</v>
      </c>
      <c r="W492" s="415" t="s">
        <v>144</v>
      </c>
      <c r="X492" s="212">
        <v>41</v>
      </c>
      <c r="Y492" s="212" t="s">
        <v>144</v>
      </c>
      <c r="Z492" s="212" t="s">
        <v>144</v>
      </c>
      <c r="AA492" s="240" t="s">
        <v>3947</v>
      </c>
      <c r="AB492" s="206" t="s">
        <v>140</v>
      </c>
      <c r="AC492" s="847" t="s">
        <v>265</v>
      </c>
      <c r="AD492" s="847" t="s">
        <v>3948</v>
      </c>
      <c r="AE492" s="847" t="s">
        <v>144</v>
      </c>
      <c r="AF492" s="848" t="s">
        <v>144</v>
      </c>
      <c r="AG492" s="838"/>
      <c r="AH492" s="866" t="s">
        <v>3938</v>
      </c>
      <c r="AI492" s="273" t="s">
        <v>3939</v>
      </c>
      <c r="AJ492" s="847">
        <v>6</v>
      </c>
      <c r="AK492" s="878" t="s">
        <v>3940</v>
      </c>
      <c r="AL492" s="867"/>
      <c r="AM492" s="273"/>
      <c r="AN492" s="847"/>
      <c r="AO492" s="848"/>
      <c r="AP492" s="867"/>
      <c r="AQ492" s="273"/>
      <c r="AR492" s="847"/>
      <c r="AS492" s="848"/>
      <c r="AT492" s="867" t="s">
        <v>3949</v>
      </c>
      <c r="AU492" s="273" t="s">
        <v>3950</v>
      </c>
      <c r="AV492" s="847">
        <v>7</v>
      </c>
      <c r="AW492" s="286" t="s">
        <v>3951</v>
      </c>
      <c r="AX492" s="867"/>
      <c r="AY492" s="273"/>
      <c r="AZ492" s="847"/>
      <c r="BA492" s="848"/>
      <c r="BB492" s="866"/>
      <c r="BC492" s="273"/>
      <c r="BD492" s="847"/>
      <c r="BE492" s="848"/>
      <c r="BF492" s="838"/>
    </row>
    <row r="493" spans="1:58" s="88" customFormat="1" ht="54" hidden="1" customHeight="1" x14ac:dyDescent="0.25">
      <c r="A493" s="267" t="s">
        <v>1687</v>
      </c>
      <c r="B493" s="268">
        <v>258</v>
      </c>
      <c r="C493" s="240" t="s">
        <v>1955</v>
      </c>
      <c r="D493" s="270" t="s">
        <v>1956</v>
      </c>
      <c r="E493" s="268" t="s">
        <v>3952</v>
      </c>
      <c r="F493" s="861" t="s">
        <v>3953</v>
      </c>
      <c r="G493" s="269" t="s">
        <v>3954</v>
      </c>
      <c r="H493" s="845" t="s">
        <v>3955</v>
      </c>
      <c r="I493" s="269" t="s">
        <v>3956</v>
      </c>
      <c r="J493" s="296" t="s">
        <v>140</v>
      </c>
      <c r="K493" s="297" t="s">
        <v>140</v>
      </c>
      <c r="L493" s="862" t="s">
        <v>3957</v>
      </c>
      <c r="M493" s="847" t="s">
        <v>973</v>
      </c>
      <c r="N493" s="211" t="s">
        <v>974</v>
      </c>
      <c r="O493" s="240" t="s">
        <v>144</v>
      </c>
      <c r="P493" s="240" t="s">
        <v>144</v>
      </c>
      <c r="Q493" s="845" t="s">
        <v>144</v>
      </c>
      <c r="R493" s="208" t="s">
        <v>144</v>
      </c>
      <c r="S493" s="181" t="s">
        <v>233</v>
      </c>
      <c r="T493" s="212" t="s">
        <v>234</v>
      </c>
      <c r="U493" s="213" t="s">
        <v>235</v>
      </c>
      <c r="V493" s="847">
        <v>8</v>
      </c>
      <c r="W493" s="415" t="s">
        <v>144</v>
      </c>
      <c r="X493" s="212">
        <v>41</v>
      </c>
      <c r="Y493" s="212" t="s">
        <v>144</v>
      </c>
      <c r="Z493" s="212" t="s">
        <v>144</v>
      </c>
      <c r="AA493" s="240" t="s">
        <v>3937</v>
      </c>
      <c r="AB493" s="206" t="s">
        <v>140</v>
      </c>
      <c r="AC493" s="847" t="s">
        <v>265</v>
      </c>
      <c r="AD493" s="847" t="s">
        <v>3958</v>
      </c>
      <c r="AE493" s="847" t="s">
        <v>144</v>
      </c>
      <c r="AF493" s="848" t="s">
        <v>144</v>
      </c>
      <c r="AG493" s="838"/>
      <c r="AH493" s="866" t="s">
        <v>3959</v>
      </c>
      <c r="AI493" s="273" t="s">
        <v>3960</v>
      </c>
      <c r="AJ493" s="847">
        <v>6</v>
      </c>
      <c r="AK493" s="878" t="s">
        <v>3961</v>
      </c>
      <c r="AL493" s="867"/>
      <c r="AM493" s="273"/>
      <c r="AN493" s="847"/>
      <c r="AO493" s="848"/>
      <c r="AP493" s="867" t="s">
        <v>1160</v>
      </c>
      <c r="AQ493" s="273" t="s">
        <v>1161</v>
      </c>
      <c r="AR493" s="847">
        <v>7</v>
      </c>
      <c r="AS493" s="848" t="s">
        <v>1162</v>
      </c>
      <c r="AT493" s="867"/>
      <c r="AU493" s="273"/>
      <c r="AV493" s="847"/>
      <c r="AW493" s="848"/>
      <c r="AX493" s="867"/>
      <c r="AY493" s="273"/>
      <c r="AZ493" s="847"/>
      <c r="BA493" s="848"/>
      <c r="BB493" s="866"/>
      <c r="BC493" s="273"/>
      <c r="BD493" s="847"/>
      <c r="BE493" s="848"/>
      <c r="BF493" s="838"/>
    </row>
    <row r="494" spans="1:58" s="88" customFormat="1" ht="54" hidden="1" customHeight="1" x14ac:dyDescent="0.25">
      <c r="A494" s="267" t="s">
        <v>1687</v>
      </c>
      <c r="B494" s="268">
        <v>259</v>
      </c>
      <c r="C494" s="240" t="s">
        <v>1955</v>
      </c>
      <c r="D494" s="270" t="s">
        <v>1956</v>
      </c>
      <c r="E494" s="268" t="s">
        <v>3962</v>
      </c>
      <c r="F494" s="861" t="s">
        <v>3963</v>
      </c>
      <c r="G494" s="269" t="s">
        <v>3964</v>
      </c>
      <c r="H494" s="845" t="s">
        <v>3965</v>
      </c>
      <c r="I494" s="269" t="s">
        <v>3966</v>
      </c>
      <c r="J494" s="296" t="s">
        <v>140</v>
      </c>
      <c r="K494" s="297" t="s">
        <v>140</v>
      </c>
      <c r="L494" s="862" t="s">
        <v>3967</v>
      </c>
      <c r="M494" s="847" t="s">
        <v>973</v>
      </c>
      <c r="N494" s="211" t="s">
        <v>974</v>
      </c>
      <c r="O494" s="240" t="s">
        <v>144</v>
      </c>
      <c r="P494" s="240" t="s">
        <v>144</v>
      </c>
      <c r="Q494" s="845" t="s">
        <v>144</v>
      </c>
      <c r="R494" s="208" t="s">
        <v>144</v>
      </c>
      <c r="S494" s="181" t="s">
        <v>233</v>
      </c>
      <c r="T494" s="212" t="s">
        <v>234</v>
      </c>
      <c r="U494" s="213" t="s">
        <v>235</v>
      </c>
      <c r="V494" s="847">
        <v>8</v>
      </c>
      <c r="W494" s="415" t="s">
        <v>144</v>
      </c>
      <c r="X494" s="212">
        <v>41</v>
      </c>
      <c r="Y494" s="212" t="s">
        <v>144</v>
      </c>
      <c r="Z494" s="212" t="s">
        <v>144</v>
      </c>
      <c r="AA494" s="240" t="s">
        <v>3968</v>
      </c>
      <c r="AB494" s="206" t="s">
        <v>140</v>
      </c>
      <c r="AC494" s="847" t="s">
        <v>265</v>
      </c>
      <c r="AD494" s="847" t="s">
        <v>3958</v>
      </c>
      <c r="AE494" s="847" t="s">
        <v>144</v>
      </c>
      <c r="AF494" s="848" t="s">
        <v>144</v>
      </c>
      <c r="AG494" s="838"/>
      <c r="AH494" s="866" t="s">
        <v>3959</v>
      </c>
      <c r="AI494" s="273" t="s">
        <v>3960</v>
      </c>
      <c r="AJ494" s="847">
        <v>6</v>
      </c>
      <c r="AK494" s="878" t="s">
        <v>3961</v>
      </c>
      <c r="AL494" s="867"/>
      <c r="AM494" s="273"/>
      <c r="AN494" s="847"/>
      <c r="AO494" s="848"/>
      <c r="AP494" s="867"/>
      <c r="AQ494" s="273"/>
      <c r="AR494" s="847"/>
      <c r="AS494" s="848"/>
      <c r="AT494" s="867" t="s">
        <v>3969</v>
      </c>
      <c r="AU494" s="273" t="s">
        <v>3970</v>
      </c>
      <c r="AV494" s="847">
        <v>7</v>
      </c>
      <c r="AW494" s="286" t="s">
        <v>3971</v>
      </c>
      <c r="AX494" s="867"/>
      <c r="AY494" s="273"/>
      <c r="AZ494" s="847"/>
      <c r="BA494" s="848"/>
      <c r="BB494" s="866"/>
      <c r="BC494" s="273"/>
      <c r="BD494" s="847"/>
      <c r="BE494" s="848"/>
      <c r="BF494" s="838"/>
    </row>
    <row r="495" spans="1:58" s="88" customFormat="1" ht="54" hidden="1" customHeight="1" x14ac:dyDescent="0.25">
      <c r="A495" s="267" t="s">
        <v>1687</v>
      </c>
      <c r="B495" s="268">
        <v>260</v>
      </c>
      <c r="C495" s="240" t="s">
        <v>1955</v>
      </c>
      <c r="D495" s="270" t="s">
        <v>1956</v>
      </c>
      <c r="E495" s="268" t="s">
        <v>3972</v>
      </c>
      <c r="F495" s="861" t="s">
        <v>3973</v>
      </c>
      <c r="G495" s="269" t="s">
        <v>3974</v>
      </c>
      <c r="H495" s="845" t="s">
        <v>3975</v>
      </c>
      <c r="I495" s="269" t="s">
        <v>3976</v>
      </c>
      <c r="J495" s="296" t="s">
        <v>140</v>
      </c>
      <c r="K495" s="297" t="s">
        <v>140</v>
      </c>
      <c r="L495" s="862" t="s">
        <v>3977</v>
      </c>
      <c r="M495" s="847" t="s">
        <v>973</v>
      </c>
      <c r="N495" s="211" t="s">
        <v>974</v>
      </c>
      <c r="O495" s="240" t="s">
        <v>144</v>
      </c>
      <c r="P495" s="240" t="s">
        <v>144</v>
      </c>
      <c r="Q495" s="845" t="s">
        <v>144</v>
      </c>
      <c r="R495" s="208" t="s">
        <v>144</v>
      </c>
      <c r="S495" s="181" t="s">
        <v>233</v>
      </c>
      <c r="T495" s="212" t="s">
        <v>234</v>
      </c>
      <c r="U495" s="213" t="s">
        <v>235</v>
      </c>
      <c r="V495" s="847">
        <v>8</v>
      </c>
      <c r="W495" s="415" t="s">
        <v>144</v>
      </c>
      <c r="X495" s="212">
        <v>41</v>
      </c>
      <c r="Y495" s="212" t="s">
        <v>144</v>
      </c>
      <c r="Z495" s="212" t="s">
        <v>144</v>
      </c>
      <c r="AA495" s="240" t="s">
        <v>3907</v>
      </c>
      <c r="AB495" s="206" t="s">
        <v>140</v>
      </c>
      <c r="AC495" s="847" t="s">
        <v>265</v>
      </c>
      <c r="AD495" s="847" t="s">
        <v>3958</v>
      </c>
      <c r="AE495" s="847" t="s">
        <v>144</v>
      </c>
      <c r="AF495" s="848" t="s">
        <v>144</v>
      </c>
      <c r="AG495" s="838"/>
      <c r="AH495" s="866" t="s">
        <v>3978</v>
      </c>
      <c r="AI495" s="273" t="s">
        <v>3979</v>
      </c>
      <c r="AJ495" s="847">
        <v>6</v>
      </c>
      <c r="AK495" s="878" t="s">
        <v>3980</v>
      </c>
      <c r="AL495" s="867"/>
      <c r="AM495" s="273"/>
      <c r="AN495" s="847"/>
      <c r="AO495" s="848"/>
      <c r="AP495" s="867"/>
      <c r="AQ495" s="273"/>
      <c r="AR495" s="847"/>
      <c r="AS495" s="848"/>
      <c r="AT495" s="867"/>
      <c r="AU495" s="273"/>
      <c r="AV495" s="847"/>
      <c r="AW495" s="848"/>
      <c r="AX495" s="867"/>
      <c r="AY495" s="273"/>
      <c r="AZ495" s="847"/>
      <c r="BA495" s="848"/>
      <c r="BB495" s="866"/>
      <c r="BC495" s="273"/>
      <c r="BD495" s="847"/>
      <c r="BE495" s="848"/>
      <c r="BF495" s="838"/>
    </row>
    <row r="496" spans="1:58" s="88" customFormat="1" ht="54" hidden="1" customHeight="1" x14ac:dyDescent="0.25">
      <c r="A496" s="267" t="s">
        <v>1687</v>
      </c>
      <c r="B496" s="268">
        <v>261</v>
      </c>
      <c r="C496" s="240" t="s">
        <v>1955</v>
      </c>
      <c r="D496" s="270" t="s">
        <v>1956</v>
      </c>
      <c r="E496" s="268" t="s">
        <v>3981</v>
      </c>
      <c r="F496" s="861" t="s">
        <v>3982</v>
      </c>
      <c r="G496" s="269" t="s">
        <v>3983</v>
      </c>
      <c r="H496" s="845" t="s">
        <v>3984</v>
      </c>
      <c r="I496" s="269" t="s">
        <v>3985</v>
      </c>
      <c r="J496" s="296" t="s">
        <v>140</v>
      </c>
      <c r="K496" s="297" t="s">
        <v>140</v>
      </c>
      <c r="L496" s="862" t="s">
        <v>3986</v>
      </c>
      <c r="M496" s="847" t="s">
        <v>193</v>
      </c>
      <c r="N496" s="211" t="s">
        <v>194</v>
      </c>
      <c r="O496" s="240" t="s">
        <v>144</v>
      </c>
      <c r="P496" s="240" t="s">
        <v>144</v>
      </c>
      <c r="Q496" s="845" t="s">
        <v>3987</v>
      </c>
      <c r="R496" s="208" t="s">
        <v>3988</v>
      </c>
      <c r="S496" s="181" t="s">
        <v>233</v>
      </c>
      <c r="T496" s="212" t="s">
        <v>234</v>
      </c>
      <c r="U496" s="213" t="s">
        <v>235</v>
      </c>
      <c r="V496" s="847">
        <v>8</v>
      </c>
      <c r="W496" s="415" t="s">
        <v>144</v>
      </c>
      <c r="X496" s="212">
        <v>41</v>
      </c>
      <c r="Y496" s="212" t="s">
        <v>144</v>
      </c>
      <c r="Z496" s="212" t="s">
        <v>144</v>
      </c>
      <c r="AA496" s="240" t="s">
        <v>3989</v>
      </c>
      <c r="AB496" s="206" t="s">
        <v>140</v>
      </c>
      <c r="AC496" s="847" t="s">
        <v>265</v>
      </c>
      <c r="AD496" s="847" t="s">
        <v>2286</v>
      </c>
      <c r="AE496" s="847" t="s">
        <v>144</v>
      </c>
      <c r="AF496" s="848" t="s">
        <v>144</v>
      </c>
      <c r="AG496" s="838"/>
      <c r="AH496" s="866"/>
      <c r="AI496" s="273"/>
      <c r="AJ496" s="847"/>
      <c r="AK496" s="878"/>
      <c r="AL496" s="867"/>
      <c r="AM496" s="273"/>
      <c r="AN496" s="847"/>
      <c r="AO496" s="848"/>
      <c r="AP496" s="867"/>
      <c r="AQ496" s="273"/>
      <c r="AR496" s="847"/>
      <c r="AS496" s="848"/>
      <c r="AT496" s="867"/>
      <c r="AU496" s="273"/>
      <c r="AV496" s="847"/>
      <c r="AW496" s="848"/>
      <c r="AX496" s="867"/>
      <c r="AY496" s="273"/>
      <c r="AZ496" s="847"/>
      <c r="BA496" s="848"/>
      <c r="BB496" s="866"/>
      <c r="BC496" s="273"/>
      <c r="BD496" s="847"/>
      <c r="BE496" s="848"/>
      <c r="BF496" s="838"/>
    </row>
    <row r="497" spans="1:58" s="88" customFormat="1" ht="54" hidden="1" customHeight="1" x14ac:dyDescent="0.25">
      <c r="A497" s="267" t="s">
        <v>1687</v>
      </c>
      <c r="B497" s="268">
        <v>262</v>
      </c>
      <c r="C497" s="240" t="s">
        <v>1955</v>
      </c>
      <c r="D497" s="270" t="s">
        <v>1956</v>
      </c>
      <c r="E497" s="298" t="s">
        <v>3990</v>
      </c>
      <c r="F497" s="861" t="s">
        <v>3991</v>
      </c>
      <c r="G497" s="269" t="s">
        <v>3992</v>
      </c>
      <c r="H497" s="845" t="s">
        <v>3991</v>
      </c>
      <c r="I497" s="269" t="s">
        <v>3993</v>
      </c>
      <c r="J497" s="296" t="s">
        <v>140</v>
      </c>
      <c r="K497" s="297" t="s">
        <v>140</v>
      </c>
      <c r="L497" s="862" t="s">
        <v>3994</v>
      </c>
      <c r="M497" s="847" t="s">
        <v>973</v>
      </c>
      <c r="N497" s="211" t="s">
        <v>974</v>
      </c>
      <c r="O497" s="240" t="s">
        <v>144</v>
      </c>
      <c r="P497" s="240" t="s">
        <v>144</v>
      </c>
      <c r="Q497" s="845" t="s">
        <v>3995</v>
      </c>
      <c r="R497" s="208" t="s">
        <v>3996</v>
      </c>
      <c r="S497" s="181" t="s">
        <v>233</v>
      </c>
      <c r="T497" s="212" t="s">
        <v>234</v>
      </c>
      <c r="U497" s="213" t="s">
        <v>235</v>
      </c>
      <c r="V497" s="847">
        <v>8</v>
      </c>
      <c r="W497" s="415" t="s">
        <v>144</v>
      </c>
      <c r="X497" s="212">
        <v>42</v>
      </c>
      <c r="Y497" s="212" t="s">
        <v>144</v>
      </c>
      <c r="Z497" s="241" t="s">
        <v>144</v>
      </c>
      <c r="AA497" s="437" t="s">
        <v>3997</v>
      </c>
      <c r="AB497" s="206" t="s">
        <v>140</v>
      </c>
      <c r="AC497" s="847" t="s">
        <v>265</v>
      </c>
      <c r="AD497" s="847" t="s">
        <v>1690</v>
      </c>
      <c r="AE497" s="847" t="s">
        <v>144</v>
      </c>
      <c r="AF497" s="848" t="s">
        <v>144</v>
      </c>
      <c r="AG497" s="838"/>
      <c r="AH497" s="866" t="s">
        <v>3998</v>
      </c>
      <c r="AI497" s="273" t="s">
        <v>3999</v>
      </c>
      <c r="AJ497" s="240">
        <v>6</v>
      </c>
      <c r="AK497" s="878" t="s">
        <v>4000</v>
      </c>
      <c r="AL497" s="867"/>
      <c r="AM497" s="273"/>
      <c r="AN497" s="847"/>
      <c r="AO497" s="848"/>
      <c r="AP497" s="867" t="s">
        <v>1160</v>
      </c>
      <c r="AQ497" s="273" t="s">
        <v>1161</v>
      </c>
      <c r="AR497" s="847">
        <v>7</v>
      </c>
      <c r="AS497" s="848" t="s">
        <v>1162</v>
      </c>
      <c r="AT497" s="867" t="s">
        <v>4001</v>
      </c>
      <c r="AU497" s="273" t="s">
        <v>4002</v>
      </c>
      <c r="AV497" s="900">
        <v>6</v>
      </c>
      <c r="AW497" s="848" t="s">
        <v>4003</v>
      </c>
      <c r="AX497" s="867"/>
      <c r="AY497" s="273"/>
      <c r="AZ497" s="847"/>
      <c r="BA497" s="848"/>
      <c r="BB497" s="866"/>
      <c r="BC497" s="273"/>
      <c r="BD497" s="847"/>
      <c r="BE497" s="848"/>
      <c r="BF497" s="838"/>
    </row>
    <row r="498" spans="1:58" s="57" customFormat="1" ht="54" hidden="1" customHeight="1" x14ac:dyDescent="0.25">
      <c r="A498" s="275" t="s">
        <v>1687</v>
      </c>
      <c r="B498" s="276">
        <v>263</v>
      </c>
      <c r="C498" s="253" t="s">
        <v>1955</v>
      </c>
      <c r="D498" s="253" t="s">
        <v>1956</v>
      </c>
      <c r="E498" s="276" t="s">
        <v>4004</v>
      </c>
      <c r="F498" s="277" t="s">
        <v>4005</v>
      </c>
      <c r="G498" s="277" t="s">
        <v>4006</v>
      </c>
      <c r="H498" s="279" t="s">
        <v>2167</v>
      </c>
      <c r="I498" s="279" t="s">
        <v>337</v>
      </c>
      <c r="J498" s="278" t="s">
        <v>144</v>
      </c>
      <c r="K498" s="278" t="s">
        <v>144</v>
      </c>
      <c r="L498" s="718" t="s">
        <v>4007</v>
      </c>
      <c r="M498" s="253" t="s">
        <v>144</v>
      </c>
      <c r="N498" s="217" t="s">
        <v>144</v>
      </c>
      <c r="O498" s="253" t="s">
        <v>144</v>
      </c>
      <c r="P498" s="253" t="s">
        <v>144</v>
      </c>
      <c r="Q498" s="311" t="s">
        <v>338</v>
      </c>
      <c r="R498" s="218" t="s">
        <v>339</v>
      </c>
      <c r="S498" s="276" t="s">
        <v>147</v>
      </c>
      <c r="T498" s="221" t="s">
        <v>144</v>
      </c>
      <c r="U498" s="221" t="s">
        <v>144</v>
      </c>
      <c r="V498" s="253">
        <v>2</v>
      </c>
      <c r="W498" s="217" t="s">
        <v>144</v>
      </c>
      <c r="X498" s="221">
        <v>42</v>
      </c>
      <c r="Y498" s="221" t="s">
        <v>144</v>
      </c>
      <c r="Z498" s="221" t="s">
        <v>144</v>
      </c>
      <c r="AA498" s="253" t="s">
        <v>144</v>
      </c>
      <c r="AB498" s="217" t="s">
        <v>144</v>
      </c>
      <c r="AC498" s="253" t="s">
        <v>265</v>
      </c>
      <c r="AD498" s="253" t="s">
        <v>144</v>
      </c>
      <c r="AE498" s="253" t="s">
        <v>144</v>
      </c>
      <c r="AF498" s="254" t="s">
        <v>144</v>
      </c>
      <c r="AG498" s="838"/>
      <c r="AH498" s="280"/>
      <c r="AI498" s="281"/>
      <c r="AJ498" s="253"/>
      <c r="AK498" s="878"/>
      <c r="AL498" s="281"/>
      <c r="AM498" s="281"/>
      <c r="AN498" s="253"/>
      <c r="AO498" s="254"/>
      <c r="AP498" s="281"/>
      <c r="AQ498" s="281"/>
      <c r="AR498" s="253"/>
      <c r="AS498" s="254"/>
      <c r="AT498" s="281"/>
      <c r="AU498" s="281"/>
      <c r="AV498" s="253"/>
      <c r="AW498" s="254"/>
      <c r="AX498" s="281"/>
      <c r="AY498" s="281"/>
      <c r="AZ498" s="253"/>
      <c r="BA498" s="254"/>
      <c r="BB498" s="280"/>
      <c r="BC498" s="281"/>
      <c r="BD498" s="253"/>
      <c r="BE498" s="254"/>
      <c r="BF498" s="838"/>
    </row>
    <row r="499" spans="1:58" s="88" customFormat="1" ht="54" hidden="1" customHeight="1" x14ac:dyDescent="0.25">
      <c r="A499" s="267" t="s">
        <v>1687</v>
      </c>
      <c r="B499" s="268">
        <v>264</v>
      </c>
      <c r="C499" s="240" t="s">
        <v>1955</v>
      </c>
      <c r="D499" s="270" t="s">
        <v>1956</v>
      </c>
      <c r="E499" s="298" t="s">
        <v>4008</v>
      </c>
      <c r="F499" s="863" t="s">
        <v>4009</v>
      </c>
      <c r="G499" s="271" t="s">
        <v>4010</v>
      </c>
      <c r="H499" s="861" t="s">
        <v>4011</v>
      </c>
      <c r="I499" s="269" t="s">
        <v>4012</v>
      </c>
      <c r="J499" s="296" t="s">
        <v>140</v>
      </c>
      <c r="K499" s="297" t="s">
        <v>140</v>
      </c>
      <c r="L499" s="862" t="s">
        <v>4013</v>
      </c>
      <c r="M499" s="847" t="s">
        <v>973</v>
      </c>
      <c r="N499" s="211" t="s">
        <v>974</v>
      </c>
      <c r="O499" s="240" t="s">
        <v>144</v>
      </c>
      <c r="P499" s="240" t="s">
        <v>144</v>
      </c>
      <c r="Q499" s="845" t="s">
        <v>144</v>
      </c>
      <c r="R499" s="208" t="s">
        <v>144</v>
      </c>
      <c r="S499" s="240" t="s">
        <v>746</v>
      </c>
      <c r="T499" s="212" t="s">
        <v>144</v>
      </c>
      <c r="U499" s="213" t="s">
        <v>144</v>
      </c>
      <c r="V499" s="847">
        <v>2</v>
      </c>
      <c r="W499" s="415" t="s">
        <v>144</v>
      </c>
      <c r="X499" s="212">
        <v>43</v>
      </c>
      <c r="Y499" s="212" t="s">
        <v>144</v>
      </c>
      <c r="Z499" s="214" t="s">
        <v>144</v>
      </c>
      <c r="AA499" s="240" t="s">
        <v>148</v>
      </c>
      <c r="AB499" s="206" t="s">
        <v>140</v>
      </c>
      <c r="AC499" s="847" t="s">
        <v>265</v>
      </c>
      <c r="AD499" s="847" t="s">
        <v>2286</v>
      </c>
      <c r="AE499" s="847" t="s">
        <v>144</v>
      </c>
      <c r="AF499" s="848" t="s">
        <v>144</v>
      </c>
      <c r="AG499" s="838"/>
      <c r="AH499" s="866" t="s">
        <v>4014</v>
      </c>
      <c r="AI499" s="273" t="s">
        <v>4015</v>
      </c>
      <c r="AJ499" s="847">
        <v>6</v>
      </c>
      <c r="AK499" s="878" t="s">
        <v>4016</v>
      </c>
      <c r="AL499" s="867"/>
      <c r="AM499" s="273"/>
      <c r="AN499" s="847"/>
      <c r="AO499" s="848"/>
      <c r="AP499" s="867"/>
      <c r="AQ499" s="273"/>
      <c r="AR499" s="847"/>
      <c r="AS499" s="848"/>
      <c r="AT499" s="867"/>
      <c r="AU499" s="273"/>
      <c r="AV499" s="847"/>
      <c r="AW499" s="848"/>
      <c r="AX499" s="867"/>
      <c r="AY499" s="273"/>
      <c r="AZ499" s="847"/>
      <c r="BA499" s="848"/>
      <c r="BB499" s="866"/>
      <c r="BC499" s="273"/>
      <c r="BD499" s="847"/>
      <c r="BE499" s="848"/>
      <c r="BF499" s="838"/>
    </row>
    <row r="500" spans="1:58" s="88" customFormat="1" ht="54" hidden="1" customHeight="1" x14ac:dyDescent="0.25">
      <c r="A500" s="267" t="s">
        <v>1687</v>
      </c>
      <c r="B500" s="268">
        <v>265</v>
      </c>
      <c r="C500" s="240" t="s">
        <v>1955</v>
      </c>
      <c r="D500" s="270" t="s">
        <v>1956</v>
      </c>
      <c r="E500" s="298" t="s">
        <v>4017</v>
      </c>
      <c r="F500" s="863" t="s">
        <v>4018</v>
      </c>
      <c r="G500" s="271" t="s">
        <v>4019</v>
      </c>
      <c r="H500" s="861" t="s">
        <v>4020</v>
      </c>
      <c r="I500" s="269" t="s">
        <v>4021</v>
      </c>
      <c r="J500" s="296" t="s">
        <v>140</v>
      </c>
      <c r="K500" s="297" t="s">
        <v>140</v>
      </c>
      <c r="L500" s="862" t="s">
        <v>4022</v>
      </c>
      <c r="M500" s="206" t="s">
        <v>973</v>
      </c>
      <c r="N500" s="211" t="s">
        <v>974</v>
      </c>
      <c r="O500" s="240" t="s">
        <v>4023</v>
      </c>
      <c r="P500" s="240" t="s">
        <v>4024</v>
      </c>
      <c r="Q500" s="845" t="s">
        <v>144</v>
      </c>
      <c r="R500" s="208" t="s">
        <v>144</v>
      </c>
      <c r="S500" s="864" t="s">
        <v>147</v>
      </c>
      <c r="T500" s="212" t="s">
        <v>144</v>
      </c>
      <c r="U500" s="213" t="s">
        <v>144</v>
      </c>
      <c r="V500" s="847">
        <v>2</v>
      </c>
      <c r="W500" s="415" t="s">
        <v>144</v>
      </c>
      <c r="X500" s="212">
        <v>43</v>
      </c>
      <c r="Y500" s="212" t="s">
        <v>144</v>
      </c>
      <c r="Z500" s="214" t="s">
        <v>144</v>
      </c>
      <c r="AA500" s="343" t="s">
        <v>1440</v>
      </c>
      <c r="AB500" s="206" t="s">
        <v>140</v>
      </c>
      <c r="AC500" s="847" t="s">
        <v>265</v>
      </c>
      <c r="AD500" s="847" t="s">
        <v>2205</v>
      </c>
      <c r="AE500" s="847" t="s">
        <v>144</v>
      </c>
      <c r="AF500" s="848" t="s">
        <v>144</v>
      </c>
      <c r="AG500" s="838"/>
      <c r="AH500" s="866" t="s">
        <v>4014</v>
      </c>
      <c r="AI500" s="273" t="s">
        <v>4015</v>
      </c>
      <c r="AJ500" s="847">
        <v>5</v>
      </c>
      <c r="AK500" s="878" t="s">
        <v>4016</v>
      </c>
      <c r="AL500" s="875" t="s">
        <v>294</v>
      </c>
      <c r="AM500" s="301" t="s">
        <v>295</v>
      </c>
      <c r="AN500" s="847">
        <v>7</v>
      </c>
      <c r="AO500" s="187" t="s">
        <v>966</v>
      </c>
      <c r="AP500" s="867"/>
      <c r="AQ500" s="273"/>
      <c r="AR500" s="847"/>
      <c r="AS500" s="848"/>
      <c r="AT500" s="867"/>
      <c r="AU500" s="273"/>
      <c r="AV500" s="847"/>
      <c r="AW500" s="848"/>
      <c r="AX500" s="867"/>
      <c r="AY500" s="273"/>
      <c r="AZ500" s="847"/>
      <c r="BA500" s="848"/>
      <c r="BB500" s="866"/>
      <c r="BC500" s="273"/>
      <c r="BD500" s="847"/>
      <c r="BE500" s="848"/>
      <c r="BF500" s="838"/>
    </row>
    <row r="501" spans="1:58" s="57" customFormat="1" ht="54" customHeight="1" x14ac:dyDescent="0.25">
      <c r="A501" s="275" t="s">
        <v>1687</v>
      </c>
      <c r="B501" s="276">
        <v>266</v>
      </c>
      <c r="C501" s="253" t="s">
        <v>144</v>
      </c>
      <c r="D501" s="253" t="s">
        <v>144</v>
      </c>
      <c r="E501" s="276" t="s">
        <v>4025</v>
      </c>
      <c r="F501" s="277" t="s">
        <v>251</v>
      </c>
      <c r="G501" s="277" t="s">
        <v>251</v>
      </c>
      <c r="H501" s="220" t="s">
        <v>336</v>
      </c>
      <c r="I501" s="277" t="s">
        <v>337</v>
      </c>
      <c r="J501" s="302" t="s">
        <v>144</v>
      </c>
      <c r="K501" s="302" t="s">
        <v>144</v>
      </c>
      <c r="L501" s="718" t="s">
        <v>4026</v>
      </c>
      <c r="M501" s="253" t="s">
        <v>144</v>
      </c>
      <c r="N501" s="253" t="s">
        <v>144</v>
      </c>
      <c r="O501" s="253" t="s">
        <v>144</v>
      </c>
      <c r="P501" s="253" t="s">
        <v>144</v>
      </c>
      <c r="Q501" s="220" t="s">
        <v>338</v>
      </c>
      <c r="R501" s="220" t="s">
        <v>339</v>
      </c>
      <c r="S501" s="276" t="s">
        <v>147</v>
      </c>
      <c r="T501" s="221" t="s">
        <v>144</v>
      </c>
      <c r="U501" s="221" t="s">
        <v>144</v>
      </c>
      <c r="V501" s="253">
        <v>2</v>
      </c>
      <c r="W501" s="217" t="s">
        <v>144</v>
      </c>
      <c r="X501" s="221" t="s">
        <v>144</v>
      </c>
      <c r="Y501" s="221" t="s">
        <v>144</v>
      </c>
      <c r="Z501" s="222" t="s">
        <v>144</v>
      </c>
      <c r="AA501" s="253" t="s">
        <v>144</v>
      </c>
      <c r="AB501" s="217" t="s">
        <v>144</v>
      </c>
      <c r="AC501" s="253" t="s">
        <v>265</v>
      </c>
      <c r="AD501" s="253" t="s">
        <v>144</v>
      </c>
      <c r="AE501" s="253" t="s">
        <v>144</v>
      </c>
      <c r="AF501" s="254" t="s">
        <v>144</v>
      </c>
      <c r="AG501" s="838"/>
      <c r="AH501" s="280"/>
      <c r="AI501" s="281"/>
      <c r="AJ501" s="253"/>
      <c r="AK501" s="878"/>
      <c r="AL501" s="281"/>
      <c r="AM501" s="281"/>
      <c r="AN501" s="253"/>
      <c r="AO501" s="254"/>
      <c r="AP501" s="281"/>
      <c r="AQ501" s="281"/>
      <c r="AR501" s="253"/>
      <c r="AS501" s="254"/>
      <c r="AT501" s="281"/>
      <c r="AU501" s="281"/>
      <c r="AV501" s="253"/>
      <c r="AW501" s="254"/>
      <c r="AX501" s="281"/>
      <c r="AY501" s="281"/>
      <c r="AZ501" s="253"/>
      <c r="BA501" s="254"/>
      <c r="BB501" s="280"/>
      <c r="BC501" s="281"/>
      <c r="BD501" s="253"/>
      <c r="BE501" s="254"/>
      <c r="BF501" s="838"/>
    </row>
    <row r="502" spans="1:58" s="88" customFormat="1" ht="54" hidden="1" customHeight="1" x14ac:dyDescent="0.25">
      <c r="A502" s="267" t="s">
        <v>1687</v>
      </c>
      <c r="B502" s="268">
        <v>267</v>
      </c>
      <c r="C502" s="240" t="s">
        <v>4027</v>
      </c>
      <c r="D502" s="211" t="s">
        <v>4028</v>
      </c>
      <c r="E502" s="268" t="s">
        <v>4029</v>
      </c>
      <c r="F502" s="861" t="s">
        <v>4030</v>
      </c>
      <c r="G502" s="269" t="s">
        <v>4031</v>
      </c>
      <c r="H502" s="249" t="s">
        <v>4032</v>
      </c>
      <c r="I502" s="333" t="s">
        <v>4033</v>
      </c>
      <c r="J502" s="296" t="s">
        <v>140</v>
      </c>
      <c r="K502" s="297" t="s">
        <v>140</v>
      </c>
      <c r="L502" s="862" t="s">
        <v>4034</v>
      </c>
      <c r="M502" s="847" t="s">
        <v>142</v>
      </c>
      <c r="N502" s="211" t="s">
        <v>143</v>
      </c>
      <c r="O502" s="240" t="s">
        <v>4035</v>
      </c>
      <c r="P502" s="240" t="s">
        <v>4036</v>
      </c>
      <c r="Q502" s="845" t="s">
        <v>4037</v>
      </c>
      <c r="R502" s="208" t="s">
        <v>4038</v>
      </c>
      <c r="S502" s="864" t="s">
        <v>147</v>
      </c>
      <c r="T502" s="212" t="s">
        <v>144</v>
      </c>
      <c r="U502" s="213" t="s">
        <v>144</v>
      </c>
      <c r="V502" s="847">
        <v>3</v>
      </c>
      <c r="W502" s="415" t="s">
        <v>144</v>
      </c>
      <c r="X502" s="212">
        <v>41</v>
      </c>
      <c r="Y502" s="212" t="s">
        <v>144</v>
      </c>
      <c r="Z502" s="433" t="s">
        <v>25</v>
      </c>
      <c r="AA502" s="407" t="s">
        <v>4039</v>
      </c>
      <c r="AB502" s="206" t="s">
        <v>140</v>
      </c>
      <c r="AC502" s="847" t="s">
        <v>265</v>
      </c>
      <c r="AD502" s="847" t="s">
        <v>1690</v>
      </c>
      <c r="AE502" s="847" t="s">
        <v>144</v>
      </c>
      <c r="AF502" s="848" t="s">
        <v>144</v>
      </c>
      <c r="AG502" s="838"/>
      <c r="AH502" s="866" t="s">
        <v>266</v>
      </c>
      <c r="AI502" s="273" t="s">
        <v>267</v>
      </c>
      <c r="AJ502" s="847">
        <v>6</v>
      </c>
      <c r="AK502" s="878" t="s">
        <v>1046</v>
      </c>
      <c r="AL502" s="867" t="s">
        <v>294</v>
      </c>
      <c r="AM502" s="273" t="s">
        <v>295</v>
      </c>
      <c r="AN502" s="847">
        <v>7</v>
      </c>
      <c r="AO502" s="187" t="s">
        <v>966</v>
      </c>
      <c r="AP502" s="867"/>
      <c r="AQ502" s="273"/>
      <c r="AR502" s="847"/>
      <c r="AS502" s="848"/>
      <c r="AT502" s="867"/>
      <c r="AU502" s="273"/>
      <c r="AV502" s="847"/>
      <c r="AW502" s="848"/>
      <c r="AX502" s="867"/>
      <c r="AY502" s="273"/>
      <c r="AZ502" s="847"/>
      <c r="BA502" s="848"/>
      <c r="BB502" s="866"/>
      <c r="BC502" s="273"/>
      <c r="BD502" s="847"/>
      <c r="BE502" s="848"/>
      <c r="BF502" s="838"/>
    </row>
    <row r="503" spans="1:58" s="88" customFormat="1" ht="54" hidden="1" customHeight="1" x14ac:dyDescent="0.25">
      <c r="A503" s="267" t="s">
        <v>1687</v>
      </c>
      <c r="B503" s="268">
        <v>268</v>
      </c>
      <c r="C503" s="240" t="s">
        <v>4040</v>
      </c>
      <c r="D503" s="211" t="s">
        <v>4041</v>
      </c>
      <c r="E503" s="268" t="s">
        <v>4042</v>
      </c>
      <c r="F503" s="861" t="s">
        <v>4043</v>
      </c>
      <c r="G503" s="269" t="s">
        <v>4044</v>
      </c>
      <c r="H503" s="845" t="s">
        <v>4045</v>
      </c>
      <c r="I503" s="208" t="s">
        <v>4046</v>
      </c>
      <c r="J503" s="240" t="s">
        <v>140</v>
      </c>
      <c r="K503" s="270" t="s">
        <v>140</v>
      </c>
      <c r="L503" s="862" t="s">
        <v>4047</v>
      </c>
      <c r="M503" s="847" t="s">
        <v>973</v>
      </c>
      <c r="N503" s="211" t="s">
        <v>974</v>
      </c>
      <c r="O503" s="240" t="s">
        <v>4048</v>
      </c>
      <c r="P503" s="240" t="s">
        <v>4049</v>
      </c>
      <c r="Q503" s="845" t="s">
        <v>144</v>
      </c>
      <c r="R503" s="208" t="s">
        <v>144</v>
      </c>
      <c r="S503" s="864" t="s">
        <v>147</v>
      </c>
      <c r="T503" s="212" t="s">
        <v>144</v>
      </c>
      <c r="U503" s="213" t="s">
        <v>144</v>
      </c>
      <c r="V503" s="847">
        <v>1</v>
      </c>
      <c r="W503" s="415" t="s">
        <v>144</v>
      </c>
      <c r="X503" s="212">
        <v>41</v>
      </c>
      <c r="Y503" s="212" t="s">
        <v>144</v>
      </c>
      <c r="Z503" s="252" t="s">
        <v>144</v>
      </c>
      <c r="AA503" s="240" t="s">
        <v>4050</v>
      </c>
      <c r="AB503" s="206" t="s">
        <v>140</v>
      </c>
      <c r="AC503" s="847" t="s">
        <v>265</v>
      </c>
      <c r="AD503" s="847" t="s">
        <v>4051</v>
      </c>
      <c r="AE503" s="847" t="s">
        <v>144</v>
      </c>
      <c r="AF503" s="848" t="s">
        <v>144</v>
      </c>
      <c r="AG503" s="838"/>
      <c r="AH503" s="866" t="s">
        <v>4052</v>
      </c>
      <c r="AI503" s="273" t="s">
        <v>4053</v>
      </c>
      <c r="AJ503" s="240">
        <v>7</v>
      </c>
      <c r="AK503" s="878" t="s">
        <v>4054</v>
      </c>
      <c r="AL503" s="875" t="s">
        <v>294</v>
      </c>
      <c r="AM503" s="301" t="s">
        <v>295</v>
      </c>
      <c r="AN503" s="847">
        <v>7</v>
      </c>
      <c r="AO503" s="187" t="s">
        <v>966</v>
      </c>
      <c r="AP503" s="867"/>
      <c r="AQ503" s="273"/>
      <c r="AR503" s="847"/>
      <c r="AS503" s="848"/>
      <c r="AT503" s="867"/>
      <c r="AU503" s="273"/>
      <c r="AV503" s="847"/>
      <c r="AW503" s="848"/>
      <c r="AX503" s="901" t="s">
        <v>4055</v>
      </c>
      <c r="AY503" s="318" t="s">
        <v>4056</v>
      </c>
      <c r="AZ503" s="902">
        <v>6</v>
      </c>
      <c r="BA503" s="848" t="s">
        <v>4057</v>
      </c>
      <c r="BB503" s="866"/>
      <c r="BC503" s="273"/>
      <c r="BD503" s="847"/>
      <c r="BE503" s="848"/>
      <c r="BF503" s="838"/>
    </row>
    <row r="504" spans="1:58" s="88" customFormat="1" ht="54" hidden="1" customHeight="1" x14ac:dyDescent="0.25">
      <c r="A504" s="267" t="s">
        <v>1687</v>
      </c>
      <c r="B504" s="268">
        <v>269</v>
      </c>
      <c r="C504" s="240" t="s">
        <v>256</v>
      </c>
      <c r="D504" s="211" t="s">
        <v>257</v>
      </c>
      <c r="E504" s="268" t="s">
        <v>4058</v>
      </c>
      <c r="F504" s="861" t="s">
        <v>1442</v>
      </c>
      <c r="G504" s="269" t="s">
        <v>1443</v>
      </c>
      <c r="H504" s="845" t="s">
        <v>4059</v>
      </c>
      <c r="I504" s="269" t="s">
        <v>4060</v>
      </c>
      <c r="J504" s="296" t="s">
        <v>140</v>
      </c>
      <c r="K504" s="297" t="s">
        <v>140</v>
      </c>
      <c r="L504" s="862" t="s">
        <v>1446</v>
      </c>
      <c r="M504" s="847" t="s">
        <v>142</v>
      </c>
      <c r="N504" s="211" t="s">
        <v>143</v>
      </c>
      <c r="O504" s="240" t="s">
        <v>144</v>
      </c>
      <c r="P504" s="240" t="s">
        <v>144</v>
      </c>
      <c r="Q504" s="845" t="s">
        <v>144</v>
      </c>
      <c r="R504" s="208" t="s">
        <v>144</v>
      </c>
      <c r="S504" s="864" t="s">
        <v>147</v>
      </c>
      <c r="T504" s="212" t="s">
        <v>144</v>
      </c>
      <c r="U504" s="213" t="s">
        <v>144</v>
      </c>
      <c r="V504" s="847">
        <v>40</v>
      </c>
      <c r="W504" s="415" t="s">
        <v>144</v>
      </c>
      <c r="X504" s="212">
        <v>41</v>
      </c>
      <c r="Y504" s="212" t="s">
        <v>144</v>
      </c>
      <c r="Z504" s="212" t="s">
        <v>25</v>
      </c>
      <c r="AA504" s="407" t="s">
        <v>4061</v>
      </c>
      <c r="AB504" s="206" t="s">
        <v>140</v>
      </c>
      <c r="AC504" s="847" t="s">
        <v>265</v>
      </c>
      <c r="AD504" s="847" t="s">
        <v>1690</v>
      </c>
      <c r="AE504" s="847" t="s">
        <v>144</v>
      </c>
      <c r="AF504" s="848" t="s">
        <v>144</v>
      </c>
      <c r="AG504" s="838"/>
      <c r="AH504" s="866" t="s">
        <v>266</v>
      </c>
      <c r="AI504" s="273" t="s">
        <v>267</v>
      </c>
      <c r="AJ504" s="847">
        <v>6</v>
      </c>
      <c r="AK504" s="878" t="s">
        <v>1046</v>
      </c>
      <c r="AL504" s="867"/>
      <c r="AM504" s="273"/>
      <c r="AN504" s="847"/>
      <c r="AO504" s="848"/>
      <c r="AP504" s="867"/>
      <c r="AQ504" s="273"/>
      <c r="AR504" s="847"/>
      <c r="AS504" s="848"/>
      <c r="AT504" s="867"/>
      <c r="AU504" s="273"/>
      <c r="AV504" s="847"/>
      <c r="AW504" s="848"/>
      <c r="AX504" s="867"/>
      <c r="AY504" s="273"/>
      <c r="AZ504" s="847"/>
      <c r="BA504" s="848"/>
      <c r="BB504" s="866"/>
      <c r="BC504" s="273"/>
      <c r="BD504" s="847"/>
      <c r="BE504" s="848"/>
      <c r="BF504" s="838"/>
    </row>
    <row r="505" spans="1:58" s="88" customFormat="1" ht="54" hidden="1" customHeight="1" x14ac:dyDescent="0.25">
      <c r="A505" s="267" t="s">
        <v>1687</v>
      </c>
      <c r="B505" s="268">
        <v>270</v>
      </c>
      <c r="C505" s="240" t="s">
        <v>256</v>
      </c>
      <c r="D505" s="211" t="s">
        <v>257</v>
      </c>
      <c r="E505" s="268" t="s">
        <v>4062</v>
      </c>
      <c r="F505" s="861" t="s">
        <v>4063</v>
      </c>
      <c r="G505" s="269" t="s">
        <v>4064</v>
      </c>
      <c r="H505" s="845" t="s">
        <v>4065</v>
      </c>
      <c r="I505" s="269" t="s">
        <v>4066</v>
      </c>
      <c r="J505" s="296" t="s">
        <v>140</v>
      </c>
      <c r="K505" s="297" t="s">
        <v>140</v>
      </c>
      <c r="L505" s="862" t="s">
        <v>4067</v>
      </c>
      <c r="M505" s="847" t="s">
        <v>142</v>
      </c>
      <c r="N505" s="270" t="s">
        <v>143</v>
      </c>
      <c r="O505" s="240" t="s">
        <v>144</v>
      </c>
      <c r="P505" s="240" t="s">
        <v>144</v>
      </c>
      <c r="Q505" s="845" t="s">
        <v>144</v>
      </c>
      <c r="R505" s="208" t="s">
        <v>144</v>
      </c>
      <c r="S505" s="864" t="s">
        <v>147</v>
      </c>
      <c r="T505" s="212" t="s">
        <v>144</v>
      </c>
      <c r="U505" s="213" t="s">
        <v>144</v>
      </c>
      <c r="V505" s="847">
        <v>40</v>
      </c>
      <c r="W505" s="415" t="s">
        <v>144</v>
      </c>
      <c r="X505" s="212">
        <v>41</v>
      </c>
      <c r="Y505" s="212" t="s">
        <v>144</v>
      </c>
      <c r="Z505" s="214" t="s">
        <v>25</v>
      </c>
      <c r="AA505" s="407" t="s">
        <v>4068</v>
      </c>
      <c r="AB505" s="206" t="s">
        <v>140</v>
      </c>
      <c r="AC505" s="847" t="s">
        <v>265</v>
      </c>
      <c r="AD505" s="847" t="s">
        <v>1690</v>
      </c>
      <c r="AE505" s="847" t="s">
        <v>144</v>
      </c>
      <c r="AF505" s="848" t="s">
        <v>144</v>
      </c>
      <c r="AG505" s="838"/>
      <c r="AH505" s="866" t="s">
        <v>266</v>
      </c>
      <c r="AI505" s="273" t="s">
        <v>267</v>
      </c>
      <c r="AJ505" s="847">
        <v>6</v>
      </c>
      <c r="AK505" s="878" t="s">
        <v>1046</v>
      </c>
      <c r="AL505" s="867"/>
      <c r="AM505" s="273"/>
      <c r="AN505" s="847"/>
      <c r="AO505" s="848"/>
      <c r="AP505" s="867"/>
      <c r="AQ505" s="273"/>
      <c r="AR505" s="847"/>
      <c r="AS505" s="848"/>
      <c r="AT505" s="867"/>
      <c r="AU505" s="273"/>
      <c r="AV505" s="847"/>
      <c r="AW505" s="848"/>
      <c r="AX505" s="867"/>
      <c r="AY505" s="273"/>
      <c r="AZ505" s="847"/>
      <c r="BA505" s="848"/>
      <c r="BB505" s="866"/>
      <c r="BC505" s="273"/>
      <c r="BD505" s="847"/>
      <c r="BE505" s="848"/>
      <c r="BF505" s="838"/>
    </row>
    <row r="506" spans="1:58" s="88" customFormat="1" ht="54" hidden="1" customHeight="1" x14ac:dyDescent="0.25">
      <c r="A506" s="787" t="s">
        <v>1687</v>
      </c>
      <c r="B506" s="788">
        <v>271</v>
      </c>
      <c r="C506" s="789" t="s">
        <v>4027</v>
      </c>
      <c r="D506" s="790" t="s">
        <v>4028</v>
      </c>
      <c r="E506" s="788" t="s">
        <v>4069</v>
      </c>
      <c r="F506" s="791" t="s">
        <v>4070</v>
      </c>
      <c r="G506" s="791" t="s">
        <v>4071</v>
      </c>
      <c r="H506" s="792" t="s">
        <v>4070</v>
      </c>
      <c r="I506" s="791" t="s">
        <v>4071</v>
      </c>
      <c r="J506" s="793" t="s">
        <v>140</v>
      </c>
      <c r="K506" s="793" t="s">
        <v>140</v>
      </c>
      <c r="L506" s="794" t="s">
        <v>4072</v>
      </c>
      <c r="M506" s="789" t="s">
        <v>193</v>
      </c>
      <c r="N506" s="790" t="s">
        <v>194</v>
      </c>
      <c r="O506" s="789" t="s">
        <v>4073</v>
      </c>
      <c r="P506" s="789" t="s">
        <v>4074</v>
      </c>
      <c r="Q506" s="792" t="s">
        <v>144</v>
      </c>
      <c r="R506" s="792" t="s">
        <v>144</v>
      </c>
      <c r="S506" s="788" t="s">
        <v>147</v>
      </c>
      <c r="T506" s="795" t="s">
        <v>144</v>
      </c>
      <c r="U506" s="795" t="s">
        <v>144</v>
      </c>
      <c r="V506" s="789">
        <v>1</v>
      </c>
      <c r="W506" s="790" t="s">
        <v>144</v>
      </c>
      <c r="X506" s="795">
        <v>41</v>
      </c>
      <c r="Y506" s="795" t="s">
        <v>4075</v>
      </c>
      <c r="Z506" s="796" t="s">
        <v>144</v>
      </c>
      <c r="AA506" s="797" t="s">
        <v>733</v>
      </c>
      <c r="AB506" s="790" t="s">
        <v>140</v>
      </c>
      <c r="AC506" s="789" t="s">
        <v>265</v>
      </c>
      <c r="AD506" s="789" t="s">
        <v>2221</v>
      </c>
      <c r="AE506" s="789" t="s">
        <v>144</v>
      </c>
      <c r="AF506" s="798" t="s">
        <v>144</v>
      </c>
      <c r="AG506" s="681"/>
      <c r="AH506" s="799"/>
      <c r="AI506" s="800"/>
      <c r="AJ506" s="789"/>
      <c r="AK506" s="798"/>
      <c r="AL506" s="800"/>
      <c r="AM506" s="800"/>
      <c r="AN506" s="789"/>
      <c r="AO506" s="801"/>
      <c r="AP506" s="800"/>
      <c r="AQ506" s="800"/>
      <c r="AR506" s="789"/>
      <c r="AS506" s="798"/>
      <c r="AT506" s="800"/>
      <c r="AU506" s="800"/>
      <c r="AV506" s="789"/>
      <c r="AW506" s="798"/>
      <c r="AX506" s="800"/>
      <c r="AY506" s="800"/>
      <c r="AZ506" s="789"/>
      <c r="BA506" s="798"/>
      <c r="BB506" s="799"/>
      <c r="BC506" s="800"/>
      <c r="BD506" s="789"/>
      <c r="BE506" s="798"/>
      <c r="BF506" s="838"/>
    </row>
    <row r="507" spans="1:58" s="88" customFormat="1" ht="54" hidden="1" customHeight="1" x14ac:dyDescent="0.25">
      <c r="A507" s="267" t="s">
        <v>1687</v>
      </c>
      <c r="B507" s="268">
        <v>272</v>
      </c>
      <c r="C507" s="240" t="s">
        <v>4027</v>
      </c>
      <c r="D507" s="211" t="s">
        <v>4028</v>
      </c>
      <c r="E507" s="268" t="s">
        <v>4076</v>
      </c>
      <c r="F507" s="861" t="s">
        <v>4077</v>
      </c>
      <c r="G507" s="269" t="s">
        <v>4078</v>
      </c>
      <c r="H507" s="845" t="s">
        <v>4079</v>
      </c>
      <c r="I507" s="269" t="s">
        <v>4080</v>
      </c>
      <c r="J507" s="296" t="s">
        <v>140</v>
      </c>
      <c r="K507" s="297" t="s">
        <v>140</v>
      </c>
      <c r="L507" s="862" t="s">
        <v>4081</v>
      </c>
      <c r="M507" s="872" t="s">
        <v>193</v>
      </c>
      <c r="N507" s="439" t="s">
        <v>194</v>
      </c>
      <c r="O507" s="240" t="s">
        <v>1516</v>
      </c>
      <c r="P507" s="240" t="s">
        <v>4082</v>
      </c>
      <c r="Q507" s="845" t="s">
        <v>144</v>
      </c>
      <c r="R507" s="208" t="s">
        <v>144</v>
      </c>
      <c r="S507" s="864" t="s">
        <v>147</v>
      </c>
      <c r="T507" s="212" t="s">
        <v>144</v>
      </c>
      <c r="U507" s="213" t="s">
        <v>144</v>
      </c>
      <c r="V507" s="847">
        <v>4</v>
      </c>
      <c r="W507" s="415" t="s">
        <v>144</v>
      </c>
      <c r="X507" s="212" t="s">
        <v>925</v>
      </c>
      <c r="Y507" s="212" t="s">
        <v>144</v>
      </c>
      <c r="Z507" s="252" t="s">
        <v>25</v>
      </c>
      <c r="AA507" s="407" t="s">
        <v>148</v>
      </c>
      <c r="AB507" s="206" t="s">
        <v>140</v>
      </c>
      <c r="AC507" s="847" t="s">
        <v>265</v>
      </c>
      <c r="AD507" s="847" t="s">
        <v>2123</v>
      </c>
      <c r="AE507" s="847" t="s">
        <v>144</v>
      </c>
      <c r="AF507" s="848" t="s">
        <v>144</v>
      </c>
      <c r="AG507" s="838"/>
      <c r="AH507" s="885"/>
      <c r="AI507" s="406"/>
      <c r="AJ507" s="872"/>
      <c r="AK507" s="878"/>
      <c r="AL507" s="867" t="s">
        <v>294</v>
      </c>
      <c r="AM507" s="273" t="s">
        <v>295</v>
      </c>
      <c r="AN507" s="847">
        <v>7</v>
      </c>
      <c r="AO507" s="187" t="s">
        <v>966</v>
      </c>
      <c r="AP507" s="867"/>
      <c r="AQ507" s="273"/>
      <c r="AR507" s="847"/>
      <c r="AS507" s="848"/>
      <c r="AT507" s="867"/>
      <c r="AU507" s="273"/>
      <c r="AV507" s="847"/>
      <c r="AW507" s="848"/>
      <c r="AX507" s="867"/>
      <c r="AY507" s="273"/>
      <c r="AZ507" s="847"/>
      <c r="BA507" s="848"/>
      <c r="BB507" s="866"/>
      <c r="BC507" s="273"/>
      <c r="BD507" s="847"/>
      <c r="BE507" s="848"/>
      <c r="BF507" s="838"/>
    </row>
    <row r="508" spans="1:58" s="57" customFormat="1" ht="54" hidden="1" customHeight="1" x14ac:dyDescent="0.25">
      <c r="A508" s="275" t="s">
        <v>1687</v>
      </c>
      <c r="B508" s="276">
        <v>273</v>
      </c>
      <c r="C508" s="253" t="s">
        <v>256</v>
      </c>
      <c r="D508" s="217" t="s">
        <v>257</v>
      </c>
      <c r="E508" s="276" t="s">
        <v>4083</v>
      </c>
      <c r="F508" s="277" t="s">
        <v>4084</v>
      </c>
      <c r="G508" s="277" t="s">
        <v>4085</v>
      </c>
      <c r="H508" s="218" t="s">
        <v>4086</v>
      </c>
      <c r="I508" s="277" t="s">
        <v>4087</v>
      </c>
      <c r="J508" s="278" t="s">
        <v>144</v>
      </c>
      <c r="K508" s="278" t="s">
        <v>144</v>
      </c>
      <c r="L508" s="718" t="s">
        <v>4088</v>
      </c>
      <c r="M508" s="253" t="s">
        <v>144</v>
      </c>
      <c r="N508" s="253" t="s">
        <v>144</v>
      </c>
      <c r="O508" s="253" t="s">
        <v>144</v>
      </c>
      <c r="P508" s="253" t="s">
        <v>144</v>
      </c>
      <c r="Q508" s="218" t="s">
        <v>144</v>
      </c>
      <c r="R508" s="218" t="s">
        <v>144</v>
      </c>
      <c r="S508" s="276" t="s">
        <v>147</v>
      </c>
      <c r="T508" s="221" t="s">
        <v>144</v>
      </c>
      <c r="U508" s="221" t="s">
        <v>144</v>
      </c>
      <c r="V508" s="253">
        <v>40</v>
      </c>
      <c r="W508" s="217" t="s">
        <v>144</v>
      </c>
      <c r="X508" s="221" t="s">
        <v>144</v>
      </c>
      <c r="Y508" s="221" t="s">
        <v>144</v>
      </c>
      <c r="Z508" s="221" t="s">
        <v>144</v>
      </c>
      <c r="AA508" s="253" t="s">
        <v>144</v>
      </c>
      <c r="AB508" s="217" t="s">
        <v>144</v>
      </c>
      <c r="AC508" s="253" t="s">
        <v>265</v>
      </c>
      <c r="AD508" s="253" t="s">
        <v>144</v>
      </c>
      <c r="AE508" s="253" t="s">
        <v>144</v>
      </c>
      <c r="AF508" s="254" t="s">
        <v>144</v>
      </c>
      <c r="AG508" s="838"/>
      <c r="AH508" s="280"/>
      <c r="AI508" s="281"/>
      <c r="AJ508" s="253"/>
      <c r="AK508" s="878"/>
      <c r="AL508" s="281"/>
      <c r="AM508" s="281"/>
      <c r="AN508" s="253"/>
      <c r="AO508" s="254"/>
      <c r="AP508" s="281"/>
      <c r="AQ508" s="281"/>
      <c r="AR508" s="253"/>
      <c r="AS508" s="254"/>
      <c r="AT508" s="281"/>
      <c r="AU508" s="281"/>
      <c r="AV508" s="253"/>
      <c r="AW508" s="254"/>
      <c r="AX508" s="281"/>
      <c r="AY508" s="281"/>
      <c r="AZ508" s="253"/>
      <c r="BA508" s="254"/>
      <c r="BB508" s="280"/>
      <c r="BC508" s="281"/>
      <c r="BD508" s="253"/>
      <c r="BE508" s="254"/>
      <c r="BF508" s="838"/>
    </row>
    <row r="509" spans="1:58" s="88" customFormat="1" ht="54" hidden="1" customHeight="1" x14ac:dyDescent="0.25">
      <c r="A509" s="267" t="s">
        <v>1687</v>
      </c>
      <c r="B509" s="268">
        <v>274</v>
      </c>
      <c r="C509" s="240" t="s">
        <v>4027</v>
      </c>
      <c r="D509" s="211" t="s">
        <v>4028</v>
      </c>
      <c r="E509" s="268" t="s">
        <v>4089</v>
      </c>
      <c r="F509" s="299" t="s">
        <v>4090</v>
      </c>
      <c r="G509" s="269" t="s">
        <v>4091</v>
      </c>
      <c r="H509" s="207" t="s">
        <v>4090</v>
      </c>
      <c r="I509" s="269" t="s">
        <v>4091</v>
      </c>
      <c r="J509" s="296" t="s">
        <v>140</v>
      </c>
      <c r="K509" s="297" t="s">
        <v>140</v>
      </c>
      <c r="L509" s="862" t="s">
        <v>4092</v>
      </c>
      <c r="M509" s="847" t="s">
        <v>973</v>
      </c>
      <c r="N509" s="211" t="s">
        <v>974</v>
      </c>
      <c r="O509" s="240" t="s">
        <v>617</v>
      </c>
      <c r="P509" s="240" t="s">
        <v>618</v>
      </c>
      <c r="Q509" s="845" t="s">
        <v>4093</v>
      </c>
      <c r="R509" s="208" t="s">
        <v>4094</v>
      </c>
      <c r="S509" s="864" t="s">
        <v>147</v>
      </c>
      <c r="T509" s="212" t="s">
        <v>144</v>
      </c>
      <c r="U509" s="213" t="s">
        <v>144</v>
      </c>
      <c r="V509" s="847">
        <v>2</v>
      </c>
      <c r="W509" s="415" t="s">
        <v>144</v>
      </c>
      <c r="X509" s="212">
        <v>41</v>
      </c>
      <c r="Y509" s="212" t="s">
        <v>144</v>
      </c>
      <c r="Z509" s="212" t="s">
        <v>29</v>
      </c>
      <c r="AA509" s="240" t="s">
        <v>4095</v>
      </c>
      <c r="AB509" s="206" t="s">
        <v>140</v>
      </c>
      <c r="AC509" s="847" t="s">
        <v>265</v>
      </c>
      <c r="AD509" s="847" t="s">
        <v>1690</v>
      </c>
      <c r="AE509" s="847" t="s">
        <v>144</v>
      </c>
      <c r="AF509" s="848" t="s">
        <v>144</v>
      </c>
      <c r="AG509" s="838"/>
      <c r="AH509" s="866" t="s">
        <v>4096</v>
      </c>
      <c r="AI509" s="273" t="s">
        <v>4097</v>
      </c>
      <c r="AJ509" s="847">
        <v>6</v>
      </c>
      <c r="AK509" s="878" t="s">
        <v>4098</v>
      </c>
      <c r="AL509" s="867" t="s">
        <v>4099</v>
      </c>
      <c r="AM509" s="273" t="s">
        <v>4100</v>
      </c>
      <c r="AN509" s="847">
        <v>7</v>
      </c>
      <c r="AO509" s="730" t="s">
        <v>4101</v>
      </c>
      <c r="AP509" s="867" t="s">
        <v>4102</v>
      </c>
      <c r="AQ509" s="273" t="s">
        <v>4103</v>
      </c>
      <c r="AR509" s="847">
        <v>6</v>
      </c>
      <c r="AS509" s="286" t="s">
        <v>4104</v>
      </c>
      <c r="AT509" s="867"/>
      <c r="AU509" s="273"/>
      <c r="AV509" s="847"/>
      <c r="AW509" s="848"/>
      <c r="AX509" s="867"/>
      <c r="AY509" s="273"/>
      <c r="AZ509" s="847"/>
      <c r="BA509" s="848"/>
      <c r="BB509" s="866"/>
      <c r="BC509" s="273"/>
      <c r="BD509" s="847"/>
      <c r="BE509" s="848"/>
      <c r="BF509" s="838"/>
    </row>
    <row r="510" spans="1:58" s="88" customFormat="1" ht="54" hidden="1" customHeight="1" x14ac:dyDescent="0.25">
      <c r="A510" s="267" t="s">
        <v>1687</v>
      </c>
      <c r="B510" s="268">
        <v>275</v>
      </c>
      <c r="C510" s="240" t="s">
        <v>4027</v>
      </c>
      <c r="D510" s="211" t="s">
        <v>4028</v>
      </c>
      <c r="E510" s="268" t="s">
        <v>4105</v>
      </c>
      <c r="F510" s="299" t="s">
        <v>4106</v>
      </c>
      <c r="G510" s="269" t="s">
        <v>4107</v>
      </c>
      <c r="H510" s="207" t="s">
        <v>4106</v>
      </c>
      <c r="I510" s="269" t="s">
        <v>4107</v>
      </c>
      <c r="J510" s="296" t="s">
        <v>140</v>
      </c>
      <c r="K510" s="297" t="s">
        <v>140</v>
      </c>
      <c r="L510" s="862" t="s">
        <v>4108</v>
      </c>
      <c r="M510" s="847" t="s">
        <v>973</v>
      </c>
      <c r="N510" s="211" t="s">
        <v>974</v>
      </c>
      <c r="O510" s="240" t="s">
        <v>539</v>
      </c>
      <c r="P510" s="240" t="s">
        <v>4109</v>
      </c>
      <c r="Q510" s="845" t="s">
        <v>4110</v>
      </c>
      <c r="R510" s="208" t="s">
        <v>4111</v>
      </c>
      <c r="S510" s="864" t="s">
        <v>147</v>
      </c>
      <c r="T510" s="212" t="s">
        <v>144</v>
      </c>
      <c r="U510" s="213" t="s">
        <v>144</v>
      </c>
      <c r="V510" s="847">
        <v>10</v>
      </c>
      <c r="W510" s="415" t="s">
        <v>144</v>
      </c>
      <c r="X510" s="212">
        <v>41</v>
      </c>
      <c r="Y510" s="212" t="s">
        <v>144</v>
      </c>
      <c r="Z510" s="241" t="s">
        <v>144</v>
      </c>
      <c r="AA510" s="437" t="s">
        <v>4050</v>
      </c>
      <c r="AB510" s="206" t="s">
        <v>140</v>
      </c>
      <c r="AC510" s="847" t="s">
        <v>265</v>
      </c>
      <c r="AD510" s="847" t="s">
        <v>1690</v>
      </c>
      <c r="AE510" s="847" t="s">
        <v>144</v>
      </c>
      <c r="AF510" s="848" t="s">
        <v>144</v>
      </c>
      <c r="AG510" s="838"/>
      <c r="AH510" s="866" t="s">
        <v>4112</v>
      </c>
      <c r="AI510" s="273" t="s">
        <v>4113</v>
      </c>
      <c r="AJ510" s="847">
        <v>6</v>
      </c>
      <c r="AK510" s="878" t="s">
        <v>4114</v>
      </c>
      <c r="AL510" s="867" t="s">
        <v>4115</v>
      </c>
      <c r="AM510" s="273" t="s">
        <v>4116</v>
      </c>
      <c r="AN510" s="847">
        <v>7</v>
      </c>
      <c r="AO510" s="187" t="s">
        <v>4117</v>
      </c>
      <c r="AP510" s="867"/>
      <c r="AQ510" s="273"/>
      <c r="AR510" s="847"/>
      <c r="AS510" s="848"/>
      <c r="AT510" s="867"/>
      <c r="AU510" s="273"/>
      <c r="AV510" s="847"/>
      <c r="AW510" s="848"/>
      <c r="AX510" s="867"/>
      <c r="AY510" s="273"/>
      <c r="AZ510" s="847"/>
      <c r="BA510" s="848"/>
      <c r="BB510" s="866"/>
      <c r="BC510" s="273"/>
      <c r="BD510" s="847"/>
      <c r="BE510" s="848"/>
      <c r="BF510" s="838"/>
    </row>
    <row r="511" spans="1:58" s="88" customFormat="1" ht="54" hidden="1" customHeight="1" x14ac:dyDescent="0.25">
      <c r="A511" s="267" t="s">
        <v>1687</v>
      </c>
      <c r="B511" s="268">
        <v>276</v>
      </c>
      <c r="C511" s="240" t="s">
        <v>532</v>
      </c>
      <c r="D511" s="211" t="s">
        <v>533</v>
      </c>
      <c r="E511" s="268" t="s">
        <v>4118</v>
      </c>
      <c r="F511" s="299" t="s">
        <v>4119</v>
      </c>
      <c r="G511" s="269" t="s">
        <v>4120</v>
      </c>
      <c r="H511" s="207" t="s">
        <v>4121</v>
      </c>
      <c r="I511" s="269" t="s">
        <v>4122</v>
      </c>
      <c r="J511" s="296" t="s">
        <v>140</v>
      </c>
      <c r="K511" s="297" t="s">
        <v>140</v>
      </c>
      <c r="L511" s="862" t="s">
        <v>4123</v>
      </c>
      <c r="M511" s="847" t="s">
        <v>973</v>
      </c>
      <c r="N511" s="211" t="s">
        <v>974</v>
      </c>
      <c r="O511" s="240" t="s">
        <v>539</v>
      </c>
      <c r="P511" s="240" t="s">
        <v>540</v>
      </c>
      <c r="Q511" s="207" t="s">
        <v>144</v>
      </c>
      <c r="R511" s="208" t="s">
        <v>144</v>
      </c>
      <c r="S511" s="864" t="s">
        <v>147</v>
      </c>
      <c r="T511" s="212" t="s">
        <v>144</v>
      </c>
      <c r="U511" s="213" t="s">
        <v>144</v>
      </c>
      <c r="V511" s="847">
        <v>2</v>
      </c>
      <c r="W511" s="415" t="s">
        <v>144</v>
      </c>
      <c r="X511" s="212">
        <v>41</v>
      </c>
      <c r="Y511" s="212" t="s">
        <v>144</v>
      </c>
      <c r="Z511" s="212" t="s">
        <v>144</v>
      </c>
      <c r="AA511" s="240" t="s">
        <v>2588</v>
      </c>
      <c r="AB511" s="206" t="s">
        <v>140</v>
      </c>
      <c r="AC511" s="847" t="s">
        <v>265</v>
      </c>
      <c r="AD511" s="847" t="s">
        <v>1690</v>
      </c>
      <c r="AE511" s="847" t="s">
        <v>144</v>
      </c>
      <c r="AF511" s="848" t="s">
        <v>144</v>
      </c>
      <c r="AG511" s="838"/>
      <c r="AH511" s="866" t="s">
        <v>4124</v>
      </c>
      <c r="AI511" s="273" t="s">
        <v>4125</v>
      </c>
      <c r="AJ511" s="847">
        <v>6</v>
      </c>
      <c r="AK511" s="878" t="s">
        <v>4126</v>
      </c>
      <c r="AL511" s="867" t="s">
        <v>294</v>
      </c>
      <c r="AM511" s="273" t="s">
        <v>295</v>
      </c>
      <c r="AN511" s="847">
        <v>7</v>
      </c>
      <c r="AO511" s="187" t="s">
        <v>966</v>
      </c>
      <c r="AP511" s="867"/>
      <c r="AQ511" s="273"/>
      <c r="AR511" s="847"/>
      <c r="AS511" s="848"/>
      <c r="AT511" s="867"/>
      <c r="AU511" s="273"/>
      <c r="AV511" s="847"/>
      <c r="AW511" s="848"/>
      <c r="AX511" s="867"/>
      <c r="AY511" s="273"/>
      <c r="AZ511" s="847"/>
      <c r="BA511" s="848"/>
      <c r="BB511" s="866"/>
      <c r="BC511" s="273"/>
      <c r="BD511" s="847"/>
      <c r="BE511" s="848"/>
      <c r="BF511" s="838"/>
    </row>
    <row r="512" spans="1:58" s="88" customFormat="1" ht="54" hidden="1" customHeight="1" x14ac:dyDescent="0.25">
      <c r="A512" s="267" t="s">
        <v>1687</v>
      </c>
      <c r="B512" s="268">
        <v>277</v>
      </c>
      <c r="C512" s="240" t="s">
        <v>532</v>
      </c>
      <c r="D512" s="211" t="s">
        <v>533</v>
      </c>
      <c r="E512" s="268" t="s">
        <v>4127</v>
      </c>
      <c r="F512" s="299" t="s">
        <v>4128</v>
      </c>
      <c r="G512" s="269" t="s">
        <v>4129</v>
      </c>
      <c r="H512" s="207" t="s">
        <v>4130</v>
      </c>
      <c r="I512" s="269" t="s">
        <v>4131</v>
      </c>
      <c r="J512" s="296" t="s">
        <v>140</v>
      </c>
      <c r="K512" s="297" t="s">
        <v>140</v>
      </c>
      <c r="L512" s="862" t="s">
        <v>4132</v>
      </c>
      <c r="M512" s="903" t="s">
        <v>973</v>
      </c>
      <c r="N512" s="334" t="s">
        <v>974</v>
      </c>
      <c r="O512" s="240" t="s">
        <v>3211</v>
      </c>
      <c r="P512" s="240" t="s">
        <v>3212</v>
      </c>
      <c r="Q512" s="335" t="s">
        <v>4133</v>
      </c>
      <c r="R512" s="336" t="s">
        <v>4134</v>
      </c>
      <c r="S512" s="864" t="s">
        <v>147</v>
      </c>
      <c r="T512" s="212" t="s">
        <v>144</v>
      </c>
      <c r="U512" s="213" t="s">
        <v>144</v>
      </c>
      <c r="V512" s="847">
        <v>2</v>
      </c>
      <c r="W512" s="415" t="s">
        <v>144</v>
      </c>
      <c r="X512" s="212">
        <v>41</v>
      </c>
      <c r="Y512" s="212" t="s">
        <v>144</v>
      </c>
      <c r="Z512" s="252" t="s">
        <v>144</v>
      </c>
      <c r="AA512" s="240" t="s">
        <v>2588</v>
      </c>
      <c r="AB512" s="206" t="s">
        <v>140</v>
      </c>
      <c r="AC512" s="847" t="s">
        <v>265</v>
      </c>
      <c r="AD512" s="847" t="s">
        <v>1690</v>
      </c>
      <c r="AE512" s="847" t="s">
        <v>144</v>
      </c>
      <c r="AF512" s="848" t="s">
        <v>144</v>
      </c>
      <c r="AG512" s="838"/>
      <c r="AH512" s="866" t="s">
        <v>4135</v>
      </c>
      <c r="AI512" s="273" t="s">
        <v>4136</v>
      </c>
      <c r="AJ512" s="847">
        <v>6</v>
      </c>
      <c r="AK512" s="878" t="s">
        <v>4137</v>
      </c>
      <c r="AL512" s="867" t="s">
        <v>294</v>
      </c>
      <c r="AM512" s="273" t="s">
        <v>295</v>
      </c>
      <c r="AN512" s="847">
        <v>7</v>
      </c>
      <c r="AO512" s="187" t="s">
        <v>966</v>
      </c>
      <c r="AP512" s="867"/>
      <c r="AQ512" s="273"/>
      <c r="AR512" s="847"/>
      <c r="AS512" s="848"/>
      <c r="AT512" s="867"/>
      <c r="AU512" s="273"/>
      <c r="AV512" s="847"/>
      <c r="AW512" s="848"/>
      <c r="AX512" s="867"/>
      <c r="AY512" s="273"/>
      <c r="AZ512" s="847"/>
      <c r="BA512" s="848"/>
      <c r="BB512" s="866"/>
      <c r="BC512" s="273"/>
      <c r="BD512" s="847"/>
      <c r="BE512" s="848"/>
      <c r="BF512" s="838"/>
    </row>
    <row r="513" spans="1:58" s="88" customFormat="1" ht="54" hidden="1" customHeight="1" x14ac:dyDescent="0.25">
      <c r="A513" s="267" t="s">
        <v>1687</v>
      </c>
      <c r="B513" s="268">
        <v>278</v>
      </c>
      <c r="C513" s="240" t="s">
        <v>532</v>
      </c>
      <c r="D513" s="211" t="s">
        <v>533</v>
      </c>
      <c r="E513" s="268" t="s">
        <v>4138</v>
      </c>
      <c r="F513" s="299" t="s">
        <v>4139</v>
      </c>
      <c r="G513" s="269" t="s">
        <v>4140</v>
      </c>
      <c r="H513" s="207" t="s">
        <v>4141</v>
      </c>
      <c r="I513" s="269" t="s">
        <v>4142</v>
      </c>
      <c r="J513" s="296" t="s">
        <v>140</v>
      </c>
      <c r="K513" s="297" t="s">
        <v>140</v>
      </c>
      <c r="L513" s="862" t="s">
        <v>4143</v>
      </c>
      <c r="M513" s="319" t="s">
        <v>193</v>
      </c>
      <c r="N513" s="297" t="s">
        <v>194</v>
      </c>
      <c r="O513" s="337" t="s">
        <v>671</v>
      </c>
      <c r="P513" s="240" t="s">
        <v>672</v>
      </c>
      <c r="Q513" s="845" t="s">
        <v>4144</v>
      </c>
      <c r="R513" s="208" t="s">
        <v>4145</v>
      </c>
      <c r="S513" s="864" t="s">
        <v>147</v>
      </c>
      <c r="T513" s="212" t="s">
        <v>144</v>
      </c>
      <c r="U513" s="213" t="s">
        <v>144</v>
      </c>
      <c r="V513" s="847">
        <v>46</v>
      </c>
      <c r="W513" s="415" t="s">
        <v>144</v>
      </c>
      <c r="X513" s="212">
        <v>41</v>
      </c>
      <c r="Y513" s="212" t="s">
        <v>144</v>
      </c>
      <c r="Z513" s="252" t="s">
        <v>144</v>
      </c>
      <c r="AA513" s="240" t="s">
        <v>148</v>
      </c>
      <c r="AB513" s="206" t="s">
        <v>140</v>
      </c>
      <c r="AC513" s="847" t="s">
        <v>265</v>
      </c>
      <c r="AD513" s="847" t="s">
        <v>1690</v>
      </c>
      <c r="AE513" s="847" t="s">
        <v>144</v>
      </c>
      <c r="AF513" s="848" t="s">
        <v>144</v>
      </c>
      <c r="AG513" s="838"/>
      <c r="AH513" s="866"/>
      <c r="AI513" s="273"/>
      <c r="AJ513" s="847"/>
      <c r="AK513" s="878"/>
      <c r="AL513" s="867" t="s">
        <v>294</v>
      </c>
      <c r="AM513" s="273" t="s">
        <v>295</v>
      </c>
      <c r="AN513" s="847">
        <v>7</v>
      </c>
      <c r="AO513" s="187" t="s">
        <v>966</v>
      </c>
      <c r="AP513" s="867"/>
      <c r="AQ513" s="273"/>
      <c r="AR513" s="847"/>
      <c r="AS513" s="848"/>
      <c r="AT513" s="867" t="s">
        <v>4146</v>
      </c>
      <c r="AU513" s="273" t="s">
        <v>4147</v>
      </c>
      <c r="AV513" s="847">
        <v>6</v>
      </c>
      <c r="AW513" s="286" t="s">
        <v>4148</v>
      </c>
      <c r="AX513" s="867"/>
      <c r="AY513" s="273"/>
      <c r="AZ513" s="847"/>
      <c r="BA513" s="848"/>
      <c r="BB513" s="866"/>
      <c r="BC513" s="273"/>
      <c r="BD513" s="847"/>
      <c r="BE513" s="848"/>
      <c r="BF513" s="838"/>
    </row>
    <row r="514" spans="1:58" s="88" customFormat="1" ht="54" hidden="1" customHeight="1" x14ac:dyDescent="0.25">
      <c r="A514" s="267" t="s">
        <v>1687</v>
      </c>
      <c r="B514" s="268">
        <v>279</v>
      </c>
      <c r="C514" s="240" t="s">
        <v>532</v>
      </c>
      <c r="D514" s="211" t="s">
        <v>533</v>
      </c>
      <c r="E514" s="268" t="s">
        <v>4149</v>
      </c>
      <c r="F514" s="299" t="s">
        <v>4150</v>
      </c>
      <c r="G514" s="269" t="s">
        <v>4151</v>
      </c>
      <c r="H514" s="207" t="s">
        <v>4152</v>
      </c>
      <c r="I514" s="269" t="s">
        <v>4153</v>
      </c>
      <c r="J514" s="296" t="s">
        <v>140</v>
      </c>
      <c r="K514" s="297" t="s">
        <v>140</v>
      </c>
      <c r="L514" s="862" t="s">
        <v>4154</v>
      </c>
      <c r="M514" s="852" t="s">
        <v>193</v>
      </c>
      <c r="N514" s="297" t="s">
        <v>194</v>
      </c>
      <c r="O514" s="240" t="s">
        <v>640</v>
      </c>
      <c r="P514" s="240" t="s">
        <v>641</v>
      </c>
      <c r="Q514" s="845" t="s">
        <v>4155</v>
      </c>
      <c r="R514" s="208" t="s">
        <v>4156</v>
      </c>
      <c r="S514" s="864" t="s">
        <v>147</v>
      </c>
      <c r="T514" s="212" t="s">
        <v>144</v>
      </c>
      <c r="U514" s="213" t="s">
        <v>144</v>
      </c>
      <c r="V514" s="847">
        <v>3</v>
      </c>
      <c r="W514" s="415" t="s">
        <v>144</v>
      </c>
      <c r="X514" s="212">
        <v>41</v>
      </c>
      <c r="Y514" s="212" t="s">
        <v>144</v>
      </c>
      <c r="Z514" s="252" t="s">
        <v>144</v>
      </c>
      <c r="AA514" s="240" t="s">
        <v>148</v>
      </c>
      <c r="AB514" s="206" t="s">
        <v>140</v>
      </c>
      <c r="AC514" s="847" t="s">
        <v>265</v>
      </c>
      <c r="AD514" s="847" t="s">
        <v>1690</v>
      </c>
      <c r="AE514" s="847" t="s">
        <v>144</v>
      </c>
      <c r="AF514" s="848" t="s">
        <v>144</v>
      </c>
      <c r="AG514" s="838"/>
      <c r="AH514" s="866"/>
      <c r="AI514" s="273"/>
      <c r="AJ514" s="847"/>
      <c r="AK514" s="878"/>
      <c r="AL514" s="867" t="s">
        <v>294</v>
      </c>
      <c r="AM514" s="273" t="s">
        <v>295</v>
      </c>
      <c r="AN514" s="847">
        <v>7</v>
      </c>
      <c r="AO514" s="187" t="s">
        <v>966</v>
      </c>
      <c r="AP514" s="867"/>
      <c r="AQ514" s="273"/>
      <c r="AR514" s="847"/>
      <c r="AS514" s="848"/>
      <c r="AT514" s="867"/>
      <c r="AU514" s="273"/>
      <c r="AV514" s="847"/>
      <c r="AW514" s="848"/>
      <c r="AX514" s="867"/>
      <c r="AY514" s="273"/>
      <c r="AZ514" s="847"/>
      <c r="BA514" s="848"/>
      <c r="BB514" s="866"/>
      <c r="BC514" s="273"/>
      <c r="BD514" s="847"/>
      <c r="BE514" s="848"/>
      <c r="BF514" s="838"/>
    </row>
    <row r="515" spans="1:58" s="88" customFormat="1" ht="54" hidden="1" customHeight="1" x14ac:dyDescent="0.25">
      <c r="A515" s="267" t="s">
        <v>1687</v>
      </c>
      <c r="B515" s="268">
        <v>280</v>
      </c>
      <c r="C515" s="240" t="s">
        <v>4027</v>
      </c>
      <c r="D515" s="211" t="s">
        <v>4028</v>
      </c>
      <c r="E515" s="268" t="s">
        <v>4157</v>
      </c>
      <c r="F515" s="861" t="s">
        <v>4158</v>
      </c>
      <c r="G515" s="269" t="s">
        <v>4159</v>
      </c>
      <c r="H515" s="861" t="s">
        <v>4158</v>
      </c>
      <c r="I515" s="269" t="s">
        <v>4159</v>
      </c>
      <c r="J515" s="296" t="s">
        <v>140</v>
      </c>
      <c r="K515" s="297" t="s">
        <v>140</v>
      </c>
      <c r="L515" s="862" t="s">
        <v>4160</v>
      </c>
      <c r="M515" s="847" t="s">
        <v>193</v>
      </c>
      <c r="N515" s="297" t="s">
        <v>194</v>
      </c>
      <c r="O515" s="240" t="s">
        <v>4161</v>
      </c>
      <c r="P515" s="240" t="s">
        <v>4162</v>
      </c>
      <c r="Q515" s="845" t="s">
        <v>4163</v>
      </c>
      <c r="R515" s="208" t="s">
        <v>4164</v>
      </c>
      <c r="S515" s="864" t="s">
        <v>147</v>
      </c>
      <c r="T515" s="212" t="s">
        <v>144</v>
      </c>
      <c r="U515" s="213" t="s">
        <v>144</v>
      </c>
      <c r="V515" s="847">
        <v>2</v>
      </c>
      <c r="W515" s="415" t="s">
        <v>144</v>
      </c>
      <c r="X515" s="212">
        <v>41</v>
      </c>
      <c r="Y515" s="212" t="s">
        <v>144</v>
      </c>
      <c r="Z515" s="252" t="s">
        <v>144</v>
      </c>
      <c r="AA515" s="240" t="s">
        <v>4165</v>
      </c>
      <c r="AB515" s="206" t="s">
        <v>140</v>
      </c>
      <c r="AC515" s="847" t="s">
        <v>265</v>
      </c>
      <c r="AD515" s="847" t="s">
        <v>4166</v>
      </c>
      <c r="AE515" s="847" t="s">
        <v>144</v>
      </c>
      <c r="AF515" s="848" t="s">
        <v>144</v>
      </c>
      <c r="AG515" s="838"/>
      <c r="AH515" s="866"/>
      <c r="AI515" s="273"/>
      <c r="AJ515" s="847"/>
      <c r="AK515" s="878"/>
      <c r="AL515" s="867" t="s">
        <v>294</v>
      </c>
      <c r="AM515" s="273" t="s">
        <v>295</v>
      </c>
      <c r="AN515" s="847">
        <v>7</v>
      </c>
      <c r="AO515" s="187" t="s">
        <v>966</v>
      </c>
      <c r="AP515" s="867"/>
      <c r="AQ515" s="273"/>
      <c r="AR515" s="847"/>
      <c r="AS515" s="848"/>
      <c r="AT515" s="867" t="s">
        <v>4167</v>
      </c>
      <c r="AU515" s="273" t="s">
        <v>4168</v>
      </c>
      <c r="AV515" s="847">
        <v>6</v>
      </c>
      <c r="AW515" s="848" t="s">
        <v>4169</v>
      </c>
      <c r="AX515" s="867"/>
      <c r="AY515" s="273"/>
      <c r="AZ515" s="847"/>
      <c r="BA515" s="848"/>
      <c r="BB515" s="866"/>
      <c r="BC515" s="273"/>
      <c r="BD515" s="847"/>
      <c r="BE515" s="848"/>
      <c r="BF515" s="838"/>
    </row>
    <row r="516" spans="1:58" s="88" customFormat="1" ht="54" hidden="1" customHeight="1" x14ac:dyDescent="0.25">
      <c r="A516" s="267" t="s">
        <v>1687</v>
      </c>
      <c r="B516" s="268">
        <v>281</v>
      </c>
      <c r="C516" s="240" t="s">
        <v>4027</v>
      </c>
      <c r="D516" s="211" t="s">
        <v>4028</v>
      </c>
      <c r="E516" s="268" t="s">
        <v>4170</v>
      </c>
      <c r="F516" s="861" t="s">
        <v>4171</v>
      </c>
      <c r="G516" s="269" t="s">
        <v>4172</v>
      </c>
      <c r="H516" s="845" t="s">
        <v>4173</v>
      </c>
      <c r="I516" s="269" t="s">
        <v>4174</v>
      </c>
      <c r="J516" s="240" t="s">
        <v>140</v>
      </c>
      <c r="K516" s="270" t="s">
        <v>140</v>
      </c>
      <c r="L516" s="862" t="s">
        <v>1530</v>
      </c>
      <c r="M516" s="847" t="s">
        <v>142</v>
      </c>
      <c r="N516" s="297" t="s">
        <v>143</v>
      </c>
      <c r="O516" s="240" t="s">
        <v>144</v>
      </c>
      <c r="P516" s="240" t="s">
        <v>144</v>
      </c>
      <c r="Q516" s="351" t="s">
        <v>144</v>
      </c>
      <c r="R516" s="318" t="s">
        <v>144</v>
      </c>
      <c r="S516" s="864" t="s">
        <v>746</v>
      </c>
      <c r="T516" s="212" t="s">
        <v>1104</v>
      </c>
      <c r="U516" s="213" t="s">
        <v>1105</v>
      </c>
      <c r="V516" s="847">
        <v>19</v>
      </c>
      <c r="W516" s="415" t="s">
        <v>144</v>
      </c>
      <c r="X516" s="212">
        <v>41</v>
      </c>
      <c r="Y516" s="212" t="s">
        <v>144</v>
      </c>
      <c r="Z516" s="252" t="s">
        <v>144</v>
      </c>
      <c r="AA516" s="240" t="s">
        <v>4175</v>
      </c>
      <c r="AB516" s="206" t="s">
        <v>140</v>
      </c>
      <c r="AC516" s="847" t="s">
        <v>265</v>
      </c>
      <c r="AD516" s="847" t="s">
        <v>1690</v>
      </c>
      <c r="AE516" s="847" t="s">
        <v>144</v>
      </c>
      <c r="AF516" s="848" t="s">
        <v>144</v>
      </c>
      <c r="AG516" s="838"/>
      <c r="AH516" s="866" t="s">
        <v>266</v>
      </c>
      <c r="AI516" s="273" t="s">
        <v>267</v>
      </c>
      <c r="AJ516" s="847">
        <v>7</v>
      </c>
      <c r="AK516" s="878" t="s">
        <v>1046</v>
      </c>
      <c r="AL516" s="867"/>
      <c r="AM516" s="273"/>
      <c r="AN516" s="847"/>
      <c r="AO516" s="848"/>
      <c r="AP516" s="875" t="s">
        <v>1107</v>
      </c>
      <c r="AQ516" s="301" t="s">
        <v>1108</v>
      </c>
      <c r="AR516" s="847">
        <v>7</v>
      </c>
      <c r="AS516" s="286" t="s">
        <v>1109</v>
      </c>
      <c r="AT516" s="867"/>
      <c r="AU516" s="273"/>
      <c r="AV516" s="847"/>
      <c r="AW516" s="848"/>
      <c r="AX516" s="867"/>
      <c r="AY516" s="273"/>
      <c r="AZ516" s="847"/>
      <c r="BA516" s="848"/>
      <c r="BB516" s="866"/>
      <c r="BC516" s="273"/>
      <c r="BD516" s="847"/>
      <c r="BE516" s="848"/>
      <c r="BF516" s="838"/>
    </row>
    <row r="517" spans="1:58" s="88" customFormat="1" ht="54" hidden="1" customHeight="1" x14ac:dyDescent="0.25">
      <c r="A517" s="267" t="s">
        <v>1687</v>
      </c>
      <c r="B517" s="268">
        <v>282</v>
      </c>
      <c r="C517" s="240" t="s">
        <v>4027</v>
      </c>
      <c r="D517" s="211" t="s">
        <v>4028</v>
      </c>
      <c r="E517" s="268" t="s">
        <v>4176</v>
      </c>
      <c r="F517" s="861" t="s">
        <v>4177</v>
      </c>
      <c r="G517" s="269" t="s">
        <v>4178</v>
      </c>
      <c r="H517" s="845" t="s">
        <v>4179</v>
      </c>
      <c r="I517" s="269" t="s">
        <v>4180</v>
      </c>
      <c r="J517" s="296" t="s">
        <v>140</v>
      </c>
      <c r="K517" s="297" t="s">
        <v>140</v>
      </c>
      <c r="L517" s="862" t="s">
        <v>4181</v>
      </c>
      <c r="M517" s="847" t="s">
        <v>973</v>
      </c>
      <c r="N517" s="297" t="s">
        <v>974</v>
      </c>
      <c r="O517" s="240" t="s">
        <v>814</v>
      </c>
      <c r="P517" s="240" t="s">
        <v>815</v>
      </c>
      <c r="Q517" s="845" t="s">
        <v>144</v>
      </c>
      <c r="R517" s="208" t="s">
        <v>144</v>
      </c>
      <c r="S517" s="864" t="s">
        <v>147</v>
      </c>
      <c r="T517" s="212" t="s">
        <v>144</v>
      </c>
      <c r="U517" s="213" t="s">
        <v>144</v>
      </c>
      <c r="V517" s="847">
        <v>3</v>
      </c>
      <c r="W517" s="415" t="s">
        <v>144</v>
      </c>
      <c r="X517" s="212">
        <v>41</v>
      </c>
      <c r="Y517" s="212" t="s">
        <v>144</v>
      </c>
      <c r="Z517" s="212" t="s">
        <v>144</v>
      </c>
      <c r="AA517" s="240" t="s">
        <v>4175</v>
      </c>
      <c r="AB517" s="206" t="s">
        <v>140</v>
      </c>
      <c r="AC517" s="847" t="s">
        <v>265</v>
      </c>
      <c r="AD517" s="847" t="s">
        <v>1690</v>
      </c>
      <c r="AE517" s="847" t="s">
        <v>144</v>
      </c>
      <c r="AF517" s="848" t="s">
        <v>144</v>
      </c>
      <c r="AG517" s="838"/>
      <c r="AH517" s="866" t="s">
        <v>4182</v>
      </c>
      <c r="AI517" s="273" t="s">
        <v>4183</v>
      </c>
      <c r="AJ517" s="847">
        <v>7</v>
      </c>
      <c r="AK517" s="878" t="s">
        <v>1280</v>
      </c>
      <c r="AL517" s="867" t="s">
        <v>294</v>
      </c>
      <c r="AM517" s="273" t="s">
        <v>295</v>
      </c>
      <c r="AN517" s="847">
        <v>7</v>
      </c>
      <c r="AO517" s="187" t="s">
        <v>966</v>
      </c>
      <c r="AP517" s="867"/>
      <c r="AQ517" s="273"/>
      <c r="AR517" s="847"/>
      <c r="AS517" s="848"/>
      <c r="AT517" s="867"/>
      <c r="AU517" s="273"/>
      <c r="AV517" s="847"/>
      <c r="AW517" s="848"/>
      <c r="AX517" s="867"/>
      <c r="AY517" s="273"/>
      <c r="AZ517" s="847"/>
      <c r="BA517" s="848"/>
      <c r="BB517" s="866"/>
      <c r="BC517" s="273"/>
      <c r="BD517" s="847"/>
      <c r="BE517" s="848"/>
      <c r="BF517" s="838"/>
    </row>
    <row r="518" spans="1:58" s="88" customFormat="1" ht="54" hidden="1" customHeight="1" x14ac:dyDescent="0.25">
      <c r="A518" s="267" t="s">
        <v>1687</v>
      </c>
      <c r="B518" s="268">
        <v>283</v>
      </c>
      <c r="C518" s="240" t="s">
        <v>4027</v>
      </c>
      <c r="D518" s="211" t="s">
        <v>4028</v>
      </c>
      <c r="E518" s="268" t="s">
        <v>4184</v>
      </c>
      <c r="F518" s="299" t="s">
        <v>4185</v>
      </c>
      <c r="G518" s="269" t="s">
        <v>4186</v>
      </c>
      <c r="H518" s="845" t="s">
        <v>4187</v>
      </c>
      <c r="I518" s="269" t="s">
        <v>4188</v>
      </c>
      <c r="J518" s="296" t="s">
        <v>140</v>
      </c>
      <c r="K518" s="297" t="s">
        <v>140</v>
      </c>
      <c r="L518" s="862" t="s">
        <v>4189</v>
      </c>
      <c r="M518" s="206" t="s">
        <v>973</v>
      </c>
      <c r="N518" s="297" t="s">
        <v>974</v>
      </c>
      <c r="O518" s="240" t="s">
        <v>4190</v>
      </c>
      <c r="P518" s="240" t="s">
        <v>4191</v>
      </c>
      <c r="Q518" s="845" t="s">
        <v>144</v>
      </c>
      <c r="R518" s="208" t="s">
        <v>144</v>
      </c>
      <c r="S518" s="864" t="s">
        <v>147</v>
      </c>
      <c r="T518" s="212" t="s">
        <v>144</v>
      </c>
      <c r="U518" s="213" t="s">
        <v>144</v>
      </c>
      <c r="V518" s="847">
        <v>1</v>
      </c>
      <c r="W518" s="415" t="s">
        <v>144</v>
      </c>
      <c r="X518" s="212">
        <v>41</v>
      </c>
      <c r="Y518" s="212" t="s">
        <v>144</v>
      </c>
      <c r="Z518" s="241" t="s">
        <v>25</v>
      </c>
      <c r="AA518" s="407" t="s">
        <v>4192</v>
      </c>
      <c r="AB518" s="206" t="s">
        <v>140</v>
      </c>
      <c r="AC518" s="847" t="s">
        <v>265</v>
      </c>
      <c r="AD518" s="847" t="s">
        <v>1690</v>
      </c>
      <c r="AE518" s="847" t="s">
        <v>144</v>
      </c>
      <c r="AF518" s="848" t="s">
        <v>144</v>
      </c>
      <c r="AG518" s="838"/>
      <c r="AH518" s="866" t="s">
        <v>4052</v>
      </c>
      <c r="AI518" s="273" t="s">
        <v>4053</v>
      </c>
      <c r="AJ518" s="847">
        <v>7</v>
      </c>
      <c r="AK518" s="878" t="s">
        <v>4054</v>
      </c>
      <c r="AL518" s="875" t="s">
        <v>294</v>
      </c>
      <c r="AM518" s="301" t="s">
        <v>295</v>
      </c>
      <c r="AN518" s="847">
        <v>7</v>
      </c>
      <c r="AO518" s="187" t="s">
        <v>966</v>
      </c>
      <c r="AP518" s="867"/>
      <c r="AQ518" s="273"/>
      <c r="AR518" s="847"/>
      <c r="AS518" s="848"/>
      <c r="AT518" s="867"/>
      <c r="AU518" s="273"/>
      <c r="AV518" s="847"/>
      <c r="AW518" s="848"/>
      <c r="AX518" s="901" t="s">
        <v>4193</v>
      </c>
      <c r="AY518" s="318" t="s">
        <v>4194</v>
      </c>
      <c r="AZ518" s="902">
        <v>6</v>
      </c>
      <c r="BA518" s="848" t="s">
        <v>4195</v>
      </c>
      <c r="BB518" s="866"/>
      <c r="BC518" s="273"/>
      <c r="BD518" s="847"/>
      <c r="BE518" s="848"/>
      <c r="BF518" s="838"/>
    </row>
    <row r="519" spans="1:58" s="88" customFormat="1" ht="54" hidden="1" customHeight="1" x14ac:dyDescent="0.25">
      <c r="A519" s="267" t="s">
        <v>1687</v>
      </c>
      <c r="B519" s="268">
        <v>284</v>
      </c>
      <c r="C519" s="240" t="s">
        <v>2170</v>
      </c>
      <c r="D519" s="211" t="s">
        <v>2171</v>
      </c>
      <c r="E519" s="268" t="s">
        <v>4196</v>
      </c>
      <c r="F519" s="861" t="s">
        <v>4197</v>
      </c>
      <c r="G519" s="269" t="s">
        <v>4198</v>
      </c>
      <c r="H519" s="861" t="s">
        <v>4199</v>
      </c>
      <c r="I519" s="269" t="s">
        <v>4200</v>
      </c>
      <c r="J519" s="296" t="s">
        <v>140</v>
      </c>
      <c r="K519" s="297" t="s">
        <v>140</v>
      </c>
      <c r="L519" s="862" t="s">
        <v>4201</v>
      </c>
      <c r="M519" s="847" t="s">
        <v>973</v>
      </c>
      <c r="N519" s="297" t="s">
        <v>974</v>
      </c>
      <c r="O519" s="240" t="s">
        <v>144</v>
      </c>
      <c r="P519" s="240" t="s">
        <v>144</v>
      </c>
      <c r="Q519" s="845" t="s">
        <v>4202</v>
      </c>
      <c r="R519" s="208" t="s">
        <v>4203</v>
      </c>
      <c r="S519" s="864" t="s">
        <v>746</v>
      </c>
      <c r="T519" s="212" t="s">
        <v>1307</v>
      </c>
      <c r="U519" s="213" t="s">
        <v>1308</v>
      </c>
      <c r="V519" s="847">
        <v>10</v>
      </c>
      <c r="W519" s="415" t="s">
        <v>144</v>
      </c>
      <c r="X519" s="212">
        <v>41</v>
      </c>
      <c r="Y519" s="212" t="s">
        <v>144</v>
      </c>
      <c r="Z519" s="241" t="s">
        <v>29</v>
      </c>
      <c r="AA519" s="240" t="s">
        <v>4204</v>
      </c>
      <c r="AB519" s="206" t="s">
        <v>140</v>
      </c>
      <c r="AC519" s="847" t="s">
        <v>265</v>
      </c>
      <c r="AD519" s="847" t="s">
        <v>4205</v>
      </c>
      <c r="AE519" s="847" t="s">
        <v>144</v>
      </c>
      <c r="AF519" s="848" t="s">
        <v>144</v>
      </c>
      <c r="AG519" s="838"/>
      <c r="AH519" s="885" t="s">
        <v>4206</v>
      </c>
      <c r="AI519" s="406" t="s">
        <v>4207</v>
      </c>
      <c r="AJ519" s="872">
        <v>6</v>
      </c>
      <c r="AK519" s="730" t="s">
        <v>4208</v>
      </c>
      <c r="AL519" s="867"/>
      <c r="AM519" s="273"/>
      <c r="AN519" s="847"/>
      <c r="AO519" s="848"/>
      <c r="AP519" s="867"/>
      <c r="AQ519" s="273"/>
      <c r="AR519" s="847"/>
      <c r="AS519" s="848"/>
      <c r="AT519" s="867"/>
      <c r="AU519" s="273"/>
      <c r="AV519" s="847"/>
      <c r="AW519" s="848"/>
      <c r="AX519" s="867"/>
      <c r="AY519" s="273"/>
      <c r="AZ519" s="847"/>
      <c r="BA519" s="848"/>
      <c r="BB519" s="866"/>
      <c r="BC519" s="273"/>
      <c r="BD519" s="847"/>
      <c r="BE519" s="848"/>
      <c r="BF519" s="838"/>
    </row>
    <row r="520" spans="1:58" s="88" customFormat="1" ht="54" hidden="1" customHeight="1" x14ac:dyDescent="0.25">
      <c r="A520" s="267" t="s">
        <v>1687</v>
      </c>
      <c r="B520" s="268">
        <v>285</v>
      </c>
      <c r="C520" s="240" t="s">
        <v>2170</v>
      </c>
      <c r="D520" s="211" t="s">
        <v>2171</v>
      </c>
      <c r="E520" s="268" t="s">
        <v>4209</v>
      </c>
      <c r="F520" s="861" t="s">
        <v>4210</v>
      </c>
      <c r="G520" s="269" t="s">
        <v>4211</v>
      </c>
      <c r="H520" s="249" t="s">
        <v>4212</v>
      </c>
      <c r="I520" s="135" t="s">
        <v>4213</v>
      </c>
      <c r="J520" s="296" t="s">
        <v>140</v>
      </c>
      <c r="K520" s="297" t="s">
        <v>140</v>
      </c>
      <c r="L520" s="862" t="s">
        <v>4214</v>
      </c>
      <c r="M520" s="206" t="s">
        <v>973</v>
      </c>
      <c r="N520" s="297" t="s">
        <v>974</v>
      </c>
      <c r="O520" s="240" t="s">
        <v>3676</v>
      </c>
      <c r="P520" s="240" t="s">
        <v>3677</v>
      </c>
      <c r="Q520" s="845" t="s">
        <v>144</v>
      </c>
      <c r="R520" s="208" t="s">
        <v>144</v>
      </c>
      <c r="S520" s="864" t="s">
        <v>147</v>
      </c>
      <c r="T520" s="212" t="s">
        <v>144</v>
      </c>
      <c r="U520" s="213" t="s">
        <v>144</v>
      </c>
      <c r="V520" s="847">
        <v>1</v>
      </c>
      <c r="W520" s="415" t="s">
        <v>144</v>
      </c>
      <c r="X520" s="212">
        <v>41</v>
      </c>
      <c r="Y520" s="212" t="s">
        <v>144</v>
      </c>
      <c r="Z520" s="451" t="s">
        <v>29</v>
      </c>
      <c r="AA520" s="407" t="s">
        <v>4215</v>
      </c>
      <c r="AB520" s="206" t="s">
        <v>140</v>
      </c>
      <c r="AC520" s="847" t="s">
        <v>265</v>
      </c>
      <c r="AD520" s="898" t="s">
        <v>2205</v>
      </c>
      <c r="AE520" s="847" t="s">
        <v>144</v>
      </c>
      <c r="AF520" s="848" t="s">
        <v>144</v>
      </c>
      <c r="AG520" s="838"/>
      <c r="AH520" s="904" t="s">
        <v>4216</v>
      </c>
      <c r="AI520" s="746" t="s">
        <v>4217</v>
      </c>
      <c r="AJ520" s="407">
        <v>7</v>
      </c>
      <c r="AK520" s="881" t="s">
        <v>4218</v>
      </c>
      <c r="AL520" s="875" t="s">
        <v>294</v>
      </c>
      <c r="AM520" s="301" t="s">
        <v>295</v>
      </c>
      <c r="AN520" s="847">
        <v>7</v>
      </c>
      <c r="AO520" s="187" t="s">
        <v>966</v>
      </c>
      <c r="AP520" s="867"/>
      <c r="AQ520" s="273"/>
      <c r="AR520" s="847"/>
      <c r="AS520" s="848"/>
      <c r="AT520" s="867"/>
      <c r="AU520" s="273"/>
      <c r="AV520" s="847"/>
      <c r="AW520" s="848"/>
      <c r="AX520" s="867"/>
      <c r="AY520" s="273"/>
      <c r="AZ520" s="847"/>
      <c r="BA520" s="848"/>
      <c r="BB520" s="866"/>
      <c r="BC520" s="273"/>
      <c r="BD520" s="847"/>
      <c r="BE520" s="848"/>
      <c r="BF520" s="838"/>
    </row>
    <row r="521" spans="1:58" s="88" customFormat="1" ht="54" hidden="1" customHeight="1" x14ac:dyDescent="0.25">
      <c r="A521" s="267" t="s">
        <v>1687</v>
      </c>
      <c r="B521" s="268">
        <v>286</v>
      </c>
      <c r="C521" s="240" t="s">
        <v>2170</v>
      </c>
      <c r="D521" s="211" t="s">
        <v>2171</v>
      </c>
      <c r="E521" s="268" t="s">
        <v>4219</v>
      </c>
      <c r="F521" s="886" t="s">
        <v>4220</v>
      </c>
      <c r="G521" s="430" t="s">
        <v>4221</v>
      </c>
      <c r="H521" s="574" t="s">
        <v>4222</v>
      </c>
      <c r="I521" s="426" t="s">
        <v>4223</v>
      </c>
      <c r="J521" s="296" t="s">
        <v>140</v>
      </c>
      <c r="K521" s="297" t="s">
        <v>140</v>
      </c>
      <c r="L521" s="862" t="s">
        <v>4224</v>
      </c>
      <c r="M521" s="206" t="s">
        <v>973</v>
      </c>
      <c r="N521" s="297" t="s">
        <v>974</v>
      </c>
      <c r="O521" s="240" t="s">
        <v>3688</v>
      </c>
      <c r="P521" s="240" t="s">
        <v>3689</v>
      </c>
      <c r="Q521" s="845" t="s">
        <v>144</v>
      </c>
      <c r="R521" s="208" t="s">
        <v>144</v>
      </c>
      <c r="S521" s="864" t="s">
        <v>147</v>
      </c>
      <c r="T521" s="212" t="s">
        <v>144</v>
      </c>
      <c r="U521" s="213" t="s">
        <v>144</v>
      </c>
      <c r="V521" s="847">
        <v>12</v>
      </c>
      <c r="W521" s="415" t="s">
        <v>144</v>
      </c>
      <c r="X521" s="212">
        <v>41</v>
      </c>
      <c r="Y521" s="212" t="s">
        <v>144</v>
      </c>
      <c r="Z521" s="241" t="s">
        <v>29</v>
      </c>
      <c r="AA521" s="407" t="s">
        <v>4225</v>
      </c>
      <c r="AB521" s="206" t="s">
        <v>140</v>
      </c>
      <c r="AC521" s="847" t="s">
        <v>265</v>
      </c>
      <c r="AD521" s="847" t="s">
        <v>4226</v>
      </c>
      <c r="AE521" s="847" t="s">
        <v>144</v>
      </c>
      <c r="AF521" s="848" t="s">
        <v>144</v>
      </c>
      <c r="AG521" s="838"/>
      <c r="AH521" s="885" t="s">
        <v>4227</v>
      </c>
      <c r="AI521" s="406" t="s">
        <v>4228</v>
      </c>
      <c r="AJ521" s="407">
        <v>6</v>
      </c>
      <c r="AK521" s="871" t="s">
        <v>4229</v>
      </c>
      <c r="AL521" s="875" t="s">
        <v>294</v>
      </c>
      <c r="AM521" s="301" t="s">
        <v>295</v>
      </c>
      <c r="AN521" s="847">
        <v>7</v>
      </c>
      <c r="AO521" s="187" t="s">
        <v>966</v>
      </c>
      <c r="AP521" s="867"/>
      <c r="AQ521" s="273"/>
      <c r="AR521" s="847"/>
      <c r="AS521" s="848"/>
      <c r="AT521" s="867"/>
      <c r="AU521" s="273"/>
      <c r="AV521" s="847"/>
      <c r="AW521" s="848"/>
      <c r="AX521" s="867"/>
      <c r="AY521" s="273"/>
      <c r="AZ521" s="847"/>
      <c r="BA521" s="848"/>
      <c r="BB521" s="866"/>
      <c r="BC521" s="273"/>
      <c r="BD521" s="847"/>
      <c r="BE521" s="848"/>
      <c r="BF521" s="838"/>
    </row>
    <row r="522" spans="1:58" s="88" customFormat="1" ht="54" hidden="1" customHeight="1" x14ac:dyDescent="0.25">
      <c r="A522" s="267" t="s">
        <v>1687</v>
      </c>
      <c r="B522" s="268">
        <v>287</v>
      </c>
      <c r="C522" s="240" t="s">
        <v>4027</v>
      </c>
      <c r="D522" s="211" t="s">
        <v>4028</v>
      </c>
      <c r="E522" s="268" t="s">
        <v>4230</v>
      </c>
      <c r="F522" s="861" t="s">
        <v>4231</v>
      </c>
      <c r="G522" s="269" t="s">
        <v>4232</v>
      </c>
      <c r="H522" s="845" t="s">
        <v>4231</v>
      </c>
      <c r="I522" s="269" t="s">
        <v>4232</v>
      </c>
      <c r="J522" s="296" t="s">
        <v>140</v>
      </c>
      <c r="K522" s="297" t="s">
        <v>140</v>
      </c>
      <c r="L522" s="862" t="s">
        <v>4233</v>
      </c>
      <c r="M522" s="206" t="s">
        <v>973</v>
      </c>
      <c r="N522" s="297" t="s">
        <v>974</v>
      </c>
      <c r="O522" s="240" t="s">
        <v>4234</v>
      </c>
      <c r="P522" s="240" t="s">
        <v>4235</v>
      </c>
      <c r="Q522" s="845" t="s">
        <v>144</v>
      </c>
      <c r="R522" s="208" t="s">
        <v>144</v>
      </c>
      <c r="S522" s="864" t="s">
        <v>147</v>
      </c>
      <c r="T522" s="212" t="s">
        <v>144</v>
      </c>
      <c r="U522" s="213" t="s">
        <v>144</v>
      </c>
      <c r="V522" s="847">
        <v>1</v>
      </c>
      <c r="W522" s="415" t="s">
        <v>144</v>
      </c>
      <c r="X522" s="212">
        <v>41</v>
      </c>
      <c r="Y522" s="212" t="s">
        <v>144</v>
      </c>
      <c r="Z522" s="451" t="s">
        <v>29</v>
      </c>
      <c r="AA522" s="407" t="s">
        <v>4225</v>
      </c>
      <c r="AB522" s="206" t="s">
        <v>140</v>
      </c>
      <c r="AC522" s="847" t="s">
        <v>265</v>
      </c>
      <c r="AD522" s="898" t="s">
        <v>4236</v>
      </c>
      <c r="AE522" s="847" t="s">
        <v>144</v>
      </c>
      <c r="AF522" s="848" t="s">
        <v>144</v>
      </c>
      <c r="AG522" s="838"/>
      <c r="AH522" s="905" t="s">
        <v>4237</v>
      </c>
      <c r="AI522" s="726" t="s">
        <v>4238</v>
      </c>
      <c r="AJ522" s="407">
        <v>6</v>
      </c>
      <c r="AK522" s="906" t="s">
        <v>4239</v>
      </c>
      <c r="AL522" s="875" t="s">
        <v>294</v>
      </c>
      <c r="AM522" s="301" t="s">
        <v>295</v>
      </c>
      <c r="AN522" s="847">
        <v>7</v>
      </c>
      <c r="AO522" s="187" t="s">
        <v>966</v>
      </c>
      <c r="AP522" s="867"/>
      <c r="AQ522" s="273"/>
      <c r="AR522" s="847"/>
      <c r="AS522" s="848"/>
      <c r="AT522" s="867"/>
      <c r="AU522" s="273"/>
      <c r="AV522" s="847"/>
      <c r="AW522" s="848"/>
      <c r="AX522" s="867"/>
      <c r="AY522" s="273"/>
      <c r="AZ522" s="847"/>
      <c r="BA522" s="848"/>
      <c r="BB522" s="866"/>
      <c r="BC522" s="273"/>
      <c r="BD522" s="847"/>
      <c r="BE522" s="848"/>
      <c r="BF522" s="838"/>
    </row>
    <row r="523" spans="1:58" s="88" customFormat="1" ht="54" hidden="1" customHeight="1" x14ac:dyDescent="0.25">
      <c r="A523" s="267" t="s">
        <v>1687</v>
      </c>
      <c r="B523" s="268">
        <v>288</v>
      </c>
      <c r="C523" s="240" t="s">
        <v>4027</v>
      </c>
      <c r="D523" s="211" t="s">
        <v>4028</v>
      </c>
      <c r="E523" s="268" t="s">
        <v>4240</v>
      </c>
      <c r="F523" s="861" t="s">
        <v>4241</v>
      </c>
      <c r="G523" s="269" t="s">
        <v>4242</v>
      </c>
      <c r="H523" s="845" t="s">
        <v>4243</v>
      </c>
      <c r="I523" s="269" t="s">
        <v>4244</v>
      </c>
      <c r="J523" s="296" t="s">
        <v>140</v>
      </c>
      <c r="K523" s="297" t="s">
        <v>140</v>
      </c>
      <c r="L523" s="862" t="s">
        <v>4245</v>
      </c>
      <c r="M523" s="847" t="s">
        <v>973</v>
      </c>
      <c r="N523" s="297" t="s">
        <v>974</v>
      </c>
      <c r="O523" s="240" t="s">
        <v>225</v>
      </c>
      <c r="P523" s="240" t="s">
        <v>226</v>
      </c>
      <c r="Q523" s="845" t="s">
        <v>144</v>
      </c>
      <c r="R523" s="208" t="s">
        <v>144</v>
      </c>
      <c r="S523" s="864" t="s">
        <v>147</v>
      </c>
      <c r="T523" s="212" t="s">
        <v>144</v>
      </c>
      <c r="U523" s="213" t="s">
        <v>144</v>
      </c>
      <c r="V523" s="847">
        <v>1</v>
      </c>
      <c r="W523" s="415" t="s">
        <v>144</v>
      </c>
      <c r="X523" s="212">
        <v>41</v>
      </c>
      <c r="Y523" s="212" t="s">
        <v>144</v>
      </c>
      <c r="Z523" s="241" t="s">
        <v>29</v>
      </c>
      <c r="AA523" s="407" t="s">
        <v>4246</v>
      </c>
      <c r="AB523" s="206" t="s">
        <v>140</v>
      </c>
      <c r="AC523" s="847" t="s">
        <v>265</v>
      </c>
      <c r="AD523" s="847" t="s">
        <v>4247</v>
      </c>
      <c r="AE523" s="847" t="s">
        <v>144</v>
      </c>
      <c r="AF523" s="848" t="s">
        <v>144</v>
      </c>
      <c r="AG523" s="838"/>
      <c r="AH523" s="885" t="s">
        <v>4248</v>
      </c>
      <c r="AI523" s="406" t="s">
        <v>4249</v>
      </c>
      <c r="AJ523" s="872">
        <v>6</v>
      </c>
      <c r="AK523" s="871" t="s">
        <v>4250</v>
      </c>
      <c r="AL523" s="875" t="s">
        <v>294</v>
      </c>
      <c r="AM523" s="301" t="s">
        <v>295</v>
      </c>
      <c r="AN523" s="847">
        <v>7</v>
      </c>
      <c r="AO523" s="187" t="s">
        <v>966</v>
      </c>
      <c r="AP523" s="867"/>
      <c r="AQ523" s="273"/>
      <c r="AR523" s="847"/>
      <c r="AS523" s="848"/>
      <c r="AT523" s="867"/>
      <c r="AU523" s="273"/>
      <c r="AV523" s="847"/>
      <c r="AW523" s="848"/>
      <c r="AX523" s="867"/>
      <c r="AY523" s="273"/>
      <c r="AZ523" s="847"/>
      <c r="BA523" s="848"/>
      <c r="BB523" s="866"/>
      <c r="BC523" s="273"/>
      <c r="BD523" s="847"/>
      <c r="BE523" s="848"/>
      <c r="BF523" s="838"/>
    </row>
    <row r="524" spans="1:58" s="88" customFormat="1" ht="54" hidden="1" customHeight="1" x14ac:dyDescent="0.25">
      <c r="A524" s="267" t="s">
        <v>1687</v>
      </c>
      <c r="B524" s="268">
        <v>289</v>
      </c>
      <c r="C524" s="240" t="s">
        <v>4027</v>
      </c>
      <c r="D524" s="211" t="s">
        <v>4028</v>
      </c>
      <c r="E524" s="268" t="s">
        <v>4251</v>
      </c>
      <c r="F524" s="861" t="s">
        <v>4252</v>
      </c>
      <c r="G524" s="269" t="s">
        <v>4253</v>
      </c>
      <c r="H524" s="845" t="s">
        <v>4254</v>
      </c>
      <c r="I524" s="269" t="s">
        <v>4255</v>
      </c>
      <c r="J524" s="296" t="s">
        <v>140</v>
      </c>
      <c r="K524" s="297" t="s">
        <v>140</v>
      </c>
      <c r="L524" s="862" t="s">
        <v>4256</v>
      </c>
      <c r="M524" s="206" t="s">
        <v>973</v>
      </c>
      <c r="N524" s="297" t="s">
        <v>974</v>
      </c>
      <c r="O524" s="240" t="s">
        <v>225</v>
      </c>
      <c r="P524" s="240" t="s">
        <v>226</v>
      </c>
      <c r="Q524" s="845" t="s">
        <v>4257</v>
      </c>
      <c r="R524" s="208" t="s">
        <v>4258</v>
      </c>
      <c r="S524" s="864" t="s">
        <v>147</v>
      </c>
      <c r="T524" s="212" t="s">
        <v>144</v>
      </c>
      <c r="U524" s="213" t="s">
        <v>144</v>
      </c>
      <c r="V524" s="847">
        <v>1</v>
      </c>
      <c r="W524" s="415" t="s">
        <v>144</v>
      </c>
      <c r="X524" s="212">
        <v>41</v>
      </c>
      <c r="Y524" s="212" t="s">
        <v>144</v>
      </c>
      <c r="Z524" s="241" t="s">
        <v>29</v>
      </c>
      <c r="AA524" s="407" t="s">
        <v>4259</v>
      </c>
      <c r="AB524" s="206" t="s">
        <v>140</v>
      </c>
      <c r="AC524" s="847" t="s">
        <v>265</v>
      </c>
      <c r="AD524" s="847" t="s">
        <v>4226</v>
      </c>
      <c r="AE524" s="847" t="s">
        <v>144</v>
      </c>
      <c r="AF524" s="848" t="s">
        <v>144</v>
      </c>
      <c r="AG524" s="838"/>
      <c r="AH524" s="907" t="s">
        <v>4260</v>
      </c>
      <c r="AI524" s="462" t="s">
        <v>4261</v>
      </c>
      <c r="AJ524" s="908">
        <v>6</v>
      </c>
      <c r="AK524" s="871" t="s">
        <v>4262</v>
      </c>
      <c r="AL524" s="875" t="s">
        <v>294</v>
      </c>
      <c r="AM524" s="301" t="s">
        <v>295</v>
      </c>
      <c r="AN524" s="847">
        <v>7</v>
      </c>
      <c r="AO524" s="187" t="s">
        <v>966</v>
      </c>
      <c r="AP524" s="867"/>
      <c r="AQ524" s="273"/>
      <c r="AR524" s="847"/>
      <c r="AS524" s="848"/>
      <c r="AT524" s="867"/>
      <c r="AU524" s="273"/>
      <c r="AV524" s="847"/>
      <c r="AW524" s="848"/>
      <c r="AX524" s="867"/>
      <c r="AY524" s="273"/>
      <c r="AZ524" s="847"/>
      <c r="BA524" s="848"/>
      <c r="BB524" s="866"/>
      <c r="BC524" s="273"/>
      <c r="BD524" s="847"/>
      <c r="BE524" s="848"/>
      <c r="BF524" s="838"/>
    </row>
    <row r="525" spans="1:58" s="88" customFormat="1" ht="54" hidden="1" customHeight="1" x14ac:dyDescent="0.25">
      <c r="A525" s="267" t="s">
        <v>1687</v>
      </c>
      <c r="B525" s="268">
        <v>290</v>
      </c>
      <c r="C525" s="240" t="s">
        <v>2170</v>
      </c>
      <c r="D525" s="211" t="s">
        <v>2171</v>
      </c>
      <c r="E525" s="268" t="s">
        <v>4263</v>
      </c>
      <c r="F525" s="861" t="s">
        <v>4264</v>
      </c>
      <c r="G525" s="269" t="s">
        <v>4265</v>
      </c>
      <c r="H525" s="861" t="s">
        <v>4266</v>
      </c>
      <c r="I525" s="269" t="s">
        <v>4267</v>
      </c>
      <c r="J525" s="296" t="s">
        <v>140</v>
      </c>
      <c r="K525" s="297" t="s">
        <v>140</v>
      </c>
      <c r="L525" s="862" t="s">
        <v>4268</v>
      </c>
      <c r="M525" s="847" t="s">
        <v>973</v>
      </c>
      <c r="N525" s="297" t="s">
        <v>974</v>
      </c>
      <c r="O525" s="240" t="s">
        <v>144</v>
      </c>
      <c r="P525" s="240" t="s">
        <v>144</v>
      </c>
      <c r="Q525" s="845" t="s">
        <v>4269</v>
      </c>
      <c r="R525" s="208" t="s">
        <v>4270</v>
      </c>
      <c r="S525" s="864" t="s">
        <v>746</v>
      </c>
      <c r="T525" s="212" t="s">
        <v>1307</v>
      </c>
      <c r="U525" s="213" t="s">
        <v>1308</v>
      </c>
      <c r="V525" s="847">
        <v>10</v>
      </c>
      <c r="W525" s="415" t="s">
        <v>144</v>
      </c>
      <c r="X525" s="212">
        <v>41</v>
      </c>
      <c r="Y525" s="212" t="s">
        <v>144</v>
      </c>
      <c r="Z525" s="241" t="s">
        <v>29</v>
      </c>
      <c r="AA525" s="407" t="s">
        <v>4271</v>
      </c>
      <c r="AB525" s="206" t="s">
        <v>140</v>
      </c>
      <c r="AC525" s="847" t="s">
        <v>265</v>
      </c>
      <c r="AD525" s="847" t="s">
        <v>4226</v>
      </c>
      <c r="AE525" s="847" t="s">
        <v>144</v>
      </c>
      <c r="AF525" s="848" t="s">
        <v>144</v>
      </c>
      <c r="AG525" s="838"/>
      <c r="AH525" s="885" t="s">
        <v>4272</v>
      </c>
      <c r="AI525" s="406" t="s">
        <v>4273</v>
      </c>
      <c r="AJ525" s="407">
        <v>6</v>
      </c>
      <c r="AK525" s="871" t="s">
        <v>4274</v>
      </c>
      <c r="AL525" s="867"/>
      <c r="AM525" s="273"/>
      <c r="AN525" s="847"/>
      <c r="AO525" s="848"/>
      <c r="AP525" s="867"/>
      <c r="AQ525" s="273"/>
      <c r="AR525" s="847"/>
      <c r="AS525" s="848"/>
      <c r="AT525" s="867"/>
      <c r="AU525" s="273"/>
      <c r="AV525" s="847"/>
      <c r="AW525" s="848"/>
      <c r="AX525" s="867"/>
      <c r="AY525" s="273"/>
      <c r="AZ525" s="847"/>
      <c r="BA525" s="848"/>
      <c r="BB525" s="866"/>
      <c r="BC525" s="273"/>
      <c r="BD525" s="847"/>
      <c r="BE525" s="848"/>
      <c r="BF525" s="838"/>
    </row>
    <row r="526" spans="1:58" s="88" customFormat="1" ht="54" hidden="1" customHeight="1" x14ac:dyDescent="0.25">
      <c r="A526" s="267" t="s">
        <v>1687</v>
      </c>
      <c r="B526" s="268">
        <v>291</v>
      </c>
      <c r="C526" s="240" t="s">
        <v>4027</v>
      </c>
      <c r="D526" s="211" t="s">
        <v>4028</v>
      </c>
      <c r="E526" s="268" t="s">
        <v>4275</v>
      </c>
      <c r="F526" s="861" t="s">
        <v>4276</v>
      </c>
      <c r="G526" s="269" t="s">
        <v>4277</v>
      </c>
      <c r="H526" s="845" t="s">
        <v>4278</v>
      </c>
      <c r="I526" s="269" t="s">
        <v>4279</v>
      </c>
      <c r="J526" s="296" t="s">
        <v>140</v>
      </c>
      <c r="K526" s="297" t="s">
        <v>140</v>
      </c>
      <c r="L526" s="862" t="s">
        <v>4280</v>
      </c>
      <c r="M526" s="847" t="s">
        <v>973</v>
      </c>
      <c r="N526" s="297" t="s">
        <v>974</v>
      </c>
      <c r="O526" s="240" t="s">
        <v>4281</v>
      </c>
      <c r="P526" s="240" t="s">
        <v>4282</v>
      </c>
      <c r="Q526" s="845" t="s">
        <v>144</v>
      </c>
      <c r="R526" s="208" t="s">
        <v>144</v>
      </c>
      <c r="S526" s="864" t="s">
        <v>147</v>
      </c>
      <c r="T526" s="212" t="s">
        <v>144</v>
      </c>
      <c r="U526" s="213" t="s">
        <v>144</v>
      </c>
      <c r="V526" s="847">
        <v>1</v>
      </c>
      <c r="W526" s="415" t="s">
        <v>144</v>
      </c>
      <c r="X526" s="212">
        <v>41</v>
      </c>
      <c r="Y526" s="212" t="s">
        <v>144</v>
      </c>
      <c r="Z526" s="212" t="s">
        <v>144</v>
      </c>
      <c r="AA526" s="240" t="s">
        <v>2588</v>
      </c>
      <c r="AB526" s="206" t="s">
        <v>140</v>
      </c>
      <c r="AC526" s="847" t="s">
        <v>265</v>
      </c>
      <c r="AD526" s="847" t="s">
        <v>1930</v>
      </c>
      <c r="AE526" s="847" t="s">
        <v>144</v>
      </c>
      <c r="AF526" s="848" t="s">
        <v>144</v>
      </c>
      <c r="AG526" s="838"/>
      <c r="AH526" s="866" t="s">
        <v>4283</v>
      </c>
      <c r="AI526" s="273" t="s">
        <v>4284</v>
      </c>
      <c r="AJ526" s="847">
        <v>6</v>
      </c>
      <c r="AK526" s="878" t="s">
        <v>4208</v>
      </c>
      <c r="AL526" s="867" t="s">
        <v>294</v>
      </c>
      <c r="AM526" s="273" t="s">
        <v>295</v>
      </c>
      <c r="AN526" s="847">
        <v>7</v>
      </c>
      <c r="AO526" s="187" t="s">
        <v>966</v>
      </c>
      <c r="AP526" s="867"/>
      <c r="AQ526" s="273"/>
      <c r="AR526" s="847"/>
      <c r="AS526" s="848"/>
      <c r="AT526" s="867"/>
      <c r="AU526" s="273"/>
      <c r="AV526" s="847"/>
      <c r="AW526" s="848"/>
      <c r="AX526" s="867"/>
      <c r="AY526" s="273"/>
      <c r="AZ526" s="847"/>
      <c r="BA526" s="848"/>
      <c r="BB526" s="866"/>
      <c r="BC526" s="273"/>
      <c r="BD526" s="847"/>
      <c r="BE526" s="848"/>
      <c r="BF526" s="838"/>
    </row>
    <row r="527" spans="1:58" s="88" customFormat="1" ht="54" hidden="1" customHeight="1" x14ac:dyDescent="0.25">
      <c r="A527" s="267" t="s">
        <v>1687</v>
      </c>
      <c r="B527" s="268">
        <v>292</v>
      </c>
      <c r="C527" s="240" t="s">
        <v>4027</v>
      </c>
      <c r="D527" s="211" t="s">
        <v>4028</v>
      </c>
      <c r="E527" s="268" t="s">
        <v>4285</v>
      </c>
      <c r="F527" s="861" t="s">
        <v>4286</v>
      </c>
      <c r="G527" s="269" t="s">
        <v>4287</v>
      </c>
      <c r="H527" s="845" t="s">
        <v>4288</v>
      </c>
      <c r="I527" s="269" t="s">
        <v>4289</v>
      </c>
      <c r="J527" s="296" t="s">
        <v>140</v>
      </c>
      <c r="K527" s="297" t="s">
        <v>140</v>
      </c>
      <c r="L527" s="862" t="s">
        <v>4290</v>
      </c>
      <c r="M527" s="847" t="s">
        <v>973</v>
      </c>
      <c r="N527" s="297" t="s">
        <v>974</v>
      </c>
      <c r="O527" s="240" t="s">
        <v>144</v>
      </c>
      <c r="P527" s="240" t="s">
        <v>144</v>
      </c>
      <c r="Q527" s="845" t="s">
        <v>144</v>
      </c>
      <c r="R527" s="208" t="s">
        <v>144</v>
      </c>
      <c r="S527" s="181" t="s">
        <v>233</v>
      </c>
      <c r="T527" s="212" t="s">
        <v>234</v>
      </c>
      <c r="U527" s="213" t="s">
        <v>235</v>
      </c>
      <c r="V527" s="847">
        <v>8</v>
      </c>
      <c r="W527" s="415" t="s">
        <v>144</v>
      </c>
      <c r="X527" s="212">
        <v>41</v>
      </c>
      <c r="Y527" s="212" t="s">
        <v>144</v>
      </c>
      <c r="Z527" s="241" t="s">
        <v>32</v>
      </c>
      <c r="AA527" s="407" t="s">
        <v>4291</v>
      </c>
      <c r="AB527" s="206" t="s">
        <v>140</v>
      </c>
      <c r="AC527" s="847" t="s">
        <v>265</v>
      </c>
      <c r="AD527" s="909" t="s">
        <v>4292</v>
      </c>
      <c r="AE527" s="847" t="s">
        <v>144</v>
      </c>
      <c r="AF527" s="848" t="s">
        <v>144</v>
      </c>
      <c r="AG527" s="838"/>
      <c r="AH527" s="910" t="s">
        <v>4293</v>
      </c>
      <c r="AI527" s="831" t="s">
        <v>4294</v>
      </c>
      <c r="AJ527" s="872">
        <v>6</v>
      </c>
      <c r="AK527" s="871" t="s">
        <v>4295</v>
      </c>
      <c r="AL527" s="867"/>
      <c r="AM527" s="273"/>
      <c r="AN527" s="847"/>
      <c r="AO527" s="848"/>
      <c r="AP527" s="873" t="s">
        <v>1160</v>
      </c>
      <c r="AQ527" s="406" t="s">
        <v>1161</v>
      </c>
      <c r="AR527" s="872">
        <v>7</v>
      </c>
      <c r="AS527" s="878" t="s">
        <v>1162</v>
      </c>
      <c r="AT527" s="338" t="s">
        <v>4296</v>
      </c>
      <c r="AU527" s="135" t="s">
        <v>4297</v>
      </c>
      <c r="AV527" s="319">
        <v>6</v>
      </c>
      <c r="AW527" s="848" t="s">
        <v>4298</v>
      </c>
      <c r="AX527" s="867"/>
      <c r="AY527" s="273"/>
      <c r="AZ527" s="847"/>
      <c r="BA527" s="848"/>
      <c r="BB527" s="866"/>
      <c r="BC527" s="273"/>
      <c r="BD527" s="847"/>
      <c r="BE527" s="848"/>
      <c r="BF527" s="838"/>
    </row>
    <row r="528" spans="1:58" s="88" customFormat="1" ht="54" hidden="1" customHeight="1" x14ac:dyDescent="0.25">
      <c r="A528" s="267" t="s">
        <v>1687</v>
      </c>
      <c r="B528" s="268">
        <v>293</v>
      </c>
      <c r="C528" s="240" t="s">
        <v>4027</v>
      </c>
      <c r="D528" s="211" t="s">
        <v>4028</v>
      </c>
      <c r="E528" s="268" t="s">
        <v>4299</v>
      </c>
      <c r="F528" s="861" t="s">
        <v>4300</v>
      </c>
      <c r="G528" s="269" t="s">
        <v>4301</v>
      </c>
      <c r="H528" s="845" t="s">
        <v>4302</v>
      </c>
      <c r="I528" s="208" t="s">
        <v>4303</v>
      </c>
      <c r="J528" s="240" t="s">
        <v>140</v>
      </c>
      <c r="K528" s="270" t="s">
        <v>140</v>
      </c>
      <c r="L528" s="862" t="s">
        <v>4304</v>
      </c>
      <c r="M528" s="847" t="s">
        <v>973</v>
      </c>
      <c r="N528" s="297" t="s">
        <v>974</v>
      </c>
      <c r="O528" s="240" t="s">
        <v>144</v>
      </c>
      <c r="P528" s="240" t="s">
        <v>144</v>
      </c>
      <c r="Q528" s="845" t="s">
        <v>144</v>
      </c>
      <c r="R528" s="208" t="s">
        <v>144</v>
      </c>
      <c r="S528" s="181" t="s">
        <v>233</v>
      </c>
      <c r="T528" s="212" t="s">
        <v>234</v>
      </c>
      <c r="U528" s="213" t="s">
        <v>235</v>
      </c>
      <c r="V528" s="847">
        <v>8</v>
      </c>
      <c r="W528" s="415" t="s">
        <v>144</v>
      </c>
      <c r="X528" s="212">
        <v>41</v>
      </c>
      <c r="Y528" s="212" t="s">
        <v>144</v>
      </c>
      <c r="Z528" s="241" t="s">
        <v>29</v>
      </c>
      <c r="AA528" s="407" t="s">
        <v>4291</v>
      </c>
      <c r="AB528" s="206" t="s">
        <v>140</v>
      </c>
      <c r="AC528" s="847" t="s">
        <v>265</v>
      </c>
      <c r="AD528" s="847" t="s">
        <v>4305</v>
      </c>
      <c r="AE528" s="847" t="s">
        <v>144</v>
      </c>
      <c r="AF528" s="848" t="s">
        <v>144</v>
      </c>
      <c r="AG528" s="838"/>
      <c r="AH528" s="885" t="s">
        <v>4306</v>
      </c>
      <c r="AI528" s="406" t="s">
        <v>4307</v>
      </c>
      <c r="AJ528" s="872">
        <v>7</v>
      </c>
      <c r="AK528" s="871" t="s">
        <v>4208</v>
      </c>
      <c r="AL528" s="867"/>
      <c r="AM528" s="273"/>
      <c r="AN528" s="847"/>
      <c r="AO528" s="848"/>
      <c r="AP528" s="867"/>
      <c r="AQ528" s="273"/>
      <c r="AR528" s="847"/>
      <c r="AS528" s="848"/>
      <c r="AT528" s="867" t="s">
        <v>4308</v>
      </c>
      <c r="AU528" s="273" t="s">
        <v>4309</v>
      </c>
      <c r="AV528" s="319">
        <v>6</v>
      </c>
      <c r="AW528" s="286" t="s">
        <v>4310</v>
      </c>
      <c r="AX528" s="867"/>
      <c r="AY528" s="273"/>
      <c r="AZ528" s="847"/>
      <c r="BA528" s="848"/>
      <c r="BB528" s="866"/>
      <c r="BC528" s="273"/>
      <c r="BD528" s="847"/>
      <c r="BE528" s="848"/>
      <c r="BF528" s="838"/>
    </row>
    <row r="529" spans="1:58" s="88" customFormat="1" ht="54" hidden="1" customHeight="1" x14ac:dyDescent="0.25">
      <c r="A529" s="267" t="s">
        <v>1687</v>
      </c>
      <c r="B529" s="268">
        <v>294</v>
      </c>
      <c r="C529" s="240" t="s">
        <v>2170</v>
      </c>
      <c r="D529" s="211" t="s">
        <v>2171</v>
      </c>
      <c r="E529" s="268" t="s">
        <v>4311</v>
      </c>
      <c r="F529" s="861" t="s">
        <v>4312</v>
      </c>
      <c r="G529" s="269" t="s">
        <v>4313</v>
      </c>
      <c r="H529" s="845" t="s">
        <v>4314</v>
      </c>
      <c r="I529" s="208" t="s">
        <v>4315</v>
      </c>
      <c r="J529" s="240" t="s">
        <v>140</v>
      </c>
      <c r="K529" s="270" t="s">
        <v>140</v>
      </c>
      <c r="L529" s="862" t="s">
        <v>4316</v>
      </c>
      <c r="M529" s="847" t="s">
        <v>973</v>
      </c>
      <c r="N529" s="297" t="s">
        <v>974</v>
      </c>
      <c r="O529" s="240" t="s">
        <v>144</v>
      </c>
      <c r="P529" s="240" t="s">
        <v>144</v>
      </c>
      <c r="Q529" s="249" t="s">
        <v>144</v>
      </c>
      <c r="R529" s="336" t="s">
        <v>144</v>
      </c>
      <c r="S529" s="864" t="s">
        <v>746</v>
      </c>
      <c r="T529" s="212" t="s">
        <v>1307</v>
      </c>
      <c r="U529" s="213" t="s">
        <v>1308</v>
      </c>
      <c r="V529" s="847">
        <v>10</v>
      </c>
      <c r="W529" s="415" t="s">
        <v>144</v>
      </c>
      <c r="X529" s="212">
        <v>41</v>
      </c>
      <c r="Y529" s="212" t="s">
        <v>144</v>
      </c>
      <c r="Z529" s="450" t="s">
        <v>25</v>
      </c>
      <c r="AA529" s="407" t="s">
        <v>4317</v>
      </c>
      <c r="AB529" s="206" t="s">
        <v>140</v>
      </c>
      <c r="AC529" s="847" t="s">
        <v>265</v>
      </c>
      <c r="AD529" s="847" t="s">
        <v>1930</v>
      </c>
      <c r="AE529" s="847" t="s">
        <v>144</v>
      </c>
      <c r="AF529" s="848" t="s">
        <v>144</v>
      </c>
      <c r="AG529" s="838"/>
      <c r="AH529" s="866" t="s">
        <v>4318</v>
      </c>
      <c r="AI529" s="135" t="s">
        <v>4319</v>
      </c>
      <c r="AJ529" s="319">
        <v>6</v>
      </c>
      <c r="AK529" s="878" t="s">
        <v>4320</v>
      </c>
      <c r="AL529" s="867"/>
      <c r="AM529" s="273"/>
      <c r="AN529" s="847"/>
      <c r="AO529" s="848"/>
      <c r="AP529" s="867"/>
      <c r="AQ529" s="273"/>
      <c r="AR529" s="847"/>
      <c r="AS529" s="848"/>
      <c r="AT529" s="134" t="s">
        <v>4321</v>
      </c>
      <c r="AU529" s="135" t="s">
        <v>4322</v>
      </c>
      <c r="AV529" s="319">
        <v>6</v>
      </c>
      <c r="AW529" s="848" t="s">
        <v>4323</v>
      </c>
      <c r="AX529" s="867"/>
      <c r="AY529" s="273"/>
      <c r="AZ529" s="847"/>
      <c r="BA529" s="848"/>
      <c r="BB529" s="866"/>
      <c r="BC529" s="273"/>
      <c r="BD529" s="847"/>
      <c r="BE529" s="848"/>
      <c r="BF529" s="838"/>
    </row>
    <row r="530" spans="1:58" s="88" customFormat="1" ht="54" hidden="1" customHeight="1" x14ac:dyDescent="0.25">
      <c r="A530" s="267" t="s">
        <v>1687</v>
      </c>
      <c r="B530" s="268">
        <v>295</v>
      </c>
      <c r="C530" s="240" t="s">
        <v>2170</v>
      </c>
      <c r="D530" s="211" t="s">
        <v>2171</v>
      </c>
      <c r="E530" s="268" t="s">
        <v>4324</v>
      </c>
      <c r="F530" s="861" t="s">
        <v>4325</v>
      </c>
      <c r="G530" s="269" t="s">
        <v>4326</v>
      </c>
      <c r="H530" s="845" t="s">
        <v>4327</v>
      </c>
      <c r="I530" s="208" t="s">
        <v>4328</v>
      </c>
      <c r="J530" s="240" t="s">
        <v>140</v>
      </c>
      <c r="K530" s="270" t="s">
        <v>140</v>
      </c>
      <c r="L530" s="862" t="s">
        <v>4329</v>
      </c>
      <c r="M530" s="847" t="s">
        <v>973</v>
      </c>
      <c r="N530" s="297" t="s">
        <v>974</v>
      </c>
      <c r="O530" s="240" t="s">
        <v>144</v>
      </c>
      <c r="P530" s="240" t="s">
        <v>144</v>
      </c>
      <c r="Q530" s="249" t="s">
        <v>144</v>
      </c>
      <c r="R530" s="336" t="s">
        <v>144</v>
      </c>
      <c r="S530" s="864" t="s">
        <v>746</v>
      </c>
      <c r="T530" s="212" t="s">
        <v>1307</v>
      </c>
      <c r="U530" s="213" t="s">
        <v>1308</v>
      </c>
      <c r="V530" s="847">
        <v>10</v>
      </c>
      <c r="W530" s="415" t="s">
        <v>144</v>
      </c>
      <c r="X530" s="212">
        <v>41</v>
      </c>
      <c r="Y530" s="212" t="s">
        <v>144</v>
      </c>
      <c r="Z530" s="450" t="s">
        <v>25</v>
      </c>
      <c r="AA530" s="407" t="s">
        <v>4317</v>
      </c>
      <c r="AB530" s="206" t="s">
        <v>140</v>
      </c>
      <c r="AC530" s="847" t="s">
        <v>265</v>
      </c>
      <c r="AD530" s="847" t="s">
        <v>1930</v>
      </c>
      <c r="AE530" s="847" t="s">
        <v>144</v>
      </c>
      <c r="AF530" s="848" t="s">
        <v>144</v>
      </c>
      <c r="AG530" s="838"/>
      <c r="AH530" s="866" t="s">
        <v>4330</v>
      </c>
      <c r="AI530" s="135" t="s">
        <v>4319</v>
      </c>
      <c r="AJ530" s="319">
        <v>6</v>
      </c>
      <c r="AK530" s="878" t="s">
        <v>4320</v>
      </c>
      <c r="AL530" s="867"/>
      <c r="AM530" s="273"/>
      <c r="AN530" s="847"/>
      <c r="AO530" s="848"/>
      <c r="AP530" s="867"/>
      <c r="AQ530" s="273"/>
      <c r="AR530" s="847"/>
      <c r="AS530" s="848"/>
      <c r="AT530" s="867"/>
      <c r="AU530" s="273"/>
      <c r="AV530" s="847"/>
      <c r="AW530" s="848"/>
      <c r="AX530" s="867"/>
      <c r="AY530" s="273"/>
      <c r="AZ530" s="847"/>
      <c r="BA530" s="848"/>
      <c r="BB530" s="866"/>
      <c r="BC530" s="273"/>
      <c r="BD530" s="847"/>
      <c r="BE530" s="848"/>
      <c r="BF530" s="838"/>
    </row>
    <row r="531" spans="1:58" s="88" customFormat="1" ht="54" hidden="1" customHeight="1" x14ac:dyDescent="0.25">
      <c r="A531" s="267" t="s">
        <v>1687</v>
      </c>
      <c r="B531" s="268">
        <v>296</v>
      </c>
      <c r="C531" s="240" t="s">
        <v>2170</v>
      </c>
      <c r="D531" s="211" t="s">
        <v>2171</v>
      </c>
      <c r="E531" s="268" t="s">
        <v>4331</v>
      </c>
      <c r="F531" s="861" t="s">
        <v>4332</v>
      </c>
      <c r="G531" s="269" t="s">
        <v>4333</v>
      </c>
      <c r="H531" s="845" t="s">
        <v>4334</v>
      </c>
      <c r="I531" s="208" t="s">
        <v>4335</v>
      </c>
      <c r="J531" s="240" t="s">
        <v>140</v>
      </c>
      <c r="K531" s="270" t="s">
        <v>140</v>
      </c>
      <c r="L531" s="862" t="s">
        <v>4336</v>
      </c>
      <c r="M531" s="847" t="s">
        <v>973</v>
      </c>
      <c r="N531" s="297" t="s">
        <v>974</v>
      </c>
      <c r="O531" s="240" t="s">
        <v>225</v>
      </c>
      <c r="P531" s="240" t="s">
        <v>226</v>
      </c>
      <c r="Q531" s="845" t="s">
        <v>4257</v>
      </c>
      <c r="R531" s="208" t="s">
        <v>4258</v>
      </c>
      <c r="S531" s="864" t="s">
        <v>147</v>
      </c>
      <c r="T531" s="212" t="s">
        <v>144</v>
      </c>
      <c r="U531" s="213" t="s">
        <v>144</v>
      </c>
      <c r="V531" s="847">
        <v>1</v>
      </c>
      <c r="W531" s="415" t="s">
        <v>144</v>
      </c>
      <c r="X531" s="212">
        <v>41</v>
      </c>
      <c r="Y531" s="212" t="s">
        <v>144</v>
      </c>
      <c r="Z531" s="241" t="s">
        <v>29</v>
      </c>
      <c r="AA531" s="407" t="s">
        <v>4337</v>
      </c>
      <c r="AB531" s="206" t="s">
        <v>140</v>
      </c>
      <c r="AC531" s="847" t="s">
        <v>265</v>
      </c>
      <c r="AD531" s="872" t="s">
        <v>4338</v>
      </c>
      <c r="AE531" s="847" t="s">
        <v>144</v>
      </c>
      <c r="AF531" s="848" t="s">
        <v>144</v>
      </c>
      <c r="AG531" s="838"/>
      <c r="AH531" s="885" t="s">
        <v>4339</v>
      </c>
      <c r="AI531" s="406" t="s">
        <v>4340</v>
      </c>
      <c r="AJ531" s="872">
        <v>6</v>
      </c>
      <c r="AK531" s="871" t="s">
        <v>4341</v>
      </c>
      <c r="AL531" s="867" t="s">
        <v>294</v>
      </c>
      <c r="AM531" s="273" t="s">
        <v>295</v>
      </c>
      <c r="AN531" s="847">
        <v>7</v>
      </c>
      <c r="AO531" s="187" t="s">
        <v>966</v>
      </c>
      <c r="AP531" s="867"/>
      <c r="AQ531" s="273"/>
      <c r="AR531" s="847"/>
      <c r="AS531" s="848"/>
      <c r="AT531" s="867"/>
      <c r="AU531" s="273"/>
      <c r="AV531" s="847"/>
      <c r="AW531" s="848"/>
      <c r="AX531" s="867"/>
      <c r="AY531" s="273"/>
      <c r="AZ531" s="847"/>
      <c r="BA531" s="848"/>
      <c r="BB531" s="866"/>
      <c r="BC531" s="273"/>
      <c r="BD531" s="847"/>
      <c r="BE531" s="848"/>
      <c r="BF531" s="838"/>
    </row>
    <row r="532" spans="1:58" s="88" customFormat="1" ht="54" hidden="1" customHeight="1" x14ac:dyDescent="0.25">
      <c r="A532" s="267" t="s">
        <v>1687</v>
      </c>
      <c r="B532" s="268">
        <v>297</v>
      </c>
      <c r="C532" s="240" t="s">
        <v>2170</v>
      </c>
      <c r="D532" s="211" t="s">
        <v>2171</v>
      </c>
      <c r="E532" s="268" t="s">
        <v>4342</v>
      </c>
      <c r="F532" s="861" t="s">
        <v>4343</v>
      </c>
      <c r="G532" s="269" t="s">
        <v>4344</v>
      </c>
      <c r="H532" s="845" t="s">
        <v>4345</v>
      </c>
      <c r="I532" s="208" t="s">
        <v>4346</v>
      </c>
      <c r="J532" s="240" t="s">
        <v>140</v>
      </c>
      <c r="K532" s="270" t="s">
        <v>140</v>
      </c>
      <c r="L532" s="862" t="s">
        <v>4347</v>
      </c>
      <c r="M532" s="847" t="s">
        <v>973</v>
      </c>
      <c r="N532" s="297" t="s">
        <v>974</v>
      </c>
      <c r="O532" s="240" t="s">
        <v>144</v>
      </c>
      <c r="P532" s="240" t="s">
        <v>144</v>
      </c>
      <c r="Q532" s="845" t="s">
        <v>4348</v>
      </c>
      <c r="R532" s="208" t="s">
        <v>4349</v>
      </c>
      <c r="S532" s="864" t="s">
        <v>746</v>
      </c>
      <c r="T532" s="212" t="s">
        <v>144</v>
      </c>
      <c r="U532" s="213" t="s">
        <v>144</v>
      </c>
      <c r="V532" s="847">
        <v>3</v>
      </c>
      <c r="W532" s="415" t="s">
        <v>144</v>
      </c>
      <c r="X532" s="212">
        <v>41</v>
      </c>
      <c r="Y532" s="212" t="s">
        <v>144</v>
      </c>
      <c r="Z532" s="241" t="s">
        <v>25</v>
      </c>
      <c r="AA532" s="407" t="s">
        <v>4337</v>
      </c>
      <c r="AB532" s="206" t="s">
        <v>140</v>
      </c>
      <c r="AC532" s="847" t="s">
        <v>265</v>
      </c>
      <c r="AD532" s="847" t="s">
        <v>4350</v>
      </c>
      <c r="AE532" s="847" t="s">
        <v>144</v>
      </c>
      <c r="AF532" s="848" t="s">
        <v>144</v>
      </c>
      <c r="AG532" s="838"/>
      <c r="AH532" s="866" t="s">
        <v>4351</v>
      </c>
      <c r="AI532" s="135" t="s">
        <v>4352</v>
      </c>
      <c r="AJ532" s="847">
        <v>6</v>
      </c>
      <c r="AK532" s="878" t="s">
        <v>4353</v>
      </c>
      <c r="AL532" s="867"/>
      <c r="AM532" s="273"/>
      <c r="AN532" s="847"/>
      <c r="AO532" s="848"/>
      <c r="AP532" s="867"/>
      <c r="AQ532" s="273"/>
      <c r="AR532" s="847"/>
      <c r="AS532" s="848"/>
      <c r="AT532" s="867"/>
      <c r="AU532" s="273"/>
      <c r="AV532" s="847"/>
      <c r="AW532" s="848"/>
      <c r="AX532" s="867"/>
      <c r="AY532" s="273"/>
      <c r="AZ532" s="847"/>
      <c r="BA532" s="848"/>
      <c r="BB532" s="866"/>
      <c r="BC532" s="273"/>
      <c r="BD532" s="847"/>
      <c r="BE532" s="848"/>
      <c r="BF532" s="838"/>
    </row>
    <row r="533" spans="1:58" s="88" customFormat="1" ht="54" hidden="1" customHeight="1" x14ac:dyDescent="0.25">
      <c r="A533" s="267" t="s">
        <v>1687</v>
      </c>
      <c r="B533" s="268">
        <v>298</v>
      </c>
      <c r="C533" s="240" t="s">
        <v>2170</v>
      </c>
      <c r="D533" s="211" t="s">
        <v>2171</v>
      </c>
      <c r="E533" s="268" t="s">
        <v>4354</v>
      </c>
      <c r="F533" s="299" t="s">
        <v>4355</v>
      </c>
      <c r="G533" s="269" t="s">
        <v>4356</v>
      </c>
      <c r="H533" s="249" t="s">
        <v>4357</v>
      </c>
      <c r="I533" s="135" t="s">
        <v>4358</v>
      </c>
      <c r="J533" s="296" t="s">
        <v>140</v>
      </c>
      <c r="K533" s="297" t="s">
        <v>140</v>
      </c>
      <c r="L533" s="862" t="s">
        <v>4359</v>
      </c>
      <c r="M533" s="847" t="s">
        <v>973</v>
      </c>
      <c r="N533" s="297" t="s">
        <v>974</v>
      </c>
      <c r="O533" s="240" t="s">
        <v>144</v>
      </c>
      <c r="P533" s="240" t="s">
        <v>144</v>
      </c>
      <c r="Q533" s="845" t="s">
        <v>4360</v>
      </c>
      <c r="R533" s="208" t="s">
        <v>4361</v>
      </c>
      <c r="S533" s="864" t="s">
        <v>746</v>
      </c>
      <c r="T533" s="212" t="s">
        <v>1307</v>
      </c>
      <c r="U533" s="213" t="s">
        <v>1308</v>
      </c>
      <c r="V533" s="847">
        <v>10</v>
      </c>
      <c r="W533" s="415" t="s">
        <v>144</v>
      </c>
      <c r="X533" s="212">
        <v>41</v>
      </c>
      <c r="Y533" s="212" t="s">
        <v>144</v>
      </c>
      <c r="Z533" s="241" t="s">
        <v>29</v>
      </c>
      <c r="AA533" s="407" t="s">
        <v>4362</v>
      </c>
      <c r="AB533" s="206" t="s">
        <v>140</v>
      </c>
      <c r="AC533" s="847" t="s">
        <v>265</v>
      </c>
      <c r="AD533" s="847" t="s">
        <v>4363</v>
      </c>
      <c r="AE533" s="847" t="s">
        <v>144</v>
      </c>
      <c r="AF533" s="848" t="s">
        <v>144</v>
      </c>
      <c r="AG533" s="838"/>
      <c r="AH533" s="911" t="s">
        <v>4364</v>
      </c>
      <c r="AI533" s="608" t="s">
        <v>4365</v>
      </c>
      <c r="AJ533" s="872">
        <v>6</v>
      </c>
      <c r="AK533" s="871" t="s">
        <v>4366</v>
      </c>
      <c r="AL533" s="867"/>
      <c r="AM533" s="273"/>
      <c r="AN533" s="847"/>
      <c r="AO533" s="848"/>
      <c r="AP533" s="867"/>
      <c r="AQ533" s="273"/>
      <c r="AR533" s="847"/>
      <c r="AS533" s="848"/>
      <c r="AT533" s="867"/>
      <c r="AU533" s="273"/>
      <c r="AV533" s="847"/>
      <c r="AW533" s="848"/>
      <c r="AX533" s="867"/>
      <c r="AY533" s="273"/>
      <c r="AZ533" s="847"/>
      <c r="BA533" s="848"/>
      <c r="BB533" s="866"/>
      <c r="BC533" s="273"/>
      <c r="BD533" s="847"/>
      <c r="BE533" s="848"/>
      <c r="BF533" s="838"/>
    </row>
    <row r="534" spans="1:58" s="88" customFormat="1" ht="54" hidden="1" customHeight="1" x14ac:dyDescent="0.25">
      <c r="A534" s="267" t="s">
        <v>1687</v>
      </c>
      <c r="B534" s="268">
        <v>299</v>
      </c>
      <c r="C534" s="240" t="s">
        <v>2170</v>
      </c>
      <c r="D534" s="211" t="s">
        <v>2171</v>
      </c>
      <c r="E534" s="268" t="s">
        <v>4367</v>
      </c>
      <c r="F534" s="861" t="s">
        <v>4368</v>
      </c>
      <c r="G534" s="269" t="s">
        <v>4369</v>
      </c>
      <c r="H534" s="845" t="s">
        <v>4370</v>
      </c>
      <c r="I534" s="208" t="s">
        <v>4371</v>
      </c>
      <c r="J534" s="240" t="s">
        <v>140</v>
      </c>
      <c r="K534" s="270" t="s">
        <v>140</v>
      </c>
      <c r="L534" s="862" t="s">
        <v>4372</v>
      </c>
      <c r="M534" s="206" t="s">
        <v>973</v>
      </c>
      <c r="N534" s="297" t="s">
        <v>974</v>
      </c>
      <c r="O534" s="240" t="s">
        <v>144</v>
      </c>
      <c r="P534" s="240" t="s">
        <v>144</v>
      </c>
      <c r="Q534" s="845" t="s">
        <v>4373</v>
      </c>
      <c r="R534" s="208" t="s">
        <v>4374</v>
      </c>
      <c r="S534" s="864" t="s">
        <v>746</v>
      </c>
      <c r="T534" s="212" t="s">
        <v>1307</v>
      </c>
      <c r="U534" s="213" t="s">
        <v>1308</v>
      </c>
      <c r="V534" s="847">
        <v>10</v>
      </c>
      <c r="W534" s="415" t="s">
        <v>144</v>
      </c>
      <c r="X534" s="212">
        <v>41</v>
      </c>
      <c r="Y534" s="212" t="s">
        <v>144</v>
      </c>
      <c r="Z534" s="450" t="s">
        <v>29</v>
      </c>
      <c r="AA534" s="407" t="s">
        <v>4375</v>
      </c>
      <c r="AB534" s="206" t="s">
        <v>140</v>
      </c>
      <c r="AC534" s="847" t="s">
        <v>265</v>
      </c>
      <c r="AD534" s="847" t="s">
        <v>4226</v>
      </c>
      <c r="AE534" s="847" t="s">
        <v>144</v>
      </c>
      <c r="AF534" s="848" t="s">
        <v>144</v>
      </c>
      <c r="AG534" s="838"/>
      <c r="AH534" s="905" t="s">
        <v>4376</v>
      </c>
      <c r="AI534" s="734" t="s">
        <v>4377</v>
      </c>
      <c r="AJ534" s="427">
        <v>6</v>
      </c>
      <c r="AK534" s="906" t="s">
        <v>4378</v>
      </c>
      <c r="AL534" s="867"/>
      <c r="AM534" s="273"/>
      <c r="AN534" s="847"/>
      <c r="AO534" s="848"/>
      <c r="AP534" s="867"/>
      <c r="AQ534" s="273"/>
      <c r="AR534" s="847"/>
      <c r="AS534" s="848"/>
      <c r="AT534" s="867"/>
      <c r="AU534" s="273"/>
      <c r="AV534" s="847"/>
      <c r="AW534" s="848"/>
      <c r="AX534" s="867"/>
      <c r="AY534" s="273"/>
      <c r="AZ534" s="847"/>
      <c r="BA534" s="848"/>
      <c r="BB534" s="866"/>
      <c r="BC534" s="273"/>
      <c r="BD534" s="847"/>
      <c r="BE534" s="848"/>
      <c r="BF534" s="838"/>
    </row>
    <row r="535" spans="1:58" s="88" customFormat="1" ht="54" hidden="1" customHeight="1" x14ac:dyDescent="0.25">
      <c r="A535" s="267" t="s">
        <v>1687</v>
      </c>
      <c r="B535" s="268">
        <v>300</v>
      </c>
      <c r="C535" s="240" t="s">
        <v>2170</v>
      </c>
      <c r="D535" s="211" t="s">
        <v>2171</v>
      </c>
      <c r="E535" s="268" t="s">
        <v>4379</v>
      </c>
      <c r="F535" s="861" t="s">
        <v>4380</v>
      </c>
      <c r="G535" s="269" t="s">
        <v>4381</v>
      </c>
      <c r="H535" s="249" t="s">
        <v>4382</v>
      </c>
      <c r="I535" s="135" t="s">
        <v>4383</v>
      </c>
      <c r="J535" s="240" t="s">
        <v>140</v>
      </c>
      <c r="K535" s="270" t="s">
        <v>140</v>
      </c>
      <c r="L535" s="862" t="s">
        <v>4384</v>
      </c>
      <c r="M535" s="206" t="s">
        <v>973</v>
      </c>
      <c r="N535" s="297" t="s">
        <v>974</v>
      </c>
      <c r="O535" s="240" t="s">
        <v>144</v>
      </c>
      <c r="P535" s="240" t="s">
        <v>144</v>
      </c>
      <c r="Q535" s="249" t="s">
        <v>4385</v>
      </c>
      <c r="R535" s="135" t="s">
        <v>4386</v>
      </c>
      <c r="S535" s="864" t="s">
        <v>746</v>
      </c>
      <c r="T535" s="212" t="s">
        <v>1307</v>
      </c>
      <c r="U535" s="213" t="s">
        <v>1308</v>
      </c>
      <c r="V535" s="847">
        <v>10</v>
      </c>
      <c r="W535" s="415" t="s">
        <v>144</v>
      </c>
      <c r="X535" s="212">
        <v>41</v>
      </c>
      <c r="Y535" s="212" t="s">
        <v>144</v>
      </c>
      <c r="Z535" s="450" t="s">
        <v>29</v>
      </c>
      <c r="AA535" s="407" t="s">
        <v>4387</v>
      </c>
      <c r="AB535" s="206" t="s">
        <v>140</v>
      </c>
      <c r="AC535" s="847" t="s">
        <v>265</v>
      </c>
      <c r="AD535" s="847" t="s">
        <v>4226</v>
      </c>
      <c r="AE535" s="847" t="s">
        <v>144</v>
      </c>
      <c r="AF535" s="848" t="s">
        <v>144</v>
      </c>
      <c r="AG535" s="838"/>
      <c r="AH535" s="905" t="s">
        <v>4376</v>
      </c>
      <c r="AI535" s="734" t="s">
        <v>4377</v>
      </c>
      <c r="AJ535" s="427">
        <v>6</v>
      </c>
      <c r="AK535" s="906" t="s">
        <v>4378</v>
      </c>
      <c r="AL535" s="867"/>
      <c r="AM535" s="273"/>
      <c r="AN535" s="847"/>
      <c r="AO535" s="848"/>
      <c r="AP535" s="867"/>
      <c r="AQ535" s="273"/>
      <c r="AR535" s="847"/>
      <c r="AS535" s="848"/>
      <c r="AT535" s="867"/>
      <c r="AU535" s="273"/>
      <c r="AV535" s="847"/>
      <c r="AW535" s="848"/>
      <c r="AX535" s="867"/>
      <c r="AY535" s="273"/>
      <c r="AZ535" s="847"/>
      <c r="BA535" s="848"/>
      <c r="BB535" s="866"/>
      <c r="BC535" s="273"/>
      <c r="BD535" s="847"/>
      <c r="BE535" s="848"/>
      <c r="BF535" s="838"/>
    </row>
    <row r="536" spans="1:58" s="88" customFormat="1" ht="54" hidden="1" customHeight="1" x14ac:dyDescent="0.25">
      <c r="A536" s="267" t="s">
        <v>1687</v>
      </c>
      <c r="B536" s="268">
        <v>301</v>
      </c>
      <c r="C536" s="240" t="s">
        <v>4027</v>
      </c>
      <c r="D536" s="211" t="s">
        <v>4028</v>
      </c>
      <c r="E536" s="268" t="s">
        <v>4388</v>
      </c>
      <c r="F536" s="861" t="s">
        <v>4389</v>
      </c>
      <c r="G536" s="269" t="s">
        <v>4390</v>
      </c>
      <c r="H536" s="845" t="s">
        <v>4391</v>
      </c>
      <c r="I536" s="269" t="s">
        <v>4392</v>
      </c>
      <c r="J536" s="296" t="s">
        <v>140</v>
      </c>
      <c r="K536" s="297" t="s">
        <v>140</v>
      </c>
      <c r="L536" s="862" t="s">
        <v>4393</v>
      </c>
      <c r="M536" s="847" t="s">
        <v>973</v>
      </c>
      <c r="N536" s="297" t="s">
        <v>974</v>
      </c>
      <c r="O536" s="240" t="s">
        <v>4394</v>
      </c>
      <c r="P536" s="240" t="s">
        <v>4395</v>
      </c>
      <c r="Q536" s="845" t="s">
        <v>144</v>
      </c>
      <c r="R536" s="208" t="s">
        <v>144</v>
      </c>
      <c r="S536" s="864" t="s">
        <v>147</v>
      </c>
      <c r="T536" s="212" t="s">
        <v>144</v>
      </c>
      <c r="U536" s="213" t="s">
        <v>144</v>
      </c>
      <c r="V536" s="847">
        <v>7</v>
      </c>
      <c r="W536" s="415" t="s">
        <v>144</v>
      </c>
      <c r="X536" s="212">
        <v>41</v>
      </c>
      <c r="Y536" s="212" t="s">
        <v>144</v>
      </c>
      <c r="Z536" s="241" t="s">
        <v>29</v>
      </c>
      <c r="AA536" s="407" t="s">
        <v>4246</v>
      </c>
      <c r="AB536" s="206" t="s">
        <v>140</v>
      </c>
      <c r="AC536" s="847" t="s">
        <v>265</v>
      </c>
      <c r="AD536" s="872" t="s">
        <v>4396</v>
      </c>
      <c r="AE536" s="847" t="s">
        <v>144</v>
      </c>
      <c r="AF536" s="848" t="s">
        <v>144</v>
      </c>
      <c r="AG536" s="838"/>
      <c r="AH536" s="885" t="s">
        <v>4272</v>
      </c>
      <c r="AI536" s="406" t="s">
        <v>4273</v>
      </c>
      <c r="AJ536" s="872">
        <v>6</v>
      </c>
      <c r="AK536" s="731" t="s">
        <v>4397</v>
      </c>
      <c r="AL536" s="867" t="s">
        <v>294</v>
      </c>
      <c r="AM536" s="273" t="s">
        <v>295</v>
      </c>
      <c r="AN536" s="847">
        <v>7</v>
      </c>
      <c r="AO536" s="187" t="s">
        <v>966</v>
      </c>
      <c r="AP536" s="867"/>
      <c r="AQ536" s="273"/>
      <c r="AR536" s="847"/>
      <c r="AS536" s="848"/>
      <c r="AT536" s="867"/>
      <c r="AU536" s="273"/>
      <c r="AV536" s="847"/>
      <c r="AW536" s="848"/>
      <c r="AX536" s="867"/>
      <c r="AY536" s="273"/>
      <c r="AZ536" s="847"/>
      <c r="BA536" s="848"/>
      <c r="BB536" s="866"/>
      <c r="BC536" s="273"/>
      <c r="BD536" s="847"/>
      <c r="BE536" s="848"/>
      <c r="BF536" s="838"/>
    </row>
    <row r="537" spans="1:58" s="88" customFormat="1" ht="54" hidden="1" customHeight="1" x14ac:dyDescent="0.25">
      <c r="A537" s="267" t="s">
        <v>1687</v>
      </c>
      <c r="B537" s="268">
        <v>302</v>
      </c>
      <c r="C537" s="240" t="s">
        <v>4027</v>
      </c>
      <c r="D537" s="211" t="s">
        <v>4028</v>
      </c>
      <c r="E537" s="268" t="s">
        <v>4398</v>
      </c>
      <c r="F537" s="861" t="s">
        <v>4399</v>
      </c>
      <c r="G537" s="269" t="s">
        <v>4400</v>
      </c>
      <c r="H537" s="845" t="s">
        <v>4401</v>
      </c>
      <c r="I537" s="269" t="s">
        <v>4402</v>
      </c>
      <c r="J537" s="296" t="s">
        <v>140</v>
      </c>
      <c r="K537" s="297" t="s">
        <v>140</v>
      </c>
      <c r="L537" s="862" t="s">
        <v>4403</v>
      </c>
      <c r="M537" s="206" t="s">
        <v>193</v>
      </c>
      <c r="N537" s="297" t="s">
        <v>194</v>
      </c>
      <c r="O537" s="240" t="s">
        <v>144</v>
      </c>
      <c r="P537" s="240" t="s">
        <v>144</v>
      </c>
      <c r="Q537" s="845" t="s">
        <v>4404</v>
      </c>
      <c r="R537" s="208" t="s">
        <v>4405</v>
      </c>
      <c r="S537" s="181" t="s">
        <v>233</v>
      </c>
      <c r="T537" s="212" t="s">
        <v>234</v>
      </c>
      <c r="U537" s="213" t="s">
        <v>235</v>
      </c>
      <c r="V537" s="847">
        <v>8</v>
      </c>
      <c r="W537" s="415" t="s">
        <v>144</v>
      </c>
      <c r="X537" s="212">
        <v>41</v>
      </c>
      <c r="Y537" s="212" t="s">
        <v>144</v>
      </c>
      <c r="Z537" s="212" t="s">
        <v>144</v>
      </c>
      <c r="AA537" s="240" t="s">
        <v>4406</v>
      </c>
      <c r="AB537" s="206" t="s">
        <v>140</v>
      </c>
      <c r="AC537" s="847" t="s">
        <v>265</v>
      </c>
      <c r="AD537" s="847" t="s">
        <v>2286</v>
      </c>
      <c r="AE537" s="847" t="s">
        <v>144</v>
      </c>
      <c r="AF537" s="848" t="s">
        <v>144</v>
      </c>
      <c r="AG537" s="838"/>
      <c r="AH537" s="866"/>
      <c r="AI537" s="273"/>
      <c r="AJ537" s="847"/>
      <c r="AK537" s="874"/>
      <c r="AL537" s="867"/>
      <c r="AM537" s="273"/>
      <c r="AN537" s="847"/>
      <c r="AO537" s="848"/>
      <c r="AP537" s="867"/>
      <c r="AQ537" s="273"/>
      <c r="AR537" s="847"/>
      <c r="AS537" s="848"/>
      <c r="AT537" s="867" t="s">
        <v>4407</v>
      </c>
      <c r="AU537" s="273" t="s">
        <v>4408</v>
      </c>
      <c r="AV537" s="847">
        <v>6</v>
      </c>
      <c r="AW537" s="848" t="s">
        <v>4409</v>
      </c>
      <c r="AX537" s="867"/>
      <c r="AY537" s="273"/>
      <c r="AZ537" s="847"/>
      <c r="BA537" s="848"/>
      <c r="BB537" s="866"/>
      <c r="BC537" s="273"/>
      <c r="BD537" s="847"/>
      <c r="BE537" s="848"/>
      <c r="BF537" s="838"/>
    </row>
    <row r="538" spans="1:58" s="88" customFormat="1" ht="54" hidden="1" customHeight="1" x14ac:dyDescent="0.25">
      <c r="A538" s="267" t="s">
        <v>1687</v>
      </c>
      <c r="B538" s="268">
        <v>303</v>
      </c>
      <c r="C538" s="240" t="s">
        <v>4027</v>
      </c>
      <c r="D538" s="211" t="s">
        <v>4028</v>
      </c>
      <c r="E538" s="268" t="s">
        <v>4410</v>
      </c>
      <c r="F538" s="861" t="s">
        <v>4411</v>
      </c>
      <c r="G538" s="269" t="s">
        <v>4412</v>
      </c>
      <c r="H538" s="861" t="s">
        <v>4411</v>
      </c>
      <c r="I538" s="269" t="s">
        <v>4412</v>
      </c>
      <c r="J538" s="296" t="s">
        <v>140</v>
      </c>
      <c r="K538" s="297" t="s">
        <v>140</v>
      </c>
      <c r="L538" s="862" t="s">
        <v>4413</v>
      </c>
      <c r="M538" s="847" t="s">
        <v>973</v>
      </c>
      <c r="N538" s="297" t="s">
        <v>974</v>
      </c>
      <c r="O538" s="240" t="s">
        <v>144</v>
      </c>
      <c r="P538" s="240" t="s">
        <v>144</v>
      </c>
      <c r="Q538" s="845" t="s">
        <v>144</v>
      </c>
      <c r="R538" s="208" t="s">
        <v>144</v>
      </c>
      <c r="S538" s="864" t="s">
        <v>746</v>
      </c>
      <c r="T538" s="212" t="s">
        <v>1104</v>
      </c>
      <c r="U538" s="213" t="s">
        <v>1105</v>
      </c>
      <c r="V538" s="847">
        <v>19</v>
      </c>
      <c r="W538" s="415" t="s">
        <v>144</v>
      </c>
      <c r="X538" s="212">
        <v>41</v>
      </c>
      <c r="Y538" s="212" t="s">
        <v>144</v>
      </c>
      <c r="Z538" s="212" t="s">
        <v>144</v>
      </c>
      <c r="AA538" s="240" t="s">
        <v>1159</v>
      </c>
      <c r="AB538" s="206" t="s">
        <v>140</v>
      </c>
      <c r="AC538" s="847" t="s">
        <v>265</v>
      </c>
      <c r="AD538" s="847" t="s">
        <v>2205</v>
      </c>
      <c r="AE538" s="847" t="s">
        <v>144</v>
      </c>
      <c r="AF538" s="848" t="s">
        <v>144</v>
      </c>
      <c r="AG538" s="838"/>
      <c r="AH538" s="866" t="s">
        <v>4414</v>
      </c>
      <c r="AI538" s="273" t="s">
        <v>4415</v>
      </c>
      <c r="AJ538" s="847">
        <v>5</v>
      </c>
      <c r="AK538" s="878" t="s">
        <v>4416</v>
      </c>
      <c r="AL538" s="867"/>
      <c r="AM538" s="273"/>
      <c r="AN538" s="847"/>
      <c r="AO538" s="848"/>
      <c r="AP538" s="867" t="s">
        <v>1107</v>
      </c>
      <c r="AQ538" s="273" t="s">
        <v>1108</v>
      </c>
      <c r="AR538" s="847">
        <v>7</v>
      </c>
      <c r="AS538" s="286" t="s">
        <v>1109</v>
      </c>
      <c r="AT538" s="867"/>
      <c r="AU538" s="273"/>
      <c r="AV538" s="847"/>
      <c r="AW538" s="848"/>
      <c r="AX538" s="867"/>
      <c r="AY538" s="273"/>
      <c r="AZ538" s="847"/>
      <c r="BA538" s="848"/>
      <c r="BB538" s="866"/>
      <c r="BC538" s="273"/>
      <c r="BD538" s="847"/>
      <c r="BE538" s="848"/>
      <c r="BF538" s="838"/>
    </row>
    <row r="539" spans="1:58" s="88" customFormat="1" ht="54" hidden="1" customHeight="1" x14ac:dyDescent="0.25">
      <c r="A539" s="267" t="s">
        <v>1687</v>
      </c>
      <c r="B539" s="268">
        <v>304</v>
      </c>
      <c r="C539" s="240" t="s">
        <v>4027</v>
      </c>
      <c r="D539" s="211" t="s">
        <v>4028</v>
      </c>
      <c r="E539" s="268" t="s">
        <v>4417</v>
      </c>
      <c r="F539" s="861" t="s">
        <v>4418</v>
      </c>
      <c r="G539" s="269" t="s">
        <v>4419</v>
      </c>
      <c r="H539" s="845" t="s">
        <v>4418</v>
      </c>
      <c r="I539" s="269" t="s">
        <v>4419</v>
      </c>
      <c r="J539" s="296" t="s">
        <v>140</v>
      </c>
      <c r="K539" s="297" t="s">
        <v>140</v>
      </c>
      <c r="L539" s="862" t="s">
        <v>4420</v>
      </c>
      <c r="M539" s="847" t="s">
        <v>973</v>
      </c>
      <c r="N539" s="297" t="s">
        <v>974</v>
      </c>
      <c r="O539" s="240" t="s">
        <v>814</v>
      </c>
      <c r="P539" s="240" t="s">
        <v>815</v>
      </c>
      <c r="Q539" s="845" t="s">
        <v>144</v>
      </c>
      <c r="R539" s="208" t="s">
        <v>144</v>
      </c>
      <c r="S539" s="864" t="s">
        <v>147</v>
      </c>
      <c r="T539" s="212" t="s">
        <v>144</v>
      </c>
      <c r="U539" s="213" t="s">
        <v>144</v>
      </c>
      <c r="V539" s="847">
        <v>3</v>
      </c>
      <c r="W539" s="415" t="s">
        <v>144</v>
      </c>
      <c r="X539" s="212">
        <v>41</v>
      </c>
      <c r="Y539" s="212" t="s">
        <v>144</v>
      </c>
      <c r="Z539" s="212" t="s">
        <v>144</v>
      </c>
      <c r="AA539" s="240" t="s">
        <v>1159</v>
      </c>
      <c r="AB539" s="206" t="s">
        <v>140</v>
      </c>
      <c r="AC539" s="847" t="s">
        <v>265</v>
      </c>
      <c r="AD539" s="847" t="s">
        <v>2286</v>
      </c>
      <c r="AE539" s="847" t="s">
        <v>144</v>
      </c>
      <c r="AF539" s="848" t="s">
        <v>144</v>
      </c>
      <c r="AG539" s="838"/>
      <c r="AH539" s="866" t="s">
        <v>4421</v>
      </c>
      <c r="AI539" s="273" t="s">
        <v>4422</v>
      </c>
      <c r="AJ539" s="847">
        <v>7</v>
      </c>
      <c r="AK539" s="878" t="s">
        <v>1280</v>
      </c>
      <c r="AL539" s="867" t="s">
        <v>294</v>
      </c>
      <c r="AM539" s="273" t="s">
        <v>295</v>
      </c>
      <c r="AN539" s="847">
        <v>7</v>
      </c>
      <c r="AO539" s="187" t="s">
        <v>966</v>
      </c>
      <c r="AP539" s="867"/>
      <c r="AQ539" s="273"/>
      <c r="AR539" s="847"/>
      <c r="AS539" s="848"/>
      <c r="AT539" s="867"/>
      <c r="AU539" s="273"/>
      <c r="AV539" s="847"/>
      <c r="AW539" s="848"/>
      <c r="AX539" s="867"/>
      <c r="AY539" s="273"/>
      <c r="AZ539" s="847"/>
      <c r="BA539" s="848"/>
      <c r="BB539" s="866"/>
      <c r="BC539" s="273"/>
      <c r="BD539" s="847"/>
      <c r="BE539" s="848"/>
      <c r="BF539" s="838"/>
    </row>
    <row r="540" spans="1:58" s="88" customFormat="1" ht="54" hidden="1" customHeight="1" x14ac:dyDescent="0.25">
      <c r="A540" s="267" t="s">
        <v>1687</v>
      </c>
      <c r="B540" s="268">
        <v>305</v>
      </c>
      <c r="C540" s="240" t="s">
        <v>4027</v>
      </c>
      <c r="D540" s="211" t="s">
        <v>4028</v>
      </c>
      <c r="E540" s="268" t="s">
        <v>4423</v>
      </c>
      <c r="F540" s="861" t="s">
        <v>4424</v>
      </c>
      <c r="G540" s="269" t="s">
        <v>4425</v>
      </c>
      <c r="H540" s="861" t="s">
        <v>4426</v>
      </c>
      <c r="I540" s="269" t="s">
        <v>4427</v>
      </c>
      <c r="J540" s="296" t="s">
        <v>140</v>
      </c>
      <c r="K540" s="297" t="s">
        <v>140</v>
      </c>
      <c r="L540" s="862" t="s">
        <v>4428</v>
      </c>
      <c r="M540" s="847" t="s">
        <v>193</v>
      </c>
      <c r="N540" s="297" t="s">
        <v>194</v>
      </c>
      <c r="O540" s="240" t="s">
        <v>144</v>
      </c>
      <c r="P540" s="240" t="s">
        <v>144</v>
      </c>
      <c r="Q540" s="845" t="s">
        <v>144</v>
      </c>
      <c r="R540" s="208" t="s">
        <v>144</v>
      </c>
      <c r="S540" s="864" t="s">
        <v>746</v>
      </c>
      <c r="T540" s="212" t="s">
        <v>1104</v>
      </c>
      <c r="U540" s="213" t="s">
        <v>1105</v>
      </c>
      <c r="V540" s="847">
        <v>19</v>
      </c>
      <c r="W540" s="415" t="s">
        <v>144</v>
      </c>
      <c r="X540" s="212">
        <v>41</v>
      </c>
      <c r="Y540" s="212" t="s">
        <v>144</v>
      </c>
      <c r="Z540" s="212" t="s">
        <v>144</v>
      </c>
      <c r="AA540" s="240" t="s">
        <v>4406</v>
      </c>
      <c r="AB540" s="206" t="s">
        <v>140</v>
      </c>
      <c r="AC540" s="847" t="s">
        <v>265</v>
      </c>
      <c r="AD540" s="847" t="s">
        <v>4305</v>
      </c>
      <c r="AE540" s="847" t="s">
        <v>144</v>
      </c>
      <c r="AF540" s="848" t="s">
        <v>144</v>
      </c>
      <c r="AG540" s="838"/>
      <c r="AH540" s="339"/>
      <c r="AI540" s="313"/>
      <c r="AJ540" s="289"/>
      <c r="AK540" s="874"/>
      <c r="AL540" s="867"/>
      <c r="AM540" s="273"/>
      <c r="AN540" s="847"/>
      <c r="AO540" s="848"/>
      <c r="AP540" s="867" t="s">
        <v>1107</v>
      </c>
      <c r="AQ540" s="273" t="s">
        <v>1108</v>
      </c>
      <c r="AR540" s="847">
        <v>7</v>
      </c>
      <c r="AS540" s="286" t="s">
        <v>1109</v>
      </c>
      <c r="AT540" s="867"/>
      <c r="AU540" s="273"/>
      <c r="AV540" s="847"/>
      <c r="AW540" s="848"/>
      <c r="AX540" s="867"/>
      <c r="AY540" s="273"/>
      <c r="AZ540" s="847"/>
      <c r="BA540" s="848"/>
      <c r="BB540" s="866"/>
      <c r="BC540" s="273"/>
      <c r="BD540" s="847"/>
      <c r="BE540" s="848"/>
      <c r="BF540" s="838"/>
    </row>
    <row r="541" spans="1:58" s="88" customFormat="1" ht="54" hidden="1" customHeight="1" x14ac:dyDescent="0.25">
      <c r="A541" s="267" t="s">
        <v>1687</v>
      </c>
      <c r="B541" s="268">
        <v>306</v>
      </c>
      <c r="C541" s="240" t="s">
        <v>4027</v>
      </c>
      <c r="D541" s="211" t="s">
        <v>4028</v>
      </c>
      <c r="E541" s="268" t="s">
        <v>4429</v>
      </c>
      <c r="F541" s="861" t="s">
        <v>4430</v>
      </c>
      <c r="G541" s="269" t="s">
        <v>4431</v>
      </c>
      <c r="H541" s="845" t="s">
        <v>4432</v>
      </c>
      <c r="I541" s="269" t="s">
        <v>4433</v>
      </c>
      <c r="J541" s="296" t="s">
        <v>140</v>
      </c>
      <c r="K541" s="297" t="s">
        <v>140</v>
      </c>
      <c r="L541" s="862" t="s">
        <v>4434</v>
      </c>
      <c r="M541" s="847" t="s">
        <v>973</v>
      </c>
      <c r="N541" s="297" t="s">
        <v>974</v>
      </c>
      <c r="O541" s="240" t="s">
        <v>814</v>
      </c>
      <c r="P541" s="240" t="s">
        <v>815</v>
      </c>
      <c r="Q541" s="845" t="s">
        <v>144</v>
      </c>
      <c r="R541" s="208" t="s">
        <v>144</v>
      </c>
      <c r="S541" s="864" t="s">
        <v>147</v>
      </c>
      <c r="T541" s="212" t="s">
        <v>144</v>
      </c>
      <c r="U541" s="213" t="s">
        <v>144</v>
      </c>
      <c r="V541" s="847">
        <v>3</v>
      </c>
      <c r="W541" s="415" t="s">
        <v>144</v>
      </c>
      <c r="X541" s="212">
        <v>41</v>
      </c>
      <c r="Y541" s="212" t="s">
        <v>144</v>
      </c>
      <c r="Z541" s="212" t="s">
        <v>144</v>
      </c>
      <c r="AA541" s="240" t="s">
        <v>4406</v>
      </c>
      <c r="AB541" s="206" t="s">
        <v>140</v>
      </c>
      <c r="AC541" s="847" t="s">
        <v>265</v>
      </c>
      <c r="AD541" s="847" t="s">
        <v>4305</v>
      </c>
      <c r="AE541" s="847" t="s">
        <v>144</v>
      </c>
      <c r="AF541" s="848" t="s">
        <v>144</v>
      </c>
      <c r="AG541" s="838"/>
      <c r="AH541" s="866" t="s">
        <v>4435</v>
      </c>
      <c r="AI541" s="273" t="s">
        <v>4436</v>
      </c>
      <c r="AJ541" s="847">
        <v>7</v>
      </c>
      <c r="AK541" s="878" t="s">
        <v>1280</v>
      </c>
      <c r="AL541" s="867" t="s">
        <v>294</v>
      </c>
      <c r="AM541" s="273" t="s">
        <v>295</v>
      </c>
      <c r="AN541" s="847">
        <v>7</v>
      </c>
      <c r="AO541" s="187" t="s">
        <v>966</v>
      </c>
      <c r="AP541" s="867"/>
      <c r="AQ541" s="273"/>
      <c r="AR541" s="847"/>
      <c r="AS541" s="848"/>
      <c r="AT541" s="867"/>
      <c r="AU541" s="273"/>
      <c r="AV541" s="847"/>
      <c r="AW541" s="848"/>
      <c r="AX541" s="867"/>
      <c r="AY541" s="273"/>
      <c r="AZ541" s="847"/>
      <c r="BA541" s="848"/>
      <c r="BB541" s="866"/>
      <c r="BC541" s="273"/>
      <c r="BD541" s="847"/>
      <c r="BE541" s="848"/>
      <c r="BF541" s="838"/>
    </row>
    <row r="542" spans="1:58" s="88" customFormat="1" ht="54" hidden="1" customHeight="1" x14ac:dyDescent="0.25">
      <c r="A542" s="267" t="s">
        <v>1687</v>
      </c>
      <c r="B542" s="268">
        <v>307</v>
      </c>
      <c r="C542" s="240" t="s">
        <v>4027</v>
      </c>
      <c r="D542" s="211" t="s">
        <v>4028</v>
      </c>
      <c r="E542" s="268" t="s">
        <v>4437</v>
      </c>
      <c r="F542" s="861" t="s">
        <v>4438</v>
      </c>
      <c r="G542" s="269" t="s">
        <v>4439</v>
      </c>
      <c r="H542" s="861" t="s">
        <v>4440</v>
      </c>
      <c r="I542" s="269" t="s">
        <v>4441</v>
      </c>
      <c r="J542" s="296" t="s">
        <v>140</v>
      </c>
      <c r="K542" s="297" t="s">
        <v>140</v>
      </c>
      <c r="L542" s="862" t="s">
        <v>4442</v>
      </c>
      <c r="M542" s="847" t="s">
        <v>973</v>
      </c>
      <c r="N542" s="297" t="s">
        <v>974</v>
      </c>
      <c r="O542" s="240" t="s">
        <v>4443</v>
      </c>
      <c r="P542" s="240" t="s">
        <v>4444</v>
      </c>
      <c r="Q542" s="845" t="s">
        <v>144</v>
      </c>
      <c r="R542" s="208" t="s">
        <v>144</v>
      </c>
      <c r="S542" s="864" t="s">
        <v>147</v>
      </c>
      <c r="T542" s="212" t="s">
        <v>144</v>
      </c>
      <c r="U542" s="213" t="s">
        <v>144</v>
      </c>
      <c r="V542" s="847">
        <v>1</v>
      </c>
      <c r="W542" s="415" t="s">
        <v>144</v>
      </c>
      <c r="X542" s="212">
        <v>41</v>
      </c>
      <c r="Y542" s="212" t="s">
        <v>144</v>
      </c>
      <c r="Z542" s="252" t="s">
        <v>144</v>
      </c>
      <c r="AA542" s="240" t="s">
        <v>398</v>
      </c>
      <c r="AB542" s="206" t="s">
        <v>140</v>
      </c>
      <c r="AC542" s="847" t="s">
        <v>265</v>
      </c>
      <c r="AD542" s="847" t="s">
        <v>1968</v>
      </c>
      <c r="AE542" s="847" t="s">
        <v>144</v>
      </c>
      <c r="AF542" s="848" t="s">
        <v>144</v>
      </c>
      <c r="AG542" s="838"/>
      <c r="AH542" s="866" t="s">
        <v>4445</v>
      </c>
      <c r="AI542" s="273" t="s">
        <v>4446</v>
      </c>
      <c r="AJ542" s="847">
        <v>6</v>
      </c>
      <c r="AK542" s="878" t="s">
        <v>4447</v>
      </c>
      <c r="AL542" s="867" t="s">
        <v>294</v>
      </c>
      <c r="AM542" s="273" t="s">
        <v>295</v>
      </c>
      <c r="AN542" s="847">
        <v>7</v>
      </c>
      <c r="AO542" s="187" t="s">
        <v>966</v>
      </c>
      <c r="AP542" s="867"/>
      <c r="AQ542" s="273"/>
      <c r="AR542" s="847"/>
      <c r="AS542" s="848"/>
      <c r="AT542" s="867"/>
      <c r="AU542" s="273"/>
      <c r="AV542" s="847"/>
      <c r="AW542" s="848"/>
      <c r="AX542" s="867"/>
      <c r="AY542" s="273"/>
      <c r="AZ542" s="847"/>
      <c r="BA542" s="848"/>
      <c r="BB542" s="866"/>
      <c r="BC542" s="273"/>
      <c r="BD542" s="847"/>
      <c r="BE542" s="848"/>
      <c r="BF542" s="838"/>
    </row>
    <row r="543" spans="1:58" s="88" customFormat="1" ht="54" hidden="1" customHeight="1" x14ac:dyDescent="0.25">
      <c r="A543" s="267" t="s">
        <v>1687</v>
      </c>
      <c r="B543" s="268">
        <v>308</v>
      </c>
      <c r="C543" s="240" t="s">
        <v>4027</v>
      </c>
      <c r="D543" s="211" t="s">
        <v>4028</v>
      </c>
      <c r="E543" s="268" t="s">
        <v>4448</v>
      </c>
      <c r="F543" s="861" t="s">
        <v>4449</v>
      </c>
      <c r="G543" s="269" t="s">
        <v>4450</v>
      </c>
      <c r="H543" s="845" t="s">
        <v>4451</v>
      </c>
      <c r="I543" s="269" t="s">
        <v>4452</v>
      </c>
      <c r="J543" s="296" t="s">
        <v>140</v>
      </c>
      <c r="K543" s="297" t="s">
        <v>140</v>
      </c>
      <c r="L543" s="862" t="s">
        <v>4453</v>
      </c>
      <c r="M543" s="847" t="s">
        <v>973</v>
      </c>
      <c r="N543" s="297" t="s">
        <v>974</v>
      </c>
      <c r="O543" s="240" t="s">
        <v>144</v>
      </c>
      <c r="P543" s="240" t="s">
        <v>144</v>
      </c>
      <c r="Q543" s="845" t="s">
        <v>144</v>
      </c>
      <c r="R543" s="208" t="s">
        <v>144</v>
      </c>
      <c r="S543" s="181" t="s">
        <v>233</v>
      </c>
      <c r="T543" s="212" t="s">
        <v>234</v>
      </c>
      <c r="U543" s="213" t="s">
        <v>235</v>
      </c>
      <c r="V543" s="847">
        <v>8</v>
      </c>
      <c r="W543" s="415" t="s">
        <v>144</v>
      </c>
      <c r="X543" s="212">
        <v>41</v>
      </c>
      <c r="Y543" s="212" t="s">
        <v>144</v>
      </c>
      <c r="Z543" s="212" t="s">
        <v>144</v>
      </c>
      <c r="AA543" s="240" t="s">
        <v>4454</v>
      </c>
      <c r="AB543" s="206" t="s">
        <v>140</v>
      </c>
      <c r="AC543" s="847" t="s">
        <v>265</v>
      </c>
      <c r="AD543" s="847" t="s">
        <v>4305</v>
      </c>
      <c r="AE543" s="847" t="s">
        <v>144</v>
      </c>
      <c r="AF543" s="848" t="s">
        <v>144</v>
      </c>
      <c r="AG543" s="838"/>
      <c r="AH543" s="866" t="s">
        <v>4455</v>
      </c>
      <c r="AI543" s="273" t="s">
        <v>4456</v>
      </c>
      <c r="AJ543" s="847">
        <v>6</v>
      </c>
      <c r="AK543" s="878" t="s">
        <v>4457</v>
      </c>
      <c r="AL543" s="867"/>
      <c r="AM543" s="273"/>
      <c r="AN543" s="847"/>
      <c r="AO543" s="848"/>
      <c r="AP543" s="867" t="s">
        <v>1160</v>
      </c>
      <c r="AQ543" s="273" t="s">
        <v>1161</v>
      </c>
      <c r="AR543" s="847">
        <v>7</v>
      </c>
      <c r="AS543" s="848" t="s">
        <v>1162</v>
      </c>
      <c r="AT543" s="867"/>
      <c r="AU543" s="273"/>
      <c r="AV543" s="847"/>
      <c r="AW543" s="848"/>
      <c r="AX543" s="867"/>
      <c r="AY543" s="273"/>
      <c r="AZ543" s="847"/>
      <c r="BA543" s="848"/>
      <c r="BB543" s="866"/>
      <c r="BC543" s="273"/>
      <c r="BD543" s="847"/>
      <c r="BE543" s="848"/>
      <c r="BF543" s="838"/>
    </row>
    <row r="544" spans="1:58" s="88" customFormat="1" ht="54" hidden="1" customHeight="1" x14ac:dyDescent="0.25">
      <c r="A544" s="267" t="s">
        <v>1687</v>
      </c>
      <c r="B544" s="268">
        <v>309</v>
      </c>
      <c r="C544" s="240" t="s">
        <v>4027</v>
      </c>
      <c r="D544" s="211" t="s">
        <v>4028</v>
      </c>
      <c r="E544" s="268" t="s">
        <v>4458</v>
      </c>
      <c r="F544" s="861" t="s">
        <v>4459</v>
      </c>
      <c r="G544" s="269" t="s">
        <v>4460</v>
      </c>
      <c r="H544" s="845" t="s">
        <v>4459</v>
      </c>
      <c r="I544" s="269" t="s">
        <v>4460</v>
      </c>
      <c r="J544" s="296" t="s">
        <v>140</v>
      </c>
      <c r="K544" s="297" t="s">
        <v>140</v>
      </c>
      <c r="L544" s="862" t="s">
        <v>4461</v>
      </c>
      <c r="M544" s="847" t="s">
        <v>193</v>
      </c>
      <c r="N544" s="297" t="s">
        <v>194</v>
      </c>
      <c r="O544" s="240" t="s">
        <v>144</v>
      </c>
      <c r="P544" s="240" t="s">
        <v>144</v>
      </c>
      <c r="Q544" s="845" t="s">
        <v>144</v>
      </c>
      <c r="R544" s="208" t="s">
        <v>144</v>
      </c>
      <c r="S544" s="181" t="s">
        <v>233</v>
      </c>
      <c r="T544" s="212" t="s">
        <v>234</v>
      </c>
      <c r="U544" s="213" t="s">
        <v>235</v>
      </c>
      <c r="V544" s="847">
        <v>8</v>
      </c>
      <c r="W544" s="415" t="s">
        <v>144</v>
      </c>
      <c r="X544" s="212">
        <v>41</v>
      </c>
      <c r="Y544" s="212" t="s">
        <v>144</v>
      </c>
      <c r="Z544" s="212" t="s">
        <v>144</v>
      </c>
      <c r="AA544" s="240" t="s">
        <v>398</v>
      </c>
      <c r="AB544" s="206" t="s">
        <v>140</v>
      </c>
      <c r="AC544" s="847" t="s">
        <v>265</v>
      </c>
      <c r="AD544" s="847" t="s">
        <v>4305</v>
      </c>
      <c r="AE544" s="847" t="s">
        <v>144</v>
      </c>
      <c r="AF544" s="848" t="s">
        <v>144</v>
      </c>
      <c r="AG544" s="838"/>
      <c r="AH544" s="866"/>
      <c r="AI544" s="273"/>
      <c r="AJ544" s="847"/>
      <c r="AK544" s="874"/>
      <c r="AL544" s="867"/>
      <c r="AM544" s="273"/>
      <c r="AN544" s="847"/>
      <c r="AO544" s="848"/>
      <c r="AP544" s="867" t="s">
        <v>1160</v>
      </c>
      <c r="AQ544" s="273" t="s">
        <v>1161</v>
      </c>
      <c r="AR544" s="847">
        <v>7</v>
      </c>
      <c r="AS544" s="848" t="s">
        <v>1162</v>
      </c>
      <c r="AT544" s="867" t="s">
        <v>4462</v>
      </c>
      <c r="AU544" s="273" t="s">
        <v>4463</v>
      </c>
      <c r="AV544" s="847">
        <v>6</v>
      </c>
      <c r="AW544" s="286" t="s">
        <v>4464</v>
      </c>
      <c r="AX544" s="867"/>
      <c r="AY544" s="273"/>
      <c r="AZ544" s="847"/>
      <c r="BA544" s="848"/>
      <c r="BB544" s="866"/>
      <c r="BC544" s="273"/>
      <c r="BD544" s="847"/>
      <c r="BE544" s="848"/>
      <c r="BF544" s="838"/>
    </row>
    <row r="545" spans="1:58" s="88" customFormat="1" ht="54" hidden="1" customHeight="1" x14ac:dyDescent="0.25">
      <c r="A545" s="267" t="s">
        <v>1687</v>
      </c>
      <c r="B545" s="268">
        <v>310</v>
      </c>
      <c r="C545" s="240" t="s">
        <v>4027</v>
      </c>
      <c r="D545" s="211" t="s">
        <v>4028</v>
      </c>
      <c r="E545" s="268" t="s">
        <v>4465</v>
      </c>
      <c r="F545" s="861" t="s">
        <v>4466</v>
      </c>
      <c r="G545" s="269" t="s">
        <v>4467</v>
      </c>
      <c r="H545" s="861" t="s">
        <v>4466</v>
      </c>
      <c r="I545" s="269" t="s">
        <v>4467</v>
      </c>
      <c r="J545" s="296" t="s">
        <v>140</v>
      </c>
      <c r="K545" s="297" t="s">
        <v>140</v>
      </c>
      <c r="L545" s="862" t="s">
        <v>4468</v>
      </c>
      <c r="M545" s="847" t="s">
        <v>973</v>
      </c>
      <c r="N545" s="297" t="s">
        <v>974</v>
      </c>
      <c r="O545" s="240" t="s">
        <v>144</v>
      </c>
      <c r="P545" s="240" t="s">
        <v>144</v>
      </c>
      <c r="Q545" s="845" t="s">
        <v>144</v>
      </c>
      <c r="R545" s="208" t="s">
        <v>144</v>
      </c>
      <c r="S545" s="864" t="s">
        <v>746</v>
      </c>
      <c r="T545" s="212" t="s">
        <v>1104</v>
      </c>
      <c r="U545" s="213" t="s">
        <v>1105</v>
      </c>
      <c r="V545" s="847">
        <v>19</v>
      </c>
      <c r="W545" s="415" t="s">
        <v>144</v>
      </c>
      <c r="X545" s="212">
        <v>41</v>
      </c>
      <c r="Y545" s="212" t="s">
        <v>144</v>
      </c>
      <c r="Z545" s="212" t="s">
        <v>144</v>
      </c>
      <c r="AA545" s="240" t="s">
        <v>398</v>
      </c>
      <c r="AB545" s="206" t="s">
        <v>140</v>
      </c>
      <c r="AC545" s="847" t="s">
        <v>265</v>
      </c>
      <c r="AD545" s="847" t="s">
        <v>4305</v>
      </c>
      <c r="AE545" s="847" t="s">
        <v>144</v>
      </c>
      <c r="AF545" s="848" t="s">
        <v>144</v>
      </c>
      <c r="AG545" s="838"/>
      <c r="AH545" s="866" t="s">
        <v>4469</v>
      </c>
      <c r="AI545" s="273" t="s">
        <v>4470</v>
      </c>
      <c r="AJ545" s="847">
        <v>6</v>
      </c>
      <c r="AK545" s="878" t="s">
        <v>4471</v>
      </c>
      <c r="AL545" s="867"/>
      <c r="AM545" s="273"/>
      <c r="AN545" s="847"/>
      <c r="AO545" s="848"/>
      <c r="AP545" s="867" t="s">
        <v>1107</v>
      </c>
      <c r="AQ545" s="273" t="s">
        <v>1108</v>
      </c>
      <c r="AR545" s="847">
        <v>7</v>
      </c>
      <c r="AS545" s="286" t="s">
        <v>1109</v>
      </c>
      <c r="AT545" s="867"/>
      <c r="AU545" s="273"/>
      <c r="AV545" s="847"/>
      <c r="AW545" s="848"/>
      <c r="AX545" s="867"/>
      <c r="AY545" s="273"/>
      <c r="AZ545" s="847"/>
      <c r="BA545" s="848"/>
      <c r="BB545" s="866"/>
      <c r="BC545" s="273"/>
      <c r="BD545" s="847"/>
      <c r="BE545" s="848"/>
      <c r="BF545" s="838"/>
    </row>
    <row r="546" spans="1:58" s="88" customFormat="1" ht="54" hidden="1" customHeight="1" x14ac:dyDescent="0.25">
      <c r="A546" s="267" t="s">
        <v>1687</v>
      </c>
      <c r="B546" s="268">
        <v>311</v>
      </c>
      <c r="C546" s="240" t="s">
        <v>4027</v>
      </c>
      <c r="D546" s="211" t="s">
        <v>4028</v>
      </c>
      <c r="E546" s="268" t="s">
        <v>4472</v>
      </c>
      <c r="F546" s="861" t="s">
        <v>4473</v>
      </c>
      <c r="G546" s="269" t="s">
        <v>4474</v>
      </c>
      <c r="H546" s="845" t="s">
        <v>4475</v>
      </c>
      <c r="I546" s="269" t="s">
        <v>4476</v>
      </c>
      <c r="J546" s="296" t="s">
        <v>140</v>
      </c>
      <c r="K546" s="297" t="s">
        <v>140</v>
      </c>
      <c r="L546" s="862" t="s">
        <v>4477</v>
      </c>
      <c r="M546" s="847" t="s">
        <v>973</v>
      </c>
      <c r="N546" s="297" t="s">
        <v>974</v>
      </c>
      <c r="O546" s="240" t="s">
        <v>814</v>
      </c>
      <c r="P546" s="240" t="s">
        <v>815</v>
      </c>
      <c r="Q546" s="845" t="s">
        <v>144</v>
      </c>
      <c r="R546" s="208" t="s">
        <v>144</v>
      </c>
      <c r="S546" s="864" t="s">
        <v>147</v>
      </c>
      <c r="T546" s="212" t="s">
        <v>144</v>
      </c>
      <c r="U546" s="213" t="s">
        <v>144</v>
      </c>
      <c r="V546" s="847">
        <v>3</v>
      </c>
      <c r="W546" s="415" t="s">
        <v>144</v>
      </c>
      <c r="X546" s="212">
        <v>41</v>
      </c>
      <c r="Y546" s="212" t="s">
        <v>144</v>
      </c>
      <c r="Z546" s="212" t="s">
        <v>144</v>
      </c>
      <c r="AA546" s="240" t="s">
        <v>398</v>
      </c>
      <c r="AB546" s="206" t="s">
        <v>140</v>
      </c>
      <c r="AC546" s="847" t="s">
        <v>265</v>
      </c>
      <c r="AD546" s="847" t="s">
        <v>4305</v>
      </c>
      <c r="AE546" s="847" t="s">
        <v>144</v>
      </c>
      <c r="AF546" s="848" t="s">
        <v>144</v>
      </c>
      <c r="AG546" s="838"/>
      <c r="AH546" s="866" t="s">
        <v>4478</v>
      </c>
      <c r="AI546" s="273" t="s">
        <v>4479</v>
      </c>
      <c r="AJ546" s="847">
        <v>7</v>
      </c>
      <c r="AK546" s="878" t="s">
        <v>1280</v>
      </c>
      <c r="AL546" s="867" t="s">
        <v>294</v>
      </c>
      <c r="AM546" s="273" t="s">
        <v>295</v>
      </c>
      <c r="AN546" s="847">
        <v>7</v>
      </c>
      <c r="AO546" s="187" t="s">
        <v>966</v>
      </c>
      <c r="AP546" s="867"/>
      <c r="AQ546" s="273"/>
      <c r="AR546" s="847"/>
      <c r="AS546" s="848"/>
      <c r="AT546" s="867"/>
      <c r="AU546" s="273"/>
      <c r="AV546" s="847"/>
      <c r="AW546" s="848"/>
      <c r="AX546" s="867"/>
      <c r="AY546" s="273"/>
      <c r="AZ546" s="847"/>
      <c r="BA546" s="848"/>
      <c r="BB546" s="866"/>
      <c r="BC546" s="273"/>
      <c r="BD546" s="847"/>
      <c r="BE546" s="848"/>
      <c r="BF546" s="838"/>
    </row>
    <row r="547" spans="1:58" s="88" customFormat="1" ht="54" hidden="1" customHeight="1" x14ac:dyDescent="0.25">
      <c r="A547" s="267" t="s">
        <v>1687</v>
      </c>
      <c r="B547" s="268">
        <v>312</v>
      </c>
      <c r="C547" s="240" t="s">
        <v>4027</v>
      </c>
      <c r="D547" s="211" t="s">
        <v>4028</v>
      </c>
      <c r="E547" s="268" t="s">
        <v>4480</v>
      </c>
      <c r="F547" s="861" t="s">
        <v>4481</v>
      </c>
      <c r="G547" s="269" t="s">
        <v>4482</v>
      </c>
      <c r="H547" s="845" t="s">
        <v>4483</v>
      </c>
      <c r="I547" s="269" t="s">
        <v>4484</v>
      </c>
      <c r="J547" s="296" t="s">
        <v>140</v>
      </c>
      <c r="K547" s="297" t="s">
        <v>140</v>
      </c>
      <c r="L547" s="862" t="s">
        <v>4485</v>
      </c>
      <c r="M547" s="847" t="s">
        <v>193</v>
      </c>
      <c r="N547" s="297" t="s">
        <v>194</v>
      </c>
      <c r="O547" s="240" t="s">
        <v>144</v>
      </c>
      <c r="P547" s="240" t="s">
        <v>144</v>
      </c>
      <c r="Q547" s="845" t="s">
        <v>144</v>
      </c>
      <c r="R547" s="208" t="s">
        <v>144</v>
      </c>
      <c r="S547" s="181" t="s">
        <v>233</v>
      </c>
      <c r="T547" s="212" t="s">
        <v>234</v>
      </c>
      <c r="U547" s="213" t="s">
        <v>235</v>
      </c>
      <c r="V547" s="847">
        <v>8</v>
      </c>
      <c r="W547" s="415" t="s">
        <v>144</v>
      </c>
      <c r="X547" s="212">
        <v>41</v>
      </c>
      <c r="Y547" s="212" t="s">
        <v>144</v>
      </c>
      <c r="Z547" s="212" t="s">
        <v>144</v>
      </c>
      <c r="AA547" s="240" t="s">
        <v>3968</v>
      </c>
      <c r="AB547" s="206" t="s">
        <v>140</v>
      </c>
      <c r="AC547" s="847" t="s">
        <v>265</v>
      </c>
      <c r="AD547" s="847" t="s">
        <v>2286</v>
      </c>
      <c r="AE547" s="847" t="s">
        <v>144</v>
      </c>
      <c r="AF547" s="848" t="s">
        <v>144</v>
      </c>
      <c r="AG547" s="838"/>
      <c r="AH547" s="866"/>
      <c r="AI547" s="273"/>
      <c r="AJ547" s="847"/>
      <c r="AK547" s="874"/>
      <c r="AL547" s="867"/>
      <c r="AM547" s="273"/>
      <c r="AN547" s="847"/>
      <c r="AO547" s="848"/>
      <c r="AP547" s="867"/>
      <c r="AQ547" s="273"/>
      <c r="AR547" s="847"/>
      <c r="AS547" s="848"/>
      <c r="AT547" s="867"/>
      <c r="AU547" s="273"/>
      <c r="AV547" s="847"/>
      <c r="AW547" s="848"/>
      <c r="AX547" s="867"/>
      <c r="AY547" s="273"/>
      <c r="AZ547" s="847"/>
      <c r="BA547" s="848"/>
      <c r="BB547" s="866"/>
      <c r="BC547" s="273"/>
      <c r="BD547" s="847"/>
      <c r="BE547" s="848"/>
      <c r="BF547" s="838"/>
    </row>
    <row r="548" spans="1:58" s="88" customFormat="1" ht="54" hidden="1" customHeight="1" x14ac:dyDescent="0.25">
      <c r="A548" s="267" t="s">
        <v>1687</v>
      </c>
      <c r="B548" s="268">
        <v>313</v>
      </c>
      <c r="C548" s="240" t="s">
        <v>723</v>
      </c>
      <c r="D548" s="211" t="s">
        <v>723</v>
      </c>
      <c r="E548" s="268" t="s">
        <v>4486</v>
      </c>
      <c r="F548" s="861" t="s">
        <v>4487</v>
      </c>
      <c r="G548" s="269" t="s">
        <v>4488</v>
      </c>
      <c r="H548" s="861" t="s">
        <v>4489</v>
      </c>
      <c r="I548" s="269" t="s">
        <v>4490</v>
      </c>
      <c r="J548" s="296" t="s">
        <v>140</v>
      </c>
      <c r="K548" s="297" t="s">
        <v>140</v>
      </c>
      <c r="L548" s="862" t="s">
        <v>4491</v>
      </c>
      <c r="M548" s="847" t="s">
        <v>973</v>
      </c>
      <c r="N548" s="297" t="s">
        <v>974</v>
      </c>
      <c r="O548" s="240" t="s">
        <v>144</v>
      </c>
      <c r="P548" s="240" t="s">
        <v>144</v>
      </c>
      <c r="Q548" s="845" t="s">
        <v>4492</v>
      </c>
      <c r="R548" s="208" t="s">
        <v>4493</v>
      </c>
      <c r="S548" s="864" t="s">
        <v>746</v>
      </c>
      <c r="T548" s="212" t="s">
        <v>1307</v>
      </c>
      <c r="U548" s="213" t="s">
        <v>1308</v>
      </c>
      <c r="V548" s="847">
        <v>10</v>
      </c>
      <c r="W548" s="415" t="s">
        <v>144</v>
      </c>
      <c r="X548" s="212">
        <v>41</v>
      </c>
      <c r="Y548" s="212" t="s">
        <v>144</v>
      </c>
      <c r="Z548" s="433" t="s">
        <v>144</v>
      </c>
      <c r="AA548" s="437" t="s">
        <v>4494</v>
      </c>
      <c r="AB548" s="206" t="s">
        <v>140</v>
      </c>
      <c r="AC548" s="847" t="s">
        <v>265</v>
      </c>
      <c r="AD548" s="847" t="s">
        <v>2286</v>
      </c>
      <c r="AE548" s="847" t="s">
        <v>144</v>
      </c>
      <c r="AF548" s="848" t="s">
        <v>144</v>
      </c>
      <c r="AG548" s="838"/>
      <c r="AH548" s="866" t="s">
        <v>4495</v>
      </c>
      <c r="AI548" s="273" t="s">
        <v>4496</v>
      </c>
      <c r="AJ548" s="847">
        <v>6</v>
      </c>
      <c r="AK548" s="878" t="s">
        <v>4497</v>
      </c>
      <c r="AL548" s="867"/>
      <c r="AM548" s="273"/>
      <c r="AN548" s="847"/>
      <c r="AO548" s="848"/>
      <c r="AP548" s="867" t="s">
        <v>1107</v>
      </c>
      <c r="AQ548" s="273" t="s">
        <v>1108</v>
      </c>
      <c r="AR548" s="847">
        <v>7</v>
      </c>
      <c r="AS548" s="286" t="s">
        <v>1109</v>
      </c>
      <c r="AT548" s="867"/>
      <c r="AU548" s="273"/>
      <c r="AV548" s="847"/>
      <c r="AW548" s="848"/>
      <c r="AX548" s="867"/>
      <c r="AY548" s="273"/>
      <c r="AZ548" s="847"/>
      <c r="BA548" s="848"/>
      <c r="BB548" s="866"/>
      <c r="BC548" s="273"/>
      <c r="BD548" s="847"/>
      <c r="BE548" s="848"/>
      <c r="BF548" s="838"/>
    </row>
    <row r="549" spans="1:58" s="88" customFormat="1" ht="54" hidden="1" customHeight="1" x14ac:dyDescent="0.25">
      <c r="A549" s="267" t="s">
        <v>1687</v>
      </c>
      <c r="B549" s="268">
        <v>314</v>
      </c>
      <c r="C549" s="240" t="s">
        <v>723</v>
      </c>
      <c r="D549" s="211" t="s">
        <v>723</v>
      </c>
      <c r="E549" s="268" t="s">
        <v>4498</v>
      </c>
      <c r="F549" s="861" t="s">
        <v>4499</v>
      </c>
      <c r="G549" s="269" t="s">
        <v>4500</v>
      </c>
      <c r="H549" s="861" t="s">
        <v>4501</v>
      </c>
      <c r="I549" s="269" t="s">
        <v>4502</v>
      </c>
      <c r="J549" s="296" t="s">
        <v>140</v>
      </c>
      <c r="K549" s="297" t="s">
        <v>140</v>
      </c>
      <c r="L549" s="862" t="s">
        <v>4503</v>
      </c>
      <c r="M549" s="847" t="s">
        <v>973</v>
      </c>
      <c r="N549" s="297" t="s">
        <v>974</v>
      </c>
      <c r="O549" s="240" t="s">
        <v>144</v>
      </c>
      <c r="P549" s="240" t="s">
        <v>144</v>
      </c>
      <c r="Q549" s="845" t="s">
        <v>4492</v>
      </c>
      <c r="R549" s="208" t="s">
        <v>4493</v>
      </c>
      <c r="S549" s="864" t="s">
        <v>746</v>
      </c>
      <c r="T549" s="212" t="s">
        <v>1307</v>
      </c>
      <c r="U549" s="213" t="s">
        <v>1308</v>
      </c>
      <c r="V549" s="847">
        <v>10</v>
      </c>
      <c r="W549" s="415" t="s">
        <v>144</v>
      </c>
      <c r="X549" s="212">
        <v>41</v>
      </c>
      <c r="Y549" s="212" t="s">
        <v>144</v>
      </c>
      <c r="Z549" s="241" t="s">
        <v>144</v>
      </c>
      <c r="AA549" s="437" t="s">
        <v>1929</v>
      </c>
      <c r="AB549" s="206" t="s">
        <v>140</v>
      </c>
      <c r="AC549" s="847" t="s">
        <v>265</v>
      </c>
      <c r="AD549" s="847" t="s">
        <v>2286</v>
      </c>
      <c r="AE549" s="847" t="s">
        <v>144</v>
      </c>
      <c r="AF549" s="848" t="s">
        <v>144</v>
      </c>
      <c r="AG549" s="838"/>
      <c r="AH549" s="291" t="s">
        <v>4504</v>
      </c>
      <c r="AI549" s="273" t="s">
        <v>4505</v>
      </c>
      <c r="AJ549" s="847">
        <v>6</v>
      </c>
      <c r="AK549" s="878" t="s">
        <v>4506</v>
      </c>
      <c r="AL549" s="867"/>
      <c r="AM549" s="273"/>
      <c r="AN549" s="847"/>
      <c r="AO549" s="848"/>
      <c r="AP549" s="867" t="s">
        <v>1107</v>
      </c>
      <c r="AQ549" s="273" t="s">
        <v>1108</v>
      </c>
      <c r="AR549" s="847">
        <v>7</v>
      </c>
      <c r="AS549" s="286" t="s">
        <v>1109</v>
      </c>
      <c r="AT549" s="867"/>
      <c r="AU549" s="273"/>
      <c r="AV549" s="847"/>
      <c r="AW549" s="848"/>
      <c r="AX549" s="867"/>
      <c r="AY549" s="273"/>
      <c r="AZ549" s="847"/>
      <c r="BA549" s="848"/>
      <c r="BB549" s="866"/>
      <c r="BC549" s="273"/>
      <c r="BD549" s="847"/>
      <c r="BE549" s="848"/>
      <c r="BF549" s="838"/>
    </row>
    <row r="550" spans="1:58" s="88" customFormat="1" ht="54" hidden="1" customHeight="1" x14ac:dyDescent="0.25">
      <c r="A550" s="267" t="s">
        <v>1687</v>
      </c>
      <c r="B550" s="268">
        <v>315</v>
      </c>
      <c r="C550" s="240" t="s">
        <v>4027</v>
      </c>
      <c r="D550" s="211" t="s">
        <v>4028</v>
      </c>
      <c r="E550" s="268" t="s">
        <v>4507</v>
      </c>
      <c r="F550" s="861" t="s">
        <v>4508</v>
      </c>
      <c r="G550" s="269" t="s">
        <v>4509</v>
      </c>
      <c r="H550" s="861" t="s">
        <v>4508</v>
      </c>
      <c r="I550" s="269" t="s">
        <v>4509</v>
      </c>
      <c r="J550" s="296" t="s">
        <v>140</v>
      </c>
      <c r="K550" s="297" t="s">
        <v>140</v>
      </c>
      <c r="L550" s="862" t="s">
        <v>4510</v>
      </c>
      <c r="M550" s="847" t="s">
        <v>193</v>
      </c>
      <c r="N550" s="297" t="s">
        <v>194</v>
      </c>
      <c r="O550" s="240" t="s">
        <v>144</v>
      </c>
      <c r="P550" s="240" t="s">
        <v>144</v>
      </c>
      <c r="Q550" s="845" t="s">
        <v>4492</v>
      </c>
      <c r="R550" s="208" t="s">
        <v>4493</v>
      </c>
      <c r="S550" s="864" t="s">
        <v>746</v>
      </c>
      <c r="T550" s="212" t="s">
        <v>1104</v>
      </c>
      <c r="U550" s="213" t="s">
        <v>1105</v>
      </c>
      <c r="V550" s="847">
        <v>19</v>
      </c>
      <c r="W550" s="415" t="s">
        <v>144</v>
      </c>
      <c r="X550" s="212">
        <v>41</v>
      </c>
      <c r="Y550" s="212" t="s">
        <v>144</v>
      </c>
      <c r="Z550" s="241" t="s">
        <v>144</v>
      </c>
      <c r="AA550" s="437" t="s">
        <v>4511</v>
      </c>
      <c r="AB550" s="206" t="s">
        <v>140</v>
      </c>
      <c r="AC550" s="847" t="s">
        <v>265</v>
      </c>
      <c r="AD550" s="847" t="s">
        <v>2286</v>
      </c>
      <c r="AE550" s="847" t="s">
        <v>144</v>
      </c>
      <c r="AF550" s="848" t="s">
        <v>144</v>
      </c>
      <c r="AG550" s="838"/>
      <c r="AH550" s="866"/>
      <c r="AI550" s="273"/>
      <c r="AJ550" s="847"/>
      <c r="AK550" s="874"/>
      <c r="AL550" s="867"/>
      <c r="AM550" s="273"/>
      <c r="AN550" s="847"/>
      <c r="AO550" s="848"/>
      <c r="AP550" s="867" t="s">
        <v>1107</v>
      </c>
      <c r="AQ550" s="273" t="s">
        <v>1108</v>
      </c>
      <c r="AR550" s="847">
        <v>7</v>
      </c>
      <c r="AS550" s="286" t="s">
        <v>1109</v>
      </c>
      <c r="AT550" s="867"/>
      <c r="AU550" s="273"/>
      <c r="AV550" s="847"/>
      <c r="AW550" s="848"/>
      <c r="AX550" s="867"/>
      <c r="AY550" s="273"/>
      <c r="AZ550" s="847"/>
      <c r="BA550" s="848"/>
      <c r="BB550" s="866"/>
      <c r="BC550" s="273"/>
      <c r="BD550" s="847"/>
      <c r="BE550" s="848"/>
      <c r="BF550" s="838"/>
    </row>
    <row r="551" spans="1:58" s="88" customFormat="1" ht="54" hidden="1" customHeight="1" x14ac:dyDescent="0.25">
      <c r="A551" s="267" t="s">
        <v>1687</v>
      </c>
      <c r="B551" s="268">
        <v>316</v>
      </c>
      <c r="C551" s="240" t="s">
        <v>4027</v>
      </c>
      <c r="D551" s="211" t="s">
        <v>4028</v>
      </c>
      <c r="E551" s="268" t="s">
        <v>4512</v>
      </c>
      <c r="F551" s="861" t="s">
        <v>4513</v>
      </c>
      <c r="G551" s="269" t="s">
        <v>4514</v>
      </c>
      <c r="H551" s="861" t="s">
        <v>4513</v>
      </c>
      <c r="I551" s="269" t="s">
        <v>4514</v>
      </c>
      <c r="J551" s="296" t="s">
        <v>140</v>
      </c>
      <c r="K551" s="297" t="s">
        <v>140</v>
      </c>
      <c r="L551" s="862" t="s">
        <v>4515</v>
      </c>
      <c r="M551" s="847" t="s">
        <v>973</v>
      </c>
      <c r="N551" s="297" t="s">
        <v>974</v>
      </c>
      <c r="O551" s="240" t="s">
        <v>814</v>
      </c>
      <c r="P551" s="240" t="s">
        <v>815</v>
      </c>
      <c r="Q551" s="845" t="s">
        <v>144</v>
      </c>
      <c r="R551" s="208" t="s">
        <v>144</v>
      </c>
      <c r="S551" s="864" t="s">
        <v>147</v>
      </c>
      <c r="T551" s="212" t="s">
        <v>144</v>
      </c>
      <c r="U551" s="213" t="s">
        <v>144</v>
      </c>
      <c r="V551" s="847">
        <v>3</v>
      </c>
      <c r="W551" s="415" t="s">
        <v>144</v>
      </c>
      <c r="X551" s="212">
        <v>41</v>
      </c>
      <c r="Y551" s="212" t="s">
        <v>144</v>
      </c>
      <c r="Z551" s="241" t="s">
        <v>144</v>
      </c>
      <c r="AA551" s="437" t="s">
        <v>4511</v>
      </c>
      <c r="AB551" s="206" t="s">
        <v>140</v>
      </c>
      <c r="AC551" s="847" t="s">
        <v>265</v>
      </c>
      <c r="AD551" s="847" t="s">
        <v>2286</v>
      </c>
      <c r="AE551" s="847" t="s">
        <v>144</v>
      </c>
      <c r="AF551" s="848" t="s">
        <v>144</v>
      </c>
      <c r="AG551" s="838"/>
      <c r="AH551" s="866" t="s">
        <v>4516</v>
      </c>
      <c r="AI551" s="273" t="s">
        <v>4517</v>
      </c>
      <c r="AJ551" s="847">
        <v>7</v>
      </c>
      <c r="AK551" s="878" t="s">
        <v>1280</v>
      </c>
      <c r="AL551" s="867" t="s">
        <v>294</v>
      </c>
      <c r="AM551" s="273" t="s">
        <v>295</v>
      </c>
      <c r="AN551" s="847">
        <v>7</v>
      </c>
      <c r="AO551" s="187" t="s">
        <v>966</v>
      </c>
      <c r="AP551" s="867"/>
      <c r="AQ551" s="273"/>
      <c r="AR551" s="847"/>
      <c r="AS551" s="848"/>
      <c r="AT551" s="867"/>
      <c r="AU551" s="273"/>
      <c r="AV551" s="847"/>
      <c r="AW551" s="848"/>
      <c r="AX551" s="867"/>
      <c r="AY551" s="273"/>
      <c r="AZ551" s="847"/>
      <c r="BA551" s="848"/>
      <c r="BB551" s="866"/>
      <c r="BC551" s="273"/>
      <c r="BD551" s="847"/>
      <c r="BE551" s="848"/>
      <c r="BF551" s="838"/>
    </row>
    <row r="552" spans="1:58" s="88" customFormat="1" ht="54" hidden="1" customHeight="1" x14ac:dyDescent="0.25">
      <c r="A552" s="267" t="s">
        <v>1687</v>
      </c>
      <c r="B552" s="268">
        <v>317</v>
      </c>
      <c r="C552" s="240" t="s">
        <v>4027</v>
      </c>
      <c r="D552" s="211" t="s">
        <v>4028</v>
      </c>
      <c r="E552" s="268" t="s">
        <v>4518</v>
      </c>
      <c r="F552" s="861" t="s">
        <v>4519</v>
      </c>
      <c r="G552" s="269" t="s">
        <v>4520</v>
      </c>
      <c r="H552" s="845" t="s">
        <v>4521</v>
      </c>
      <c r="I552" s="269" t="s">
        <v>4522</v>
      </c>
      <c r="J552" s="296" t="s">
        <v>140</v>
      </c>
      <c r="K552" s="297" t="s">
        <v>140</v>
      </c>
      <c r="L552" s="862" t="s">
        <v>4523</v>
      </c>
      <c r="M552" s="847" t="s">
        <v>193</v>
      </c>
      <c r="N552" s="297" t="s">
        <v>194</v>
      </c>
      <c r="O552" s="240" t="s">
        <v>144</v>
      </c>
      <c r="P552" s="240" t="s">
        <v>144</v>
      </c>
      <c r="Q552" s="845" t="s">
        <v>4492</v>
      </c>
      <c r="R552" s="208" t="s">
        <v>4493</v>
      </c>
      <c r="S552" s="181" t="s">
        <v>233</v>
      </c>
      <c r="T552" s="212" t="s">
        <v>234</v>
      </c>
      <c r="U552" s="213" t="s">
        <v>235</v>
      </c>
      <c r="V552" s="847">
        <v>8</v>
      </c>
      <c r="W552" s="415" t="s">
        <v>144</v>
      </c>
      <c r="X552" s="212">
        <v>41</v>
      </c>
      <c r="Y552" s="212" t="s">
        <v>144</v>
      </c>
      <c r="Z552" s="241" t="s">
        <v>144</v>
      </c>
      <c r="AA552" s="615" t="s">
        <v>733</v>
      </c>
      <c r="AB552" s="206" t="s">
        <v>140</v>
      </c>
      <c r="AC552" s="847" t="s">
        <v>265</v>
      </c>
      <c r="AD552" s="847" t="s">
        <v>2286</v>
      </c>
      <c r="AE552" s="847" t="s">
        <v>144</v>
      </c>
      <c r="AF552" s="848" t="s">
        <v>144</v>
      </c>
      <c r="AG552" s="838"/>
      <c r="AH552" s="866"/>
      <c r="AI552" s="273"/>
      <c r="AJ552" s="847"/>
      <c r="AK552" s="874"/>
      <c r="AL552" s="867"/>
      <c r="AM552" s="273"/>
      <c r="AN552" s="847"/>
      <c r="AO552" s="848"/>
      <c r="AP552" s="867"/>
      <c r="AQ552" s="273"/>
      <c r="AR552" s="847"/>
      <c r="AS552" s="848"/>
      <c r="AT552" s="867"/>
      <c r="AU552" s="273"/>
      <c r="AV552" s="847"/>
      <c r="AW552" s="848"/>
      <c r="AX552" s="867"/>
      <c r="AY552" s="273"/>
      <c r="AZ552" s="847"/>
      <c r="BA552" s="848"/>
      <c r="BB552" s="866"/>
      <c r="BC552" s="273"/>
      <c r="BD552" s="847"/>
      <c r="BE552" s="848"/>
      <c r="BF552" s="838"/>
    </row>
    <row r="553" spans="1:58" s="88" customFormat="1" ht="54" hidden="1" customHeight="1" x14ac:dyDescent="0.25">
      <c r="A553" s="267" t="s">
        <v>1687</v>
      </c>
      <c r="B553" s="268">
        <v>318</v>
      </c>
      <c r="C553" s="240" t="s">
        <v>4027</v>
      </c>
      <c r="D553" s="211" t="s">
        <v>4028</v>
      </c>
      <c r="E553" s="268" t="s">
        <v>4524</v>
      </c>
      <c r="F553" s="861" t="s">
        <v>4525</v>
      </c>
      <c r="G553" s="269" t="s">
        <v>4526</v>
      </c>
      <c r="H553" s="861" t="s">
        <v>4525</v>
      </c>
      <c r="I553" s="269" t="s">
        <v>4526</v>
      </c>
      <c r="J553" s="296" t="s">
        <v>140</v>
      </c>
      <c r="K553" s="297" t="s">
        <v>140</v>
      </c>
      <c r="L553" s="862" t="s">
        <v>4527</v>
      </c>
      <c r="M553" s="847" t="s">
        <v>193</v>
      </c>
      <c r="N553" s="297" t="s">
        <v>194</v>
      </c>
      <c r="O553" s="240" t="s">
        <v>144</v>
      </c>
      <c r="P553" s="240" t="s">
        <v>144</v>
      </c>
      <c r="Q553" s="845" t="s">
        <v>4492</v>
      </c>
      <c r="R553" s="208" t="s">
        <v>4493</v>
      </c>
      <c r="S553" s="864" t="s">
        <v>746</v>
      </c>
      <c r="T553" s="212" t="s">
        <v>1104</v>
      </c>
      <c r="U553" s="213" t="s">
        <v>1105</v>
      </c>
      <c r="V553" s="847">
        <v>19</v>
      </c>
      <c r="W553" s="415" t="s">
        <v>144</v>
      </c>
      <c r="X553" s="212">
        <v>41</v>
      </c>
      <c r="Y553" s="212" t="s">
        <v>144</v>
      </c>
      <c r="Z553" s="241" t="s">
        <v>144</v>
      </c>
      <c r="AA553" s="615" t="s">
        <v>733</v>
      </c>
      <c r="AB553" s="206" t="s">
        <v>140</v>
      </c>
      <c r="AC553" s="847" t="s">
        <v>265</v>
      </c>
      <c r="AD553" s="847" t="s">
        <v>2286</v>
      </c>
      <c r="AE553" s="847" t="s">
        <v>144</v>
      </c>
      <c r="AF553" s="848" t="s">
        <v>144</v>
      </c>
      <c r="AG553" s="838"/>
      <c r="AH553" s="866"/>
      <c r="AI553" s="273"/>
      <c r="AJ553" s="847"/>
      <c r="AK553" s="874"/>
      <c r="AL553" s="867"/>
      <c r="AM553" s="273"/>
      <c r="AN553" s="847"/>
      <c r="AO553" s="848"/>
      <c r="AP553" s="867" t="s">
        <v>1107</v>
      </c>
      <c r="AQ553" s="273" t="s">
        <v>1108</v>
      </c>
      <c r="AR553" s="847">
        <v>7</v>
      </c>
      <c r="AS553" s="286" t="s">
        <v>1109</v>
      </c>
      <c r="AT553" s="867"/>
      <c r="AU553" s="273"/>
      <c r="AV553" s="847"/>
      <c r="AW553" s="848"/>
      <c r="AX553" s="867"/>
      <c r="AY553" s="273"/>
      <c r="AZ553" s="847"/>
      <c r="BA553" s="848"/>
      <c r="BB553" s="866"/>
      <c r="BC553" s="273"/>
      <c r="BD553" s="847"/>
      <c r="BE553" s="848"/>
      <c r="BF553" s="838"/>
    </row>
    <row r="554" spans="1:58" s="88" customFormat="1" ht="54" hidden="1" customHeight="1" x14ac:dyDescent="0.25">
      <c r="A554" s="267" t="s">
        <v>1687</v>
      </c>
      <c r="B554" s="268">
        <v>319</v>
      </c>
      <c r="C554" s="240" t="s">
        <v>4027</v>
      </c>
      <c r="D554" s="211" t="s">
        <v>4028</v>
      </c>
      <c r="E554" s="268" t="s">
        <v>4528</v>
      </c>
      <c r="F554" s="861" t="s">
        <v>4529</v>
      </c>
      <c r="G554" s="269" t="s">
        <v>4530</v>
      </c>
      <c r="H554" s="861" t="s">
        <v>4529</v>
      </c>
      <c r="I554" s="269" t="s">
        <v>4530</v>
      </c>
      <c r="J554" s="296" t="s">
        <v>140</v>
      </c>
      <c r="K554" s="297" t="s">
        <v>140</v>
      </c>
      <c r="L554" s="862" t="s">
        <v>4531</v>
      </c>
      <c r="M554" s="847" t="s">
        <v>973</v>
      </c>
      <c r="N554" s="297" t="s">
        <v>974</v>
      </c>
      <c r="O554" s="240" t="s">
        <v>814</v>
      </c>
      <c r="P554" s="240" t="s">
        <v>815</v>
      </c>
      <c r="Q554" s="845" t="s">
        <v>144</v>
      </c>
      <c r="R554" s="208" t="s">
        <v>144</v>
      </c>
      <c r="S554" s="864" t="s">
        <v>147</v>
      </c>
      <c r="T554" s="212" t="s">
        <v>144</v>
      </c>
      <c r="U554" s="213" t="s">
        <v>144</v>
      </c>
      <c r="V554" s="847">
        <v>3</v>
      </c>
      <c r="W554" s="415" t="s">
        <v>144</v>
      </c>
      <c r="X554" s="212">
        <v>41</v>
      </c>
      <c r="Y554" s="212" t="s">
        <v>144</v>
      </c>
      <c r="Z554" s="241" t="s">
        <v>144</v>
      </c>
      <c r="AA554" s="615" t="s">
        <v>733</v>
      </c>
      <c r="AB554" s="206" t="s">
        <v>140</v>
      </c>
      <c r="AC554" s="847" t="s">
        <v>265</v>
      </c>
      <c r="AD554" s="847" t="s">
        <v>4532</v>
      </c>
      <c r="AE554" s="847" t="s">
        <v>144</v>
      </c>
      <c r="AF554" s="848" t="s">
        <v>144</v>
      </c>
      <c r="AG554" s="838"/>
      <c r="AH554" s="866" t="s">
        <v>4533</v>
      </c>
      <c r="AI554" s="273" t="s">
        <v>4534</v>
      </c>
      <c r="AJ554" s="847">
        <v>7</v>
      </c>
      <c r="AK554" s="878" t="s">
        <v>1280</v>
      </c>
      <c r="AL554" s="867" t="s">
        <v>294</v>
      </c>
      <c r="AM554" s="273" t="s">
        <v>295</v>
      </c>
      <c r="AN554" s="847">
        <v>7</v>
      </c>
      <c r="AO554" s="187" t="s">
        <v>966</v>
      </c>
      <c r="AP554" s="867"/>
      <c r="AQ554" s="273"/>
      <c r="AR554" s="847"/>
      <c r="AS554" s="848"/>
      <c r="AT554" s="867"/>
      <c r="AU554" s="273"/>
      <c r="AV554" s="847"/>
      <c r="AW554" s="848"/>
      <c r="AX554" s="867"/>
      <c r="AY554" s="273"/>
      <c r="AZ554" s="847"/>
      <c r="BA554" s="848"/>
      <c r="BB554" s="866"/>
      <c r="BC554" s="273"/>
      <c r="BD554" s="847"/>
      <c r="BE554" s="848"/>
      <c r="BF554" s="838"/>
    </row>
    <row r="555" spans="1:58" s="88" customFormat="1" ht="54" hidden="1" customHeight="1" x14ac:dyDescent="0.25">
      <c r="A555" s="267" t="s">
        <v>1687</v>
      </c>
      <c r="B555" s="268">
        <v>320</v>
      </c>
      <c r="C555" s="240" t="s">
        <v>723</v>
      </c>
      <c r="D555" s="211" t="s">
        <v>723</v>
      </c>
      <c r="E555" s="268" t="s">
        <v>4535</v>
      </c>
      <c r="F555" s="861" t="s">
        <v>4536</v>
      </c>
      <c r="G555" s="269" t="s">
        <v>4537</v>
      </c>
      <c r="H555" s="861" t="s">
        <v>4538</v>
      </c>
      <c r="I555" s="269" t="s">
        <v>4539</v>
      </c>
      <c r="J555" s="296" t="s">
        <v>140</v>
      </c>
      <c r="K555" s="297" t="s">
        <v>140</v>
      </c>
      <c r="L555" s="862" t="s">
        <v>4540</v>
      </c>
      <c r="M555" s="847" t="s">
        <v>973</v>
      </c>
      <c r="N555" s="297" t="s">
        <v>974</v>
      </c>
      <c r="O555" s="240" t="s">
        <v>144</v>
      </c>
      <c r="P555" s="240" t="s">
        <v>144</v>
      </c>
      <c r="Q555" s="845" t="s">
        <v>4541</v>
      </c>
      <c r="R555" s="208" t="s">
        <v>4542</v>
      </c>
      <c r="S555" s="864" t="s">
        <v>746</v>
      </c>
      <c r="T555" s="212" t="s">
        <v>1307</v>
      </c>
      <c r="U555" s="213" t="s">
        <v>1308</v>
      </c>
      <c r="V555" s="847">
        <v>10</v>
      </c>
      <c r="W555" s="415" t="s">
        <v>144</v>
      </c>
      <c r="X555" s="212">
        <v>41</v>
      </c>
      <c r="Y555" s="212" t="s">
        <v>144</v>
      </c>
      <c r="Z555" s="252" t="s">
        <v>144</v>
      </c>
      <c r="AA555" s="240" t="s">
        <v>4543</v>
      </c>
      <c r="AB555" s="206" t="s">
        <v>140</v>
      </c>
      <c r="AC555" s="847" t="s">
        <v>265</v>
      </c>
      <c r="AD555" s="847" t="s">
        <v>2205</v>
      </c>
      <c r="AE555" s="847" t="s">
        <v>144</v>
      </c>
      <c r="AF555" s="848" t="s">
        <v>144</v>
      </c>
      <c r="AG555" s="838"/>
      <c r="AH555" s="866" t="s">
        <v>4544</v>
      </c>
      <c r="AI555" s="273" t="s">
        <v>4545</v>
      </c>
      <c r="AJ555" s="847">
        <v>5</v>
      </c>
      <c r="AK555" s="878" t="s">
        <v>4546</v>
      </c>
      <c r="AL555" s="867"/>
      <c r="AM555" s="273"/>
      <c r="AN555" s="847"/>
      <c r="AO555" s="848"/>
      <c r="AP555" s="867" t="s">
        <v>1107</v>
      </c>
      <c r="AQ555" s="273" t="s">
        <v>1108</v>
      </c>
      <c r="AR555" s="847">
        <v>7</v>
      </c>
      <c r="AS555" s="286" t="s">
        <v>1109</v>
      </c>
      <c r="AT555" s="867"/>
      <c r="AU555" s="273"/>
      <c r="AV555" s="847"/>
      <c r="AW555" s="848"/>
      <c r="AX555" s="867"/>
      <c r="AY555" s="273"/>
      <c r="AZ555" s="847"/>
      <c r="BA555" s="848"/>
      <c r="BB555" s="866"/>
      <c r="BC555" s="273"/>
      <c r="BD555" s="847"/>
      <c r="BE555" s="848"/>
      <c r="BF555" s="838"/>
    </row>
    <row r="556" spans="1:58" s="88" customFormat="1" ht="54" hidden="1" customHeight="1" x14ac:dyDescent="0.25">
      <c r="A556" s="267" t="s">
        <v>1687</v>
      </c>
      <c r="B556" s="268">
        <v>321</v>
      </c>
      <c r="C556" s="240" t="s">
        <v>723</v>
      </c>
      <c r="D556" s="211" t="s">
        <v>723</v>
      </c>
      <c r="E556" s="268" t="s">
        <v>4547</v>
      </c>
      <c r="F556" s="861" t="s">
        <v>4548</v>
      </c>
      <c r="G556" s="269" t="s">
        <v>4549</v>
      </c>
      <c r="H556" s="861" t="s">
        <v>4550</v>
      </c>
      <c r="I556" s="269" t="s">
        <v>4551</v>
      </c>
      <c r="J556" s="296" t="s">
        <v>140</v>
      </c>
      <c r="K556" s="297" t="s">
        <v>140</v>
      </c>
      <c r="L556" s="862" t="s">
        <v>4552</v>
      </c>
      <c r="M556" s="847" t="s">
        <v>193</v>
      </c>
      <c r="N556" s="297" t="s">
        <v>194</v>
      </c>
      <c r="O556" s="240" t="s">
        <v>144</v>
      </c>
      <c r="P556" s="240" t="s">
        <v>144</v>
      </c>
      <c r="Q556" s="845" t="s">
        <v>144</v>
      </c>
      <c r="R556" s="208" t="s">
        <v>144</v>
      </c>
      <c r="S556" s="864" t="s">
        <v>746</v>
      </c>
      <c r="T556" s="212" t="s">
        <v>1307</v>
      </c>
      <c r="U556" s="213" t="s">
        <v>1308</v>
      </c>
      <c r="V556" s="847">
        <v>10</v>
      </c>
      <c r="W556" s="415" t="s">
        <v>144</v>
      </c>
      <c r="X556" s="212">
        <v>41</v>
      </c>
      <c r="Y556" s="212" t="s">
        <v>144</v>
      </c>
      <c r="Z556" s="252" t="s">
        <v>144</v>
      </c>
      <c r="AA556" s="240" t="s">
        <v>4543</v>
      </c>
      <c r="AB556" s="206" t="s">
        <v>140</v>
      </c>
      <c r="AC556" s="847" t="s">
        <v>265</v>
      </c>
      <c r="AD556" s="847" t="s">
        <v>2205</v>
      </c>
      <c r="AE556" s="847" t="s">
        <v>144</v>
      </c>
      <c r="AF556" s="848" t="s">
        <v>144</v>
      </c>
      <c r="AG556" s="838"/>
      <c r="AH556" s="866"/>
      <c r="AI556" s="273"/>
      <c r="AJ556" s="847"/>
      <c r="AK556" s="874"/>
      <c r="AL556" s="867"/>
      <c r="AM556" s="273"/>
      <c r="AN556" s="847"/>
      <c r="AO556" s="848"/>
      <c r="AP556" s="867" t="s">
        <v>1107</v>
      </c>
      <c r="AQ556" s="273" t="s">
        <v>1108</v>
      </c>
      <c r="AR556" s="847">
        <v>7</v>
      </c>
      <c r="AS556" s="286" t="s">
        <v>1109</v>
      </c>
      <c r="AT556" s="867"/>
      <c r="AU556" s="273"/>
      <c r="AV556" s="847"/>
      <c r="AW556" s="848"/>
      <c r="AX556" s="867"/>
      <c r="AY556" s="273"/>
      <c r="AZ556" s="847"/>
      <c r="BA556" s="848"/>
      <c r="BB556" s="866"/>
      <c r="BC556" s="273"/>
      <c r="BD556" s="847"/>
      <c r="BE556" s="848"/>
      <c r="BF556" s="838"/>
    </row>
    <row r="557" spans="1:58" s="88" customFormat="1" ht="54" hidden="1" customHeight="1" x14ac:dyDescent="0.25">
      <c r="A557" s="267" t="s">
        <v>1687</v>
      </c>
      <c r="B557" s="268">
        <v>322</v>
      </c>
      <c r="C557" s="240" t="s">
        <v>4040</v>
      </c>
      <c r="D557" s="211" t="s">
        <v>4041</v>
      </c>
      <c r="E557" s="268" t="s">
        <v>4553</v>
      </c>
      <c r="F557" s="861" t="s">
        <v>4554</v>
      </c>
      <c r="G557" s="269" t="s">
        <v>4555</v>
      </c>
      <c r="H557" s="249" t="s">
        <v>4556</v>
      </c>
      <c r="I557" s="135" t="s">
        <v>4557</v>
      </c>
      <c r="J557" s="296" t="s">
        <v>140</v>
      </c>
      <c r="K557" s="297" t="s">
        <v>140</v>
      </c>
      <c r="L557" s="862" t="s">
        <v>4558</v>
      </c>
      <c r="M557" s="847" t="s">
        <v>973</v>
      </c>
      <c r="N557" s="297" t="s">
        <v>974</v>
      </c>
      <c r="O557" s="240" t="s">
        <v>144</v>
      </c>
      <c r="P557" s="240" t="s">
        <v>144</v>
      </c>
      <c r="Q557" s="845" t="s">
        <v>144</v>
      </c>
      <c r="R557" s="208" t="s">
        <v>144</v>
      </c>
      <c r="S557" s="181" t="s">
        <v>233</v>
      </c>
      <c r="T557" s="212" t="s">
        <v>234</v>
      </c>
      <c r="U557" s="213" t="s">
        <v>235</v>
      </c>
      <c r="V557" s="847">
        <v>8</v>
      </c>
      <c r="W557" s="415" t="s">
        <v>144</v>
      </c>
      <c r="X557" s="212">
        <v>41</v>
      </c>
      <c r="Y557" s="212" t="s">
        <v>144</v>
      </c>
      <c r="Z557" s="241" t="s">
        <v>29</v>
      </c>
      <c r="AA557" s="240" t="s">
        <v>4559</v>
      </c>
      <c r="AB557" s="206" t="s">
        <v>140</v>
      </c>
      <c r="AC557" s="847" t="s">
        <v>265</v>
      </c>
      <c r="AD557" s="847" t="s">
        <v>4560</v>
      </c>
      <c r="AE557" s="847" t="s">
        <v>144</v>
      </c>
      <c r="AF557" s="848" t="s">
        <v>144</v>
      </c>
      <c r="AG557" s="838"/>
      <c r="AH557" s="885" t="s">
        <v>4561</v>
      </c>
      <c r="AI557" s="406" t="s">
        <v>4562</v>
      </c>
      <c r="AJ557" s="872">
        <v>6</v>
      </c>
      <c r="AK557" s="871" t="s">
        <v>4295</v>
      </c>
      <c r="AL557" s="867"/>
      <c r="AM557" s="273"/>
      <c r="AN557" s="847"/>
      <c r="AO557" s="848"/>
      <c r="AP557" s="867" t="s">
        <v>1160</v>
      </c>
      <c r="AQ557" s="273" t="s">
        <v>1161</v>
      </c>
      <c r="AR557" s="847">
        <v>7</v>
      </c>
      <c r="AS557" s="848" t="s">
        <v>1162</v>
      </c>
      <c r="AT557" s="867" t="s">
        <v>4563</v>
      </c>
      <c r="AU557" s="273" t="s">
        <v>4564</v>
      </c>
      <c r="AV557" s="847">
        <v>6</v>
      </c>
      <c r="AW557" s="286" t="s">
        <v>4565</v>
      </c>
      <c r="AX557" s="867"/>
      <c r="AY557" s="273"/>
      <c r="AZ557" s="847"/>
      <c r="BA557" s="848"/>
      <c r="BB557" s="866"/>
      <c r="BC557" s="273"/>
      <c r="BD557" s="847"/>
      <c r="BE557" s="848"/>
      <c r="BF557" s="838"/>
    </row>
    <row r="558" spans="1:58" s="88" customFormat="1" ht="54" hidden="1" customHeight="1" x14ac:dyDescent="0.25">
      <c r="A558" s="267" t="s">
        <v>1687</v>
      </c>
      <c r="B558" s="268">
        <v>323</v>
      </c>
      <c r="C558" s="240" t="s">
        <v>4040</v>
      </c>
      <c r="D558" s="211" t="s">
        <v>4041</v>
      </c>
      <c r="E558" s="268" t="s">
        <v>4566</v>
      </c>
      <c r="F558" s="861" t="s">
        <v>4567</v>
      </c>
      <c r="G558" s="269" t="s">
        <v>4568</v>
      </c>
      <c r="H558" s="861" t="s">
        <v>4569</v>
      </c>
      <c r="I558" s="269" t="s">
        <v>4570</v>
      </c>
      <c r="J558" s="296" t="s">
        <v>140</v>
      </c>
      <c r="K558" s="297" t="s">
        <v>140</v>
      </c>
      <c r="L558" s="862" t="s">
        <v>4571</v>
      </c>
      <c r="M558" s="847" t="s">
        <v>973</v>
      </c>
      <c r="N558" s="297" t="s">
        <v>974</v>
      </c>
      <c r="O558" s="240" t="s">
        <v>144</v>
      </c>
      <c r="P558" s="240" t="s">
        <v>144</v>
      </c>
      <c r="Q558" s="845" t="s">
        <v>144</v>
      </c>
      <c r="R558" s="208" t="s">
        <v>144</v>
      </c>
      <c r="S558" s="181" t="s">
        <v>233</v>
      </c>
      <c r="T558" s="212" t="s">
        <v>234</v>
      </c>
      <c r="U558" s="213" t="s">
        <v>235</v>
      </c>
      <c r="V558" s="847">
        <v>8</v>
      </c>
      <c r="W558" s="415" t="s">
        <v>144</v>
      </c>
      <c r="X558" s="212">
        <v>41</v>
      </c>
      <c r="Y558" s="212" t="s">
        <v>144</v>
      </c>
      <c r="Z558" s="241" t="s">
        <v>29</v>
      </c>
      <c r="AA558" s="240" t="s">
        <v>4559</v>
      </c>
      <c r="AB558" s="206" t="s">
        <v>140</v>
      </c>
      <c r="AC558" s="847" t="s">
        <v>265</v>
      </c>
      <c r="AD558" s="847" t="s">
        <v>1930</v>
      </c>
      <c r="AE558" s="847" t="s">
        <v>144</v>
      </c>
      <c r="AF558" s="848" t="s">
        <v>144</v>
      </c>
      <c r="AG558" s="838"/>
      <c r="AH558" s="885" t="s">
        <v>4561</v>
      </c>
      <c r="AI558" s="406" t="s">
        <v>4562</v>
      </c>
      <c r="AJ558" s="872">
        <v>6</v>
      </c>
      <c r="AK558" s="871" t="s">
        <v>4295</v>
      </c>
      <c r="AL558" s="867"/>
      <c r="AM558" s="273"/>
      <c r="AN558" s="847"/>
      <c r="AO558" s="848"/>
      <c r="AP558" s="867"/>
      <c r="AQ558" s="273"/>
      <c r="AR558" s="847"/>
      <c r="AS558" s="848"/>
      <c r="AT558" s="867" t="s">
        <v>4572</v>
      </c>
      <c r="AU558" s="273" t="s">
        <v>4573</v>
      </c>
      <c r="AV558" s="847">
        <v>6</v>
      </c>
      <c r="AW558" s="848" t="s">
        <v>4574</v>
      </c>
      <c r="AX558" s="867"/>
      <c r="AY558" s="273"/>
      <c r="AZ558" s="847"/>
      <c r="BA558" s="848"/>
      <c r="BB558" s="866"/>
      <c r="BC558" s="273"/>
      <c r="BD558" s="847"/>
      <c r="BE558" s="848"/>
      <c r="BF558" s="838"/>
    </row>
    <row r="559" spans="1:58" s="88" customFormat="1" ht="54" hidden="1" customHeight="1" x14ac:dyDescent="0.25">
      <c r="A559" s="267" t="s">
        <v>1687</v>
      </c>
      <c r="B559" s="268">
        <v>324</v>
      </c>
      <c r="C559" s="240" t="s">
        <v>4027</v>
      </c>
      <c r="D559" s="211" t="s">
        <v>4028</v>
      </c>
      <c r="E559" s="268" t="s">
        <v>4575</v>
      </c>
      <c r="F559" s="299" t="s">
        <v>4576</v>
      </c>
      <c r="G559" s="269" t="s">
        <v>4577</v>
      </c>
      <c r="H559" s="299" t="s">
        <v>4576</v>
      </c>
      <c r="I559" s="269" t="s">
        <v>4577</v>
      </c>
      <c r="J559" s="296" t="s">
        <v>140</v>
      </c>
      <c r="K559" s="297" t="s">
        <v>140</v>
      </c>
      <c r="L559" s="862" t="s">
        <v>4578</v>
      </c>
      <c r="M559" s="847" t="s">
        <v>973</v>
      </c>
      <c r="N559" s="297" t="s">
        <v>974</v>
      </c>
      <c r="O559" s="240" t="s">
        <v>144</v>
      </c>
      <c r="P559" s="240" t="s">
        <v>144</v>
      </c>
      <c r="Q559" s="845" t="s">
        <v>4579</v>
      </c>
      <c r="R559" s="208" t="s">
        <v>4580</v>
      </c>
      <c r="S559" s="268" t="s">
        <v>746</v>
      </c>
      <c r="T559" s="212" t="s">
        <v>1104</v>
      </c>
      <c r="U559" s="213" t="s">
        <v>1105</v>
      </c>
      <c r="V559" s="847">
        <v>19</v>
      </c>
      <c r="W559" s="415" t="s">
        <v>144</v>
      </c>
      <c r="X559" s="212">
        <v>41</v>
      </c>
      <c r="Y559" s="212" t="s">
        <v>144</v>
      </c>
      <c r="Z559" s="212" t="s">
        <v>144</v>
      </c>
      <c r="AA559" s="240" t="s">
        <v>4559</v>
      </c>
      <c r="AB559" s="206" t="s">
        <v>140</v>
      </c>
      <c r="AC559" s="847" t="s">
        <v>265</v>
      </c>
      <c r="AD559" s="847" t="s">
        <v>2148</v>
      </c>
      <c r="AE559" s="847" t="s">
        <v>144</v>
      </c>
      <c r="AF559" s="848" t="s">
        <v>144</v>
      </c>
      <c r="AG559" s="838"/>
      <c r="AH559" s="866" t="s">
        <v>4283</v>
      </c>
      <c r="AI559" s="273" t="s">
        <v>4284</v>
      </c>
      <c r="AJ559" s="847">
        <v>6</v>
      </c>
      <c r="AK559" s="878" t="s">
        <v>4208</v>
      </c>
      <c r="AL559" s="867"/>
      <c r="AM559" s="273"/>
      <c r="AN559" s="847"/>
      <c r="AO559" s="848"/>
      <c r="AP559" s="867" t="s">
        <v>1107</v>
      </c>
      <c r="AQ559" s="273" t="s">
        <v>1108</v>
      </c>
      <c r="AR559" s="847">
        <v>7</v>
      </c>
      <c r="AS559" s="286" t="s">
        <v>1109</v>
      </c>
      <c r="AT559" s="867"/>
      <c r="AU559" s="273"/>
      <c r="AV559" s="847"/>
      <c r="AW559" s="848"/>
      <c r="AX559" s="867"/>
      <c r="AY559" s="273"/>
      <c r="AZ559" s="847"/>
      <c r="BA559" s="848"/>
      <c r="BB559" s="866"/>
      <c r="BC559" s="273"/>
      <c r="BD559" s="847"/>
      <c r="BE559" s="848"/>
      <c r="BF559" s="838"/>
    </row>
    <row r="560" spans="1:58" s="88" customFormat="1" ht="54" hidden="1" customHeight="1" x14ac:dyDescent="0.25">
      <c r="A560" s="267" t="s">
        <v>1687</v>
      </c>
      <c r="B560" s="268">
        <v>325</v>
      </c>
      <c r="C560" s="240" t="s">
        <v>4027</v>
      </c>
      <c r="D560" s="211" t="s">
        <v>4028</v>
      </c>
      <c r="E560" s="268" t="s">
        <v>4581</v>
      </c>
      <c r="F560" s="861" t="s">
        <v>4582</v>
      </c>
      <c r="G560" s="269" t="s">
        <v>4583</v>
      </c>
      <c r="H560" s="861" t="s">
        <v>4582</v>
      </c>
      <c r="I560" s="269" t="s">
        <v>4583</v>
      </c>
      <c r="J560" s="296" t="s">
        <v>140</v>
      </c>
      <c r="K560" s="297" t="s">
        <v>140</v>
      </c>
      <c r="L560" s="862" t="s">
        <v>4584</v>
      </c>
      <c r="M560" s="847" t="s">
        <v>973</v>
      </c>
      <c r="N560" s="297" t="s">
        <v>974</v>
      </c>
      <c r="O560" s="240" t="s">
        <v>814</v>
      </c>
      <c r="P560" s="240" t="s">
        <v>815</v>
      </c>
      <c r="Q560" s="845" t="s">
        <v>144</v>
      </c>
      <c r="R560" s="208" t="s">
        <v>144</v>
      </c>
      <c r="S560" s="268" t="s">
        <v>147</v>
      </c>
      <c r="T560" s="212" t="s">
        <v>144</v>
      </c>
      <c r="U560" s="213" t="s">
        <v>144</v>
      </c>
      <c r="V560" s="847">
        <v>3</v>
      </c>
      <c r="W560" s="415" t="s">
        <v>144</v>
      </c>
      <c r="X560" s="212">
        <v>41</v>
      </c>
      <c r="Y560" s="212" t="s">
        <v>144</v>
      </c>
      <c r="Z560" s="212" t="s">
        <v>144</v>
      </c>
      <c r="AA560" s="240" t="s">
        <v>4559</v>
      </c>
      <c r="AB560" s="206" t="s">
        <v>140</v>
      </c>
      <c r="AC560" s="847" t="s">
        <v>265</v>
      </c>
      <c r="AD560" s="847" t="s">
        <v>2148</v>
      </c>
      <c r="AE560" s="847" t="s">
        <v>144</v>
      </c>
      <c r="AF560" s="848" t="s">
        <v>144</v>
      </c>
      <c r="AG560" s="838"/>
      <c r="AH560" s="866" t="s">
        <v>4585</v>
      </c>
      <c r="AI560" s="273" t="s">
        <v>4586</v>
      </c>
      <c r="AJ560" s="847">
        <v>7</v>
      </c>
      <c r="AK560" s="878" t="s">
        <v>1280</v>
      </c>
      <c r="AL560" s="867" t="s">
        <v>294</v>
      </c>
      <c r="AM560" s="273" t="s">
        <v>295</v>
      </c>
      <c r="AN560" s="847">
        <v>7</v>
      </c>
      <c r="AO560" s="187" t="s">
        <v>966</v>
      </c>
      <c r="AP560" s="867"/>
      <c r="AQ560" s="273"/>
      <c r="AR560" s="847"/>
      <c r="AS560" s="848"/>
      <c r="AT560" s="867"/>
      <c r="AU560" s="273"/>
      <c r="AV560" s="847"/>
      <c r="AW560" s="848"/>
      <c r="AX560" s="867"/>
      <c r="AY560" s="273"/>
      <c r="AZ560" s="847"/>
      <c r="BA560" s="848"/>
      <c r="BB560" s="866"/>
      <c r="BC560" s="273"/>
      <c r="BD560" s="847"/>
      <c r="BE560" s="848"/>
      <c r="BF560" s="838"/>
    </row>
    <row r="561" spans="1:58" s="88" customFormat="1" ht="54" hidden="1" customHeight="1" x14ac:dyDescent="0.25">
      <c r="A561" s="267" t="s">
        <v>1687</v>
      </c>
      <c r="B561" s="268">
        <v>326</v>
      </c>
      <c r="C561" s="240" t="s">
        <v>4027</v>
      </c>
      <c r="D561" s="211" t="s">
        <v>4028</v>
      </c>
      <c r="E561" s="268" t="s">
        <v>4587</v>
      </c>
      <c r="F561" s="861" t="s">
        <v>4588</v>
      </c>
      <c r="G561" s="269" t="s">
        <v>4589</v>
      </c>
      <c r="H561" s="249" t="s">
        <v>4590</v>
      </c>
      <c r="I561" s="135" t="s">
        <v>4591</v>
      </c>
      <c r="J561" s="296" t="s">
        <v>140</v>
      </c>
      <c r="K561" s="297" t="s">
        <v>140</v>
      </c>
      <c r="L561" s="862" t="s">
        <v>4592</v>
      </c>
      <c r="M561" s="847" t="s">
        <v>973</v>
      </c>
      <c r="N561" s="297" t="s">
        <v>974</v>
      </c>
      <c r="O561" s="240" t="s">
        <v>4593</v>
      </c>
      <c r="P561" s="240" t="s">
        <v>4594</v>
      </c>
      <c r="Q561" s="249" t="s">
        <v>4595</v>
      </c>
      <c r="R561" s="336" t="s">
        <v>4596</v>
      </c>
      <c r="S561" s="268" t="s">
        <v>147</v>
      </c>
      <c r="T561" s="212" t="s">
        <v>144</v>
      </c>
      <c r="U561" s="213" t="s">
        <v>144</v>
      </c>
      <c r="V561" s="847">
        <v>1</v>
      </c>
      <c r="W561" s="415" t="s">
        <v>144</v>
      </c>
      <c r="X561" s="212">
        <v>41</v>
      </c>
      <c r="Y561" s="212" t="s">
        <v>144</v>
      </c>
      <c r="Z561" s="241" t="s">
        <v>29</v>
      </c>
      <c r="AA561" s="407" t="s">
        <v>4317</v>
      </c>
      <c r="AB561" s="206" t="s">
        <v>140</v>
      </c>
      <c r="AC561" s="847" t="s">
        <v>265</v>
      </c>
      <c r="AD561" s="847" t="s">
        <v>1930</v>
      </c>
      <c r="AE561" s="847" t="s">
        <v>144</v>
      </c>
      <c r="AF561" s="848" t="s">
        <v>144</v>
      </c>
      <c r="AG561" s="838"/>
      <c r="AH561" s="885" t="s">
        <v>4597</v>
      </c>
      <c r="AI561" s="406" t="s">
        <v>4598</v>
      </c>
      <c r="AJ561" s="872">
        <v>6</v>
      </c>
      <c r="AK561" s="871" t="s">
        <v>4599</v>
      </c>
      <c r="AL561" s="867" t="s">
        <v>294</v>
      </c>
      <c r="AM561" s="273" t="s">
        <v>295</v>
      </c>
      <c r="AN561" s="847">
        <v>7</v>
      </c>
      <c r="AO561" s="187" t="s">
        <v>966</v>
      </c>
      <c r="AP561" s="867"/>
      <c r="AQ561" s="273"/>
      <c r="AR561" s="847"/>
      <c r="AS561" s="848"/>
      <c r="AT561" s="867"/>
      <c r="AU561" s="273"/>
      <c r="AV561" s="847"/>
      <c r="AW561" s="848"/>
      <c r="AX561" s="867"/>
      <c r="AY561" s="273"/>
      <c r="AZ561" s="847"/>
      <c r="BA561" s="848"/>
      <c r="BB561" s="866"/>
      <c r="BC561" s="273"/>
      <c r="BD561" s="847"/>
      <c r="BE561" s="848"/>
      <c r="BF561" s="838"/>
    </row>
    <row r="562" spans="1:58" s="88" customFormat="1" ht="54" hidden="1" customHeight="1" x14ac:dyDescent="0.25">
      <c r="A562" s="267" t="s">
        <v>1687</v>
      </c>
      <c r="B562" s="268">
        <v>327</v>
      </c>
      <c r="C562" s="240" t="s">
        <v>4027</v>
      </c>
      <c r="D562" s="211" t="s">
        <v>4028</v>
      </c>
      <c r="E562" s="268" t="s">
        <v>4600</v>
      </c>
      <c r="F562" s="861" t="s">
        <v>4601</v>
      </c>
      <c r="G562" s="269" t="s">
        <v>4602</v>
      </c>
      <c r="H562" s="887" t="s">
        <v>4603</v>
      </c>
      <c r="I562" s="430" t="s">
        <v>4604</v>
      </c>
      <c r="J562" s="296" t="s">
        <v>140</v>
      </c>
      <c r="K562" s="297" t="s">
        <v>140</v>
      </c>
      <c r="L562" s="862" t="s">
        <v>4605</v>
      </c>
      <c r="M562" s="847" t="s">
        <v>1821</v>
      </c>
      <c r="N562" s="297" t="s">
        <v>1822</v>
      </c>
      <c r="O562" s="240" t="s">
        <v>144</v>
      </c>
      <c r="P562" s="240" t="s">
        <v>144</v>
      </c>
      <c r="Q562" s="429" t="s">
        <v>4606</v>
      </c>
      <c r="R562" s="428" t="s">
        <v>4607</v>
      </c>
      <c r="S562" s="181" t="s">
        <v>233</v>
      </c>
      <c r="T562" s="212" t="s">
        <v>234</v>
      </c>
      <c r="U562" s="213" t="s">
        <v>235</v>
      </c>
      <c r="V562" s="847">
        <v>8</v>
      </c>
      <c r="W562" s="415" t="s">
        <v>144</v>
      </c>
      <c r="X562" s="212">
        <v>41</v>
      </c>
      <c r="Y562" s="212" t="s">
        <v>144</v>
      </c>
      <c r="Z562" s="252" t="s">
        <v>25</v>
      </c>
      <c r="AA562" s="240" t="s">
        <v>2588</v>
      </c>
      <c r="AB562" s="206" t="s">
        <v>140</v>
      </c>
      <c r="AC562" s="847" t="s">
        <v>265</v>
      </c>
      <c r="AD562" s="847" t="s">
        <v>2286</v>
      </c>
      <c r="AE562" s="847" t="s">
        <v>144</v>
      </c>
      <c r="AF562" s="848" t="s">
        <v>144</v>
      </c>
      <c r="AG562" s="838"/>
      <c r="AH562" s="866"/>
      <c r="AI562" s="273"/>
      <c r="AJ562" s="847"/>
      <c r="AK562" s="874"/>
      <c r="AL562" s="867"/>
      <c r="AM562" s="273"/>
      <c r="AN562" s="847"/>
      <c r="AO562" s="848"/>
      <c r="AP562" s="867" t="s">
        <v>1160</v>
      </c>
      <c r="AQ562" s="273" t="s">
        <v>1161</v>
      </c>
      <c r="AR562" s="847">
        <v>7</v>
      </c>
      <c r="AS562" s="848" t="s">
        <v>1162</v>
      </c>
      <c r="AT562" s="425" t="s">
        <v>4608</v>
      </c>
      <c r="AU562" s="426" t="s">
        <v>4609</v>
      </c>
      <c r="AV562" s="427">
        <v>6</v>
      </c>
      <c r="AW562" s="878" t="s">
        <v>4610</v>
      </c>
      <c r="AX562" s="867"/>
      <c r="AY562" s="273"/>
      <c r="AZ562" s="847"/>
      <c r="BA562" s="848"/>
      <c r="BB562" s="866"/>
      <c r="BC562" s="273"/>
      <c r="BD562" s="847"/>
      <c r="BE562" s="848"/>
      <c r="BF562" s="838"/>
    </row>
    <row r="563" spans="1:58" s="88" customFormat="1" ht="54" hidden="1" customHeight="1" x14ac:dyDescent="0.25">
      <c r="A563" s="267" t="s">
        <v>1687</v>
      </c>
      <c r="B563" s="268">
        <v>328</v>
      </c>
      <c r="C563" s="240" t="s">
        <v>4027</v>
      </c>
      <c r="D563" s="211" t="s">
        <v>4028</v>
      </c>
      <c r="E563" s="268" t="s">
        <v>4611</v>
      </c>
      <c r="F563" s="249" t="s">
        <v>4612</v>
      </c>
      <c r="G563" s="135" t="s">
        <v>4613</v>
      </c>
      <c r="H563" s="249" t="s">
        <v>4614</v>
      </c>
      <c r="I563" s="135" t="s">
        <v>4615</v>
      </c>
      <c r="J563" s="296" t="s">
        <v>140</v>
      </c>
      <c r="K563" s="297" t="s">
        <v>140</v>
      </c>
      <c r="L563" s="862" t="s">
        <v>4616</v>
      </c>
      <c r="M563" s="847" t="s">
        <v>973</v>
      </c>
      <c r="N563" s="297" t="s">
        <v>974</v>
      </c>
      <c r="O563" s="240" t="s">
        <v>4617</v>
      </c>
      <c r="P563" s="240" t="s">
        <v>4618</v>
      </c>
      <c r="Q563" s="845" t="s">
        <v>4619</v>
      </c>
      <c r="R563" s="208" t="s">
        <v>4620</v>
      </c>
      <c r="S563" s="268" t="s">
        <v>147</v>
      </c>
      <c r="T563" s="212" t="s">
        <v>144</v>
      </c>
      <c r="U563" s="213" t="s">
        <v>144</v>
      </c>
      <c r="V563" s="847">
        <v>2</v>
      </c>
      <c r="W563" s="415" t="s">
        <v>144</v>
      </c>
      <c r="X563" s="212">
        <v>41</v>
      </c>
      <c r="Y563" s="212" t="s">
        <v>144</v>
      </c>
      <c r="Z563" s="252" t="s">
        <v>144</v>
      </c>
      <c r="AA563" s="240" t="s">
        <v>4621</v>
      </c>
      <c r="AB563" s="206" t="s">
        <v>140</v>
      </c>
      <c r="AC563" s="847" t="s">
        <v>265</v>
      </c>
      <c r="AD563" s="847" t="s">
        <v>2286</v>
      </c>
      <c r="AE563" s="847" t="s">
        <v>144</v>
      </c>
      <c r="AF563" s="848" t="s">
        <v>144</v>
      </c>
      <c r="AG563" s="838"/>
      <c r="AH563" s="866" t="s">
        <v>4544</v>
      </c>
      <c r="AI563" s="273" t="s">
        <v>4545</v>
      </c>
      <c r="AJ563" s="847">
        <v>6</v>
      </c>
      <c r="AK563" s="878" t="s">
        <v>4546</v>
      </c>
      <c r="AL563" s="867" t="s">
        <v>294</v>
      </c>
      <c r="AM563" s="273" t="s">
        <v>295</v>
      </c>
      <c r="AN563" s="847">
        <v>7</v>
      </c>
      <c r="AO563" s="187" t="s">
        <v>966</v>
      </c>
      <c r="AP563" s="867"/>
      <c r="AQ563" s="273"/>
      <c r="AR563" s="847"/>
      <c r="AS563" s="848"/>
      <c r="AT563" s="867"/>
      <c r="AU563" s="273"/>
      <c r="AV563" s="847"/>
      <c r="AW563" s="848"/>
      <c r="AX563" s="867"/>
      <c r="AY563" s="273"/>
      <c r="AZ563" s="847"/>
      <c r="BA563" s="848"/>
      <c r="BB563" s="866"/>
      <c r="BC563" s="273"/>
      <c r="BD563" s="847"/>
      <c r="BE563" s="848"/>
      <c r="BF563" s="838"/>
    </row>
    <row r="564" spans="1:58" s="88" customFormat="1" ht="54.6" hidden="1" customHeight="1" x14ac:dyDescent="0.25">
      <c r="A564" s="267" t="s">
        <v>1687</v>
      </c>
      <c r="B564" s="268">
        <v>329</v>
      </c>
      <c r="C564" s="240" t="s">
        <v>2170</v>
      </c>
      <c r="D564" s="211" t="s">
        <v>2171</v>
      </c>
      <c r="E564" s="268" t="s">
        <v>4622</v>
      </c>
      <c r="F564" s="299" t="s">
        <v>4623</v>
      </c>
      <c r="G564" s="269" t="s">
        <v>4624</v>
      </c>
      <c r="H564" s="335" t="s">
        <v>4625</v>
      </c>
      <c r="I564" s="135" t="s">
        <v>4626</v>
      </c>
      <c r="J564" s="296" t="s">
        <v>140</v>
      </c>
      <c r="K564" s="297" t="s">
        <v>140</v>
      </c>
      <c r="L564" s="862" t="s">
        <v>4627</v>
      </c>
      <c r="M564" s="847" t="s">
        <v>973</v>
      </c>
      <c r="N564" s="297" t="s">
        <v>974</v>
      </c>
      <c r="O564" s="240" t="s">
        <v>144</v>
      </c>
      <c r="P564" s="240" t="s">
        <v>144</v>
      </c>
      <c r="Q564" s="845" t="s">
        <v>144</v>
      </c>
      <c r="R564" s="208" t="s">
        <v>144</v>
      </c>
      <c r="S564" s="268" t="s">
        <v>746</v>
      </c>
      <c r="T564" s="212" t="s">
        <v>1307</v>
      </c>
      <c r="U564" s="213" t="s">
        <v>1308</v>
      </c>
      <c r="V564" s="847">
        <v>10</v>
      </c>
      <c r="W564" s="415" t="s">
        <v>144</v>
      </c>
      <c r="X564" s="212">
        <v>41</v>
      </c>
      <c r="Y564" s="212" t="s">
        <v>144</v>
      </c>
      <c r="Z564" s="252" t="s">
        <v>144</v>
      </c>
      <c r="AA564" s="240" t="s">
        <v>4543</v>
      </c>
      <c r="AB564" s="206" t="s">
        <v>140</v>
      </c>
      <c r="AC564" s="847" t="s">
        <v>265</v>
      </c>
      <c r="AD564" s="847" t="s">
        <v>2205</v>
      </c>
      <c r="AE564" s="847" t="s">
        <v>144</v>
      </c>
      <c r="AF564" s="848" t="s">
        <v>144</v>
      </c>
      <c r="AG564" s="838"/>
      <c r="AH564" s="866" t="s">
        <v>4544</v>
      </c>
      <c r="AI564" s="273" t="s">
        <v>4545</v>
      </c>
      <c r="AJ564" s="847">
        <v>5</v>
      </c>
      <c r="AK564" s="878" t="s">
        <v>4546</v>
      </c>
      <c r="AL564" s="867"/>
      <c r="AM564" s="273"/>
      <c r="AN564" s="847"/>
      <c r="AO564" s="848"/>
      <c r="AP564" s="867" t="s">
        <v>1107</v>
      </c>
      <c r="AQ564" s="273" t="s">
        <v>1108</v>
      </c>
      <c r="AR564" s="847">
        <v>7</v>
      </c>
      <c r="AS564" s="286" t="s">
        <v>1109</v>
      </c>
      <c r="AT564" s="867"/>
      <c r="AU564" s="273"/>
      <c r="AV564" s="847"/>
      <c r="AW564" s="848"/>
      <c r="AX564" s="867"/>
      <c r="AY564" s="273"/>
      <c r="AZ564" s="847"/>
      <c r="BA564" s="848"/>
      <c r="BB564" s="866"/>
      <c r="BC564" s="273"/>
      <c r="BD564" s="847"/>
      <c r="BE564" s="848"/>
      <c r="BF564" s="838"/>
    </row>
    <row r="565" spans="1:58" s="88" customFormat="1" ht="54" hidden="1" customHeight="1" x14ac:dyDescent="0.25">
      <c r="A565" s="267" t="s">
        <v>1687</v>
      </c>
      <c r="B565" s="268">
        <v>330</v>
      </c>
      <c r="C565" s="240" t="s">
        <v>4027</v>
      </c>
      <c r="D565" s="211" t="s">
        <v>4028</v>
      </c>
      <c r="E565" s="298" t="s">
        <v>4628</v>
      </c>
      <c r="F565" s="861" t="s">
        <v>4629</v>
      </c>
      <c r="G565" s="269" t="s">
        <v>4630</v>
      </c>
      <c r="H565" s="845" t="s">
        <v>4631</v>
      </c>
      <c r="I565" s="269" t="s">
        <v>4632</v>
      </c>
      <c r="J565" s="296" t="s">
        <v>140</v>
      </c>
      <c r="K565" s="297" t="s">
        <v>140</v>
      </c>
      <c r="L565" s="862" t="s">
        <v>4633</v>
      </c>
      <c r="M565" s="847" t="s">
        <v>973</v>
      </c>
      <c r="N565" s="297" t="s">
        <v>974</v>
      </c>
      <c r="O565" s="240" t="s">
        <v>4634</v>
      </c>
      <c r="P565" s="240" t="s">
        <v>4635</v>
      </c>
      <c r="Q565" s="845" t="s">
        <v>144</v>
      </c>
      <c r="R565" s="208" t="s">
        <v>144</v>
      </c>
      <c r="S565" s="268" t="s">
        <v>147</v>
      </c>
      <c r="T565" s="212" t="s">
        <v>144</v>
      </c>
      <c r="U565" s="213" t="s">
        <v>144</v>
      </c>
      <c r="V565" s="240">
        <v>2</v>
      </c>
      <c r="W565" s="206" t="s">
        <v>144</v>
      </c>
      <c r="X565" s="212">
        <v>42</v>
      </c>
      <c r="Y565" s="212" t="s">
        <v>144</v>
      </c>
      <c r="Z565" s="212" t="s">
        <v>144</v>
      </c>
      <c r="AA565" s="240" t="s">
        <v>4636</v>
      </c>
      <c r="AB565" s="206" t="s">
        <v>140</v>
      </c>
      <c r="AC565" s="847" t="s">
        <v>265</v>
      </c>
      <c r="AD565" s="847" t="s">
        <v>4637</v>
      </c>
      <c r="AE565" s="847" t="s">
        <v>144</v>
      </c>
      <c r="AF565" s="848" t="s">
        <v>144</v>
      </c>
      <c r="AG565" s="838"/>
      <c r="AH565" s="866" t="s">
        <v>4638</v>
      </c>
      <c r="AI565" s="273" t="s">
        <v>4639</v>
      </c>
      <c r="AJ565" s="847">
        <v>6</v>
      </c>
      <c r="AK565" s="878" t="s">
        <v>4640</v>
      </c>
      <c r="AL565" s="867" t="s">
        <v>294</v>
      </c>
      <c r="AM565" s="273" t="s">
        <v>295</v>
      </c>
      <c r="AN565" s="847">
        <v>7</v>
      </c>
      <c r="AO565" s="187" t="s">
        <v>966</v>
      </c>
      <c r="AP565" s="867"/>
      <c r="AQ565" s="273"/>
      <c r="AR565" s="847"/>
      <c r="AS565" s="848"/>
      <c r="AT565" s="867"/>
      <c r="AU565" s="273"/>
      <c r="AV565" s="847"/>
      <c r="AW565" s="848"/>
      <c r="AX565" s="867"/>
      <c r="AY565" s="273"/>
      <c r="AZ565" s="847"/>
      <c r="BA565" s="848"/>
      <c r="BB565" s="866"/>
      <c r="BC565" s="273"/>
      <c r="BD565" s="847"/>
      <c r="BE565" s="848"/>
      <c r="BF565" s="838"/>
    </row>
    <row r="566" spans="1:58" s="88" customFormat="1" ht="54" hidden="1" customHeight="1" x14ac:dyDescent="0.25">
      <c r="A566" s="267" t="s">
        <v>1687</v>
      </c>
      <c r="B566" s="268">
        <v>331</v>
      </c>
      <c r="C566" s="240" t="s">
        <v>4027</v>
      </c>
      <c r="D566" s="211" t="s">
        <v>4028</v>
      </c>
      <c r="E566" s="298" t="s">
        <v>4641</v>
      </c>
      <c r="F566" s="861" t="s">
        <v>4642</v>
      </c>
      <c r="G566" s="269" t="s">
        <v>4643</v>
      </c>
      <c r="H566" s="845" t="s">
        <v>4642</v>
      </c>
      <c r="I566" s="269" t="s">
        <v>4643</v>
      </c>
      <c r="J566" s="296" t="s">
        <v>140</v>
      </c>
      <c r="K566" s="297" t="s">
        <v>140</v>
      </c>
      <c r="L566" s="862" t="s">
        <v>4644</v>
      </c>
      <c r="M566" s="847" t="s">
        <v>973</v>
      </c>
      <c r="N566" s="297" t="s">
        <v>974</v>
      </c>
      <c r="O566" s="240" t="s">
        <v>144</v>
      </c>
      <c r="P566" s="240" t="s">
        <v>144</v>
      </c>
      <c r="Q566" s="845" t="s">
        <v>144</v>
      </c>
      <c r="R566" s="208" t="s">
        <v>144</v>
      </c>
      <c r="S566" s="181" t="s">
        <v>233</v>
      </c>
      <c r="T566" s="212" t="s">
        <v>234</v>
      </c>
      <c r="U566" s="213" t="s">
        <v>235</v>
      </c>
      <c r="V566" s="240">
        <v>8</v>
      </c>
      <c r="W566" s="206" t="s">
        <v>144</v>
      </c>
      <c r="X566" s="212">
        <v>42</v>
      </c>
      <c r="Y566" s="212" t="s">
        <v>144</v>
      </c>
      <c r="Z566" s="252" t="s">
        <v>144</v>
      </c>
      <c r="AA566" s="240" t="s">
        <v>4645</v>
      </c>
      <c r="AB566" s="206" t="s">
        <v>140</v>
      </c>
      <c r="AC566" s="847" t="s">
        <v>265</v>
      </c>
      <c r="AD566" s="847" t="s">
        <v>4646</v>
      </c>
      <c r="AE566" s="847" t="s">
        <v>144</v>
      </c>
      <c r="AF566" s="848" t="s">
        <v>144</v>
      </c>
      <c r="AG566" s="838"/>
      <c r="AH566" s="866" t="s">
        <v>4647</v>
      </c>
      <c r="AI566" s="273" t="s">
        <v>4648</v>
      </c>
      <c r="AJ566" s="847">
        <v>6</v>
      </c>
      <c r="AK566" s="878" t="s">
        <v>4649</v>
      </c>
      <c r="AL566" s="867"/>
      <c r="AM566" s="273"/>
      <c r="AN566" s="847"/>
      <c r="AO566" s="848"/>
      <c r="AP566" s="867" t="s">
        <v>1160</v>
      </c>
      <c r="AQ566" s="273" t="s">
        <v>1161</v>
      </c>
      <c r="AR566" s="847">
        <v>7</v>
      </c>
      <c r="AS566" s="848" t="s">
        <v>1162</v>
      </c>
      <c r="AT566" s="867" t="s">
        <v>1163</v>
      </c>
      <c r="AU566" s="273" t="s">
        <v>1164</v>
      </c>
      <c r="AV566" s="847">
        <v>6</v>
      </c>
      <c r="AW566" s="848" t="s">
        <v>1165</v>
      </c>
      <c r="AX566" s="867"/>
      <c r="AY566" s="273"/>
      <c r="AZ566" s="847"/>
      <c r="BA566" s="848"/>
      <c r="BB566" s="866"/>
      <c r="BC566" s="273"/>
      <c r="BD566" s="847"/>
      <c r="BE566" s="848"/>
      <c r="BF566" s="838"/>
    </row>
    <row r="567" spans="1:58" s="88" customFormat="1" ht="54" hidden="1" customHeight="1" x14ac:dyDescent="0.25">
      <c r="A567" s="267" t="s">
        <v>1687</v>
      </c>
      <c r="B567" s="268">
        <v>332</v>
      </c>
      <c r="C567" s="240" t="s">
        <v>4027</v>
      </c>
      <c r="D567" s="211" t="s">
        <v>4028</v>
      </c>
      <c r="E567" s="298" t="s">
        <v>4650</v>
      </c>
      <c r="F567" s="861" t="s">
        <v>4651</v>
      </c>
      <c r="G567" s="269" t="s">
        <v>4652</v>
      </c>
      <c r="H567" s="845" t="s">
        <v>4653</v>
      </c>
      <c r="I567" s="269" t="s">
        <v>4654</v>
      </c>
      <c r="J567" s="296" t="s">
        <v>140</v>
      </c>
      <c r="K567" s="297" t="s">
        <v>140</v>
      </c>
      <c r="L567" s="862" t="s">
        <v>4655</v>
      </c>
      <c r="M567" s="847" t="s">
        <v>973</v>
      </c>
      <c r="N567" s="297" t="s">
        <v>974</v>
      </c>
      <c r="O567" s="240" t="s">
        <v>4656</v>
      </c>
      <c r="P567" s="240" t="s">
        <v>4657</v>
      </c>
      <c r="Q567" s="845" t="s">
        <v>144</v>
      </c>
      <c r="R567" s="208" t="s">
        <v>144</v>
      </c>
      <c r="S567" s="268" t="s">
        <v>147</v>
      </c>
      <c r="T567" s="212" t="s">
        <v>144</v>
      </c>
      <c r="U567" s="213" t="s">
        <v>144</v>
      </c>
      <c r="V567" s="240">
        <v>2</v>
      </c>
      <c r="W567" s="206" t="s">
        <v>144</v>
      </c>
      <c r="X567" s="212">
        <v>42</v>
      </c>
      <c r="Y567" s="212" t="s">
        <v>144</v>
      </c>
      <c r="Z567" s="212" t="s">
        <v>144</v>
      </c>
      <c r="AA567" s="240" t="s">
        <v>4658</v>
      </c>
      <c r="AB567" s="206" t="s">
        <v>140</v>
      </c>
      <c r="AC567" s="847" t="s">
        <v>265</v>
      </c>
      <c r="AD567" s="847" t="s">
        <v>4659</v>
      </c>
      <c r="AE567" s="847" t="s">
        <v>144</v>
      </c>
      <c r="AF567" s="848" t="s">
        <v>144</v>
      </c>
      <c r="AG567" s="838"/>
      <c r="AH567" s="877" t="s">
        <v>4660</v>
      </c>
      <c r="AI567" s="273" t="s">
        <v>4661</v>
      </c>
      <c r="AJ567" s="847">
        <v>6</v>
      </c>
      <c r="AK567" s="878" t="s">
        <v>4662</v>
      </c>
      <c r="AL567" s="867" t="s">
        <v>294</v>
      </c>
      <c r="AM567" s="273" t="s">
        <v>295</v>
      </c>
      <c r="AN567" s="847">
        <v>7</v>
      </c>
      <c r="AO567" s="187" t="s">
        <v>966</v>
      </c>
      <c r="AP567" s="867"/>
      <c r="AQ567" s="273"/>
      <c r="AR567" s="847"/>
      <c r="AS567" s="848"/>
      <c r="AT567" s="867"/>
      <c r="AU567" s="273"/>
      <c r="AV567" s="847"/>
      <c r="AW567" s="848"/>
      <c r="AX567" s="867"/>
      <c r="AY567" s="273"/>
      <c r="AZ567" s="847"/>
      <c r="BA567" s="848"/>
      <c r="BB567" s="866"/>
      <c r="BC567" s="273"/>
      <c r="BD567" s="847"/>
      <c r="BE567" s="848"/>
      <c r="BF567" s="838"/>
    </row>
    <row r="568" spans="1:58" s="88" customFormat="1" ht="54" hidden="1" customHeight="1" x14ac:dyDescent="0.25">
      <c r="A568" s="267" t="s">
        <v>1687</v>
      </c>
      <c r="B568" s="268">
        <v>333</v>
      </c>
      <c r="C568" s="240" t="s">
        <v>4027</v>
      </c>
      <c r="D568" s="211" t="s">
        <v>4028</v>
      </c>
      <c r="E568" s="298" t="s">
        <v>4663</v>
      </c>
      <c r="F568" s="861" t="s">
        <v>4664</v>
      </c>
      <c r="G568" s="269" t="s">
        <v>4665</v>
      </c>
      <c r="H568" s="845" t="s">
        <v>4666</v>
      </c>
      <c r="I568" s="269" t="s">
        <v>4667</v>
      </c>
      <c r="J568" s="296" t="s">
        <v>140</v>
      </c>
      <c r="K568" s="297" t="s">
        <v>140</v>
      </c>
      <c r="L568" s="862" t="s">
        <v>4668</v>
      </c>
      <c r="M568" s="847" t="s">
        <v>973</v>
      </c>
      <c r="N568" s="297" t="s">
        <v>974</v>
      </c>
      <c r="O568" s="240" t="s">
        <v>4669</v>
      </c>
      <c r="P568" s="240" t="s">
        <v>4670</v>
      </c>
      <c r="Q568" s="845" t="s">
        <v>4671</v>
      </c>
      <c r="R568" s="208" t="s">
        <v>4672</v>
      </c>
      <c r="S568" s="268" t="s">
        <v>147</v>
      </c>
      <c r="T568" s="212" t="s">
        <v>144</v>
      </c>
      <c r="U568" s="213" t="s">
        <v>144</v>
      </c>
      <c r="V568" s="240">
        <v>1</v>
      </c>
      <c r="W568" s="206" t="s">
        <v>144</v>
      </c>
      <c r="X568" s="212">
        <v>42</v>
      </c>
      <c r="Y568" s="212" t="s">
        <v>144</v>
      </c>
      <c r="Z568" s="212" t="s">
        <v>144</v>
      </c>
      <c r="AA568" s="240" t="s">
        <v>1212</v>
      </c>
      <c r="AB568" s="206" t="s">
        <v>140</v>
      </c>
      <c r="AC568" s="847" t="s">
        <v>265</v>
      </c>
      <c r="AD568" s="847" t="s">
        <v>4673</v>
      </c>
      <c r="AE568" s="847" t="s">
        <v>144</v>
      </c>
      <c r="AF568" s="848" t="s">
        <v>144</v>
      </c>
      <c r="AG568" s="838"/>
      <c r="AH568" s="866" t="s">
        <v>2061</v>
      </c>
      <c r="AI568" s="273" t="s">
        <v>2062</v>
      </c>
      <c r="AJ568" s="847">
        <v>6</v>
      </c>
      <c r="AK568" s="878" t="s">
        <v>2063</v>
      </c>
      <c r="AL568" s="867" t="s">
        <v>294</v>
      </c>
      <c r="AM568" s="273" t="s">
        <v>295</v>
      </c>
      <c r="AN568" s="847">
        <v>7</v>
      </c>
      <c r="AO568" s="187" t="s">
        <v>966</v>
      </c>
      <c r="AP568" s="867"/>
      <c r="AQ568" s="273"/>
      <c r="AR568" s="847"/>
      <c r="AS568" s="848"/>
      <c r="AT568" s="867"/>
      <c r="AU568" s="273"/>
      <c r="AV568" s="847"/>
      <c r="AW568" s="848"/>
      <c r="AX568" s="867"/>
      <c r="AY568" s="273"/>
      <c r="AZ568" s="847"/>
      <c r="BA568" s="848"/>
      <c r="BB568" s="866"/>
      <c r="BC568" s="273"/>
      <c r="BD568" s="847"/>
      <c r="BE568" s="848"/>
      <c r="BF568" s="838"/>
    </row>
    <row r="569" spans="1:58" s="88" customFormat="1" ht="54" hidden="1" customHeight="1" x14ac:dyDescent="0.25">
      <c r="A569" s="267" t="s">
        <v>1687</v>
      </c>
      <c r="B569" s="268">
        <v>334</v>
      </c>
      <c r="C569" s="240" t="s">
        <v>4027</v>
      </c>
      <c r="D569" s="211" t="s">
        <v>4028</v>
      </c>
      <c r="E569" s="298" t="s">
        <v>4674</v>
      </c>
      <c r="F569" s="861" t="s">
        <v>4675</v>
      </c>
      <c r="G569" s="269" t="s">
        <v>4676</v>
      </c>
      <c r="H569" s="845" t="s">
        <v>4675</v>
      </c>
      <c r="I569" s="269" t="s">
        <v>4677</v>
      </c>
      <c r="J569" s="296" t="s">
        <v>140</v>
      </c>
      <c r="K569" s="297" t="s">
        <v>140</v>
      </c>
      <c r="L569" s="862" t="s">
        <v>4678</v>
      </c>
      <c r="M569" s="847" t="s">
        <v>973</v>
      </c>
      <c r="N569" s="297" t="s">
        <v>974</v>
      </c>
      <c r="O569" s="240" t="s">
        <v>144</v>
      </c>
      <c r="P569" s="240" t="s">
        <v>144</v>
      </c>
      <c r="Q569" s="845" t="s">
        <v>144</v>
      </c>
      <c r="R569" s="208" t="s">
        <v>144</v>
      </c>
      <c r="S569" s="268" t="s">
        <v>147</v>
      </c>
      <c r="T569" s="212" t="s">
        <v>144</v>
      </c>
      <c r="U569" s="213" t="s">
        <v>144</v>
      </c>
      <c r="V569" s="240">
        <v>5</v>
      </c>
      <c r="W569" s="206" t="s">
        <v>144</v>
      </c>
      <c r="X569" s="212">
        <v>42</v>
      </c>
      <c r="Y569" s="212" t="s">
        <v>144</v>
      </c>
      <c r="Z569" s="212" t="s">
        <v>144</v>
      </c>
      <c r="AA569" s="240" t="s">
        <v>2216</v>
      </c>
      <c r="AB569" s="206" t="s">
        <v>140</v>
      </c>
      <c r="AC569" s="847" t="s">
        <v>265</v>
      </c>
      <c r="AD569" s="847" t="s">
        <v>4305</v>
      </c>
      <c r="AE569" s="847" t="s">
        <v>144</v>
      </c>
      <c r="AF569" s="848" t="s">
        <v>144</v>
      </c>
      <c r="AG569" s="838"/>
      <c r="AH569" s="866" t="s">
        <v>4455</v>
      </c>
      <c r="AI569" s="273" t="s">
        <v>4456</v>
      </c>
      <c r="AJ569" s="847">
        <v>6</v>
      </c>
      <c r="AK569" s="878" t="s">
        <v>4457</v>
      </c>
      <c r="AL569" s="867"/>
      <c r="AM569" s="273"/>
      <c r="AN569" s="847"/>
      <c r="AO569" s="848"/>
      <c r="AP569" s="867"/>
      <c r="AQ569" s="273"/>
      <c r="AR569" s="847"/>
      <c r="AS569" s="848"/>
      <c r="AT569" s="867"/>
      <c r="AU569" s="273"/>
      <c r="AV569" s="847"/>
      <c r="AW569" s="848"/>
      <c r="AX569" s="867"/>
      <c r="AY569" s="273"/>
      <c r="AZ569" s="847"/>
      <c r="BA569" s="848"/>
      <c r="BB569" s="866"/>
      <c r="BC569" s="273"/>
      <c r="BD569" s="847"/>
      <c r="BE569" s="848"/>
      <c r="BF569" s="838"/>
    </row>
    <row r="570" spans="1:58" s="88" customFormat="1" ht="54" hidden="1" customHeight="1" x14ac:dyDescent="0.25">
      <c r="A570" s="267" t="s">
        <v>1687</v>
      </c>
      <c r="B570" s="268">
        <v>335</v>
      </c>
      <c r="C570" s="240" t="s">
        <v>4027</v>
      </c>
      <c r="D570" s="211" t="s">
        <v>4028</v>
      </c>
      <c r="E570" s="298" t="s">
        <v>4679</v>
      </c>
      <c r="F570" s="886" t="s">
        <v>4680</v>
      </c>
      <c r="G570" s="430" t="s">
        <v>4681</v>
      </c>
      <c r="H570" s="887" t="s">
        <v>4682</v>
      </c>
      <c r="I570" s="430" t="s">
        <v>4683</v>
      </c>
      <c r="J570" s="296" t="s">
        <v>140</v>
      </c>
      <c r="K570" s="297" t="s">
        <v>140</v>
      </c>
      <c r="L570" s="862" t="s">
        <v>4684</v>
      </c>
      <c r="M570" s="206" t="s">
        <v>193</v>
      </c>
      <c r="N570" s="297" t="s">
        <v>194</v>
      </c>
      <c r="O570" s="240" t="s">
        <v>4685</v>
      </c>
      <c r="P570" s="240" t="s">
        <v>4686</v>
      </c>
      <c r="Q570" s="845" t="s">
        <v>144</v>
      </c>
      <c r="R570" s="208" t="s">
        <v>144</v>
      </c>
      <c r="S570" s="268" t="s">
        <v>147</v>
      </c>
      <c r="T570" s="212" t="s">
        <v>144</v>
      </c>
      <c r="U570" s="213" t="s">
        <v>144</v>
      </c>
      <c r="V570" s="240">
        <v>3</v>
      </c>
      <c r="W570" s="206" t="s">
        <v>144</v>
      </c>
      <c r="X570" s="212">
        <v>42</v>
      </c>
      <c r="Y570" s="212" t="s">
        <v>144</v>
      </c>
      <c r="Z570" s="241" t="s">
        <v>25</v>
      </c>
      <c r="AA570" s="240" t="s">
        <v>4687</v>
      </c>
      <c r="AB570" s="206" t="s">
        <v>140</v>
      </c>
      <c r="AC570" s="847" t="s">
        <v>265</v>
      </c>
      <c r="AD570" s="847" t="s">
        <v>4688</v>
      </c>
      <c r="AE570" s="847" t="s">
        <v>144</v>
      </c>
      <c r="AF570" s="848" t="s">
        <v>144</v>
      </c>
      <c r="AG570" s="838"/>
      <c r="AH570" s="340"/>
      <c r="AI570" s="273"/>
      <c r="AJ570" s="341"/>
      <c r="AK570" s="874"/>
      <c r="AL570" s="875" t="s">
        <v>294</v>
      </c>
      <c r="AM570" s="301" t="s">
        <v>295</v>
      </c>
      <c r="AN570" s="847">
        <v>7</v>
      </c>
      <c r="AO570" s="187" t="s">
        <v>966</v>
      </c>
      <c r="AP570" s="867"/>
      <c r="AQ570" s="273"/>
      <c r="AR570" s="847"/>
      <c r="AS570" s="848"/>
      <c r="AT570" s="867"/>
      <c r="AU570" s="273"/>
      <c r="AV570" s="847"/>
      <c r="AW570" s="848"/>
      <c r="AX570" s="867"/>
      <c r="AY570" s="273"/>
      <c r="AZ570" s="847"/>
      <c r="BA570" s="848"/>
      <c r="BB570" s="866"/>
      <c r="BC570" s="273"/>
      <c r="BD570" s="847"/>
      <c r="BE570" s="848"/>
      <c r="BF570" s="838"/>
    </row>
    <row r="571" spans="1:58" s="88" customFormat="1" ht="54" hidden="1" customHeight="1" x14ac:dyDescent="0.25">
      <c r="A571" s="267" t="s">
        <v>1687</v>
      </c>
      <c r="B571" s="268">
        <v>336</v>
      </c>
      <c r="C571" s="240" t="s">
        <v>4027</v>
      </c>
      <c r="D571" s="211" t="s">
        <v>4028</v>
      </c>
      <c r="E571" s="298" t="s">
        <v>4689</v>
      </c>
      <c r="F571" s="861" t="s">
        <v>4690</v>
      </c>
      <c r="G571" s="269" t="s">
        <v>4690</v>
      </c>
      <c r="H571" s="845" t="s">
        <v>4691</v>
      </c>
      <c r="I571" s="269" t="s">
        <v>4692</v>
      </c>
      <c r="J571" s="296" t="s">
        <v>140</v>
      </c>
      <c r="K571" s="297" t="s">
        <v>140</v>
      </c>
      <c r="L571" s="862" t="s">
        <v>4693</v>
      </c>
      <c r="M571" s="847" t="s">
        <v>973</v>
      </c>
      <c r="N571" s="297" t="s">
        <v>974</v>
      </c>
      <c r="O571" s="240" t="s">
        <v>4694</v>
      </c>
      <c r="P571" s="240" t="s">
        <v>4695</v>
      </c>
      <c r="Q571" s="846" t="s">
        <v>4696</v>
      </c>
      <c r="R571" s="342" t="s">
        <v>4697</v>
      </c>
      <c r="S571" s="268" t="s">
        <v>147</v>
      </c>
      <c r="T571" s="212" t="s">
        <v>144</v>
      </c>
      <c r="U571" s="213" t="s">
        <v>144</v>
      </c>
      <c r="V571" s="240">
        <v>2</v>
      </c>
      <c r="W571" s="206" t="s">
        <v>144</v>
      </c>
      <c r="X571" s="212">
        <v>42</v>
      </c>
      <c r="Y571" s="212" t="s">
        <v>144</v>
      </c>
      <c r="Z571" s="433" t="s">
        <v>25</v>
      </c>
      <c r="AA571" s="407" t="s">
        <v>4698</v>
      </c>
      <c r="AB571" s="206" t="s">
        <v>140</v>
      </c>
      <c r="AC571" s="847" t="s">
        <v>265</v>
      </c>
      <c r="AD571" s="847" t="s">
        <v>1690</v>
      </c>
      <c r="AE571" s="847" t="s">
        <v>144</v>
      </c>
      <c r="AF571" s="848" t="s">
        <v>144</v>
      </c>
      <c r="AG571" s="838"/>
      <c r="AH571" s="866" t="s">
        <v>4699</v>
      </c>
      <c r="AI571" s="273" t="s">
        <v>4700</v>
      </c>
      <c r="AJ571" s="847">
        <v>6</v>
      </c>
      <c r="AK571" s="878" t="s">
        <v>4701</v>
      </c>
      <c r="AL571" s="867" t="s">
        <v>294</v>
      </c>
      <c r="AM571" s="273" t="s">
        <v>295</v>
      </c>
      <c r="AN571" s="847">
        <v>7</v>
      </c>
      <c r="AO571" s="187" t="s">
        <v>966</v>
      </c>
      <c r="AP571" s="867"/>
      <c r="AQ571" s="273"/>
      <c r="AR571" s="847"/>
      <c r="AS571" s="848"/>
      <c r="AT571" s="867"/>
      <c r="AU571" s="273"/>
      <c r="AV571" s="847"/>
      <c r="AW571" s="848"/>
      <c r="AX571" s="867"/>
      <c r="AY571" s="273"/>
      <c r="AZ571" s="847"/>
      <c r="BA571" s="848"/>
      <c r="BB571" s="866"/>
      <c r="BC571" s="273"/>
      <c r="BD571" s="847"/>
      <c r="BE571" s="848"/>
      <c r="BF571" s="838"/>
    </row>
    <row r="572" spans="1:58" s="89" customFormat="1" ht="54" hidden="1" customHeight="1" x14ac:dyDescent="0.25">
      <c r="A572" s="267" t="s">
        <v>1687</v>
      </c>
      <c r="B572" s="268">
        <v>337</v>
      </c>
      <c r="C572" s="240" t="s">
        <v>4027</v>
      </c>
      <c r="D572" s="211" t="s">
        <v>4028</v>
      </c>
      <c r="E572" s="298" t="s">
        <v>4702</v>
      </c>
      <c r="F572" s="896" t="s">
        <v>4703</v>
      </c>
      <c r="G572" s="331" t="s">
        <v>4704</v>
      </c>
      <c r="H572" s="896" t="s">
        <v>4703</v>
      </c>
      <c r="I572" s="331" t="s">
        <v>4704</v>
      </c>
      <c r="J572" s="296" t="s">
        <v>140</v>
      </c>
      <c r="K572" s="297" t="s">
        <v>140</v>
      </c>
      <c r="L572" s="862" t="s">
        <v>4705</v>
      </c>
      <c r="M572" s="847" t="s">
        <v>193</v>
      </c>
      <c r="N572" s="297" t="s">
        <v>194</v>
      </c>
      <c r="O572" s="240" t="s">
        <v>144</v>
      </c>
      <c r="P572" s="240" t="s">
        <v>144</v>
      </c>
      <c r="Q572" s="845" t="s">
        <v>4706</v>
      </c>
      <c r="R572" s="208" t="s">
        <v>4707</v>
      </c>
      <c r="S572" s="298" t="s">
        <v>746</v>
      </c>
      <c r="T572" s="212" t="s">
        <v>1307</v>
      </c>
      <c r="U572" s="213" t="s">
        <v>1308</v>
      </c>
      <c r="V572" s="343">
        <v>10</v>
      </c>
      <c r="W572" s="206" t="s">
        <v>144</v>
      </c>
      <c r="X572" s="212">
        <v>42</v>
      </c>
      <c r="Y572" s="212" t="s">
        <v>144</v>
      </c>
      <c r="Z572" s="212" t="s">
        <v>144</v>
      </c>
      <c r="AA572" s="240" t="s">
        <v>4708</v>
      </c>
      <c r="AB572" s="206" t="s">
        <v>140</v>
      </c>
      <c r="AC572" s="847" t="s">
        <v>265</v>
      </c>
      <c r="AD572" s="847" t="s">
        <v>2148</v>
      </c>
      <c r="AE572" s="847" t="s">
        <v>144</v>
      </c>
      <c r="AF572" s="848" t="s">
        <v>144</v>
      </c>
      <c r="AG572" s="838"/>
      <c r="AH572" s="866"/>
      <c r="AI572" s="273"/>
      <c r="AJ572" s="847"/>
      <c r="AK572" s="874"/>
      <c r="AL572" s="867"/>
      <c r="AM572" s="273"/>
      <c r="AN572" s="847"/>
      <c r="AO572" s="848"/>
      <c r="AP572" s="867" t="s">
        <v>4709</v>
      </c>
      <c r="AQ572" s="273" t="s">
        <v>4710</v>
      </c>
      <c r="AR572" s="847" t="s">
        <v>1724</v>
      </c>
      <c r="AS572" s="848" t="s">
        <v>4711</v>
      </c>
      <c r="AT572" s="867"/>
      <c r="AU572" s="273"/>
      <c r="AV572" s="847"/>
      <c r="AW572" s="848"/>
      <c r="AX572" s="867"/>
      <c r="AY572" s="273"/>
      <c r="AZ572" s="847"/>
      <c r="BA572" s="848"/>
      <c r="BB572" s="866"/>
      <c r="BC572" s="273"/>
      <c r="BD572" s="847"/>
      <c r="BE572" s="848"/>
      <c r="BF572" s="838"/>
    </row>
    <row r="573" spans="1:58" s="89" customFormat="1" ht="54" hidden="1" customHeight="1" x14ac:dyDescent="0.25">
      <c r="A573" s="267" t="s">
        <v>1687</v>
      </c>
      <c r="B573" s="268">
        <v>338</v>
      </c>
      <c r="C573" s="240" t="s">
        <v>4027</v>
      </c>
      <c r="D573" s="211" t="s">
        <v>4028</v>
      </c>
      <c r="E573" s="298" t="s">
        <v>4712</v>
      </c>
      <c r="F573" s="896" t="s">
        <v>4713</v>
      </c>
      <c r="G573" s="331" t="s">
        <v>4714</v>
      </c>
      <c r="H573" s="896" t="s">
        <v>4713</v>
      </c>
      <c r="I573" s="331" t="s">
        <v>4714</v>
      </c>
      <c r="J573" s="296" t="s">
        <v>140</v>
      </c>
      <c r="K573" s="297" t="s">
        <v>140</v>
      </c>
      <c r="L573" s="862" t="s">
        <v>4715</v>
      </c>
      <c r="M573" s="847" t="s">
        <v>193</v>
      </c>
      <c r="N573" s="297" t="s">
        <v>194</v>
      </c>
      <c r="O573" s="240" t="s">
        <v>144</v>
      </c>
      <c r="P573" s="240" t="s">
        <v>144</v>
      </c>
      <c r="Q573" s="845" t="s">
        <v>4716</v>
      </c>
      <c r="R573" s="208" t="s">
        <v>4717</v>
      </c>
      <c r="S573" s="298" t="s">
        <v>746</v>
      </c>
      <c r="T573" s="212" t="s">
        <v>1307</v>
      </c>
      <c r="U573" s="213" t="s">
        <v>1308</v>
      </c>
      <c r="V573" s="343">
        <v>10</v>
      </c>
      <c r="W573" s="206" t="s">
        <v>144</v>
      </c>
      <c r="X573" s="212">
        <v>42</v>
      </c>
      <c r="Y573" s="212" t="s">
        <v>144</v>
      </c>
      <c r="Z573" s="252" t="s">
        <v>144</v>
      </c>
      <c r="AA573" s="240" t="s">
        <v>4708</v>
      </c>
      <c r="AB573" s="206" t="s">
        <v>140</v>
      </c>
      <c r="AC573" s="847" t="s">
        <v>265</v>
      </c>
      <c r="AD573" s="847" t="s">
        <v>4305</v>
      </c>
      <c r="AE573" s="847" t="s">
        <v>144</v>
      </c>
      <c r="AF573" s="848" t="s">
        <v>144</v>
      </c>
      <c r="AG573" s="838"/>
      <c r="AH573" s="866"/>
      <c r="AI573" s="273"/>
      <c r="AJ573" s="847"/>
      <c r="AK573" s="874"/>
      <c r="AL573" s="867"/>
      <c r="AM573" s="273"/>
      <c r="AN573" s="847"/>
      <c r="AO573" s="848"/>
      <c r="AP573" s="867" t="s">
        <v>3303</v>
      </c>
      <c r="AQ573" s="273" t="s">
        <v>3304</v>
      </c>
      <c r="AR573" s="847">
        <v>7</v>
      </c>
      <c r="AS573" s="848" t="s">
        <v>1311</v>
      </c>
      <c r="AT573" s="867"/>
      <c r="AU573" s="273"/>
      <c r="AV573" s="847"/>
      <c r="AW573" s="848"/>
      <c r="AX573" s="867"/>
      <c r="AY573" s="273"/>
      <c r="AZ573" s="847"/>
      <c r="BA573" s="848"/>
      <c r="BB573" s="866"/>
      <c r="BC573" s="273"/>
      <c r="BD573" s="847"/>
      <c r="BE573" s="848"/>
      <c r="BF573" s="838"/>
    </row>
    <row r="574" spans="1:58" s="88" customFormat="1" ht="54" hidden="1" customHeight="1" x14ac:dyDescent="0.25">
      <c r="A574" s="267" t="s">
        <v>1687</v>
      </c>
      <c r="B574" s="268">
        <v>339</v>
      </c>
      <c r="C574" s="240" t="s">
        <v>4718</v>
      </c>
      <c r="D574" s="270" t="s">
        <v>4719</v>
      </c>
      <c r="E574" s="268" t="s">
        <v>4720</v>
      </c>
      <c r="F574" s="861" t="s">
        <v>4721</v>
      </c>
      <c r="G574" s="269" t="s">
        <v>4722</v>
      </c>
      <c r="H574" s="845" t="s">
        <v>4723</v>
      </c>
      <c r="I574" s="269" t="s">
        <v>4724</v>
      </c>
      <c r="J574" s="296" t="s">
        <v>140</v>
      </c>
      <c r="K574" s="297" t="s">
        <v>140</v>
      </c>
      <c r="L574" s="862" t="s">
        <v>4725</v>
      </c>
      <c r="M574" s="847" t="s">
        <v>142</v>
      </c>
      <c r="N574" s="297" t="s">
        <v>143</v>
      </c>
      <c r="O574" s="240" t="s">
        <v>4726</v>
      </c>
      <c r="P574" s="240" t="s">
        <v>4727</v>
      </c>
      <c r="Q574" s="845" t="s">
        <v>144</v>
      </c>
      <c r="R574" s="208" t="s">
        <v>144</v>
      </c>
      <c r="S574" s="864" t="s">
        <v>147</v>
      </c>
      <c r="T574" s="212" t="s">
        <v>144</v>
      </c>
      <c r="U574" s="213" t="s">
        <v>144</v>
      </c>
      <c r="V574" s="847">
        <v>1</v>
      </c>
      <c r="W574" s="415" t="s">
        <v>144</v>
      </c>
      <c r="X574" s="212">
        <v>41</v>
      </c>
      <c r="Y574" s="212" t="s">
        <v>144</v>
      </c>
      <c r="Z574" s="212" t="s">
        <v>144</v>
      </c>
      <c r="AA574" s="240" t="s">
        <v>4708</v>
      </c>
      <c r="AB574" s="206" t="s">
        <v>140</v>
      </c>
      <c r="AC574" s="847" t="s">
        <v>265</v>
      </c>
      <c r="AD574" s="847" t="s">
        <v>1690</v>
      </c>
      <c r="AE574" s="847" t="s">
        <v>144</v>
      </c>
      <c r="AF574" s="848" t="s">
        <v>144</v>
      </c>
      <c r="AG574" s="838"/>
      <c r="AH574" s="866" t="s">
        <v>266</v>
      </c>
      <c r="AI574" s="273" t="s">
        <v>267</v>
      </c>
      <c r="AJ574" s="847">
        <v>7</v>
      </c>
      <c r="AK574" s="878" t="s">
        <v>1046</v>
      </c>
      <c r="AL574" s="867" t="s">
        <v>294</v>
      </c>
      <c r="AM574" s="273" t="s">
        <v>295</v>
      </c>
      <c r="AN574" s="847">
        <v>7</v>
      </c>
      <c r="AO574" s="187" t="s">
        <v>966</v>
      </c>
      <c r="AP574" s="867"/>
      <c r="AQ574" s="273"/>
      <c r="AR574" s="847"/>
      <c r="AS574" s="848"/>
      <c r="AT574" s="867"/>
      <c r="AU574" s="273"/>
      <c r="AV574" s="847"/>
      <c r="AW574" s="848"/>
      <c r="AX574" s="867"/>
      <c r="AY574" s="273"/>
      <c r="AZ574" s="847"/>
      <c r="BA574" s="848"/>
      <c r="BB574" s="866"/>
      <c r="BC574" s="273"/>
      <c r="BD574" s="847"/>
      <c r="BE574" s="848"/>
      <c r="BF574" s="838"/>
    </row>
    <row r="575" spans="1:58" s="88" customFormat="1" ht="54" hidden="1" customHeight="1" x14ac:dyDescent="0.25">
      <c r="A575" s="267" t="s">
        <v>1687</v>
      </c>
      <c r="B575" s="268">
        <v>340</v>
      </c>
      <c r="C575" s="240" t="s">
        <v>4718</v>
      </c>
      <c r="D575" s="270" t="s">
        <v>4719</v>
      </c>
      <c r="E575" s="268" t="s">
        <v>4728</v>
      </c>
      <c r="F575" s="861" t="s">
        <v>4729</v>
      </c>
      <c r="G575" s="269" t="s">
        <v>4730</v>
      </c>
      <c r="H575" s="845" t="s">
        <v>4731</v>
      </c>
      <c r="I575" s="208" t="s">
        <v>4732</v>
      </c>
      <c r="J575" s="240" t="s">
        <v>140</v>
      </c>
      <c r="K575" s="270" t="s">
        <v>140</v>
      </c>
      <c r="L575" s="862" t="s">
        <v>4733</v>
      </c>
      <c r="M575" s="872" t="s">
        <v>1821</v>
      </c>
      <c r="N575" s="435" t="s">
        <v>1822</v>
      </c>
      <c r="O575" s="240" t="s">
        <v>144</v>
      </c>
      <c r="P575" s="240" t="s">
        <v>144</v>
      </c>
      <c r="Q575" s="887" t="s">
        <v>144</v>
      </c>
      <c r="R575" s="445" t="s">
        <v>144</v>
      </c>
      <c r="S575" s="864" t="s">
        <v>147</v>
      </c>
      <c r="T575" s="212" t="s">
        <v>144</v>
      </c>
      <c r="U575" s="213" t="s">
        <v>144</v>
      </c>
      <c r="V575" s="847">
        <v>7</v>
      </c>
      <c r="W575" s="415" t="s">
        <v>144</v>
      </c>
      <c r="X575" s="212">
        <v>41</v>
      </c>
      <c r="Y575" s="212" t="s">
        <v>144</v>
      </c>
      <c r="Z575" s="212" t="s">
        <v>25</v>
      </c>
      <c r="AA575" s="407" t="s">
        <v>4734</v>
      </c>
      <c r="AB575" s="206" t="s">
        <v>140</v>
      </c>
      <c r="AC575" s="847" t="s">
        <v>265</v>
      </c>
      <c r="AD575" s="847" t="s">
        <v>1690</v>
      </c>
      <c r="AE575" s="847" t="s">
        <v>144</v>
      </c>
      <c r="AF575" s="848" t="s">
        <v>144</v>
      </c>
      <c r="AG575" s="838"/>
      <c r="AH575" s="866"/>
      <c r="AI575" s="273"/>
      <c r="AJ575" s="847"/>
      <c r="AK575" s="874"/>
      <c r="AL575" s="867"/>
      <c r="AM575" s="273"/>
      <c r="AN575" s="847"/>
      <c r="AO575" s="848"/>
      <c r="AP575" s="867"/>
      <c r="AQ575" s="273"/>
      <c r="AR575" s="847"/>
      <c r="AS575" s="848"/>
      <c r="AT575" s="867"/>
      <c r="AU575" s="273"/>
      <c r="AV575" s="847"/>
      <c r="AW575" s="848"/>
      <c r="AX575" s="867"/>
      <c r="AY575" s="273"/>
      <c r="AZ575" s="847"/>
      <c r="BA575" s="848"/>
      <c r="BB575" s="866"/>
      <c r="BC575" s="273"/>
      <c r="BD575" s="847"/>
      <c r="BE575" s="848"/>
      <c r="BF575" s="838"/>
    </row>
    <row r="576" spans="1:58" s="88" customFormat="1" ht="54" hidden="1" customHeight="1" x14ac:dyDescent="0.25">
      <c r="A576" s="267" t="s">
        <v>1687</v>
      </c>
      <c r="B576" s="268">
        <v>341</v>
      </c>
      <c r="C576" s="240" t="s">
        <v>4718</v>
      </c>
      <c r="D576" s="270" t="s">
        <v>4719</v>
      </c>
      <c r="E576" s="268" t="s">
        <v>4735</v>
      </c>
      <c r="F576" s="861" t="s">
        <v>4736</v>
      </c>
      <c r="G576" s="269" t="s">
        <v>4737</v>
      </c>
      <c r="H576" s="845" t="s">
        <v>4738</v>
      </c>
      <c r="I576" s="208" t="s">
        <v>4739</v>
      </c>
      <c r="J576" s="240" t="s">
        <v>140</v>
      </c>
      <c r="K576" s="270" t="s">
        <v>140</v>
      </c>
      <c r="L576" s="862" t="s">
        <v>1453</v>
      </c>
      <c r="M576" s="847" t="s">
        <v>142</v>
      </c>
      <c r="N576" s="297" t="s">
        <v>143</v>
      </c>
      <c r="O576" s="240" t="s">
        <v>144</v>
      </c>
      <c r="P576" s="240" t="s">
        <v>144</v>
      </c>
      <c r="Q576" s="845" t="s">
        <v>1669</v>
      </c>
      <c r="R576" s="208" t="s">
        <v>1670</v>
      </c>
      <c r="S576" s="864" t="s">
        <v>147</v>
      </c>
      <c r="T576" s="212" t="s">
        <v>144</v>
      </c>
      <c r="U576" s="213" t="s">
        <v>144</v>
      </c>
      <c r="V576" s="847">
        <v>20</v>
      </c>
      <c r="W576" s="415" t="s">
        <v>144</v>
      </c>
      <c r="X576" s="212">
        <v>41</v>
      </c>
      <c r="Y576" s="212" t="s">
        <v>144</v>
      </c>
      <c r="Z576" s="252" t="s">
        <v>144</v>
      </c>
      <c r="AA576" s="240" t="s">
        <v>4740</v>
      </c>
      <c r="AB576" s="206" t="s">
        <v>140</v>
      </c>
      <c r="AC576" s="847" t="s">
        <v>265</v>
      </c>
      <c r="AD576" s="847" t="s">
        <v>1690</v>
      </c>
      <c r="AE576" s="847" t="s">
        <v>144</v>
      </c>
      <c r="AF576" s="848" t="s">
        <v>144</v>
      </c>
      <c r="AG576" s="838"/>
      <c r="AH576" s="291" t="s">
        <v>266</v>
      </c>
      <c r="AI576" s="273" t="s">
        <v>267</v>
      </c>
      <c r="AJ576" s="240">
        <v>7</v>
      </c>
      <c r="AK576" s="878" t="s">
        <v>1046</v>
      </c>
      <c r="AL576" s="867"/>
      <c r="AM576" s="273"/>
      <c r="AN576" s="847"/>
      <c r="AO576" s="848"/>
      <c r="AP576" s="867"/>
      <c r="AQ576" s="273"/>
      <c r="AR576" s="847"/>
      <c r="AS576" s="848"/>
      <c r="AT576" s="867"/>
      <c r="AU576" s="273"/>
      <c r="AV576" s="847"/>
      <c r="AW576" s="848"/>
      <c r="AX576" s="867"/>
      <c r="AY576" s="273"/>
      <c r="AZ576" s="847"/>
      <c r="BA576" s="848"/>
      <c r="BB576" s="866"/>
      <c r="BC576" s="273"/>
      <c r="BD576" s="847"/>
      <c r="BE576" s="848"/>
      <c r="BF576" s="838"/>
    </row>
    <row r="577" spans="1:58" s="57" customFormat="1" ht="54" hidden="1" customHeight="1" x14ac:dyDescent="0.25">
      <c r="A577" s="275" t="s">
        <v>1687</v>
      </c>
      <c r="B577" s="276">
        <v>342</v>
      </c>
      <c r="C577" s="253" t="s">
        <v>4718</v>
      </c>
      <c r="D577" s="253" t="s">
        <v>4719</v>
      </c>
      <c r="E577" s="276" t="s">
        <v>4741</v>
      </c>
      <c r="F577" s="277" t="s">
        <v>4742</v>
      </c>
      <c r="G577" s="277" t="s">
        <v>4743</v>
      </c>
      <c r="H577" s="218" t="s">
        <v>4744</v>
      </c>
      <c r="I577" s="277" t="s">
        <v>4745</v>
      </c>
      <c r="J577" s="253" t="s">
        <v>144</v>
      </c>
      <c r="K577" s="302" t="s">
        <v>144</v>
      </c>
      <c r="L577" s="718" t="s">
        <v>4746</v>
      </c>
      <c r="M577" s="253" t="s">
        <v>144</v>
      </c>
      <c r="N577" s="302" t="s">
        <v>144</v>
      </c>
      <c r="O577" s="253" t="s">
        <v>2368</v>
      </c>
      <c r="P577" s="253" t="s">
        <v>2369</v>
      </c>
      <c r="Q577" s="218" t="s">
        <v>144</v>
      </c>
      <c r="R577" s="218" t="s">
        <v>144</v>
      </c>
      <c r="S577" s="276" t="s">
        <v>147</v>
      </c>
      <c r="T577" s="221" t="s">
        <v>144</v>
      </c>
      <c r="U577" s="221" t="s">
        <v>144</v>
      </c>
      <c r="V577" s="253">
        <v>3</v>
      </c>
      <c r="W577" s="217" t="s">
        <v>144</v>
      </c>
      <c r="X577" s="221">
        <v>41</v>
      </c>
      <c r="Y577" s="374" t="s">
        <v>2285</v>
      </c>
      <c r="Z577" s="374" t="s">
        <v>25</v>
      </c>
      <c r="AA577" s="253" t="s">
        <v>4747</v>
      </c>
      <c r="AB577" s="217" t="s">
        <v>144</v>
      </c>
      <c r="AC577" s="253" t="s">
        <v>265</v>
      </c>
      <c r="AD577" s="253" t="s">
        <v>1690</v>
      </c>
      <c r="AE577" s="253" t="s">
        <v>144</v>
      </c>
      <c r="AF577" s="254" t="s">
        <v>144</v>
      </c>
      <c r="AG577" s="681"/>
      <c r="AH577" s="420"/>
      <c r="AI577" s="421"/>
      <c r="AJ577" s="422"/>
      <c r="AK577" s="878"/>
      <c r="AL577" s="421"/>
      <c r="AM577" s="421"/>
      <c r="AN577" s="422"/>
      <c r="AO577" s="424"/>
      <c r="AP577" s="281"/>
      <c r="AQ577" s="281"/>
      <c r="AR577" s="253"/>
      <c r="AS577" s="254"/>
      <c r="AT577" s="421"/>
      <c r="AU577" s="421"/>
      <c r="AV577" s="422"/>
      <c r="AW577" s="423"/>
      <c r="AX577" s="281"/>
      <c r="AY577" s="281"/>
      <c r="AZ577" s="253"/>
      <c r="BA577" s="254"/>
      <c r="BB577" s="280"/>
      <c r="BC577" s="281"/>
      <c r="BD577" s="253"/>
      <c r="BE577" s="254"/>
      <c r="BF577" s="838"/>
    </row>
    <row r="578" spans="1:58" s="88" customFormat="1" ht="54" hidden="1" customHeight="1" x14ac:dyDescent="0.25">
      <c r="A578" s="267" t="s">
        <v>1687</v>
      </c>
      <c r="B578" s="268">
        <v>343</v>
      </c>
      <c r="C578" s="240" t="s">
        <v>4718</v>
      </c>
      <c r="D578" s="270" t="s">
        <v>4719</v>
      </c>
      <c r="E578" s="268" t="s">
        <v>4748</v>
      </c>
      <c r="F578" s="861" t="s">
        <v>4749</v>
      </c>
      <c r="G578" s="269" t="s">
        <v>4750</v>
      </c>
      <c r="H578" s="845" t="s">
        <v>4751</v>
      </c>
      <c r="I578" s="269" t="s">
        <v>4752</v>
      </c>
      <c r="J578" s="296" t="s">
        <v>140</v>
      </c>
      <c r="K578" s="297" t="s">
        <v>140</v>
      </c>
      <c r="L578" s="862" t="s">
        <v>4753</v>
      </c>
      <c r="M578" s="847" t="s">
        <v>973</v>
      </c>
      <c r="N578" s="297" t="s">
        <v>974</v>
      </c>
      <c r="O578" s="240" t="s">
        <v>4754</v>
      </c>
      <c r="P578" s="344" t="s">
        <v>4755</v>
      </c>
      <c r="Q578" s="845" t="s">
        <v>4756</v>
      </c>
      <c r="R578" s="208" t="s">
        <v>4757</v>
      </c>
      <c r="S578" s="864" t="s">
        <v>147</v>
      </c>
      <c r="T578" s="212" t="s">
        <v>144</v>
      </c>
      <c r="U578" s="213" t="s">
        <v>144</v>
      </c>
      <c r="V578" s="847">
        <v>3</v>
      </c>
      <c r="W578" s="415" t="s">
        <v>144</v>
      </c>
      <c r="X578" s="212">
        <v>41</v>
      </c>
      <c r="Y578" s="212" t="s">
        <v>144</v>
      </c>
      <c r="Z578" s="212" t="s">
        <v>29</v>
      </c>
      <c r="AA578" s="240" t="s">
        <v>4758</v>
      </c>
      <c r="AB578" s="206" t="s">
        <v>140</v>
      </c>
      <c r="AC578" s="847" t="s">
        <v>265</v>
      </c>
      <c r="AD578" s="847" t="s">
        <v>1690</v>
      </c>
      <c r="AE578" s="847" t="s">
        <v>144</v>
      </c>
      <c r="AF578" s="848" t="s">
        <v>144</v>
      </c>
      <c r="AG578" s="838"/>
      <c r="AH578" s="885" t="s">
        <v>4759</v>
      </c>
      <c r="AI578" s="406" t="s">
        <v>4760</v>
      </c>
      <c r="AJ578" s="872">
        <v>6</v>
      </c>
      <c r="AK578" s="871" t="s">
        <v>4761</v>
      </c>
      <c r="AL578" s="867" t="s">
        <v>4762</v>
      </c>
      <c r="AM578" s="273" t="s">
        <v>4763</v>
      </c>
      <c r="AN578" s="847">
        <v>7</v>
      </c>
      <c r="AO578" s="730" t="s">
        <v>4764</v>
      </c>
      <c r="AP578" s="867"/>
      <c r="AQ578" s="273"/>
      <c r="AR578" s="847"/>
      <c r="AS578" s="848"/>
      <c r="AT578" s="867"/>
      <c r="AU578" s="273"/>
      <c r="AV578" s="847"/>
      <c r="AW578" s="848"/>
      <c r="AX578" s="867"/>
      <c r="AY578" s="273"/>
      <c r="AZ578" s="847"/>
      <c r="BA578" s="848"/>
      <c r="BB578" s="866"/>
      <c r="BC578" s="273"/>
      <c r="BD578" s="847"/>
      <c r="BE578" s="848"/>
      <c r="BF578" s="838"/>
    </row>
    <row r="579" spans="1:58" s="88" customFormat="1" ht="54" hidden="1" customHeight="1" x14ac:dyDescent="0.25">
      <c r="A579" s="267" t="s">
        <v>1687</v>
      </c>
      <c r="B579" s="268">
        <v>344</v>
      </c>
      <c r="C579" s="240" t="s">
        <v>4718</v>
      </c>
      <c r="D579" s="270" t="s">
        <v>4719</v>
      </c>
      <c r="E579" s="268" t="s">
        <v>4765</v>
      </c>
      <c r="F579" s="861" t="s">
        <v>4766</v>
      </c>
      <c r="G579" s="269" t="s">
        <v>4767</v>
      </c>
      <c r="H579" s="845" t="s">
        <v>4768</v>
      </c>
      <c r="I579" s="269" t="s">
        <v>4769</v>
      </c>
      <c r="J579" s="296" t="s">
        <v>140</v>
      </c>
      <c r="K579" s="297" t="s">
        <v>140</v>
      </c>
      <c r="L579" s="862" t="s">
        <v>4770</v>
      </c>
      <c r="M579" s="847" t="s">
        <v>973</v>
      </c>
      <c r="N579" s="297" t="s">
        <v>974</v>
      </c>
      <c r="O579" s="240" t="s">
        <v>4771</v>
      </c>
      <c r="P579" s="240" t="s">
        <v>4772</v>
      </c>
      <c r="Q579" s="845" t="s">
        <v>4773</v>
      </c>
      <c r="R579" s="208" t="s">
        <v>4774</v>
      </c>
      <c r="S579" s="864" t="s">
        <v>147</v>
      </c>
      <c r="T579" s="212" t="s">
        <v>144</v>
      </c>
      <c r="U579" s="213" t="s">
        <v>144</v>
      </c>
      <c r="V579" s="847">
        <v>1</v>
      </c>
      <c r="W579" s="415" t="s">
        <v>144</v>
      </c>
      <c r="X579" s="212">
        <v>41</v>
      </c>
      <c r="Y579" s="212" t="s">
        <v>144</v>
      </c>
      <c r="Z579" s="252" t="s">
        <v>144</v>
      </c>
      <c r="AA579" s="240" t="s">
        <v>4775</v>
      </c>
      <c r="AB579" s="206" t="s">
        <v>140</v>
      </c>
      <c r="AC579" s="847" t="s">
        <v>265</v>
      </c>
      <c r="AD579" s="847" t="s">
        <v>1690</v>
      </c>
      <c r="AE579" s="847" t="s">
        <v>144</v>
      </c>
      <c r="AF579" s="848" t="s">
        <v>144</v>
      </c>
      <c r="AG579" s="838"/>
      <c r="AH579" s="291" t="s">
        <v>4776</v>
      </c>
      <c r="AI579" s="273" t="s">
        <v>4777</v>
      </c>
      <c r="AJ579" s="847">
        <v>6</v>
      </c>
      <c r="AK579" s="878" t="s">
        <v>4778</v>
      </c>
      <c r="AL579" s="867" t="s">
        <v>294</v>
      </c>
      <c r="AM579" s="273" t="s">
        <v>295</v>
      </c>
      <c r="AN579" s="847">
        <v>7</v>
      </c>
      <c r="AO579" s="187" t="s">
        <v>966</v>
      </c>
      <c r="AP579" s="867"/>
      <c r="AQ579" s="273"/>
      <c r="AR579" s="847"/>
      <c r="AS579" s="848"/>
      <c r="AT579" s="867"/>
      <c r="AU579" s="273"/>
      <c r="AV579" s="847"/>
      <c r="AW579" s="848"/>
      <c r="AX579" s="867"/>
      <c r="AY579" s="273"/>
      <c r="AZ579" s="847"/>
      <c r="BA579" s="848"/>
      <c r="BB579" s="866"/>
      <c r="BC579" s="273"/>
      <c r="BD579" s="847"/>
      <c r="BE579" s="848"/>
      <c r="BF579" s="838"/>
    </row>
    <row r="580" spans="1:58" s="88" customFormat="1" ht="54" hidden="1" customHeight="1" x14ac:dyDescent="0.25">
      <c r="A580" s="267" t="s">
        <v>1687</v>
      </c>
      <c r="B580" s="268">
        <v>345</v>
      </c>
      <c r="C580" s="240" t="s">
        <v>4718</v>
      </c>
      <c r="D580" s="270" t="s">
        <v>4719</v>
      </c>
      <c r="E580" s="268" t="s">
        <v>4779</v>
      </c>
      <c r="F580" s="861" t="s">
        <v>4780</v>
      </c>
      <c r="G580" s="269" t="s">
        <v>4781</v>
      </c>
      <c r="H580" s="845" t="s">
        <v>4782</v>
      </c>
      <c r="I580" s="269" t="s">
        <v>4783</v>
      </c>
      <c r="J580" s="296" t="s">
        <v>140</v>
      </c>
      <c r="K580" s="297" t="s">
        <v>140</v>
      </c>
      <c r="L580" s="862" t="s">
        <v>4784</v>
      </c>
      <c r="M580" s="847" t="s">
        <v>193</v>
      </c>
      <c r="N580" s="297" t="s">
        <v>194</v>
      </c>
      <c r="O580" s="240" t="s">
        <v>144</v>
      </c>
      <c r="P580" s="240" t="s">
        <v>144</v>
      </c>
      <c r="Q580" s="845" t="s">
        <v>4785</v>
      </c>
      <c r="R580" s="208" t="s">
        <v>4786</v>
      </c>
      <c r="S580" s="268" t="s">
        <v>147</v>
      </c>
      <c r="T580" s="212" t="s">
        <v>144</v>
      </c>
      <c r="U580" s="213" t="s">
        <v>144</v>
      </c>
      <c r="V580" s="240">
        <v>40</v>
      </c>
      <c r="W580" s="206" t="s">
        <v>144</v>
      </c>
      <c r="X580" s="212">
        <v>41</v>
      </c>
      <c r="Y580" s="212" t="s">
        <v>144</v>
      </c>
      <c r="Z580" s="212" t="s">
        <v>144</v>
      </c>
      <c r="AA580" s="240" t="s">
        <v>2588</v>
      </c>
      <c r="AB580" s="206" t="s">
        <v>140</v>
      </c>
      <c r="AC580" s="847" t="s">
        <v>265</v>
      </c>
      <c r="AD580" s="847" t="s">
        <v>1690</v>
      </c>
      <c r="AE580" s="847" t="s">
        <v>144</v>
      </c>
      <c r="AF580" s="848" t="s">
        <v>144</v>
      </c>
      <c r="AG580" s="838"/>
      <c r="AH580" s="866"/>
      <c r="AI580" s="273"/>
      <c r="AJ580" s="847"/>
      <c r="AK580" s="874"/>
      <c r="AL580" s="867"/>
      <c r="AM580" s="273"/>
      <c r="AN580" s="847"/>
      <c r="AO580" s="848"/>
      <c r="AP580" s="867"/>
      <c r="AQ580" s="273"/>
      <c r="AR580" s="847"/>
      <c r="AS580" s="848"/>
      <c r="AT580" s="867"/>
      <c r="AU580" s="273"/>
      <c r="AV580" s="847"/>
      <c r="AW580" s="848"/>
      <c r="AX580" s="867"/>
      <c r="AY580" s="273"/>
      <c r="AZ580" s="847"/>
      <c r="BA580" s="848"/>
      <c r="BB580" s="866"/>
      <c r="BC580" s="273"/>
      <c r="BD580" s="847"/>
      <c r="BE580" s="848"/>
      <c r="BF580" s="838"/>
    </row>
    <row r="581" spans="1:58" s="88" customFormat="1" ht="54" hidden="1" customHeight="1" x14ac:dyDescent="0.25">
      <c r="A581" s="267" t="s">
        <v>1687</v>
      </c>
      <c r="B581" s="268">
        <v>346</v>
      </c>
      <c r="C581" s="240" t="s">
        <v>4718</v>
      </c>
      <c r="D581" s="270" t="s">
        <v>4719</v>
      </c>
      <c r="E581" s="268" t="s">
        <v>4787</v>
      </c>
      <c r="F581" s="861" t="s">
        <v>4788</v>
      </c>
      <c r="G581" s="269" t="s">
        <v>4789</v>
      </c>
      <c r="H581" s="845" t="s">
        <v>4790</v>
      </c>
      <c r="I581" s="269" t="s">
        <v>4791</v>
      </c>
      <c r="J581" s="296" t="s">
        <v>140</v>
      </c>
      <c r="K581" s="297" t="s">
        <v>140</v>
      </c>
      <c r="L581" s="862" t="s">
        <v>4792</v>
      </c>
      <c r="M581" s="847" t="s">
        <v>193</v>
      </c>
      <c r="N581" s="297" t="s">
        <v>194</v>
      </c>
      <c r="O581" s="240" t="s">
        <v>144</v>
      </c>
      <c r="P581" s="240" t="s">
        <v>144</v>
      </c>
      <c r="Q581" s="845" t="s">
        <v>4793</v>
      </c>
      <c r="R581" s="208" t="s">
        <v>4794</v>
      </c>
      <c r="S581" s="268" t="s">
        <v>147</v>
      </c>
      <c r="T581" s="212" t="s">
        <v>144</v>
      </c>
      <c r="U581" s="213" t="s">
        <v>144</v>
      </c>
      <c r="V581" s="240">
        <v>5</v>
      </c>
      <c r="W581" s="206" t="s">
        <v>144</v>
      </c>
      <c r="X581" s="212">
        <v>41</v>
      </c>
      <c r="Y581" s="212" t="s">
        <v>144</v>
      </c>
      <c r="Z581" s="212" t="s">
        <v>144</v>
      </c>
      <c r="AA581" s="240" t="s">
        <v>2588</v>
      </c>
      <c r="AB581" s="206" t="s">
        <v>140</v>
      </c>
      <c r="AC581" s="847" t="s">
        <v>265</v>
      </c>
      <c r="AD581" s="847" t="s">
        <v>1690</v>
      </c>
      <c r="AE581" s="847" t="s">
        <v>144</v>
      </c>
      <c r="AF581" s="848" t="s">
        <v>144</v>
      </c>
      <c r="AG581" s="838"/>
      <c r="AH581" s="866"/>
      <c r="AI581" s="273"/>
      <c r="AJ581" s="847"/>
      <c r="AK581" s="874"/>
      <c r="AL581" s="867"/>
      <c r="AM581" s="273"/>
      <c r="AN581" s="847"/>
      <c r="AO581" s="848"/>
      <c r="AP581" s="867"/>
      <c r="AQ581" s="273"/>
      <c r="AR581" s="847"/>
      <c r="AS581" s="848"/>
      <c r="AT581" s="867"/>
      <c r="AU581" s="273"/>
      <c r="AV581" s="847"/>
      <c r="AW581" s="848"/>
      <c r="AX581" s="867"/>
      <c r="AY581" s="273"/>
      <c r="AZ581" s="847"/>
      <c r="BA581" s="848"/>
      <c r="BB581" s="866"/>
      <c r="BC581" s="273"/>
      <c r="BD581" s="847"/>
      <c r="BE581" s="848"/>
      <c r="BF581" s="838"/>
    </row>
    <row r="582" spans="1:58" s="88" customFormat="1" ht="54" hidden="1" customHeight="1" x14ac:dyDescent="0.25">
      <c r="A582" s="267" t="s">
        <v>1687</v>
      </c>
      <c r="B582" s="268">
        <v>347</v>
      </c>
      <c r="C582" s="240" t="s">
        <v>4718</v>
      </c>
      <c r="D582" s="270" t="s">
        <v>4719</v>
      </c>
      <c r="E582" s="268" t="s">
        <v>4795</v>
      </c>
      <c r="F582" s="861" t="s">
        <v>4796</v>
      </c>
      <c r="G582" s="269" t="s">
        <v>4797</v>
      </c>
      <c r="H582" s="845" t="s">
        <v>4798</v>
      </c>
      <c r="I582" s="269" t="s">
        <v>4799</v>
      </c>
      <c r="J582" s="296" t="s">
        <v>140</v>
      </c>
      <c r="K582" s="297" t="s">
        <v>140</v>
      </c>
      <c r="L582" s="862" t="s">
        <v>4800</v>
      </c>
      <c r="M582" s="847" t="s">
        <v>193</v>
      </c>
      <c r="N582" s="297" t="s">
        <v>194</v>
      </c>
      <c r="O582" s="240" t="s">
        <v>144</v>
      </c>
      <c r="P582" s="240" t="s">
        <v>144</v>
      </c>
      <c r="Q582" s="845" t="s">
        <v>4801</v>
      </c>
      <c r="R582" s="208" t="s">
        <v>4802</v>
      </c>
      <c r="S582" s="268" t="s">
        <v>147</v>
      </c>
      <c r="T582" s="212" t="s">
        <v>144</v>
      </c>
      <c r="U582" s="213" t="s">
        <v>144</v>
      </c>
      <c r="V582" s="240">
        <v>5</v>
      </c>
      <c r="W582" s="206" t="s">
        <v>144</v>
      </c>
      <c r="X582" s="212">
        <v>41</v>
      </c>
      <c r="Y582" s="212" t="s">
        <v>144</v>
      </c>
      <c r="Z582" s="212" t="s">
        <v>144</v>
      </c>
      <c r="AA582" s="240" t="s">
        <v>2588</v>
      </c>
      <c r="AB582" s="206" t="s">
        <v>140</v>
      </c>
      <c r="AC582" s="847" t="s">
        <v>265</v>
      </c>
      <c r="AD582" s="847" t="s">
        <v>1690</v>
      </c>
      <c r="AE582" s="847" t="s">
        <v>144</v>
      </c>
      <c r="AF582" s="848" t="s">
        <v>144</v>
      </c>
      <c r="AG582" s="838"/>
      <c r="AH582" s="866"/>
      <c r="AI582" s="273"/>
      <c r="AJ582" s="847"/>
      <c r="AK582" s="874"/>
      <c r="AL582" s="867"/>
      <c r="AM582" s="273"/>
      <c r="AN582" s="847"/>
      <c r="AO582" s="848"/>
      <c r="AP582" s="867"/>
      <c r="AQ582" s="273"/>
      <c r="AR582" s="847"/>
      <c r="AS582" s="848"/>
      <c r="AT582" s="867"/>
      <c r="AU582" s="273"/>
      <c r="AV582" s="847"/>
      <c r="AW582" s="848"/>
      <c r="AX582" s="867"/>
      <c r="AY582" s="273"/>
      <c r="AZ582" s="847"/>
      <c r="BA582" s="848"/>
      <c r="BB582" s="866"/>
      <c r="BC582" s="273"/>
      <c r="BD582" s="847"/>
      <c r="BE582" s="848"/>
      <c r="BF582" s="838"/>
    </row>
    <row r="583" spans="1:58" s="88" customFormat="1" ht="54" hidden="1" customHeight="1" x14ac:dyDescent="0.25">
      <c r="A583" s="267" t="s">
        <v>1687</v>
      </c>
      <c r="B583" s="268">
        <v>348</v>
      </c>
      <c r="C583" s="240" t="s">
        <v>684</v>
      </c>
      <c r="D583" s="270" t="s">
        <v>685</v>
      </c>
      <c r="E583" s="268" t="s">
        <v>4803</v>
      </c>
      <c r="F583" s="861" t="s">
        <v>4804</v>
      </c>
      <c r="G583" s="269" t="s">
        <v>4805</v>
      </c>
      <c r="H583" s="845" t="s">
        <v>4806</v>
      </c>
      <c r="I583" s="269" t="s">
        <v>4807</v>
      </c>
      <c r="J583" s="296" t="s">
        <v>140</v>
      </c>
      <c r="K583" s="297" t="s">
        <v>140</v>
      </c>
      <c r="L583" s="862" t="s">
        <v>4808</v>
      </c>
      <c r="M583" s="206" t="s">
        <v>193</v>
      </c>
      <c r="N583" s="297" t="s">
        <v>194</v>
      </c>
      <c r="O583" s="240" t="s">
        <v>144</v>
      </c>
      <c r="P583" s="240" t="s">
        <v>144</v>
      </c>
      <c r="Q583" s="845" t="s">
        <v>144</v>
      </c>
      <c r="R583" s="208" t="s">
        <v>144</v>
      </c>
      <c r="S583" s="864" t="s">
        <v>147</v>
      </c>
      <c r="T583" s="212" t="s">
        <v>144</v>
      </c>
      <c r="U583" s="213" t="s">
        <v>144</v>
      </c>
      <c r="V583" s="847">
        <v>12</v>
      </c>
      <c r="W583" s="415" t="s">
        <v>144</v>
      </c>
      <c r="X583" s="212">
        <v>41</v>
      </c>
      <c r="Y583" s="212" t="s">
        <v>144</v>
      </c>
      <c r="Z583" s="212" t="s">
        <v>144</v>
      </c>
      <c r="AA583" s="240" t="s">
        <v>4809</v>
      </c>
      <c r="AB583" s="206" t="s">
        <v>140</v>
      </c>
      <c r="AC583" s="847" t="s">
        <v>265</v>
      </c>
      <c r="AD583" s="847" t="s">
        <v>1690</v>
      </c>
      <c r="AE583" s="847" t="s">
        <v>144</v>
      </c>
      <c r="AF583" s="848" t="s">
        <v>144</v>
      </c>
      <c r="AG583" s="838"/>
      <c r="AH583" s="866"/>
      <c r="AI583" s="273"/>
      <c r="AJ583" s="847"/>
      <c r="AK583" s="874"/>
      <c r="AL583" s="867"/>
      <c r="AM583" s="273"/>
      <c r="AN583" s="847"/>
      <c r="AO583" s="848"/>
      <c r="AP583" s="867"/>
      <c r="AQ583" s="273"/>
      <c r="AR583" s="847"/>
      <c r="AS583" s="848"/>
      <c r="AT583" s="867"/>
      <c r="AU583" s="273"/>
      <c r="AV583" s="847"/>
      <c r="AW583" s="848"/>
      <c r="AX583" s="867"/>
      <c r="AY583" s="273"/>
      <c r="AZ583" s="847"/>
      <c r="BA583" s="848"/>
      <c r="BB583" s="866"/>
      <c r="BC583" s="273"/>
      <c r="BD583" s="847"/>
      <c r="BE583" s="848"/>
      <c r="BF583" s="838"/>
    </row>
    <row r="584" spans="1:58" s="88" customFormat="1" ht="54" hidden="1" customHeight="1" x14ac:dyDescent="0.25">
      <c r="A584" s="267" t="s">
        <v>1687</v>
      </c>
      <c r="B584" s="268">
        <v>349</v>
      </c>
      <c r="C584" s="240" t="s">
        <v>684</v>
      </c>
      <c r="D584" s="270" t="s">
        <v>685</v>
      </c>
      <c r="E584" s="268" t="s">
        <v>4810</v>
      </c>
      <c r="F584" s="861" t="s">
        <v>4811</v>
      </c>
      <c r="G584" s="269" t="s">
        <v>4812</v>
      </c>
      <c r="H584" s="845" t="s">
        <v>4813</v>
      </c>
      <c r="I584" s="269" t="s">
        <v>4814</v>
      </c>
      <c r="J584" s="296" t="s">
        <v>140</v>
      </c>
      <c r="K584" s="297" t="s">
        <v>140</v>
      </c>
      <c r="L584" s="862" t="s">
        <v>4815</v>
      </c>
      <c r="M584" s="206" t="s">
        <v>193</v>
      </c>
      <c r="N584" s="297" t="s">
        <v>194</v>
      </c>
      <c r="O584" s="240" t="s">
        <v>144</v>
      </c>
      <c r="P584" s="240" t="s">
        <v>144</v>
      </c>
      <c r="Q584" s="845" t="s">
        <v>144</v>
      </c>
      <c r="R584" s="208" t="s">
        <v>144</v>
      </c>
      <c r="S584" s="864" t="s">
        <v>147</v>
      </c>
      <c r="T584" s="212" t="s">
        <v>144</v>
      </c>
      <c r="U584" s="213" t="s">
        <v>144</v>
      </c>
      <c r="V584" s="847">
        <v>12</v>
      </c>
      <c r="W584" s="415" t="s">
        <v>144</v>
      </c>
      <c r="X584" s="212">
        <v>41</v>
      </c>
      <c r="Y584" s="212" t="s">
        <v>144</v>
      </c>
      <c r="Z584" s="212" t="s">
        <v>144</v>
      </c>
      <c r="AA584" s="240" t="s">
        <v>4809</v>
      </c>
      <c r="AB584" s="206" t="s">
        <v>140</v>
      </c>
      <c r="AC584" s="847" t="s">
        <v>265</v>
      </c>
      <c r="AD584" s="847" t="s">
        <v>1690</v>
      </c>
      <c r="AE584" s="847" t="s">
        <v>144</v>
      </c>
      <c r="AF584" s="848" t="s">
        <v>144</v>
      </c>
      <c r="AG584" s="838"/>
      <c r="AH584" s="866"/>
      <c r="AI584" s="273"/>
      <c r="AJ584" s="847"/>
      <c r="AK584" s="874"/>
      <c r="AL584" s="867"/>
      <c r="AM584" s="273"/>
      <c r="AN584" s="847"/>
      <c r="AO584" s="848"/>
      <c r="AP584" s="867"/>
      <c r="AQ584" s="273"/>
      <c r="AR584" s="847"/>
      <c r="AS584" s="848"/>
      <c r="AT584" s="867"/>
      <c r="AU584" s="273"/>
      <c r="AV584" s="847"/>
      <c r="AW584" s="848"/>
      <c r="AX584" s="867"/>
      <c r="AY584" s="273"/>
      <c r="AZ584" s="847"/>
      <c r="BA584" s="848"/>
      <c r="BB584" s="866"/>
      <c r="BC584" s="273"/>
      <c r="BD584" s="847"/>
      <c r="BE584" s="848"/>
      <c r="BF584" s="838"/>
    </row>
    <row r="585" spans="1:58" s="88" customFormat="1" ht="54" hidden="1" customHeight="1" x14ac:dyDescent="0.25">
      <c r="A585" s="267" t="s">
        <v>1687</v>
      </c>
      <c r="B585" s="268">
        <v>350</v>
      </c>
      <c r="C585" s="240" t="s">
        <v>684</v>
      </c>
      <c r="D585" s="270" t="s">
        <v>685</v>
      </c>
      <c r="E585" s="268" t="s">
        <v>4816</v>
      </c>
      <c r="F585" s="861" t="s">
        <v>4817</v>
      </c>
      <c r="G585" s="269" t="s">
        <v>4818</v>
      </c>
      <c r="H585" s="845" t="s">
        <v>4819</v>
      </c>
      <c r="I585" s="269" t="s">
        <v>4820</v>
      </c>
      <c r="J585" s="296" t="s">
        <v>140</v>
      </c>
      <c r="K585" s="297" t="s">
        <v>140</v>
      </c>
      <c r="L585" s="862" t="s">
        <v>4821</v>
      </c>
      <c r="M585" s="206" t="s">
        <v>193</v>
      </c>
      <c r="N585" s="297" t="s">
        <v>194</v>
      </c>
      <c r="O585" s="240" t="s">
        <v>144</v>
      </c>
      <c r="P585" s="240" t="s">
        <v>144</v>
      </c>
      <c r="Q585" s="845" t="s">
        <v>144</v>
      </c>
      <c r="R585" s="208" t="s">
        <v>144</v>
      </c>
      <c r="S585" s="864" t="s">
        <v>147</v>
      </c>
      <c r="T585" s="212" t="s">
        <v>144</v>
      </c>
      <c r="U585" s="213" t="s">
        <v>144</v>
      </c>
      <c r="V585" s="847">
        <v>12</v>
      </c>
      <c r="W585" s="415" t="s">
        <v>144</v>
      </c>
      <c r="X585" s="212">
        <v>41</v>
      </c>
      <c r="Y585" s="212" t="s">
        <v>144</v>
      </c>
      <c r="Z585" s="212" t="s">
        <v>144</v>
      </c>
      <c r="AA585" s="240" t="s">
        <v>4095</v>
      </c>
      <c r="AB585" s="206" t="s">
        <v>140</v>
      </c>
      <c r="AC585" s="847" t="s">
        <v>265</v>
      </c>
      <c r="AD585" s="847" t="s">
        <v>1690</v>
      </c>
      <c r="AE585" s="847" t="s">
        <v>144</v>
      </c>
      <c r="AF585" s="848" t="s">
        <v>144</v>
      </c>
      <c r="AG585" s="838"/>
      <c r="AH585" s="866"/>
      <c r="AI585" s="273"/>
      <c r="AJ585" s="847"/>
      <c r="AK585" s="874"/>
      <c r="AL585" s="867"/>
      <c r="AM585" s="273"/>
      <c r="AN585" s="847"/>
      <c r="AO585" s="848"/>
      <c r="AP585" s="867"/>
      <c r="AQ585" s="273"/>
      <c r="AR585" s="847"/>
      <c r="AS585" s="848"/>
      <c r="AT585" s="867"/>
      <c r="AU585" s="273"/>
      <c r="AV585" s="847"/>
      <c r="AW585" s="848"/>
      <c r="AX585" s="867"/>
      <c r="AY585" s="273"/>
      <c r="AZ585" s="847"/>
      <c r="BA585" s="848"/>
      <c r="BB585" s="866"/>
      <c r="BC585" s="273"/>
      <c r="BD585" s="847"/>
      <c r="BE585" s="848"/>
      <c r="BF585" s="838"/>
    </row>
    <row r="586" spans="1:58" s="88" customFormat="1" ht="54" hidden="1" customHeight="1" x14ac:dyDescent="0.25">
      <c r="A586" s="267" t="s">
        <v>1687</v>
      </c>
      <c r="B586" s="268">
        <v>351</v>
      </c>
      <c r="C586" s="240" t="s">
        <v>4718</v>
      </c>
      <c r="D586" s="270" t="s">
        <v>4719</v>
      </c>
      <c r="E586" s="268" t="s">
        <v>4822</v>
      </c>
      <c r="F586" s="861" t="s">
        <v>4823</v>
      </c>
      <c r="G586" s="269" t="s">
        <v>4824</v>
      </c>
      <c r="H586" s="845" t="s">
        <v>4825</v>
      </c>
      <c r="I586" s="269" t="s">
        <v>4826</v>
      </c>
      <c r="J586" s="296" t="s">
        <v>140</v>
      </c>
      <c r="K586" s="297" t="s">
        <v>140</v>
      </c>
      <c r="L586" s="862" t="s">
        <v>4827</v>
      </c>
      <c r="M586" s="847" t="s">
        <v>193</v>
      </c>
      <c r="N586" s="297" t="s">
        <v>194</v>
      </c>
      <c r="O586" s="240" t="s">
        <v>144</v>
      </c>
      <c r="P586" s="240" t="s">
        <v>144</v>
      </c>
      <c r="Q586" s="845" t="s">
        <v>144</v>
      </c>
      <c r="R586" s="208" t="s">
        <v>144</v>
      </c>
      <c r="S586" s="864" t="s">
        <v>147</v>
      </c>
      <c r="T586" s="212" t="s">
        <v>144</v>
      </c>
      <c r="U586" s="213" t="s">
        <v>144</v>
      </c>
      <c r="V586" s="847">
        <v>12</v>
      </c>
      <c r="W586" s="415" t="s">
        <v>144</v>
      </c>
      <c r="X586" s="212">
        <v>41</v>
      </c>
      <c r="Y586" s="212" t="s">
        <v>144</v>
      </c>
      <c r="Z586" s="252" t="s">
        <v>144</v>
      </c>
      <c r="AA586" s="240" t="s">
        <v>4095</v>
      </c>
      <c r="AB586" s="206" t="s">
        <v>140</v>
      </c>
      <c r="AC586" s="847" t="s">
        <v>265</v>
      </c>
      <c r="AD586" s="847" t="s">
        <v>1690</v>
      </c>
      <c r="AE586" s="847" t="s">
        <v>144</v>
      </c>
      <c r="AF586" s="848" t="s">
        <v>144</v>
      </c>
      <c r="AG586" s="838"/>
      <c r="AH586" s="866"/>
      <c r="AI586" s="273"/>
      <c r="AJ586" s="847"/>
      <c r="AK586" s="874"/>
      <c r="AL586" s="867"/>
      <c r="AM586" s="273"/>
      <c r="AN586" s="847"/>
      <c r="AO586" s="848"/>
      <c r="AP586" s="867"/>
      <c r="AQ586" s="273"/>
      <c r="AR586" s="847"/>
      <c r="AS586" s="848"/>
      <c r="AT586" s="867"/>
      <c r="AU586" s="273"/>
      <c r="AV586" s="847"/>
      <c r="AW586" s="848"/>
      <c r="AX586" s="867"/>
      <c r="AY586" s="273"/>
      <c r="AZ586" s="847"/>
      <c r="BA586" s="848"/>
      <c r="BB586" s="866"/>
      <c r="BC586" s="273"/>
      <c r="BD586" s="847"/>
      <c r="BE586" s="848"/>
      <c r="BF586" s="838"/>
    </row>
    <row r="587" spans="1:58" s="57" customFormat="1" ht="54" customHeight="1" x14ac:dyDescent="0.25">
      <c r="A587" s="275" t="s">
        <v>1687</v>
      </c>
      <c r="B587" s="276">
        <v>352</v>
      </c>
      <c r="C587" s="253" t="s">
        <v>144</v>
      </c>
      <c r="D587" s="253" t="s">
        <v>144</v>
      </c>
      <c r="E587" s="276" t="s">
        <v>4828</v>
      </c>
      <c r="F587" s="277" t="s">
        <v>4829</v>
      </c>
      <c r="G587" s="277" t="s">
        <v>4829</v>
      </c>
      <c r="H587" s="220" t="s">
        <v>336</v>
      </c>
      <c r="I587" s="277" t="s">
        <v>337</v>
      </c>
      <c r="J587" s="302" t="s">
        <v>144</v>
      </c>
      <c r="K587" s="302" t="s">
        <v>144</v>
      </c>
      <c r="L587" s="718" t="s">
        <v>4830</v>
      </c>
      <c r="M587" s="253" t="s">
        <v>144</v>
      </c>
      <c r="N587" s="253" t="s">
        <v>144</v>
      </c>
      <c r="O587" s="253" t="s">
        <v>144</v>
      </c>
      <c r="P587" s="253" t="s">
        <v>144</v>
      </c>
      <c r="Q587" s="220" t="s">
        <v>338</v>
      </c>
      <c r="R587" s="220" t="s">
        <v>339</v>
      </c>
      <c r="S587" s="276" t="s">
        <v>147</v>
      </c>
      <c r="T587" s="221" t="s">
        <v>144</v>
      </c>
      <c r="U587" s="221" t="s">
        <v>144</v>
      </c>
      <c r="V587" s="253">
        <v>2</v>
      </c>
      <c r="W587" s="217" t="s">
        <v>144</v>
      </c>
      <c r="X587" s="221" t="s">
        <v>144</v>
      </c>
      <c r="Y587" s="221" t="s">
        <v>144</v>
      </c>
      <c r="Z587" s="221" t="s">
        <v>144</v>
      </c>
      <c r="AA587" s="253" t="s">
        <v>144</v>
      </c>
      <c r="AB587" s="217" t="s">
        <v>144</v>
      </c>
      <c r="AC587" s="253" t="s">
        <v>265</v>
      </c>
      <c r="AD587" s="253" t="s">
        <v>144</v>
      </c>
      <c r="AE587" s="253" t="s">
        <v>144</v>
      </c>
      <c r="AF587" s="254" t="s">
        <v>144</v>
      </c>
      <c r="AG587" s="838"/>
      <c r="AH587" s="280"/>
      <c r="AI587" s="281"/>
      <c r="AJ587" s="253"/>
      <c r="AK587" s="874"/>
      <c r="AL587" s="281"/>
      <c r="AM587" s="281"/>
      <c r="AN587" s="253"/>
      <c r="AO587" s="254"/>
      <c r="AP587" s="281"/>
      <c r="AQ587" s="281"/>
      <c r="AR587" s="253"/>
      <c r="AS587" s="254"/>
      <c r="AT587" s="281"/>
      <c r="AU587" s="281"/>
      <c r="AV587" s="253"/>
      <c r="AW587" s="254"/>
      <c r="AX587" s="281"/>
      <c r="AY587" s="281"/>
      <c r="AZ587" s="253"/>
      <c r="BA587" s="254"/>
      <c r="BB587" s="280"/>
      <c r="BC587" s="281"/>
      <c r="BD587" s="253"/>
      <c r="BE587" s="254"/>
      <c r="BF587" s="838"/>
    </row>
    <row r="588" spans="1:58" s="88" customFormat="1" ht="54" hidden="1" customHeight="1" x14ac:dyDescent="0.25">
      <c r="A588" s="267" t="s">
        <v>1687</v>
      </c>
      <c r="B588" s="268">
        <v>353</v>
      </c>
      <c r="C588" s="240" t="s">
        <v>1022</v>
      </c>
      <c r="D588" s="211" t="s">
        <v>1023</v>
      </c>
      <c r="E588" s="268" t="s">
        <v>4831</v>
      </c>
      <c r="F588" s="861" t="s">
        <v>4832</v>
      </c>
      <c r="G588" s="269" t="s">
        <v>4833</v>
      </c>
      <c r="H588" s="845" t="s">
        <v>4834</v>
      </c>
      <c r="I588" s="269" t="s">
        <v>4835</v>
      </c>
      <c r="J588" s="296" t="s">
        <v>140</v>
      </c>
      <c r="K588" s="297" t="s">
        <v>140</v>
      </c>
      <c r="L588" s="862" t="s">
        <v>4836</v>
      </c>
      <c r="M588" s="847" t="s">
        <v>973</v>
      </c>
      <c r="N588" s="270" t="s">
        <v>974</v>
      </c>
      <c r="O588" s="240" t="s">
        <v>4837</v>
      </c>
      <c r="P588" s="240" t="s">
        <v>4838</v>
      </c>
      <c r="Q588" s="845" t="s">
        <v>144</v>
      </c>
      <c r="R588" s="208" t="s">
        <v>144</v>
      </c>
      <c r="S588" s="864" t="s">
        <v>147</v>
      </c>
      <c r="T588" s="212" t="s">
        <v>144</v>
      </c>
      <c r="U588" s="213" t="s">
        <v>144</v>
      </c>
      <c r="V588" s="847">
        <v>1</v>
      </c>
      <c r="W588" s="415" t="s">
        <v>144</v>
      </c>
      <c r="X588" s="212">
        <v>41</v>
      </c>
      <c r="Y588" s="212" t="s">
        <v>144</v>
      </c>
      <c r="Z588" s="212" t="s">
        <v>144</v>
      </c>
      <c r="AA588" s="240" t="s">
        <v>3844</v>
      </c>
      <c r="AB588" s="206" t="s">
        <v>140</v>
      </c>
      <c r="AC588" s="847" t="s">
        <v>265</v>
      </c>
      <c r="AD588" s="847" t="s">
        <v>2498</v>
      </c>
      <c r="AE588" s="847" t="s">
        <v>144</v>
      </c>
      <c r="AF588" s="848" t="s">
        <v>144</v>
      </c>
      <c r="AG588" s="838"/>
      <c r="AH588" s="866" t="s">
        <v>4839</v>
      </c>
      <c r="AI588" s="273" t="s">
        <v>4840</v>
      </c>
      <c r="AJ588" s="847">
        <v>6</v>
      </c>
      <c r="AK588" s="878" t="s">
        <v>4841</v>
      </c>
      <c r="AL588" s="867" t="s">
        <v>294</v>
      </c>
      <c r="AM588" s="273" t="s">
        <v>295</v>
      </c>
      <c r="AN588" s="847">
        <v>7</v>
      </c>
      <c r="AO588" s="187" t="s">
        <v>966</v>
      </c>
      <c r="AP588" s="312"/>
      <c r="AQ588" s="313"/>
      <c r="AR588" s="289"/>
      <c r="AS588" s="314"/>
      <c r="AT588" s="867" t="s">
        <v>4842</v>
      </c>
      <c r="AU588" s="273" t="s">
        <v>4843</v>
      </c>
      <c r="AV588" s="847">
        <v>6</v>
      </c>
      <c r="AW588" s="848" t="s">
        <v>4844</v>
      </c>
      <c r="AX588" s="867"/>
      <c r="AY588" s="273"/>
      <c r="AZ588" s="847"/>
      <c r="BA588" s="848"/>
      <c r="BB588" s="866"/>
      <c r="BC588" s="273"/>
      <c r="BD588" s="847"/>
      <c r="BE588" s="848"/>
      <c r="BF588" s="838"/>
    </row>
    <row r="589" spans="1:58" s="88" customFormat="1" ht="54" hidden="1" customHeight="1" x14ac:dyDescent="0.25">
      <c r="A589" s="267" t="s">
        <v>1687</v>
      </c>
      <c r="B589" s="268">
        <v>354</v>
      </c>
      <c r="C589" s="240" t="s">
        <v>1022</v>
      </c>
      <c r="D589" s="211" t="s">
        <v>1023</v>
      </c>
      <c r="E589" s="268" t="s">
        <v>4845</v>
      </c>
      <c r="F589" s="861" t="s">
        <v>4846</v>
      </c>
      <c r="G589" s="269" t="s">
        <v>4847</v>
      </c>
      <c r="H589" s="845" t="s">
        <v>4846</v>
      </c>
      <c r="I589" s="269" t="s">
        <v>4848</v>
      </c>
      <c r="J589" s="296" t="s">
        <v>140</v>
      </c>
      <c r="K589" s="297" t="s">
        <v>140</v>
      </c>
      <c r="L589" s="862" t="s">
        <v>4849</v>
      </c>
      <c r="M589" s="847" t="s">
        <v>193</v>
      </c>
      <c r="N589" s="270" t="s">
        <v>194</v>
      </c>
      <c r="O589" s="240" t="s">
        <v>4850</v>
      </c>
      <c r="P589" s="240" t="s">
        <v>4851</v>
      </c>
      <c r="Q589" s="845" t="s">
        <v>4852</v>
      </c>
      <c r="R589" s="208" t="s">
        <v>4853</v>
      </c>
      <c r="S589" s="864" t="s">
        <v>147</v>
      </c>
      <c r="T589" s="212" t="s">
        <v>144</v>
      </c>
      <c r="U589" s="213" t="s">
        <v>144</v>
      </c>
      <c r="V589" s="847">
        <v>2</v>
      </c>
      <c r="W589" s="415" t="s">
        <v>144</v>
      </c>
      <c r="X589" s="212">
        <v>41</v>
      </c>
      <c r="Y589" s="212" t="s">
        <v>144</v>
      </c>
      <c r="Z589" s="212" t="s">
        <v>144</v>
      </c>
      <c r="AA589" s="240" t="s">
        <v>3844</v>
      </c>
      <c r="AB589" s="206" t="s">
        <v>140</v>
      </c>
      <c r="AC589" s="847" t="s">
        <v>265</v>
      </c>
      <c r="AD589" s="847" t="s">
        <v>2498</v>
      </c>
      <c r="AE589" s="847" t="s">
        <v>144</v>
      </c>
      <c r="AF589" s="848" t="s">
        <v>144</v>
      </c>
      <c r="AG589" s="838"/>
      <c r="AH589" s="866"/>
      <c r="AI589" s="273"/>
      <c r="AJ589" s="847"/>
      <c r="AK589" s="874"/>
      <c r="AL589" s="867" t="s">
        <v>294</v>
      </c>
      <c r="AM589" s="273" t="s">
        <v>295</v>
      </c>
      <c r="AN589" s="847">
        <v>7</v>
      </c>
      <c r="AO589" s="187" t="s">
        <v>966</v>
      </c>
      <c r="AP589" s="867"/>
      <c r="AQ589" s="273"/>
      <c r="AR589" s="847"/>
      <c r="AS589" s="848"/>
      <c r="AT589" s="867"/>
      <c r="AU589" s="273"/>
      <c r="AV589" s="847"/>
      <c r="AW589" s="848"/>
      <c r="AX589" s="867"/>
      <c r="AY589" s="273"/>
      <c r="AZ589" s="847"/>
      <c r="BA589" s="848"/>
      <c r="BB589" s="866"/>
      <c r="BC589" s="273"/>
      <c r="BD589" s="847"/>
      <c r="BE589" s="848"/>
      <c r="BF589" s="838"/>
    </row>
    <row r="590" spans="1:58" s="88" customFormat="1" ht="54" hidden="1" customHeight="1" x14ac:dyDescent="0.25">
      <c r="A590" s="267" t="s">
        <v>1687</v>
      </c>
      <c r="B590" s="268">
        <v>355</v>
      </c>
      <c r="C590" s="240" t="s">
        <v>1022</v>
      </c>
      <c r="D590" s="211" t="s">
        <v>1023</v>
      </c>
      <c r="E590" s="268" t="s">
        <v>4854</v>
      </c>
      <c r="F590" s="861" t="s">
        <v>4855</v>
      </c>
      <c r="G590" s="269" t="s">
        <v>4856</v>
      </c>
      <c r="H590" s="845" t="s">
        <v>4857</v>
      </c>
      <c r="I590" s="269" t="s">
        <v>4858</v>
      </c>
      <c r="J590" s="296" t="s">
        <v>140</v>
      </c>
      <c r="K590" s="297" t="s">
        <v>140</v>
      </c>
      <c r="L590" s="862" t="s">
        <v>4859</v>
      </c>
      <c r="M590" s="847" t="s">
        <v>973</v>
      </c>
      <c r="N590" s="270" t="s">
        <v>974</v>
      </c>
      <c r="O590" s="240" t="s">
        <v>4860</v>
      </c>
      <c r="P590" s="240" t="s">
        <v>4861</v>
      </c>
      <c r="Q590" s="845" t="s">
        <v>4862</v>
      </c>
      <c r="R590" s="208" t="s">
        <v>4863</v>
      </c>
      <c r="S590" s="864" t="s">
        <v>147</v>
      </c>
      <c r="T590" s="212" t="s">
        <v>144</v>
      </c>
      <c r="U590" s="213" t="s">
        <v>144</v>
      </c>
      <c r="V590" s="847">
        <v>1</v>
      </c>
      <c r="W590" s="415" t="s">
        <v>144</v>
      </c>
      <c r="X590" s="212">
        <v>41</v>
      </c>
      <c r="Y590" s="212" t="s">
        <v>144</v>
      </c>
      <c r="Z590" s="214" t="s">
        <v>25</v>
      </c>
      <c r="AA590" s="407" t="s">
        <v>4864</v>
      </c>
      <c r="AB590" s="206" t="s">
        <v>140</v>
      </c>
      <c r="AC590" s="847" t="s">
        <v>265</v>
      </c>
      <c r="AD590" s="847" t="s">
        <v>4865</v>
      </c>
      <c r="AE590" s="847" t="s">
        <v>144</v>
      </c>
      <c r="AF590" s="848" t="s">
        <v>144</v>
      </c>
      <c r="AG590" s="838"/>
      <c r="AH590" s="866" t="s">
        <v>4866</v>
      </c>
      <c r="AI590" s="273" t="s">
        <v>4867</v>
      </c>
      <c r="AJ590" s="847">
        <v>6</v>
      </c>
      <c r="AK590" s="878" t="s">
        <v>4868</v>
      </c>
      <c r="AL590" s="867" t="s">
        <v>294</v>
      </c>
      <c r="AM590" s="273" t="s">
        <v>295</v>
      </c>
      <c r="AN590" s="847">
        <v>7</v>
      </c>
      <c r="AO590" s="187" t="s">
        <v>966</v>
      </c>
      <c r="AP590" s="867"/>
      <c r="AQ590" s="273"/>
      <c r="AR590" s="847"/>
      <c r="AS590" s="848"/>
      <c r="AT590" s="867"/>
      <c r="AU590" s="273"/>
      <c r="AV590" s="847"/>
      <c r="AW590" s="848"/>
      <c r="AX590" s="867"/>
      <c r="AY590" s="273"/>
      <c r="AZ590" s="847"/>
      <c r="BA590" s="848"/>
      <c r="BB590" s="866"/>
      <c r="BC590" s="273"/>
      <c r="BD590" s="847"/>
      <c r="BE590" s="848"/>
      <c r="BF590" s="838"/>
    </row>
    <row r="591" spans="1:58" s="88" customFormat="1" ht="54" hidden="1" customHeight="1" x14ac:dyDescent="0.25">
      <c r="A591" s="267" t="s">
        <v>1687</v>
      </c>
      <c r="B591" s="268">
        <v>356</v>
      </c>
      <c r="C591" s="240" t="s">
        <v>1022</v>
      </c>
      <c r="D591" s="211" t="s">
        <v>1023</v>
      </c>
      <c r="E591" s="268" t="s">
        <v>4869</v>
      </c>
      <c r="F591" s="861" t="s">
        <v>4870</v>
      </c>
      <c r="G591" s="269" t="s">
        <v>4871</v>
      </c>
      <c r="H591" s="845" t="s">
        <v>4872</v>
      </c>
      <c r="I591" s="269" t="s">
        <v>4873</v>
      </c>
      <c r="J591" s="296" t="s">
        <v>140</v>
      </c>
      <c r="K591" s="297" t="s">
        <v>140</v>
      </c>
      <c r="L591" s="862" t="s">
        <v>4874</v>
      </c>
      <c r="M591" s="847" t="s">
        <v>973</v>
      </c>
      <c r="N591" s="270" t="s">
        <v>974</v>
      </c>
      <c r="O591" s="240" t="s">
        <v>4875</v>
      </c>
      <c r="P591" s="240" t="s">
        <v>4876</v>
      </c>
      <c r="Q591" s="845" t="s">
        <v>4877</v>
      </c>
      <c r="R591" s="208" t="s">
        <v>4878</v>
      </c>
      <c r="S591" s="864" t="s">
        <v>147</v>
      </c>
      <c r="T591" s="212" t="s">
        <v>144</v>
      </c>
      <c r="U591" s="213" t="s">
        <v>144</v>
      </c>
      <c r="V591" s="847">
        <v>1</v>
      </c>
      <c r="W591" s="415" t="s">
        <v>144</v>
      </c>
      <c r="X591" s="212">
        <v>41</v>
      </c>
      <c r="Y591" s="212" t="s">
        <v>144</v>
      </c>
      <c r="Z591" s="252" t="s">
        <v>144</v>
      </c>
      <c r="AA591" s="437" t="s">
        <v>3844</v>
      </c>
      <c r="AB591" s="206" t="s">
        <v>140</v>
      </c>
      <c r="AC591" s="847" t="s">
        <v>265</v>
      </c>
      <c r="AD591" s="847" t="s">
        <v>2498</v>
      </c>
      <c r="AE591" s="847" t="s">
        <v>144</v>
      </c>
      <c r="AF591" s="848" t="s">
        <v>144</v>
      </c>
      <c r="AG591" s="838"/>
      <c r="AH591" s="866" t="s">
        <v>4879</v>
      </c>
      <c r="AI591" s="273" t="s">
        <v>4880</v>
      </c>
      <c r="AJ591" s="847">
        <v>6</v>
      </c>
      <c r="AK591" s="878" t="s">
        <v>4881</v>
      </c>
      <c r="AL591" s="867" t="s">
        <v>294</v>
      </c>
      <c r="AM591" s="273" t="s">
        <v>295</v>
      </c>
      <c r="AN591" s="847">
        <v>7</v>
      </c>
      <c r="AO591" s="187" t="s">
        <v>966</v>
      </c>
      <c r="AP591" s="867"/>
      <c r="AQ591" s="273"/>
      <c r="AR591" s="847"/>
      <c r="AS591" s="848"/>
      <c r="AT591" s="867"/>
      <c r="AU591" s="273"/>
      <c r="AV591" s="847"/>
      <c r="AW591" s="848"/>
      <c r="AX591" s="867"/>
      <c r="AY591" s="273"/>
      <c r="AZ591" s="847"/>
      <c r="BA591" s="848"/>
      <c r="BB591" s="866"/>
      <c r="BC591" s="273"/>
      <c r="BD591" s="847"/>
      <c r="BE591" s="848"/>
      <c r="BF591" s="838"/>
    </row>
    <row r="592" spans="1:58" s="88" customFormat="1" ht="54" hidden="1" customHeight="1" x14ac:dyDescent="0.25">
      <c r="A592" s="267" t="s">
        <v>1687</v>
      </c>
      <c r="B592" s="268">
        <v>357</v>
      </c>
      <c r="C592" s="240" t="s">
        <v>1022</v>
      </c>
      <c r="D592" s="211" t="s">
        <v>1023</v>
      </c>
      <c r="E592" s="268" t="s">
        <v>4882</v>
      </c>
      <c r="F592" s="861" t="s">
        <v>4883</v>
      </c>
      <c r="G592" s="269" t="s">
        <v>4884</v>
      </c>
      <c r="H592" s="845" t="s">
        <v>4885</v>
      </c>
      <c r="I592" s="269" t="s">
        <v>4886</v>
      </c>
      <c r="J592" s="296" t="s">
        <v>140</v>
      </c>
      <c r="K592" s="297" t="s">
        <v>140</v>
      </c>
      <c r="L592" s="862" t="s">
        <v>4887</v>
      </c>
      <c r="M592" s="847" t="s">
        <v>973</v>
      </c>
      <c r="N592" s="270" t="s">
        <v>974</v>
      </c>
      <c r="O592" s="240" t="s">
        <v>4888</v>
      </c>
      <c r="P592" s="240" t="s">
        <v>4889</v>
      </c>
      <c r="Q592" s="845" t="s">
        <v>144</v>
      </c>
      <c r="R592" s="208" t="s">
        <v>144</v>
      </c>
      <c r="S592" s="864" t="s">
        <v>147</v>
      </c>
      <c r="T592" s="212" t="s">
        <v>144</v>
      </c>
      <c r="U592" s="213" t="s">
        <v>144</v>
      </c>
      <c r="V592" s="847">
        <v>1</v>
      </c>
      <c r="W592" s="415" t="s">
        <v>144</v>
      </c>
      <c r="X592" s="212">
        <v>41</v>
      </c>
      <c r="Y592" s="212" t="s">
        <v>144</v>
      </c>
      <c r="Z592" s="252" t="s">
        <v>144</v>
      </c>
      <c r="AA592" s="240" t="s">
        <v>4890</v>
      </c>
      <c r="AB592" s="206" t="s">
        <v>140</v>
      </c>
      <c r="AC592" s="847" t="s">
        <v>265</v>
      </c>
      <c r="AD592" s="847" t="s">
        <v>4891</v>
      </c>
      <c r="AE592" s="847" t="s">
        <v>144</v>
      </c>
      <c r="AF592" s="848" t="s">
        <v>144</v>
      </c>
      <c r="AG592" s="838"/>
      <c r="AH592" s="866" t="s">
        <v>4892</v>
      </c>
      <c r="AI592" s="273" t="s">
        <v>4893</v>
      </c>
      <c r="AJ592" s="847">
        <v>6</v>
      </c>
      <c r="AK592" s="878" t="s">
        <v>4894</v>
      </c>
      <c r="AL592" s="867" t="s">
        <v>294</v>
      </c>
      <c r="AM592" s="273" t="s">
        <v>295</v>
      </c>
      <c r="AN592" s="847">
        <v>7</v>
      </c>
      <c r="AO592" s="187" t="s">
        <v>966</v>
      </c>
      <c r="AP592" s="867"/>
      <c r="AQ592" s="273"/>
      <c r="AR592" s="847"/>
      <c r="AS592" s="848"/>
      <c r="AT592" s="867"/>
      <c r="AU592" s="273"/>
      <c r="AV592" s="847"/>
      <c r="AW592" s="848"/>
      <c r="AX592" s="867"/>
      <c r="AY592" s="273"/>
      <c r="AZ592" s="847"/>
      <c r="BA592" s="848"/>
      <c r="BB592" s="866"/>
      <c r="BC592" s="273"/>
      <c r="BD592" s="847"/>
      <c r="BE592" s="848"/>
      <c r="BF592" s="838"/>
    </row>
    <row r="593" spans="1:58" s="88" customFormat="1" ht="54" hidden="1" customHeight="1" x14ac:dyDescent="0.25">
      <c r="A593" s="267" t="s">
        <v>1687</v>
      </c>
      <c r="B593" s="268">
        <v>358</v>
      </c>
      <c r="C593" s="240" t="s">
        <v>2378</v>
      </c>
      <c r="D593" s="211" t="s">
        <v>2379</v>
      </c>
      <c r="E593" s="268" t="s">
        <v>4895</v>
      </c>
      <c r="F593" s="861" t="s">
        <v>4896</v>
      </c>
      <c r="G593" s="269" t="s">
        <v>4897</v>
      </c>
      <c r="H593" s="845" t="s">
        <v>4898</v>
      </c>
      <c r="I593" s="269" t="s">
        <v>4899</v>
      </c>
      <c r="J593" s="296" t="s">
        <v>140</v>
      </c>
      <c r="K593" s="297" t="s">
        <v>140</v>
      </c>
      <c r="L593" s="862" t="s">
        <v>4900</v>
      </c>
      <c r="M593" s="847" t="s">
        <v>973</v>
      </c>
      <c r="N593" s="270" t="s">
        <v>974</v>
      </c>
      <c r="O593" s="240" t="s">
        <v>144</v>
      </c>
      <c r="P593" s="240" t="s">
        <v>144</v>
      </c>
      <c r="Q593" s="845" t="s">
        <v>144</v>
      </c>
      <c r="R593" s="208" t="s">
        <v>144</v>
      </c>
      <c r="S593" s="268" t="s">
        <v>746</v>
      </c>
      <c r="T593" s="212" t="s">
        <v>4901</v>
      </c>
      <c r="U593" s="213" t="s">
        <v>4902</v>
      </c>
      <c r="V593" s="847">
        <v>13</v>
      </c>
      <c r="W593" s="415" t="s">
        <v>144</v>
      </c>
      <c r="X593" s="212">
        <v>41</v>
      </c>
      <c r="Y593" s="212" t="s">
        <v>144</v>
      </c>
      <c r="Z593" s="241" t="s">
        <v>29</v>
      </c>
      <c r="AA593" s="407" t="s">
        <v>4903</v>
      </c>
      <c r="AB593" s="206" t="s">
        <v>140</v>
      </c>
      <c r="AC593" s="847" t="s">
        <v>265</v>
      </c>
      <c r="AD593" s="872" t="s">
        <v>4904</v>
      </c>
      <c r="AE593" s="847" t="s">
        <v>144</v>
      </c>
      <c r="AF593" s="848" t="s">
        <v>144</v>
      </c>
      <c r="AG593" s="838"/>
      <c r="AH593" s="463" t="s">
        <v>4905</v>
      </c>
      <c r="AI593" s="406" t="s">
        <v>4906</v>
      </c>
      <c r="AJ593" s="407" t="s">
        <v>1724</v>
      </c>
      <c r="AK593" s="871" t="s">
        <v>4907</v>
      </c>
      <c r="AL593" s="867"/>
      <c r="AM593" s="273"/>
      <c r="AN593" s="847"/>
      <c r="AO593" s="848"/>
      <c r="AP593" s="873" t="s">
        <v>4908</v>
      </c>
      <c r="AQ593" s="406" t="s">
        <v>4909</v>
      </c>
      <c r="AR593" s="407">
        <v>7</v>
      </c>
      <c r="AS593" s="878" t="s">
        <v>2414</v>
      </c>
      <c r="AT593" s="867"/>
      <c r="AU593" s="273"/>
      <c r="AV593" s="847"/>
      <c r="AW593" s="848"/>
      <c r="AX593" s="867"/>
      <c r="AY593" s="273"/>
      <c r="AZ593" s="847"/>
      <c r="BA593" s="848"/>
      <c r="BB593" s="866"/>
      <c r="BC593" s="273"/>
      <c r="BD593" s="847"/>
      <c r="BE593" s="848"/>
      <c r="BF593" s="838"/>
    </row>
    <row r="594" spans="1:58" s="88" customFormat="1" ht="54" hidden="1" customHeight="1" x14ac:dyDescent="0.25">
      <c r="A594" s="267" t="s">
        <v>1687</v>
      </c>
      <c r="B594" s="268">
        <v>359</v>
      </c>
      <c r="C594" s="240" t="s">
        <v>2378</v>
      </c>
      <c r="D594" s="211" t="s">
        <v>2379</v>
      </c>
      <c r="E594" s="268" t="s">
        <v>4910</v>
      </c>
      <c r="F594" s="861" t="s">
        <v>4911</v>
      </c>
      <c r="G594" s="269" t="s">
        <v>4912</v>
      </c>
      <c r="H594" s="845" t="s">
        <v>4913</v>
      </c>
      <c r="I594" s="269" t="s">
        <v>4914</v>
      </c>
      <c r="J594" s="296" t="s">
        <v>140</v>
      </c>
      <c r="K594" s="297" t="s">
        <v>140</v>
      </c>
      <c r="L594" s="862" t="s">
        <v>4915</v>
      </c>
      <c r="M594" s="847" t="s">
        <v>973</v>
      </c>
      <c r="N594" s="270" t="s">
        <v>974</v>
      </c>
      <c r="O594" s="240" t="s">
        <v>144</v>
      </c>
      <c r="P594" s="240" t="s">
        <v>144</v>
      </c>
      <c r="Q594" s="845" t="s">
        <v>144</v>
      </c>
      <c r="R594" s="208" t="s">
        <v>144</v>
      </c>
      <c r="S594" s="864" t="s">
        <v>147</v>
      </c>
      <c r="T594" s="212" t="s">
        <v>144</v>
      </c>
      <c r="U594" s="213" t="s">
        <v>144</v>
      </c>
      <c r="V594" s="847">
        <v>50</v>
      </c>
      <c r="W594" s="415" t="s">
        <v>144</v>
      </c>
      <c r="X594" s="212">
        <v>41</v>
      </c>
      <c r="Y594" s="212" t="s">
        <v>144</v>
      </c>
      <c r="Z594" s="212" t="s">
        <v>144</v>
      </c>
      <c r="AA594" s="240" t="s">
        <v>4890</v>
      </c>
      <c r="AB594" s="206" t="s">
        <v>140</v>
      </c>
      <c r="AC594" s="847" t="s">
        <v>265</v>
      </c>
      <c r="AD594" s="847" t="s">
        <v>4891</v>
      </c>
      <c r="AE594" s="847" t="s">
        <v>144</v>
      </c>
      <c r="AF594" s="848" t="s">
        <v>144</v>
      </c>
      <c r="AG594" s="838"/>
      <c r="AH594" s="866" t="s">
        <v>4916</v>
      </c>
      <c r="AI594" s="273" t="s">
        <v>4917</v>
      </c>
      <c r="AJ594" s="847">
        <v>6</v>
      </c>
      <c r="AK594" s="878" t="s">
        <v>4918</v>
      </c>
      <c r="AL594" s="867"/>
      <c r="AM594" s="273"/>
      <c r="AN594" s="847"/>
      <c r="AO594" s="848"/>
      <c r="AP594" s="867"/>
      <c r="AQ594" s="273"/>
      <c r="AR594" s="847"/>
      <c r="AS594" s="848"/>
      <c r="AT594" s="867"/>
      <c r="AU594" s="273"/>
      <c r="AV594" s="847"/>
      <c r="AW594" s="848"/>
      <c r="AX594" s="867"/>
      <c r="AY594" s="273"/>
      <c r="AZ594" s="847"/>
      <c r="BA594" s="848"/>
      <c r="BB594" s="866"/>
      <c r="BC594" s="273"/>
      <c r="BD594" s="847"/>
      <c r="BE594" s="848"/>
      <c r="BF594" s="838"/>
    </row>
    <row r="595" spans="1:58" s="88" customFormat="1" ht="54" hidden="1" customHeight="1" x14ac:dyDescent="0.25">
      <c r="A595" s="267" t="s">
        <v>1687</v>
      </c>
      <c r="B595" s="268">
        <v>360</v>
      </c>
      <c r="C595" s="240" t="s">
        <v>1022</v>
      </c>
      <c r="D595" s="211" t="s">
        <v>1023</v>
      </c>
      <c r="E595" s="268" t="s">
        <v>4919</v>
      </c>
      <c r="F595" s="861" t="s">
        <v>4920</v>
      </c>
      <c r="G595" s="269" t="s">
        <v>4921</v>
      </c>
      <c r="H595" s="845" t="s">
        <v>4922</v>
      </c>
      <c r="I595" s="269" t="s">
        <v>4923</v>
      </c>
      <c r="J595" s="296" t="s">
        <v>140</v>
      </c>
      <c r="K595" s="297" t="s">
        <v>140</v>
      </c>
      <c r="L595" s="862" t="s">
        <v>4924</v>
      </c>
      <c r="M595" s="847" t="s">
        <v>973</v>
      </c>
      <c r="N595" s="270" t="s">
        <v>974</v>
      </c>
      <c r="O595" s="240" t="s">
        <v>4925</v>
      </c>
      <c r="P595" s="240" t="s">
        <v>4926</v>
      </c>
      <c r="Q595" s="845" t="s">
        <v>144</v>
      </c>
      <c r="R595" s="208" t="s">
        <v>144</v>
      </c>
      <c r="S595" s="864" t="s">
        <v>147</v>
      </c>
      <c r="T595" s="212" t="s">
        <v>144</v>
      </c>
      <c r="U595" s="213" t="s">
        <v>144</v>
      </c>
      <c r="V595" s="847">
        <v>1</v>
      </c>
      <c r="W595" s="415" t="s">
        <v>144</v>
      </c>
      <c r="X595" s="212">
        <v>41</v>
      </c>
      <c r="Y595" s="212" t="s">
        <v>144</v>
      </c>
      <c r="Z595" s="252" t="s">
        <v>144</v>
      </c>
      <c r="AA595" s="240" t="s">
        <v>4927</v>
      </c>
      <c r="AB595" s="206" t="s">
        <v>140</v>
      </c>
      <c r="AC595" s="847" t="s">
        <v>265</v>
      </c>
      <c r="AD595" s="847" t="s">
        <v>4928</v>
      </c>
      <c r="AE595" s="847" t="s">
        <v>144</v>
      </c>
      <c r="AF595" s="848" t="s">
        <v>144</v>
      </c>
      <c r="AG595" s="838"/>
      <c r="AH595" s="912" t="s">
        <v>4929</v>
      </c>
      <c r="AI595" s="273" t="s">
        <v>4930</v>
      </c>
      <c r="AJ595" s="847">
        <v>6</v>
      </c>
      <c r="AK595" s="878" t="s">
        <v>4931</v>
      </c>
      <c r="AL595" s="867" t="s">
        <v>294</v>
      </c>
      <c r="AM595" s="273" t="s">
        <v>295</v>
      </c>
      <c r="AN595" s="847">
        <v>7</v>
      </c>
      <c r="AO595" s="187" t="s">
        <v>966</v>
      </c>
      <c r="AP595" s="867"/>
      <c r="AQ595" s="273"/>
      <c r="AR595" s="847"/>
      <c r="AS595" s="848"/>
      <c r="AT595" s="867"/>
      <c r="AU595" s="273"/>
      <c r="AV595" s="847"/>
      <c r="AW595" s="848"/>
      <c r="AX595" s="867"/>
      <c r="AY595" s="273"/>
      <c r="AZ595" s="847"/>
      <c r="BA595" s="848"/>
      <c r="BB595" s="866"/>
      <c r="BC595" s="273"/>
      <c r="BD595" s="847"/>
      <c r="BE595" s="848"/>
      <c r="BF595" s="838"/>
    </row>
    <row r="596" spans="1:58" s="88" customFormat="1" ht="54" hidden="1" customHeight="1" x14ac:dyDescent="0.25">
      <c r="A596" s="267" t="s">
        <v>1687</v>
      </c>
      <c r="B596" s="268">
        <v>361</v>
      </c>
      <c r="C596" s="240" t="s">
        <v>1022</v>
      </c>
      <c r="D596" s="211" t="s">
        <v>1023</v>
      </c>
      <c r="E596" s="268" t="s">
        <v>4932</v>
      </c>
      <c r="F596" s="861" t="s">
        <v>4933</v>
      </c>
      <c r="G596" s="269" t="s">
        <v>4934</v>
      </c>
      <c r="H596" s="845" t="s">
        <v>4935</v>
      </c>
      <c r="I596" s="269" t="s">
        <v>4936</v>
      </c>
      <c r="J596" s="296" t="s">
        <v>140</v>
      </c>
      <c r="K596" s="297" t="s">
        <v>140</v>
      </c>
      <c r="L596" s="862" t="s">
        <v>4937</v>
      </c>
      <c r="M596" s="847" t="s">
        <v>973</v>
      </c>
      <c r="N596" s="270" t="s">
        <v>974</v>
      </c>
      <c r="O596" s="240" t="s">
        <v>225</v>
      </c>
      <c r="P596" s="240" t="s">
        <v>226</v>
      </c>
      <c r="Q596" s="845" t="s">
        <v>144</v>
      </c>
      <c r="R596" s="208" t="s">
        <v>144</v>
      </c>
      <c r="S596" s="864" t="s">
        <v>147</v>
      </c>
      <c r="T596" s="212" t="s">
        <v>144</v>
      </c>
      <c r="U596" s="213" t="s">
        <v>144</v>
      </c>
      <c r="V596" s="847">
        <v>1</v>
      </c>
      <c r="W596" s="415" t="s">
        <v>144</v>
      </c>
      <c r="X596" s="212">
        <v>41</v>
      </c>
      <c r="Y596" s="212" t="s">
        <v>144</v>
      </c>
      <c r="Z596" s="252" t="s">
        <v>144</v>
      </c>
      <c r="AA596" s="240" t="s">
        <v>3844</v>
      </c>
      <c r="AB596" s="206" t="s">
        <v>140</v>
      </c>
      <c r="AC596" s="847" t="s">
        <v>265</v>
      </c>
      <c r="AD596" s="847" t="s">
        <v>3242</v>
      </c>
      <c r="AE596" s="847" t="s">
        <v>144</v>
      </c>
      <c r="AF596" s="848" t="s">
        <v>144</v>
      </c>
      <c r="AG596" s="838"/>
      <c r="AH596" s="866" t="s">
        <v>4938</v>
      </c>
      <c r="AI596" s="273" t="s">
        <v>4939</v>
      </c>
      <c r="AJ596" s="847">
        <v>6</v>
      </c>
      <c r="AK596" s="878" t="s">
        <v>4940</v>
      </c>
      <c r="AL596" s="867" t="s">
        <v>294</v>
      </c>
      <c r="AM596" s="273" t="s">
        <v>295</v>
      </c>
      <c r="AN596" s="847">
        <v>7</v>
      </c>
      <c r="AO596" s="286" t="s">
        <v>966</v>
      </c>
      <c r="AP596" s="867"/>
      <c r="AQ596" s="273"/>
      <c r="AR596" s="847"/>
      <c r="AS596" s="848"/>
      <c r="AT596" s="867"/>
      <c r="AU596" s="273"/>
      <c r="AV596" s="847"/>
      <c r="AW596" s="848"/>
      <c r="AX596" s="867"/>
      <c r="AY596" s="273"/>
      <c r="AZ596" s="847"/>
      <c r="BA596" s="848"/>
      <c r="BB596" s="866"/>
      <c r="BC596" s="273"/>
      <c r="BD596" s="847"/>
      <c r="BE596" s="848"/>
      <c r="BF596" s="838"/>
    </row>
    <row r="597" spans="1:58" s="88" customFormat="1" ht="54" hidden="1" customHeight="1" x14ac:dyDescent="0.25">
      <c r="A597" s="267" t="s">
        <v>1687</v>
      </c>
      <c r="B597" s="268">
        <v>362</v>
      </c>
      <c r="C597" s="240" t="s">
        <v>1022</v>
      </c>
      <c r="D597" s="211" t="s">
        <v>1023</v>
      </c>
      <c r="E597" s="268" t="s">
        <v>4941</v>
      </c>
      <c r="F597" s="861" t="s">
        <v>4942</v>
      </c>
      <c r="G597" s="269" t="s">
        <v>4943</v>
      </c>
      <c r="H597" s="861" t="s">
        <v>4942</v>
      </c>
      <c r="I597" s="269" t="s">
        <v>4943</v>
      </c>
      <c r="J597" s="296" t="s">
        <v>140</v>
      </c>
      <c r="K597" s="297" t="s">
        <v>140</v>
      </c>
      <c r="L597" s="862" t="s">
        <v>4944</v>
      </c>
      <c r="M597" s="847" t="s">
        <v>973</v>
      </c>
      <c r="N597" s="270" t="s">
        <v>974</v>
      </c>
      <c r="O597" s="240" t="s">
        <v>144</v>
      </c>
      <c r="P597" s="240" t="s">
        <v>144</v>
      </c>
      <c r="Q597" s="845" t="s">
        <v>144</v>
      </c>
      <c r="R597" s="208" t="s">
        <v>144</v>
      </c>
      <c r="S597" s="864" t="s">
        <v>746</v>
      </c>
      <c r="T597" s="212" t="s">
        <v>1104</v>
      </c>
      <c r="U597" s="213" t="s">
        <v>1105</v>
      </c>
      <c r="V597" s="847">
        <v>19</v>
      </c>
      <c r="W597" s="415" t="s">
        <v>144</v>
      </c>
      <c r="X597" s="212">
        <v>41</v>
      </c>
      <c r="Y597" s="212" t="s">
        <v>144</v>
      </c>
      <c r="Z597" s="252" t="s">
        <v>144</v>
      </c>
      <c r="AA597" s="240" t="s">
        <v>4945</v>
      </c>
      <c r="AB597" s="206" t="s">
        <v>140</v>
      </c>
      <c r="AC597" s="847" t="s">
        <v>265</v>
      </c>
      <c r="AD597" s="847" t="s">
        <v>3242</v>
      </c>
      <c r="AE597" s="847" t="s">
        <v>144</v>
      </c>
      <c r="AF597" s="848" t="s">
        <v>144</v>
      </c>
      <c r="AG597" s="838"/>
      <c r="AH597" s="866" t="s">
        <v>4946</v>
      </c>
      <c r="AI597" s="273" t="s">
        <v>4947</v>
      </c>
      <c r="AJ597" s="847">
        <v>6</v>
      </c>
      <c r="AK597" s="878" t="s">
        <v>4948</v>
      </c>
      <c r="AL597" s="867"/>
      <c r="AM597" s="273"/>
      <c r="AN597" s="847"/>
      <c r="AO597" s="848"/>
      <c r="AP597" s="867"/>
      <c r="AQ597" s="273"/>
      <c r="AR597" s="847"/>
      <c r="AS597" s="848"/>
      <c r="AT597" s="867"/>
      <c r="AU597" s="273"/>
      <c r="AV597" s="847"/>
      <c r="AW597" s="848"/>
      <c r="AX597" s="867"/>
      <c r="AY597" s="273"/>
      <c r="AZ597" s="847"/>
      <c r="BA597" s="848"/>
      <c r="BB597" s="866"/>
      <c r="BC597" s="273"/>
      <c r="BD597" s="847"/>
      <c r="BE597" s="848"/>
      <c r="BF597" s="838"/>
    </row>
    <row r="598" spans="1:58" s="88" customFormat="1" ht="54" hidden="1" customHeight="1" x14ac:dyDescent="0.25">
      <c r="A598" s="267" t="s">
        <v>1687</v>
      </c>
      <c r="B598" s="268">
        <v>363</v>
      </c>
      <c r="C598" s="240" t="s">
        <v>1022</v>
      </c>
      <c r="D598" s="211" t="s">
        <v>1023</v>
      </c>
      <c r="E598" s="268" t="s">
        <v>4949</v>
      </c>
      <c r="F598" s="861" t="s">
        <v>4950</v>
      </c>
      <c r="G598" s="269" t="s">
        <v>4951</v>
      </c>
      <c r="H598" s="845" t="s">
        <v>4952</v>
      </c>
      <c r="I598" s="269" t="s">
        <v>4953</v>
      </c>
      <c r="J598" s="296" t="s">
        <v>140</v>
      </c>
      <c r="K598" s="297" t="s">
        <v>140</v>
      </c>
      <c r="L598" s="862" t="s">
        <v>4954</v>
      </c>
      <c r="M598" s="847" t="s">
        <v>973</v>
      </c>
      <c r="N598" s="270" t="s">
        <v>974</v>
      </c>
      <c r="O598" s="240" t="s">
        <v>814</v>
      </c>
      <c r="P598" s="240" t="s">
        <v>815</v>
      </c>
      <c r="Q598" s="845" t="s">
        <v>144</v>
      </c>
      <c r="R598" s="208" t="s">
        <v>144</v>
      </c>
      <c r="S598" s="864" t="s">
        <v>147</v>
      </c>
      <c r="T598" s="212" t="s">
        <v>144</v>
      </c>
      <c r="U598" s="213" t="s">
        <v>144</v>
      </c>
      <c r="V598" s="847">
        <v>3</v>
      </c>
      <c r="W598" s="415" t="s">
        <v>144</v>
      </c>
      <c r="X598" s="212">
        <v>41</v>
      </c>
      <c r="Y598" s="212" t="s">
        <v>144</v>
      </c>
      <c r="Z598" s="212" t="s">
        <v>144</v>
      </c>
      <c r="AA598" s="240" t="s">
        <v>4945</v>
      </c>
      <c r="AB598" s="206" t="s">
        <v>140</v>
      </c>
      <c r="AC598" s="847" t="s">
        <v>265</v>
      </c>
      <c r="AD598" s="847" t="s">
        <v>3242</v>
      </c>
      <c r="AE598" s="847" t="s">
        <v>144</v>
      </c>
      <c r="AF598" s="848" t="s">
        <v>144</v>
      </c>
      <c r="AG598" s="838"/>
      <c r="AH598" s="866" t="s">
        <v>4955</v>
      </c>
      <c r="AI598" s="273" t="s">
        <v>4956</v>
      </c>
      <c r="AJ598" s="847">
        <v>7</v>
      </c>
      <c r="AK598" s="878" t="s">
        <v>1280</v>
      </c>
      <c r="AL598" s="867" t="s">
        <v>294</v>
      </c>
      <c r="AM598" s="273" t="s">
        <v>295</v>
      </c>
      <c r="AN598" s="847">
        <v>7</v>
      </c>
      <c r="AO598" s="187" t="s">
        <v>966</v>
      </c>
      <c r="AP598" s="867"/>
      <c r="AQ598" s="273"/>
      <c r="AR598" s="847"/>
      <c r="AS598" s="848"/>
      <c r="AT598" s="867"/>
      <c r="AU598" s="273"/>
      <c r="AV598" s="847"/>
      <c r="AW598" s="848"/>
      <c r="AX598" s="867"/>
      <c r="AY598" s="273"/>
      <c r="AZ598" s="847"/>
      <c r="BA598" s="848"/>
      <c r="BB598" s="866"/>
      <c r="BC598" s="273"/>
      <c r="BD598" s="847"/>
      <c r="BE598" s="848"/>
      <c r="BF598" s="838"/>
    </row>
    <row r="599" spans="1:58" s="88" customFormat="1" ht="54" hidden="1" customHeight="1" x14ac:dyDescent="0.25">
      <c r="A599" s="267" t="s">
        <v>1687</v>
      </c>
      <c r="B599" s="268">
        <v>364</v>
      </c>
      <c r="C599" s="240" t="s">
        <v>723</v>
      </c>
      <c r="D599" s="211" t="s">
        <v>723</v>
      </c>
      <c r="E599" s="268" t="s">
        <v>4957</v>
      </c>
      <c r="F599" s="861" t="s">
        <v>4958</v>
      </c>
      <c r="G599" s="269" t="s">
        <v>4959</v>
      </c>
      <c r="H599" s="861" t="s">
        <v>4960</v>
      </c>
      <c r="I599" s="269" t="s">
        <v>4961</v>
      </c>
      <c r="J599" s="296" t="s">
        <v>140</v>
      </c>
      <c r="K599" s="297" t="s">
        <v>140</v>
      </c>
      <c r="L599" s="862" t="s">
        <v>4962</v>
      </c>
      <c r="M599" s="847" t="s">
        <v>973</v>
      </c>
      <c r="N599" s="270" t="s">
        <v>974</v>
      </c>
      <c r="O599" s="240" t="s">
        <v>144</v>
      </c>
      <c r="P599" s="240" t="s">
        <v>144</v>
      </c>
      <c r="Q599" s="845" t="s">
        <v>144</v>
      </c>
      <c r="R599" s="208" t="s">
        <v>144</v>
      </c>
      <c r="S599" s="864" t="s">
        <v>746</v>
      </c>
      <c r="T599" s="212" t="s">
        <v>1307</v>
      </c>
      <c r="U599" s="213" t="s">
        <v>1308</v>
      </c>
      <c r="V599" s="847">
        <v>10</v>
      </c>
      <c r="W599" s="415" t="s">
        <v>144</v>
      </c>
      <c r="X599" s="212">
        <v>41</v>
      </c>
      <c r="Y599" s="212" t="s">
        <v>144</v>
      </c>
      <c r="Z599" s="252" t="s">
        <v>144</v>
      </c>
      <c r="AA599" s="240" t="s">
        <v>3844</v>
      </c>
      <c r="AB599" s="206" t="s">
        <v>140</v>
      </c>
      <c r="AC599" s="847" t="s">
        <v>265</v>
      </c>
      <c r="AD599" s="847" t="s">
        <v>3242</v>
      </c>
      <c r="AE599" s="847" t="s">
        <v>144</v>
      </c>
      <c r="AF599" s="848" t="s">
        <v>144</v>
      </c>
      <c r="AG599" s="838"/>
      <c r="AH599" s="866" t="s">
        <v>4938</v>
      </c>
      <c r="AI599" s="273" t="s">
        <v>4939</v>
      </c>
      <c r="AJ599" s="847">
        <v>6</v>
      </c>
      <c r="AK599" s="878" t="s">
        <v>4940</v>
      </c>
      <c r="AL599" s="867"/>
      <c r="AM599" s="273"/>
      <c r="AN599" s="847"/>
      <c r="AO599" s="848"/>
      <c r="AP599" s="867"/>
      <c r="AQ599" s="273"/>
      <c r="AR599" s="847"/>
      <c r="AS599" s="848"/>
      <c r="AT599" s="867"/>
      <c r="AU599" s="273"/>
      <c r="AV599" s="847"/>
      <c r="AW599" s="848"/>
      <c r="AX599" s="867"/>
      <c r="AY599" s="273"/>
      <c r="AZ599" s="847"/>
      <c r="BA599" s="848"/>
      <c r="BB599" s="866"/>
      <c r="BC599" s="273"/>
      <c r="BD599" s="847"/>
      <c r="BE599" s="848"/>
      <c r="BF599" s="838"/>
    </row>
    <row r="600" spans="1:58" s="88" customFormat="1" ht="54" hidden="1" customHeight="1" x14ac:dyDescent="0.25">
      <c r="A600" s="267" t="s">
        <v>1687</v>
      </c>
      <c r="B600" s="268">
        <v>365</v>
      </c>
      <c r="C600" s="240" t="s">
        <v>1022</v>
      </c>
      <c r="D600" s="211" t="s">
        <v>1023</v>
      </c>
      <c r="E600" s="268" t="s">
        <v>4963</v>
      </c>
      <c r="F600" s="861" t="s">
        <v>4964</v>
      </c>
      <c r="G600" s="269" t="s">
        <v>4965</v>
      </c>
      <c r="H600" s="861" t="s">
        <v>4966</v>
      </c>
      <c r="I600" s="269" t="s">
        <v>4967</v>
      </c>
      <c r="J600" s="296" t="s">
        <v>140</v>
      </c>
      <c r="K600" s="297" t="s">
        <v>140</v>
      </c>
      <c r="L600" s="862" t="s">
        <v>4968</v>
      </c>
      <c r="M600" s="847" t="s">
        <v>193</v>
      </c>
      <c r="N600" s="270" t="s">
        <v>194</v>
      </c>
      <c r="O600" s="240" t="s">
        <v>144</v>
      </c>
      <c r="P600" s="240" t="s">
        <v>144</v>
      </c>
      <c r="Q600" s="845" t="s">
        <v>4969</v>
      </c>
      <c r="R600" s="208" t="s">
        <v>4970</v>
      </c>
      <c r="S600" s="864" t="s">
        <v>746</v>
      </c>
      <c r="T600" s="212" t="s">
        <v>1307</v>
      </c>
      <c r="U600" s="213" t="s">
        <v>1308</v>
      </c>
      <c r="V600" s="847">
        <v>10</v>
      </c>
      <c r="W600" s="415" t="s">
        <v>144</v>
      </c>
      <c r="X600" s="212">
        <v>41</v>
      </c>
      <c r="Y600" s="212" t="s">
        <v>144</v>
      </c>
      <c r="Z600" s="212" t="s">
        <v>144</v>
      </c>
      <c r="AA600" s="240" t="s">
        <v>3844</v>
      </c>
      <c r="AB600" s="206" t="s">
        <v>140</v>
      </c>
      <c r="AC600" s="847" t="s">
        <v>265</v>
      </c>
      <c r="AD600" s="847" t="s">
        <v>3242</v>
      </c>
      <c r="AE600" s="847" t="s">
        <v>144</v>
      </c>
      <c r="AF600" s="848" t="s">
        <v>144</v>
      </c>
      <c r="AG600" s="838"/>
      <c r="AH600" s="866"/>
      <c r="AI600" s="273"/>
      <c r="AJ600" s="847"/>
      <c r="AK600" s="874"/>
      <c r="AL600" s="867"/>
      <c r="AM600" s="273"/>
      <c r="AN600" s="847"/>
      <c r="AO600" s="848"/>
      <c r="AP600" s="867"/>
      <c r="AQ600" s="273"/>
      <c r="AR600" s="847"/>
      <c r="AS600" s="848"/>
      <c r="AT600" s="867"/>
      <c r="AU600" s="273"/>
      <c r="AV600" s="847"/>
      <c r="AW600" s="848"/>
      <c r="AX600" s="867"/>
      <c r="AY600" s="273"/>
      <c r="AZ600" s="847"/>
      <c r="BA600" s="848"/>
      <c r="BB600" s="866"/>
      <c r="BC600" s="273"/>
      <c r="BD600" s="847"/>
      <c r="BE600" s="848"/>
      <c r="BF600" s="838"/>
    </row>
    <row r="601" spans="1:58" s="88" customFormat="1" ht="54" hidden="1" customHeight="1" x14ac:dyDescent="0.25">
      <c r="A601" s="267" t="s">
        <v>1687</v>
      </c>
      <c r="B601" s="268">
        <v>366</v>
      </c>
      <c r="C601" s="240" t="s">
        <v>1022</v>
      </c>
      <c r="D601" s="211" t="s">
        <v>1023</v>
      </c>
      <c r="E601" s="268" t="s">
        <v>4971</v>
      </c>
      <c r="F601" s="861" t="s">
        <v>4972</v>
      </c>
      <c r="G601" s="269" t="s">
        <v>4973</v>
      </c>
      <c r="H601" s="845" t="s">
        <v>4974</v>
      </c>
      <c r="I601" s="208" t="s">
        <v>4975</v>
      </c>
      <c r="J601" s="240" t="s">
        <v>140</v>
      </c>
      <c r="K601" s="270" t="s">
        <v>140</v>
      </c>
      <c r="L601" s="862" t="s">
        <v>4976</v>
      </c>
      <c r="M601" s="847" t="s">
        <v>973</v>
      </c>
      <c r="N601" s="270" t="s">
        <v>974</v>
      </c>
      <c r="O601" s="240" t="s">
        <v>144</v>
      </c>
      <c r="P601" s="240" t="s">
        <v>144</v>
      </c>
      <c r="Q601" s="845" t="s">
        <v>144</v>
      </c>
      <c r="R601" s="208" t="s">
        <v>144</v>
      </c>
      <c r="S601" s="864" t="s">
        <v>746</v>
      </c>
      <c r="T601" s="212" t="s">
        <v>1104</v>
      </c>
      <c r="U601" s="213" t="s">
        <v>1105</v>
      </c>
      <c r="V601" s="847">
        <v>19</v>
      </c>
      <c r="W601" s="415" t="s">
        <v>144</v>
      </c>
      <c r="X601" s="212">
        <v>41</v>
      </c>
      <c r="Y601" s="212" t="s">
        <v>144</v>
      </c>
      <c r="Z601" s="212" t="s">
        <v>144</v>
      </c>
      <c r="AA601" s="240" t="s">
        <v>4977</v>
      </c>
      <c r="AB601" s="206" t="s">
        <v>140</v>
      </c>
      <c r="AC601" s="847" t="s">
        <v>265</v>
      </c>
      <c r="AD601" s="847" t="s">
        <v>4978</v>
      </c>
      <c r="AE601" s="847" t="s">
        <v>144</v>
      </c>
      <c r="AF601" s="848" t="s">
        <v>144</v>
      </c>
      <c r="AG601" s="838"/>
      <c r="AH601" s="866" t="s">
        <v>4979</v>
      </c>
      <c r="AI601" s="273" t="s">
        <v>4980</v>
      </c>
      <c r="AJ601" s="847">
        <v>6</v>
      </c>
      <c r="AK601" s="878" t="s">
        <v>4981</v>
      </c>
      <c r="AL601" s="867"/>
      <c r="AM601" s="273"/>
      <c r="AN601" s="847"/>
      <c r="AO601" s="848"/>
      <c r="AP601" s="867" t="s">
        <v>1107</v>
      </c>
      <c r="AQ601" s="273" t="s">
        <v>1108</v>
      </c>
      <c r="AR601" s="847">
        <v>7</v>
      </c>
      <c r="AS601" s="286" t="s">
        <v>1109</v>
      </c>
      <c r="AT601" s="867"/>
      <c r="AU601" s="273"/>
      <c r="AV601" s="847"/>
      <c r="AW601" s="848"/>
      <c r="AX601" s="867"/>
      <c r="AY601" s="273"/>
      <c r="AZ601" s="847"/>
      <c r="BA601" s="848"/>
      <c r="BB601" s="866"/>
      <c r="BC601" s="273"/>
      <c r="BD601" s="847"/>
      <c r="BE601" s="848"/>
      <c r="BF601" s="838"/>
    </row>
    <row r="602" spans="1:58" s="88" customFormat="1" ht="54" hidden="1" customHeight="1" x14ac:dyDescent="0.25">
      <c r="A602" s="267" t="s">
        <v>1687</v>
      </c>
      <c r="B602" s="268">
        <v>367</v>
      </c>
      <c r="C602" s="240" t="s">
        <v>1022</v>
      </c>
      <c r="D602" s="211" t="s">
        <v>1023</v>
      </c>
      <c r="E602" s="268" t="s">
        <v>4982</v>
      </c>
      <c r="F602" s="861" t="s">
        <v>4983</v>
      </c>
      <c r="G602" s="269" t="s">
        <v>4984</v>
      </c>
      <c r="H602" s="845" t="s">
        <v>4985</v>
      </c>
      <c r="I602" s="269" t="s">
        <v>4986</v>
      </c>
      <c r="J602" s="296" t="s">
        <v>140</v>
      </c>
      <c r="K602" s="297" t="s">
        <v>140</v>
      </c>
      <c r="L602" s="862" t="s">
        <v>4987</v>
      </c>
      <c r="M602" s="847" t="s">
        <v>973</v>
      </c>
      <c r="N602" s="270" t="s">
        <v>974</v>
      </c>
      <c r="O602" s="240" t="s">
        <v>814</v>
      </c>
      <c r="P602" s="240" t="s">
        <v>815</v>
      </c>
      <c r="Q602" s="845" t="s">
        <v>144</v>
      </c>
      <c r="R602" s="208" t="s">
        <v>144</v>
      </c>
      <c r="S602" s="864" t="s">
        <v>147</v>
      </c>
      <c r="T602" s="212" t="s">
        <v>144</v>
      </c>
      <c r="U602" s="213" t="s">
        <v>144</v>
      </c>
      <c r="V602" s="847">
        <v>3</v>
      </c>
      <c r="W602" s="415" t="s">
        <v>144</v>
      </c>
      <c r="X602" s="212">
        <v>41</v>
      </c>
      <c r="Y602" s="212" t="s">
        <v>144</v>
      </c>
      <c r="Z602" s="212" t="s">
        <v>144</v>
      </c>
      <c r="AA602" s="240" t="s">
        <v>4977</v>
      </c>
      <c r="AB602" s="206" t="s">
        <v>140</v>
      </c>
      <c r="AC602" s="847" t="s">
        <v>265</v>
      </c>
      <c r="AD602" s="847" t="s">
        <v>4978</v>
      </c>
      <c r="AE602" s="847" t="s">
        <v>144</v>
      </c>
      <c r="AF602" s="848" t="s">
        <v>144</v>
      </c>
      <c r="AG602" s="838"/>
      <c r="AH602" s="866" t="s">
        <v>4988</v>
      </c>
      <c r="AI602" s="273" t="s">
        <v>4989</v>
      </c>
      <c r="AJ602" s="847">
        <v>7</v>
      </c>
      <c r="AK602" s="878" t="s">
        <v>1280</v>
      </c>
      <c r="AL602" s="875" t="s">
        <v>294</v>
      </c>
      <c r="AM602" s="301" t="s">
        <v>295</v>
      </c>
      <c r="AN602" s="847">
        <v>7</v>
      </c>
      <c r="AO602" s="187" t="s">
        <v>966</v>
      </c>
      <c r="AP602" s="867"/>
      <c r="AQ602" s="273"/>
      <c r="AR602" s="847"/>
      <c r="AS602" s="848"/>
      <c r="AT602" s="867"/>
      <c r="AU602" s="273"/>
      <c r="AV602" s="847"/>
      <c r="AW602" s="848"/>
      <c r="AX602" s="867"/>
      <c r="AY602" s="273"/>
      <c r="AZ602" s="847"/>
      <c r="BA602" s="848"/>
      <c r="BB602" s="866"/>
      <c r="BC602" s="273"/>
      <c r="BD602" s="847"/>
      <c r="BE602" s="848"/>
      <c r="BF602" s="838"/>
    </row>
    <row r="603" spans="1:58" s="88" customFormat="1" ht="54" hidden="1" customHeight="1" x14ac:dyDescent="0.25">
      <c r="A603" s="267" t="s">
        <v>1687</v>
      </c>
      <c r="B603" s="268">
        <v>368</v>
      </c>
      <c r="C603" s="240" t="s">
        <v>1022</v>
      </c>
      <c r="D603" s="211" t="s">
        <v>1023</v>
      </c>
      <c r="E603" s="268" t="s">
        <v>4990</v>
      </c>
      <c r="F603" s="861" t="s">
        <v>4991</v>
      </c>
      <c r="G603" s="269" t="s">
        <v>4992</v>
      </c>
      <c r="H603" s="861" t="s">
        <v>4991</v>
      </c>
      <c r="I603" s="269" t="s">
        <v>4992</v>
      </c>
      <c r="J603" s="296" t="s">
        <v>140</v>
      </c>
      <c r="K603" s="297" t="s">
        <v>140</v>
      </c>
      <c r="L603" s="862" t="s">
        <v>4993</v>
      </c>
      <c r="M603" s="847" t="s">
        <v>973</v>
      </c>
      <c r="N603" s="270" t="s">
        <v>974</v>
      </c>
      <c r="O603" s="240" t="s">
        <v>144</v>
      </c>
      <c r="P603" s="240" t="s">
        <v>144</v>
      </c>
      <c r="Q603" s="845" t="s">
        <v>4994</v>
      </c>
      <c r="R603" s="208" t="s">
        <v>4995</v>
      </c>
      <c r="S603" s="864" t="s">
        <v>746</v>
      </c>
      <c r="T603" s="212" t="s">
        <v>1104</v>
      </c>
      <c r="U603" s="213" t="s">
        <v>1105</v>
      </c>
      <c r="V603" s="847">
        <v>19</v>
      </c>
      <c r="W603" s="415" t="s">
        <v>144</v>
      </c>
      <c r="X603" s="212">
        <v>41</v>
      </c>
      <c r="Y603" s="212" t="s">
        <v>144</v>
      </c>
      <c r="Z603" s="252" t="s">
        <v>144</v>
      </c>
      <c r="AA603" s="240" t="s">
        <v>4977</v>
      </c>
      <c r="AB603" s="206" t="s">
        <v>140</v>
      </c>
      <c r="AC603" s="847" t="s">
        <v>265</v>
      </c>
      <c r="AD603" s="847" t="s">
        <v>3242</v>
      </c>
      <c r="AE603" s="847" t="s">
        <v>144</v>
      </c>
      <c r="AF603" s="848" t="s">
        <v>144</v>
      </c>
      <c r="AG603" s="838"/>
      <c r="AH603" s="866" t="s">
        <v>4996</v>
      </c>
      <c r="AI603" s="273" t="s">
        <v>4997</v>
      </c>
      <c r="AJ603" s="847">
        <v>6</v>
      </c>
      <c r="AK603" s="878" t="s">
        <v>4998</v>
      </c>
      <c r="AL603" s="867"/>
      <c r="AM603" s="273"/>
      <c r="AN603" s="847"/>
      <c r="AO603" s="848"/>
      <c r="AP603" s="867"/>
      <c r="AQ603" s="273"/>
      <c r="AR603" s="847"/>
      <c r="AS603" s="848"/>
      <c r="AT603" s="867"/>
      <c r="AU603" s="273"/>
      <c r="AV603" s="847"/>
      <c r="AW603" s="848"/>
      <c r="AX603" s="867"/>
      <c r="AY603" s="273"/>
      <c r="AZ603" s="847"/>
      <c r="BA603" s="848"/>
      <c r="BB603" s="866"/>
      <c r="BC603" s="273"/>
      <c r="BD603" s="847"/>
      <c r="BE603" s="848"/>
      <c r="BF603" s="838"/>
    </row>
    <row r="604" spans="1:58" s="88" customFormat="1" ht="54" hidden="1" customHeight="1" x14ac:dyDescent="0.25">
      <c r="A604" s="267" t="s">
        <v>1687</v>
      </c>
      <c r="B604" s="268">
        <v>369</v>
      </c>
      <c r="C604" s="240" t="s">
        <v>1022</v>
      </c>
      <c r="D604" s="211" t="s">
        <v>1023</v>
      </c>
      <c r="E604" s="268" t="s">
        <v>4999</v>
      </c>
      <c r="F604" s="861" t="s">
        <v>5000</v>
      </c>
      <c r="G604" s="269" t="s">
        <v>5001</v>
      </c>
      <c r="H604" s="845" t="s">
        <v>5000</v>
      </c>
      <c r="I604" s="269" t="s">
        <v>5002</v>
      </c>
      <c r="J604" s="296" t="s">
        <v>140</v>
      </c>
      <c r="K604" s="297" t="s">
        <v>140</v>
      </c>
      <c r="L604" s="862" t="s">
        <v>5003</v>
      </c>
      <c r="M604" s="847" t="s">
        <v>973</v>
      </c>
      <c r="N604" s="270" t="s">
        <v>974</v>
      </c>
      <c r="O604" s="240" t="s">
        <v>814</v>
      </c>
      <c r="P604" s="240" t="s">
        <v>815</v>
      </c>
      <c r="Q604" s="845" t="s">
        <v>144</v>
      </c>
      <c r="R604" s="208" t="s">
        <v>144</v>
      </c>
      <c r="S604" s="864" t="s">
        <v>147</v>
      </c>
      <c r="T604" s="212" t="s">
        <v>144</v>
      </c>
      <c r="U604" s="213" t="s">
        <v>144</v>
      </c>
      <c r="V604" s="847">
        <v>3</v>
      </c>
      <c r="W604" s="415" t="s">
        <v>144</v>
      </c>
      <c r="X604" s="212">
        <v>41</v>
      </c>
      <c r="Y604" s="212" t="s">
        <v>144</v>
      </c>
      <c r="Z604" s="212" t="s">
        <v>144</v>
      </c>
      <c r="AA604" s="240" t="s">
        <v>4977</v>
      </c>
      <c r="AB604" s="206" t="s">
        <v>140</v>
      </c>
      <c r="AC604" s="847" t="s">
        <v>265</v>
      </c>
      <c r="AD604" s="847" t="s">
        <v>3242</v>
      </c>
      <c r="AE604" s="847" t="s">
        <v>144</v>
      </c>
      <c r="AF604" s="848" t="s">
        <v>144</v>
      </c>
      <c r="AG604" s="838"/>
      <c r="AH604" s="866" t="s">
        <v>5004</v>
      </c>
      <c r="AI604" s="273" t="s">
        <v>5005</v>
      </c>
      <c r="AJ604" s="847">
        <v>7</v>
      </c>
      <c r="AK604" s="878" t="s">
        <v>1280</v>
      </c>
      <c r="AL604" s="867" t="s">
        <v>294</v>
      </c>
      <c r="AM604" s="273" t="s">
        <v>295</v>
      </c>
      <c r="AN604" s="847">
        <v>7</v>
      </c>
      <c r="AO604" s="187" t="s">
        <v>966</v>
      </c>
      <c r="AP604" s="867"/>
      <c r="AQ604" s="273"/>
      <c r="AR604" s="847"/>
      <c r="AS604" s="848"/>
      <c r="AT604" s="867"/>
      <c r="AU604" s="273"/>
      <c r="AV604" s="847"/>
      <c r="AW604" s="848"/>
      <c r="AX604" s="867"/>
      <c r="AY604" s="273"/>
      <c r="AZ604" s="847"/>
      <c r="BA604" s="848"/>
      <c r="BB604" s="866"/>
      <c r="BC604" s="273"/>
      <c r="BD604" s="847"/>
      <c r="BE604" s="848"/>
      <c r="BF604" s="838"/>
    </row>
    <row r="605" spans="1:58" s="88" customFormat="1" ht="54" hidden="1" customHeight="1" x14ac:dyDescent="0.25">
      <c r="A605" s="267" t="s">
        <v>1687</v>
      </c>
      <c r="B605" s="268">
        <v>370</v>
      </c>
      <c r="C605" s="240" t="s">
        <v>1022</v>
      </c>
      <c r="D605" s="211" t="s">
        <v>1023</v>
      </c>
      <c r="E605" s="268" t="s">
        <v>5006</v>
      </c>
      <c r="F605" s="861" t="s">
        <v>5007</v>
      </c>
      <c r="G605" s="269" t="s">
        <v>5008</v>
      </c>
      <c r="H605" s="861" t="s">
        <v>5007</v>
      </c>
      <c r="I605" s="269" t="s">
        <v>5008</v>
      </c>
      <c r="J605" s="296" t="s">
        <v>140</v>
      </c>
      <c r="K605" s="297" t="s">
        <v>140</v>
      </c>
      <c r="L605" s="862" t="s">
        <v>5009</v>
      </c>
      <c r="M605" s="847" t="s">
        <v>193</v>
      </c>
      <c r="N605" s="270" t="s">
        <v>194</v>
      </c>
      <c r="O605" s="240" t="s">
        <v>144</v>
      </c>
      <c r="P605" s="240" t="s">
        <v>144</v>
      </c>
      <c r="Q605" s="845" t="s">
        <v>5010</v>
      </c>
      <c r="R605" s="208" t="s">
        <v>5011</v>
      </c>
      <c r="S605" s="864" t="s">
        <v>746</v>
      </c>
      <c r="T605" s="212" t="s">
        <v>1104</v>
      </c>
      <c r="U605" s="213" t="s">
        <v>1105</v>
      </c>
      <c r="V605" s="847">
        <v>19</v>
      </c>
      <c r="W605" s="415" t="s">
        <v>144</v>
      </c>
      <c r="X605" s="212">
        <v>41</v>
      </c>
      <c r="Y605" s="212" t="s">
        <v>144</v>
      </c>
      <c r="Z605" s="212" t="s">
        <v>144</v>
      </c>
      <c r="AA605" s="240" t="s">
        <v>4945</v>
      </c>
      <c r="AB605" s="206" t="s">
        <v>140</v>
      </c>
      <c r="AC605" s="847" t="s">
        <v>265</v>
      </c>
      <c r="AD605" s="847" t="s">
        <v>3242</v>
      </c>
      <c r="AE605" s="847" t="s">
        <v>144</v>
      </c>
      <c r="AF605" s="848" t="s">
        <v>144</v>
      </c>
      <c r="AG605" s="838"/>
      <c r="AH605" s="866"/>
      <c r="AI605" s="273"/>
      <c r="AJ605" s="847"/>
      <c r="AK605" s="874"/>
      <c r="AL605" s="867"/>
      <c r="AM605" s="273"/>
      <c r="AN605" s="847"/>
      <c r="AO605" s="848"/>
      <c r="AP605" s="867"/>
      <c r="AQ605" s="273"/>
      <c r="AR605" s="847"/>
      <c r="AS605" s="848"/>
      <c r="AT605" s="867"/>
      <c r="AU605" s="273"/>
      <c r="AV605" s="847"/>
      <c r="AW605" s="848"/>
      <c r="AX605" s="867"/>
      <c r="AY605" s="273"/>
      <c r="AZ605" s="847"/>
      <c r="BA605" s="848"/>
      <c r="BB605" s="866"/>
      <c r="BC605" s="273"/>
      <c r="BD605" s="847"/>
      <c r="BE605" s="848"/>
      <c r="BF605" s="838"/>
    </row>
    <row r="606" spans="1:58" s="88" customFormat="1" ht="54" hidden="1" customHeight="1" x14ac:dyDescent="0.25">
      <c r="A606" s="267" t="s">
        <v>1687</v>
      </c>
      <c r="B606" s="268">
        <v>371</v>
      </c>
      <c r="C606" s="240" t="s">
        <v>1022</v>
      </c>
      <c r="D606" s="211" t="s">
        <v>1023</v>
      </c>
      <c r="E606" s="268" t="s">
        <v>5012</v>
      </c>
      <c r="F606" s="861" t="s">
        <v>5013</v>
      </c>
      <c r="G606" s="269" t="s">
        <v>5014</v>
      </c>
      <c r="H606" s="845" t="s">
        <v>5013</v>
      </c>
      <c r="I606" s="269" t="s">
        <v>5014</v>
      </c>
      <c r="J606" s="296" t="s">
        <v>140</v>
      </c>
      <c r="K606" s="297" t="s">
        <v>140</v>
      </c>
      <c r="L606" s="862" t="s">
        <v>5015</v>
      </c>
      <c r="M606" s="847" t="s">
        <v>973</v>
      </c>
      <c r="N606" s="270" t="s">
        <v>974</v>
      </c>
      <c r="O606" s="240" t="s">
        <v>814</v>
      </c>
      <c r="P606" s="240" t="s">
        <v>815</v>
      </c>
      <c r="Q606" s="845" t="s">
        <v>144</v>
      </c>
      <c r="R606" s="208" t="s">
        <v>144</v>
      </c>
      <c r="S606" s="864" t="s">
        <v>147</v>
      </c>
      <c r="T606" s="212" t="s">
        <v>144</v>
      </c>
      <c r="U606" s="213" t="s">
        <v>144</v>
      </c>
      <c r="V606" s="847">
        <v>3</v>
      </c>
      <c r="W606" s="415" t="s">
        <v>144</v>
      </c>
      <c r="X606" s="212">
        <v>41</v>
      </c>
      <c r="Y606" s="212" t="s">
        <v>144</v>
      </c>
      <c r="Z606" s="212" t="s">
        <v>144</v>
      </c>
      <c r="AA606" s="240" t="s">
        <v>4945</v>
      </c>
      <c r="AB606" s="206" t="s">
        <v>140</v>
      </c>
      <c r="AC606" s="847" t="s">
        <v>265</v>
      </c>
      <c r="AD606" s="847" t="s">
        <v>3242</v>
      </c>
      <c r="AE606" s="847" t="s">
        <v>144</v>
      </c>
      <c r="AF606" s="848" t="s">
        <v>144</v>
      </c>
      <c r="AG606" s="838"/>
      <c r="AH606" s="866" t="s">
        <v>5016</v>
      </c>
      <c r="AI606" s="273" t="s">
        <v>5017</v>
      </c>
      <c r="AJ606" s="847">
        <v>7</v>
      </c>
      <c r="AK606" s="878" t="s">
        <v>1280</v>
      </c>
      <c r="AL606" s="867" t="s">
        <v>294</v>
      </c>
      <c r="AM606" s="273" t="s">
        <v>295</v>
      </c>
      <c r="AN606" s="847">
        <v>7</v>
      </c>
      <c r="AO606" s="187" t="s">
        <v>966</v>
      </c>
      <c r="AP606" s="867"/>
      <c r="AQ606" s="273"/>
      <c r="AR606" s="847"/>
      <c r="AS606" s="848"/>
      <c r="AT606" s="867"/>
      <c r="AU606" s="273"/>
      <c r="AV606" s="847"/>
      <c r="AW606" s="848"/>
      <c r="AX606" s="867"/>
      <c r="AY606" s="273"/>
      <c r="AZ606" s="847"/>
      <c r="BA606" s="848"/>
      <c r="BB606" s="866"/>
      <c r="BC606" s="273"/>
      <c r="BD606" s="847"/>
      <c r="BE606" s="848"/>
      <c r="BF606" s="838"/>
    </row>
    <row r="607" spans="1:58" s="88" customFormat="1" ht="54" hidden="1" customHeight="1" x14ac:dyDescent="0.25">
      <c r="A607" s="267" t="s">
        <v>1687</v>
      </c>
      <c r="B607" s="268">
        <v>372</v>
      </c>
      <c r="C607" s="240" t="s">
        <v>1022</v>
      </c>
      <c r="D607" s="211" t="s">
        <v>1023</v>
      </c>
      <c r="E607" s="268" t="s">
        <v>5018</v>
      </c>
      <c r="F607" s="861" t="s">
        <v>5019</v>
      </c>
      <c r="G607" s="269" t="s">
        <v>5020</v>
      </c>
      <c r="H607" s="845" t="s">
        <v>5019</v>
      </c>
      <c r="I607" s="269" t="s">
        <v>5020</v>
      </c>
      <c r="J607" s="296" t="s">
        <v>140</v>
      </c>
      <c r="K607" s="297" t="s">
        <v>140</v>
      </c>
      <c r="L607" s="862" t="s">
        <v>5021</v>
      </c>
      <c r="M607" s="847" t="s">
        <v>973</v>
      </c>
      <c r="N607" s="270" t="s">
        <v>974</v>
      </c>
      <c r="O607" s="240" t="s">
        <v>5022</v>
      </c>
      <c r="P607" s="240" t="s">
        <v>5023</v>
      </c>
      <c r="Q607" s="845" t="s">
        <v>4877</v>
      </c>
      <c r="R607" s="208" t="s">
        <v>4878</v>
      </c>
      <c r="S607" s="864" t="s">
        <v>147</v>
      </c>
      <c r="T607" s="212" t="s">
        <v>144</v>
      </c>
      <c r="U607" s="213" t="s">
        <v>144</v>
      </c>
      <c r="V607" s="847">
        <v>1</v>
      </c>
      <c r="W607" s="415" t="s">
        <v>144</v>
      </c>
      <c r="X607" s="212">
        <v>41</v>
      </c>
      <c r="Y607" s="212" t="s">
        <v>144</v>
      </c>
      <c r="Z607" s="252" t="s">
        <v>144</v>
      </c>
      <c r="AA607" s="240" t="s">
        <v>4890</v>
      </c>
      <c r="AB607" s="206" t="s">
        <v>140</v>
      </c>
      <c r="AC607" s="847" t="s">
        <v>265</v>
      </c>
      <c r="AD607" s="847" t="s">
        <v>2552</v>
      </c>
      <c r="AE607" s="847" t="s">
        <v>144</v>
      </c>
      <c r="AF607" s="848" t="s">
        <v>144</v>
      </c>
      <c r="AG607" s="838"/>
      <c r="AH607" s="866" t="s">
        <v>5024</v>
      </c>
      <c r="AI607" s="273" t="s">
        <v>5025</v>
      </c>
      <c r="AJ607" s="847">
        <v>6</v>
      </c>
      <c r="AK607" s="878" t="s">
        <v>5026</v>
      </c>
      <c r="AL607" s="875" t="s">
        <v>294</v>
      </c>
      <c r="AM607" s="301" t="s">
        <v>295</v>
      </c>
      <c r="AN607" s="847">
        <v>7</v>
      </c>
      <c r="AO607" s="187" t="s">
        <v>966</v>
      </c>
      <c r="AP607" s="867"/>
      <c r="AQ607" s="273"/>
      <c r="AR607" s="847"/>
      <c r="AS607" s="848"/>
      <c r="AT607" s="867"/>
      <c r="AU607" s="273"/>
      <c r="AV607" s="847"/>
      <c r="AW607" s="848"/>
      <c r="AX607" s="867"/>
      <c r="AY607" s="273"/>
      <c r="AZ607" s="847"/>
      <c r="BA607" s="848"/>
      <c r="BB607" s="866"/>
      <c r="BC607" s="273"/>
      <c r="BD607" s="847"/>
      <c r="BE607" s="848"/>
      <c r="BF607" s="838"/>
    </row>
    <row r="608" spans="1:58" s="88" customFormat="1" ht="54" hidden="1" customHeight="1" x14ac:dyDescent="0.25">
      <c r="A608" s="267" t="s">
        <v>1687</v>
      </c>
      <c r="B608" s="268">
        <v>373</v>
      </c>
      <c r="C608" s="240" t="s">
        <v>256</v>
      </c>
      <c r="D608" s="211" t="s">
        <v>257</v>
      </c>
      <c r="E608" s="268" t="s">
        <v>5027</v>
      </c>
      <c r="F608" s="861" t="s">
        <v>5028</v>
      </c>
      <c r="G608" s="269" t="s">
        <v>5029</v>
      </c>
      <c r="H608" s="845" t="s">
        <v>5028</v>
      </c>
      <c r="I608" s="269" t="s">
        <v>5029</v>
      </c>
      <c r="J608" s="296" t="s">
        <v>140</v>
      </c>
      <c r="K608" s="297" t="s">
        <v>140</v>
      </c>
      <c r="L608" s="862" t="s">
        <v>5030</v>
      </c>
      <c r="M608" s="847" t="s">
        <v>973</v>
      </c>
      <c r="N608" s="270" t="s">
        <v>974</v>
      </c>
      <c r="O608" s="240" t="s">
        <v>144</v>
      </c>
      <c r="P608" s="240" t="s">
        <v>144</v>
      </c>
      <c r="Q608" s="845" t="s">
        <v>144</v>
      </c>
      <c r="R608" s="208" t="s">
        <v>144</v>
      </c>
      <c r="S608" s="864" t="s">
        <v>147</v>
      </c>
      <c r="T608" s="212" t="s">
        <v>144</v>
      </c>
      <c r="U608" s="213" t="s">
        <v>144</v>
      </c>
      <c r="V608" s="847">
        <v>40</v>
      </c>
      <c r="W608" s="415" t="s">
        <v>144</v>
      </c>
      <c r="X608" s="212">
        <v>41</v>
      </c>
      <c r="Y608" s="212" t="s">
        <v>144</v>
      </c>
      <c r="Z608" s="212" t="s">
        <v>144</v>
      </c>
      <c r="AA608" s="240" t="s">
        <v>5031</v>
      </c>
      <c r="AB608" s="206" t="s">
        <v>140</v>
      </c>
      <c r="AC608" s="847" t="s">
        <v>265</v>
      </c>
      <c r="AD608" s="847" t="s">
        <v>2552</v>
      </c>
      <c r="AE608" s="847" t="s">
        <v>144</v>
      </c>
      <c r="AF608" s="848" t="s">
        <v>144</v>
      </c>
      <c r="AG608" s="838"/>
      <c r="AH608" s="866" t="s">
        <v>5032</v>
      </c>
      <c r="AI608" s="273" t="s">
        <v>5033</v>
      </c>
      <c r="AJ608" s="847">
        <v>6</v>
      </c>
      <c r="AK608" s="878" t="s">
        <v>5034</v>
      </c>
      <c r="AL608" s="867"/>
      <c r="AM608" s="273"/>
      <c r="AN608" s="847"/>
      <c r="AO608" s="848"/>
      <c r="AP608" s="867"/>
      <c r="AQ608" s="273"/>
      <c r="AR608" s="847"/>
      <c r="AS608" s="848"/>
      <c r="AT608" s="867"/>
      <c r="AU608" s="273"/>
      <c r="AV608" s="847"/>
      <c r="AW608" s="848"/>
      <c r="AX608" s="867"/>
      <c r="AY608" s="273"/>
      <c r="AZ608" s="847"/>
      <c r="BA608" s="848"/>
      <c r="BB608" s="866"/>
      <c r="BC608" s="273"/>
      <c r="BD608" s="847"/>
      <c r="BE608" s="848"/>
      <c r="BF608" s="838"/>
    </row>
    <row r="609" spans="1:58" s="88" customFormat="1" ht="54" hidden="1" customHeight="1" x14ac:dyDescent="0.25">
      <c r="A609" s="267" t="s">
        <v>1687</v>
      </c>
      <c r="B609" s="268">
        <v>374</v>
      </c>
      <c r="C609" s="240" t="s">
        <v>256</v>
      </c>
      <c r="D609" s="211" t="s">
        <v>257</v>
      </c>
      <c r="E609" s="268" t="s">
        <v>5035</v>
      </c>
      <c r="F609" s="861" t="s">
        <v>5036</v>
      </c>
      <c r="G609" s="269" t="s">
        <v>5037</v>
      </c>
      <c r="H609" s="845" t="s">
        <v>5038</v>
      </c>
      <c r="I609" s="269" t="s">
        <v>5039</v>
      </c>
      <c r="J609" s="296" t="s">
        <v>140</v>
      </c>
      <c r="K609" s="297" t="s">
        <v>140</v>
      </c>
      <c r="L609" s="862" t="s">
        <v>5040</v>
      </c>
      <c r="M609" s="206" t="s">
        <v>973</v>
      </c>
      <c r="N609" s="270" t="s">
        <v>974</v>
      </c>
      <c r="O609" s="240" t="s">
        <v>144</v>
      </c>
      <c r="P609" s="240" t="s">
        <v>144</v>
      </c>
      <c r="Q609" s="887" t="s">
        <v>5041</v>
      </c>
      <c r="R609" s="445" t="s">
        <v>5042</v>
      </c>
      <c r="S609" s="864" t="s">
        <v>147</v>
      </c>
      <c r="T609" s="212" t="s">
        <v>144</v>
      </c>
      <c r="U609" s="213" t="s">
        <v>144</v>
      </c>
      <c r="V609" s="847">
        <v>40</v>
      </c>
      <c r="W609" s="415" t="s">
        <v>144</v>
      </c>
      <c r="X609" s="212">
        <v>41</v>
      </c>
      <c r="Y609" s="212" t="s">
        <v>144</v>
      </c>
      <c r="Z609" s="241" t="s">
        <v>29</v>
      </c>
      <c r="AA609" s="437" t="s">
        <v>5043</v>
      </c>
      <c r="AB609" s="206" t="s">
        <v>140</v>
      </c>
      <c r="AC609" s="847" t="s">
        <v>265</v>
      </c>
      <c r="AD609" s="872" t="s">
        <v>5044</v>
      </c>
      <c r="AE609" s="847" t="s">
        <v>144</v>
      </c>
      <c r="AF609" s="848" t="s">
        <v>144</v>
      </c>
      <c r="AG609" s="838"/>
      <c r="AH609" s="885" t="s">
        <v>5045</v>
      </c>
      <c r="AI609" s="406" t="s">
        <v>5046</v>
      </c>
      <c r="AJ609" s="407">
        <v>7</v>
      </c>
      <c r="AK609" s="871" t="s">
        <v>5047</v>
      </c>
      <c r="AL609" s="867"/>
      <c r="AM609" s="273"/>
      <c r="AN609" s="847"/>
      <c r="AO609" s="848"/>
      <c r="AP609" s="867"/>
      <c r="AQ609" s="273"/>
      <c r="AR609" s="847"/>
      <c r="AS609" s="848"/>
      <c r="AT609" s="867"/>
      <c r="AU609" s="273"/>
      <c r="AV609" s="847"/>
      <c r="AW609" s="848"/>
      <c r="AX609" s="867"/>
      <c r="AY609" s="273"/>
      <c r="AZ609" s="847"/>
      <c r="BA609" s="848"/>
      <c r="BB609" s="866"/>
      <c r="BC609" s="273"/>
      <c r="BD609" s="847"/>
      <c r="BE609" s="848"/>
      <c r="BF609" s="838"/>
    </row>
    <row r="610" spans="1:58" s="88" customFormat="1" ht="54" hidden="1" customHeight="1" x14ac:dyDescent="0.25">
      <c r="A610" s="267" t="s">
        <v>1687</v>
      </c>
      <c r="B610" s="268">
        <v>375</v>
      </c>
      <c r="C610" s="240" t="s">
        <v>1022</v>
      </c>
      <c r="D610" s="211" t="s">
        <v>1023</v>
      </c>
      <c r="E610" s="268" t="s">
        <v>5048</v>
      </c>
      <c r="F610" s="861" t="s">
        <v>5049</v>
      </c>
      <c r="G610" s="269" t="s">
        <v>5050</v>
      </c>
      <c r="H610" s="845" t="s">
        <v>5049</v>
      </c>
      <c r="I610" s="269" t="s">
        <v>5050</v>
      </c>
      <c r="J610" s="296" t="s">
        <v>140</v>
      </c>
      <c r="K610" s="297" t="s">
        <v>140</v>
      </c>
      <c r="L610" s="862" t="s">
        <v>5051</v>
      </c>
      <c r="M610" s="847" t="s">
        <v>973</v>
      </c>
      <c r="N610" s="270" t="s">
        <v>974</v>
      </c>
      <c r="O610" s="240" t="s">
        <v>5052</v>
      </c>
      <c r="P610" s="240" t="s">
        <v>5053</v>
      </c>
      <c r="Q610" s="845" t="s">
        <v>4877</v>
      </c>
      <c r="R610" s="208" t="s">
        <v>4878</v>
      </c>
      <c r="S610" s="864" t="s">
        <v>147</v>
      </c>
      <c r="T610" s="212" t="s">
        <v>144</v>
      </c>
      <c r="U610" s="213" t="s">
        <v>144</v>
      </c>
      <c r="V610" s="847">
        <v>1</v>
      </c>
      <c r="W610" s="415" t="s">
        <v>144</v>
      </c>
      <c r="X610" s="212">
        <v>41</v>
      </c>
      <c r="Y610" s="212" t="s">
        <v>144</v>
      </c>
      <c r="Z610" s="252" t="s">
        <v>144</v>
      </c>
      <c r="AA610" s="240" t="s">
        <v>5054</v>
      </c>
      <c r="AB610" s="206" t="s">
        <v>140</v>
      </c>
      <c r="AC610" s="847" t="s">
        <v>265</v>
      </c>
      <c r="AD610" s="847" t="s">
        <v>2552</v>
      </c>
      <c r="AE610" s="847" t="s">
        <v>144</v>
      </c>
      <c r="AF610" s="848" t="s">
        <v>144</v>
      </c>
      <c r="AG610" s="838"/>
      <c r="AH610" s="291" t="s">
        <v>5024</v>
      </c>
      <c r="AI610" s="273" t="s">
        <v>5025</v>
      </c>
      <c r="AJ610" s="240">
        <v>6</v>
      </c>
      <c r="AK610" s="848" t="s">
        <v>5026</v>
      </c>
      <c r="AL610" s="875" t="s">
        <v>294</v>
      </c>
      <c r="AM610" s="301" t="s">
        <v>295</v>
      </c>
      <c r="AN610" s="847">
        <v>7</v>
      </c>
      <c r="AO610" s="187" t="s">
        <v>966</v>
      </c>
      <c r="AP610" s="867"/>
      <c r="AQ610" s="273"/>
      <c r="AR610" s="847"/>
      <c r="AS610" s="848"/>
      <c r="AT610" s="867" t="s">
        <v>5055</v>
      </c>
      <c r="AU610" s="273" t="s">
        <v>5056</v>
      </c>
      <c r="AV610" s="847">
        <v>6</v>
      </c>
      <c r="AW610" s="286" t="s">
        <v>5057</v>
      </c>
      <c r="AX610" s="867"/>
      <c r="AY610" s="273"/>
      <c r="AZ610" s="847"/>
      <c r="BA610" s="848"/>
      <c r="BB610" s="866"/>
      <c r="BC610" s="273"/>
      <c r="BD610" s="847"/>
      <c r="BE610" s="848"/>
      <c r="BF610" s="838"/>
    </row>
    <row r="611" spans="1:58" s="88" customFormat="1" ht="54" hidden="1" customHeight="1" x14ac:dyDescent="0.25">
      <c r="A611" s="267" t="s">
        <v>1687</v>
      </c>
      <c r="B611" s="268">
        <v>376</v>
      </c>
      <c r="C611" s="240" t="s">
        <v>1022</v>
      </c>
      <c r="D611" s="211" t="s">
        <v>1023</v>
      </c>
      <c r="E611" s="268" t="s">
        <v>5058</v>
      </c>
      <c r="F611" s="861" t="s">
        <v>5059</v>
      </c>
      <c r="G611" s="269" t="s">
        <v>5060</v>
      </c>
      <c r="H611" s="845" t="s">
        <v>5059</v>
      </c>
      <c r="I611" s="269" t="s">
        <v>5060</v>
      </c>
      <c r="J611" s="296" t="s">
        <v>140</v>
      </c>
      <c r="K611" s="297" t="s">
        <v>140</v>
      </c>
      <c r="L611" s="862" t="s">
        <v>5061</v>
      </c>
      <c r="M611" s="847" t="s">
        <v>973</v>
      </c>
      <c r="N611" s="270" t="s">
        <v>974</v>
      </c>
      <c r="O611" s="240" t="s">
        <v>5062</v>
      </c>
      <c r="P611" s="240" t="s">
        <v>5063</v>
      </c>
      <c r="Q611" s="845" t="s">
        <v>4877</v>
      </c>
      <c r="R611" s="208" t="s">
        <v>4878</v>
      </c>
      <c r="S611" s="864" t="s">
        <v>147</v>
      </c>
      <c r="T611" s="212" t="s">
        <v>144</v>
      </c>
      <c r="U611" s="213" t="s">
        <v>144</v>
      </c>
      <c r="V611" s="847">
        <v>1</v>
      </c>
      <c r="W611" s="415" t="s">
        <v>144</v>
      </c>
      <c r="X611" s="212">
        <v>41</v>
      </c>
      <c r="Y611" s="212" t="s">
        <v>144</v>
      </c>
      <c r="Z611" s="252" t="s">
        <v>144</v>
      </c>
      <c r="AA611" s="240" t="s">
        <v>5054</v>
      </c>
      <c r="AB611" s="206" t="s">
        <v>140</v>
      </c>
      <c r="AC611" s="847" t="s">
        <v>265</v>
      </c>
      <c r="AD611" s="847" t="s">
        <v>2552</v>
      </c>
      <c r="AE611" s="847" t="s">
        <v>144</v>
      </c>
      <c r="AF611" s="848" t="s">
        <v>144</v>
      </c>
      <c r="AG611" s="838"/>
      <c r="AH611" s="291" t="s">
        <v>5024</v>
      </c>
      <c r="AI611" s="273" t="s">
        <v>5025</v>
      </c>
      <c r="AJ611" s="240">
        <v>6</v>
      </c>
      <c r="AK611" s="848" t="s">
        <v>5026</v>
      </c>
      <c r="AL611" s="875" t="s">
        <v>294</v>
      </c>
      <c r="AM611" s="301" t="s">
        <v>295</v>
      </c>
      <c r="AN611" s="847">
        <v>7</v>
      </c>
      <c r="AO611" s="187" t="s">
        <v>966</v>
      </c>
      <c r="AP611" s="867"/>
      <c r="AQ611" s="273"/>
      <c r="AR611" s="847"/>
      <c r="AS611" s="848"/>
      <c r="AT611" s="867" t="s">
        <v>5064</v>
      </c>
      <c r="AU611" s="273" t="s">
        <v>5065</v>
      </c>
      <c r="AV611" s="847">
        <v>6</v>
      </c>
      <c r="AW611" s="286" t="s">
        <v>5066</v>
      </c>
      <c r="AX611" s="867"/>
      <c r="AY611" s="273"/>
      <c r="AZ611" s="847"/>
      <c r="BA611" s="848"/>
      <c r="BB611" s="866"/>
      <c r="BC611" s="273"/>
      <c r="BD611" s="847"/>
      <c r="BE611" s="848"/>
      <c r="BF611" s="838"/>
    </row>
    <row r="612" spans="1:58" s="57" customFormat="1" ht="54" hidden="1" customHeight="1" x14ac:dyDescent="0.25">
      <c r="A612" s="275" t="s">
        <v>1687</v>
      </c>
      <c r="B612" s="276">
        <v>377</v>
      </c>
      <c r="C612" s="253" t="s">
        <v>144</v>
      </c>
      <c r="D612" s="217" t="s">
        <v>144</v>
      </c>
      <c r="E612" s="276" t="s">
        <v>5067</v>
      </c>
      <c r="F612" s="277" t="s">
        <v>5068</v>
      </c>
      <c r="G612" s="277" t="s">
        <v>5069</v>
      </c>
      <c r="H612" s="218" t="s">
        <v>4885</v>
      </c>
      <c r="I612" s="218" t="s">
        <v>4886</v>
      </c>
      <c r="J612" s="253" t="s">
        <v>144</v>
      </c>
      <c r="K612" s="253" t="s">
        <v>144</v>
      </c>
      <c r="L612" s="718" t="s">
        <v>5070</v>
      </c>
      <c r="M612" s="253" t="s">
        <v>144</v>
      </c>
      <c r="N612" s="253" t="s">
        <v>144</v>
      </c>
      <c r="O612" s="253" t="s">
        <v>144</v>
      </c>
      <c r="P612" s="253" t="s">
        <v>144</v>
      </c>
      <c r="Q612" s="220" t="s">
        <v>338</v>
      </c>
      <c r="R612" s="220" t="s">
        <v>339</v>
      </c>
      <c r="S612" s="276" t="s">
        <v>147</v>
      </c>
      <c r="T612" s="221" t="s">
        <v>144</v>
      </c>
      <c r="U612" s="221" t="s">
        <v>144</v>
      </c>
      <c r="V612" s="253">
        <v>1</v>
      </c>
      <c r="W612" s="217" t="s">
        <v>144</v>
      </c>
      <c r="X612" s="221">
        <v>41</v>
      </c>
      <c r="Y612" s="221">
        <v>42</v>
      </c>
      <c r="Z612" s="221" t="s">
        <v>144</v>
      </c>
      <c r="AA612" s="253" t="s">
        <v>144</v>
      </c>
      <c r="AB612" s="217" t="s">
        <v>144</v>
      </c>
      <c r="AC612" s="253" t="s">
        <v>265</v>
      </c>
      <c r="AD612" s="253" t="s">
        <v>144</v>
      </c>
      <c r="AE612" s="253" t="s">
        <v>144</v>
      </c>
      <c r="AF612" s="254" t="s">
        <v>144</v>
      </c>
      <c r="AG612" s="838"/>
      <c r="AH612" s="280"/>
      <c r="AI612" s="281"/>
      <c r="AJ612" s="253"/>
      <c r="AK612" s="254"/>
      <c r="AL612" s="281"/>
      <c r="AM612" s="281"/>
      <c r="AN612" s="253"/>
      <c r="AO612" s="254"/>
      <c r="AP612" s="281"/>
      <c r="AQ612" s="281"/>
      <c r="AR612" s="253"/>
      <c r="AS612" s="254"/>
      <c r="AT612" s="281"/>
      <c r="AU612" s="281"/>
      <c r="AV612" s="253"/>
      <c r="AW612" s="254"/>
      <c r="AX612" s="281"/>
      <c r="AY612" s="281"/>
      <c r="AZ612" s="253"/>
      <c r="BA612" s="254"/>
      <c r="BB612" s="280"/>
      <c r="BC612" s="281"/>
      <c r="BD612" s="253"/>
      <c r="BE612" s="254"/>
      <c r="BF612" s="838"/>
    </row>
    <row r="613" spans="1:58" s="57" customFormat="1" ht="54" hidden="1" customHeight="1" x14ac:dyDescent="0.25">
      <c r="A613" s="275" t="s">
        <v>1687</v>
      </c>
      <c r="B613" s="276">
        <v>378</v>
      </c>
      <c r="C613" s="253" t="s">
        <v>2378</v>
      </c>
      <c r="D613" s="217" t="s">
        <v>2379</v>
      </c>
      <c r="E613" s="276" t="s">
        <v>5071</v>
      </c>
      <c r="F613" s="277" t="s">
        <v>5072</v>
      </c>
      <c r="G613" s="277" t="s">
        <v>5073</v>
      </c>
      <c r="H613" s="218" t="s">
        <v>5074</v>
      </c>
      <c r="I613" s="218" t="s">
        <v>5075</v>
      </c>
      <c r="J613" s="253" t="s">
        <v>144</v>
      </c>
      <c r="K613" s="253" t="s">
        <v>144</v>
      </c>
      <c r="L613" s="718" t="s">
        <v>5076</v>
      </c>
      <c r="M613" s="253" t="s">
        <v>144</v>
      </c>
      <c r="N613" s="253" t="s">
        <v>144</v>
      </c>
      <c r="O613" s="253" t="s">
        <v>144</v>
      </c>
      <c r="P613" s="253" t="s">
        <v>144</v>
      </c>
      <c r="Q613" s="220" t="s">
        <v>338</v>
      </c>
      <c r="R613" s="220" t="s">
        <v>339</v>
      </c>
      <c r="S613" s="276" t="s">
        <v>746</v>
      </c>
      <c r="T613" s="221" t="s">
        <v>144</v>
      </c>
      <c r="U613" s="221" t="s">
        <v>144</v>
      </c>
      <c r="V613" s="253">
        <v>10</v>
      </c>
      <c r="W613" s="217" t="s">
        <v>144</v>
      </c>
      <c r="X613" s="221">
        <v>41</v>
      </c>
      <c r="Y613" s="221">
        <v>42</v>
      </c>
      <c r="Z613" s="221" t="s">
        <v>144</v>
      </c>
      <c r="AA613" s="253" t="s">
        <v>144</v>
      </c>
      <c r="AB613" s="217" t="s">
        <v>144</v>
      </c>
      <c r="AC613" s="253" t="s">
        <v>265</v>
      </c>
      <c r="AD613" s="253" t="s">
        <v>144</v>
      </c>
      <c r="AE613" s="253" t="s">
        <v>144</v>
      </c>
      <c r="AF613" s="254" t="s">
        <v>144</v>
      </c>
      <c r="AG613" s="838"/>
      <c r="AH613" s="280"/>
      <c r="AI613" s="281"/>
      <c r="AJ613" s="253"/>
      <c r="AK613" s="254"/>
      <c r="AL613" s="281"/>
      <c r="AM613" s="281"/>
      <c r="AN613" s="253"/>
      <c r="AO613" s="254"/>
      <c r="AP613" s="281"/>
      <c r="AQ613" s="281"/>
      <c r="AR613" s="253"/>
      <c r="AS613" s="254"/>
      <c r="AT613" s="281"/>
      <c r="AU613" s="281"/>
      <c r="AV613" s="253"/>
      <c r="AW613" s="254"/>
      <c r="AX613" s="281"/>
      <c r="AY613" s="281"/>
      <c r="AZ613" s="253"/>
      <c r="BA613" s="254"/>
      <c r="BB613" s="280"/>
      <c r="BC613" s="281"/>
      <c r="BD613" s="253"/>
      <c r="BE613" s="254"/>
      <c r="BF613" s="838"/>
    </row>
    <row r="614" spans="1:58" s="57" customFormat="1" ht="54" hidden="1" customHeight="1" x14ac:dyDescent="0.25">
      <c r="A614" s="275" t="s">
        <v>1687</v>
      </c>
      <c r="B614" s="276">
        <v>379</v>
      </c>
      <c r="C614" s="253" t="s">
        <v>2378</v>
      </c>
      <c r="D614" s="217" t="s">
        <v>2379</v>
      </c>
      <c r="E614" s="276" t="s">
        <v>5077</v>
      </c>
      <c r="F614" s="277" t="s">
        <v>5078</v>
      </c>
      <c r="G614" s="277" t="s">
        <v>5079</v>
      </c>
      <c r="H614" s="218" t="s">
        <v>4913</v>
      </c>
      <c r="I614" s="218" t="s">
        <v>4914</v>
      </c>
      <c r="J614" s="253" t="s">
        <v>144</v>
      </c>
      <c r="K614" s="253" t="s">
        <v>144</v>
      </c>
      <c r="L614" s="718" t="s">
        <v>5080</v>
      </c>
      <c r="M614" s="253" t="s">
        <v>144</v>
      </c>
      <c r="N614" s="253" t="s">
        <v>144</v>
      </c>
      <c r="O614" s="253" t="s">
        <v>144</v>
      </c>
      <c r="P614" s="253" t="s">
        <v>144</v>
      </c>
      <c r="Q614" s="220" t="s">
        <v>338</v>
      </c>
      <c r="R614" s="220" t="s">
        <v>339</v>
      </c>
      <c r="S614" s="276" t="s">
        <v>147</v>
      </c>
      <c r="T614" s="221" t="s">
        <v>144</v>
      </c>
      <c r="U614" s="221" t="s">
        <v>144</v>
      </c>
      <c r="V614" s="253">
        <v>50</v>
      </c>
      <c r="W614" s="217" t="s">
        <v>144</v>
      </c>
      <c r="X614" s="221">
        <v>41</v>
      </c>
      <c r="Y614" s="221">
        <v>42</v>
      </c>
      <c r="Z614" s="221" t="s">
        <v>144</v>
      </c>
      <c r="AA614" s="253" t="s">
        <v>144</v>
      </c>
      <c r="AB614" s="217" t="s">
        <v>144</v>
      </c>
      <c r="AC614" s="253" t="s">
        <v>265</v>
      </c>
      <c r="AD614" s="253" t="s">
        <v>144</v>
      </c>
      <c r="AE614" s="253" t="s">
        <v>144</v>
      </c>
      <c r="AF614" s="254" t="s">
        <v>144</v>
      </c>
      <c r="AG614" s="838"/>
      <c r="AH614" s="280"/>
      <c r="AI614" s="281"/>
      <c r="AJ614" s="253"/>
      <c r="AK614" s="254"/>
      <c r="AL614" s="281"/>
      <c r="AM614" s="281"/>
      <c r="AN614" s="253"/>
      <c r="AO614" s="254"/>
      <c r="AP614" s="281"/>
      <c r="AQ614" s="281"/>
      <c r="AR614" s="253"/>
      <c r="AS614" s="254"/>
      <c r="AT614" s="281"/>
      <c r="AU614" s="281"/>
      <c r="AV614" s="253"/>
      <c r="AW614" s="254"/>
      <c r="AX614" s="281"/>
      <c r="AY614" s="281"/>
      <c r="AZ614" s="253"/>
      <c r="BA614" s="254"/>
      <c r="BB614" s="280"/>
      <c r="BC614" s="281"/>
      <c r="BD614" s="253"/>
      <c r="BE614" s="254"/>
      <c r="BF614" s="838"/>
    </row>
    <row r="615" spans="1:58" s="57" customFormat="1" ht="54" hidden="1" customHeight="1" x14ac:dyDescent="0.25">
      <c r="A615" s="275" t="s">
        <v>1687</v>
      </c>
      <c r="B615" s="276">
        <v>380</v>
      </c>
      <c r="C615" s="253" t="s">
        <v>144</v>
      </c>
      <c r="D615" s="217" t="s">
        <v>144</v>
      </c>
      <c r="E615" s="276" t="s">
        <v>5081</v>
      </c>
      <c r="F615" s="277" t="s">
        <v>5082</v>
      </c>
      <c r="G615" s="277" t="s">
        <v>5083</v>
      </c>
      <c r="H615" s="218" t="s">
        <v>4922</v>
      </c>
      <c r="I615" s="218" t="s">
        <v>5084</v>
      </c>
      <c r="J615" s="253" t="s">
        <v>144</v>
      </c>
      <c r="K615" s="253" t="s">
        <v>144</v>
      </c>
      <c r="L615" s="718" t="s">
        <v>5085</v>
      </c>
      <c r="M615" s="253" t="s">
        <v>144</v>
      </c>
      <c r="N615" s="253" t="s">
        <v>144</v>
      </c>
      <c r="O615" s="253" t="s">
        <v>144</v>
      </c>
      <c r="P615" s="253" t="s">
        <v>144</v>
      </c>
      <c r="Q615" s="220" t="s">
        <v>338</v>
      </c>
      <c r="R615" s="220" t="s">
        <v>339</v>
      </c>
      <c r="S615" s="276" t="s">
        <v>147</v>
      </c>
      <c r="T615" s="221" t="s">
        <v>144</v>
      </c>
      <c r="U615" s="221" t="s">
        <v>144</v>
      </c>
      <c r="V615" s="253">
        <v>1</v>
      </c>
      <c r="W615" s="217" t="s">
        <v>144</v>
      </c>
      <c r="X615" s="221">
        <v>41</v>
      </c>
      <c r="Y615" s="221">
        <v>42</v>
      </c>
      <c r="Z615" s="221" t="s">
        <v>144</v>
      </c>
      <c r="AA615" s="253" t="s">
        <v>144</v>
      </c>
      <c r="AB615" s="217" t="s">
        <v>144</v>
      </c>
      <c r="AC615" s="253" t="s">
        <v>265</v>
      </c>
      <c r="AD615" s="253" t="s">
        <v>144</v>
      </c>
      <c r="AE615" s="253" t="s">
        <v>144</v>
      </c>
      <c r="AF615" s="254" t="s">
        <v>144</v>
      </c>
      <c r="AG615" s="838"/>
      <c r="AH615" s="280"/>
      <c r="AI615" s="281"/>
      <c r="AJ615" s="253"/>
      <c r="AK615" s="254"/>
      <c r="AL615" s="281"/>
      <c r="AM615" s="281"/>
      <c r="AN615" s="253"/>
      <c r="AO615" s="254"/>
      <c r="AP615" s="281"/>
      <c r="AQ615" s="281"/>
      <c r="AR615" s="253"/>
      <c r="AS615" s="254"/>
      <c r="AT615" s="281"/>
      <c r="AU615" s="281"/>
      <c r="AV615" s="253"/>
      <c r="AW615" s="254"/>
      <c r="AX615" s="281"/>
      <c r="AY615" s="281"/>
      <c r="AZ615" s="253"/>
      <c r="BA615" s="254"/>
      <c r="BB615" s="280"/>
      <c r="BC615" s="281"/>
      <c r="BD615" s="253"/>
      <c r="BE615" s="254"/>
      <c r="BF615" s="838"/>
    </row>
    <row r="616" spans="1:58" s="57" customFormat="1" ht="54" hidden="1" customHeight="1" x14ac:dyDescent="0.25">
      <c r="A616" s="275" t="s">
        <v>1687</v>
      </c>
      <c r="B616" s="276">
        <v>381</v>
      </c>
      <c r="C616" s="253" t="s">
        <v>144</v>
      </c>
      <c r="D616" s="217" t="s">
        <v>144</v>
      </c>
      <c r="E616" s="276" t="s">
        <v>5086</v>
      </c>
      <c r="F616" s="277" t="s">
        <v>5087</v>
      </c>
      <c r="G616" s="277" t="s">
        <v>5088</v>
      </c>
      <c r="H616" s="218" t="s">
        <v>5089</v>
      </c>
      <c r="I616" s="218" t="s">
        <v>5090</v>
      </c>
      <c r="J616" s="253" t="s">
        <v>144</v>
      </c>
      <c r="K616" s="253" t="s">
        <v>144</v>
      </c>
      <c r="L616" s="718" t="s">
        <v>5091</v>
      </c>
      <c r="M616" s="253" t="s">
        <v>144</v>
      </c>
      <c r="N616" s="253" t="s">
        <v>144</v>
      </c>
      <c r="O616" s="253" t="s">
        <v>5092</v>
      </c>
      <c r="P616" s="253" t="s">
        <v>5093</v>
      </c>
      <c r="Q616" s="220" t="s">
        <v>338</v>
      </c>
      <c r="R616" s="220" t="s">
        <v>339</v>
      </c>
      <c r="S616" s="276" t="s">
        <v>147</v>
      </c>
      <c r="T616" s="221" t="s">
        <v>144</v>
      </c>
      <c r="U616" s="221" t="s">
        <v>144</v>
      </c>
      <c r="V616" s="253">
        <v>1</v>
      </c>
      <c r="W616" s="217" t="s">
        <v>144</v>
      </c>
      <c r="X616" s="221">
        <v>41</v>
      </c>
      <c r="Y616" s="221">
        <v>42</v>
      </c>
      <c r="Z616" s="221" t="s">
        <v>144</v>
      </c>
      <c r="AA616" s="253" t="s">
        <v>144</v>
      </c>
      <c r="AB616" s="217" t="s">
        <v>144</v>
      </c>
      <c r="AC616" s="253" t="s">
        <v>265</v>
      </c>
      <c r="AD616" s="253" t="s">
        <v>144</v>
      </c>
      <c r="AE616" s="253" t="s">
        <v>144</v>
      </c>
      <c r="AF616" s="254" t="s">
        <v>144</v>
      </c>
      <c r="AG616" s="838"/>
      <c r="AH616" s="280"/>
      <c r="AI616" s="281"/>
      <c r="AJ616" s="253"/>
      <c r="AK616" s="254"/>
      <c r="AL616" s="281"/>
      <c r="AM616" s="281"/>
      <c r="AN616" s="253"/>
      <c r="AO616" s="254"/>
      <c r="AP616" s="281"/>
      <c r="AQ616" s="281"/>
      <c r="AR616" s="253"/>
      <c r="AS616" s="254"/>
      <c r="AT616" s="281"/>
      <c r="AU616" s="281"/>
      <c r="AV616" s="253"/>
      <c r="AW616" s="254"/>
      <c r="AX616" s="281"/>
      <c r="AY616" s="281"/>
      <c r="AZ616" s="253"/>
      <c r="BA616" s="254"/>
      <c r="BB616" s="280"/>
      <c r="BC616" s="281"/>
      <c r="BD616" s="253"/>
      <c r="BE616" s="254"/>
      <c r="BF616" s="838"/>
    </row>
    <row r="617" spans="1:58" s="57" customFormat="1" ht="54" hidden="1" customHeight="1" x14ac:dyDescent="0.25">
      <c r="A617" s="275" t="s">
        <v>1687</v>
      </c>
      <c r="B617" s="276">
        <v>382</v>
      </c>
      <c r="C617" s="253" t="s">
        <v>144</v>
      </c>
      <c r="D617" s="217" t="s">
        <v>144</v>
      </c>
      <c r="E617" s="276" t="s">
        <v>5094</v>
      </c>
      <c r="F617" s="277" t="s">
        <v>5095</v>
      </c>
      <c r="G617" s="277" t="s">
        <v>5096</v>
      </c>
      <c r="H617" s="218" t="s">
        <v>5097</v>
      </c>
      <c r="I617" s="218" t="s">
        <v>5098</v>
      </c>
      <c r="J617" s="253" t="s">
        <v>144</v>
      </c>
      <c r="K617" s="253" t="s">
        <v>144</v>
      </c>
      <c r="L617" s="718" t="s">
        <v>5099</v>
      </c>
      <c r="M617" s="253" t="s">
        <v>144</v>
      </c>
      <c r="N617" s="253" t="s">
        <v>144</v>
      </c>
      <c r="O617" s="253" t="s">
        <v>144</v>
      </c>
      <c r="P617" s="253" t="s">
        <v>144</v>
      </c>
      <c r="Q617" s="220" t="s">
        <v>338</v>
      </c>
      <c r="R617" s="220" t="s">
        <v>339</v>
      </c>
      <c r="S617" s="276" t="s">
        <v>147</v>
      </c>
      <c r="T617" s="221" t="s">
        <v>144</v>
      </c>
      <c r="U617" s="221" t="s">
        <v>144</v>
      </c>
      <c r="V617" s="253">
        <v>1</v>
      </c>
      <c r="W617" s="217" t="s">
        <v>144</v>
      </c>
      <c r="X617" s="221">
        <v>41</v>
      </c>
      <c r="Y617" s="221">
        <v>42</v>
      </c>
      <c r="Z617" s="221" t="s">
        <v>144</v>
      </c>
      <c r="AA617" s="253" t="s">
        <v>144</v>
      </c>
      <c r="AB617" s="217" t="s">
        <v>144</v>
      </c>
      <c r="AC617" s="253" t="s">
        <v>265</v>
      </c>
      <c r="AD617" s="253" t="s">
        <v>144</v>
      </c>
      <c r="AE617" s="253" t="s">
        <v>144</v>
      </c>
      <c r="AF617" s="254" t="s">
        <v>144</v>
      </c>
      <c r="AG617" s="838"/>
      <c r="AH617" s="280"/>
      <c r="AI617" s="281"/>
      <c r="AJ617" s="253"/>
      <c r="AK617" s="254"/>
      <c r="AL617" s="281"/>
      <c r="AM617" s="281"/>
      <c r="AN617" s="253"/>
      <c r="AO617" s="254"/>
      <c r="AP617" s="281"/>
      <c r="AQ617" s="281"/>
      <c r="AR617" s="253"/>
      <c r="AS617" s="254"/>
      <c r="AT617" s="281"/>
      <c r="AU617" s="281"/>
      <c r="AV617" s="253"/>
      <c r="AW617" s="254"/>
      <c r="AX617" s="281"/>
      <c r="AY617" s="281"/>
      <c r="AZ617" s="253"/>
      <c r="BA617" s="254"/>
      <c r="BB617" s="280"/>
      <c r="BC617" s="281"/>
      <c r="BD617" s="253"/>
      <c r="BE617" s="254"/>
      <c r="BF617" s="838"/>
    </row>
    <row r="618" spans="1:58" s="57" customFormat="1" ht="54" hidden="1" customHeight="1" x14ac:dyDescent="0.25">
      <c r="A618" s="275" t="s">
        <v>1687</v>
      </c>
      <c r="B618" s="276">
        <v>383</v>
      </c>
      <c r="C618" s="253" t="s">
        <v>144</v>
      </c>
      <c r="D618" s="217" t="s">
        <v>144</v>
      </c>
      <c r="E618" s="276" t="s">
        <v>5100</v>
      </c>
      <c r="F618" s="277" t="s">
        <v>5101</v>
      </c>
      <c r="G618" s="277" t="s">
        <v>5102</v>
      </c>
      <c r="H618" s="218" t="s">
        <v>5103</v>
      </c>
      <c r="I618" s="218" t="s">
        <v>5104</v>
      </c>
      <c r="J618" s="253" t="s">
        <v>144</v>
      </c>
      <c r="K618" s="253" t="s">
        <v>144</v>
      </c>
      <c r="L618" s="718" t="s">
        <v>5105</v>
      </c>
      <c r="M618" s="253" t="s">
        <v>144</v>
      </c>
      <c r="N618" s="253" t="s">
        <v>144</v>
      </c>
      <c r="O618" s="253" t="s">
        <v>144</v>
      </c>
      <c r="P618" s="253" t="s">
        <v>144</v>
      </c>
      <c r="Q618" s="220" t="s">
        <v>338</v>
      </c>
      <c r="R618" s="220" t="s">
        <v>339</v>
      </c>
      <c r="S618" s="276" t="s">
        <v>147</v>
      </c>
      <c r="T618" s="221" t="s">
        <v>144</v>
      </c>
      <c r="U618" s="221" t="s">
        <v>144</v>
      </c>
      <c r="V618" s="253">
        <v>30</v>
      </c>
      <c r="W618" s="217" t="s">
        <v>144</v>
      </c>
      <c r="X618" s="221">
        <v>41</v>
      </c>
      <c r="Y618" s="221">
        <v>42</v>
      </c>
      <c r="Z618" s="221" t="s">
        <v>144</v>
      </c>
      <c r="AA618" s="253" t="s">
        <v>144</v>
      </c>
      <c r="AB618" s="217" t="s">
        <v>144</v>
      </c>
      <c r="AC618" s="253" t="s">
        <v>265</v>
      </c>
      <c r="AD618" s="253" t="s">
        <v>144</v>
      </c>
      <c r="AE618" s="253" t="s">
        <v>144</v>
      </c>
      <c r="AF618" s="254" t="s">
        <v>144</v>
      </c>
      <c r="AG618" s="838"/>
      <c r="AH618" s="280"/>
      <c r="AI618" s="281"/>
      <c r="AJ618" s="253"/>
      <c r="AK618" s="254"/>
      <c r="AL618" s="281"/>
      <c r="AM618" s="281"/>
      <c r="AN618" s="253"/>
      <c r="AO618" s="254"/>
      <c r="AP618" s="281"/>
      <c r="AQ618" s="281"/>
      <c r="AR618" s="253"/>
      <c r="AS618" s="254"/>
      <c r="AT618" s="281"/>
      <c r="AU618" s="281"/>
      <c r="AV618" s="253"/>
      <c r="AW618" s="254"/>
      <c r="AX618" s="281"/>
      <c r="AY618" s="281"/>
      <c r="AZ618" s="253"/>
      <c r="BA618" s="254"/>
      <c r="BB618" s="280"/>
      <c r="BC618" s="281"/>
      <c r="BD618" s="253"/>
      <c r="BE618" s="254"/>
      <c r="BF618" s="838"/>
    </row>
    <row r="619" spans="1:58" s="57" customFormat="1" ht="54" hidden="1" customHeight="1" x14ac:dyDescent="0.25">
      <c r="A619" s="275" t="s">
        <v>1687</v>
      </c>
      <c r="B619" s="276">
        <v>384</v>
      </c>
      <c r="C619" s="253" t="s">
        <v>144</v>
      </c>
      <c r="D619" s="217" t="s">
        <v>144</v>
      </c>
      <c r="E619" s="276" t="s">
        <v>5106</v>
      </c>
      <c r="F619" s="277" t="s">
        <v>5107</v>
      </c>
      <c r="G619" s="277" t="s">
        <v>5108</v>
      </c>
      <c r="H619" s="218" t="s">
        <v>5109</v>
      </c>
      <c r="I619" s="218" t="s">
        <v>5110</v>
      </c>
      <c r="J619" s="253" t="s">
        <v>144</v>
      </c>
      <c r="K619" s="253" t="s">
        <v>144</v>
      </c>
      <c r="L619" s="718" t="s">
        <v>5111</v>
      </c>
      <c r="M619" s="253" t="s">
        <v>144</v>
      </c>
      <c r="N619" s="253" t="s">
        <v>144</v>
      </c>
      <c r="O619" s="253" t="s">
        <v>144</v>
      </c>
      <c r="P619" s="253" t="s">
        <v>144</v>
      </c>
      <c r="Q619" s="220" t="s">
        <v>338</v>
      </c>
      <c r="R619" s="220" t="s">
        <v>339</v>
      </c>
      <c r="S619" s="276" t="s">
        <v>147</v>
      </c>
      <c r="T619" s="221" t="s">
        <v>144</v>
      </c>
      <c r="U619" s="221" t="s">
        <v>144</v>
      </c>
      <c r="V619" s="253">
        <v>1</v>
      </c>
      <c r="W619" s="217" t="s">
        <v>144</v>
      </c>
      <c r="X619" s="221">
        <v>41</v>
      </c>
      <c r="Y619" s="221">
        <v>42</v>
      </c>
      <c r="Z619" s="221" t="s">
        <v>144</v>
      </c>
      <c r="AA619" s="253" t="s">
        <v>144</v>
      </c>
      <c r="AB619" s="217" t="s">
        <v>144</v>
      </c>
      <c r="AC619" s="253" t="s">
        <v>265</v>
      </c>
      <c r="AD619" s="253" t="s">
        <v>144</v>
      </c>
      <c r="AE619" s="253" t="s">
        <v>144</v>
      </c>
      <c r="AF619" s="254" t="s">
        <v>144</v>
      </c>
      <c r="AG619" s="838"/>
      <c r="AH619" s="280"/>
      <c r="AI619" s="281"/>
      <c r="AJ619" s="253"/>
      <c r="AK619" s="254"/>
      <c r="AL619" s="281"/>
      <c r="AM619" s="281"/>
      <c r="AN619" s="253"/>
      <c r="AO619" s="254"/>
      <c r="AP619" s="281"/>
      <c r="AQ619" s="281"/>
      <c r="AR619" s="253"/>
      <c r="AS619" s="254"/>
      <c r="AT619" s="281"/>
      <c r="AU619" s="281"/>
      <c r="AV619" s="253"/>
      <c r="AW619" s="254"/>
      <c r="AX619" s="281"/>
      <c r="AY619" s="281"/>
      <c r="AZ619" s="253"/>
      <c r="BA619" s="254"/>
      <c r="BB619" s="280"/>
      <c r="BC619" s="281"/>
      <c r="BD619" s="253"/>
      <c r="BE619" s="254"/>
      <c r="BF619" s="838"/>
    </row>
    <row r="620" spans="1:58" s="57" customFormat="1" ht="54" hidden="1" customHeight="1" x14ac:dyDescent="0.25">
      <c r="A620" s="275" t="s">
        <v>1687</v>
      </c>
      <c r="B620" s="276">
        <v>385</v>
      </c>
      <c r="C620" s="253" t="s">
        <v>2378</v>
      </c>
      <c r="D620" s="217" t="s">
        <v>2379</v>
      </c>
      <c r="E620" s="276" t="s">
        <v>5112</v>
      </c>
      <c r="F620" s="277" t="s">
        <v>5113</v>
      </c>
      <c r="G620" s="277" t="s">
        <v>5114</v>
      </c>
      <c r="H620" s="218" t="s">
        <v>5115</v>
      </c>
      <c r="I620" s="218" t="s">
        <v>5116</v>
      </c>
      <c r="J620" s="253" t="s">
        <v>144</v>
      </c>
      <c r="K620" s="253" t="s">
        <v>144</v>
      </c>
      <c r="L620" s="718" t="s">
        <v>5117</v>
      </c>
      <c r="M620" s="253" t="s">
        <v>144</v>
      </c>
      <c r="N620" s="253" t="s">
        <v>144</v>
      </c>
      <c r="O620" s="253" t="s">
        <v>144</v>
      </c>
      <c r="P620" s="253" t="s">
        <v>144</v>
      </c>
      <c r="Q620" s="220" t="s">
        <v>338</v>
      </c>
      <c r="R620" s="220" t="s">
        <v>339</v>
      </c>
      <c r="S620" s="276" t="s">
        <v>746</v>
      </c>
      <c r="T620" s="221" t="s">
        <v>144</v>
      </c>
      <c r="U620" s="221" t="s">
        <v>144</v>
      </c>
      <c r="V620" s="253">
        <v>10</v>
      </c>
      <c r="W620" s="217" t="s">
        <v>144</v>
      </c>
      <c r="X620" s="221">
        <v>41</v>
      </c>
      <c r="Y620" s="221">
        <v>42</v>
      </c>
      <c r="Z620" s="221" t="s">
        <v>144</v>
      </c>
      <c r="AA620" s="253" t="s">
        <v>144</v>
      </c>
      <c r="AB620" s="217" t="s">
        <v>144</v>
      </c>
      <c r="AC620" s="253" t="s">
        <v>265</v>
      </c>
      <c r="AD620" s="253" t="s">
        <v>144</v>
      </c>
      <c r="AE620" s="253" t="s">
        <v>144</v>
      </c>
      <c r="AF620" s="254" t="s">
        <v>144</v>
      </c>
      <c r="AG620" s="838"/>
      <c r="AH620" s="280"/>
      <c r="AI620" s="281"/>
      <c r="AJ620" s="253"/>
      <c r="AK620" s="254"/>
      <c r="AL620" s="281"/>
      <c r="AM620" s="281"/>
      <c r="AN620" s="253"/>
      <c r="AO620" s="254"/>
      <c r="AP620" s="281"/>
      <c r="AQ620" s="281"/>
      <c r="AR620" s="253"/>
      <c r="AS620" s="254"/>
      <c r="AT620" s="281"/>
      <c r="AU620" s="281"/>
      <c r="AV620" s="253"/>
      <c r="AW620" s="254"/>
      <c r="AX620" s="281"/>
      <c r="AY620" s="281"/>
      <c r="AZ620" s="253"/>
      <c r="BA620" s="254"/>
      <c r="BB620" s="280"/>
      <c r="BC620" s="281"/>
      <c r="BD620" s="253"/>
      <c r="BE620" s="254"/>
      <c r="BF620" s="838"/>
    </row>
    <row r="621" spans="1:58" s="57" customFormat="1" ht="54" hidden="1" customHeight="1" x14ac:dyDescent="0.25">
      <c r="A621" s="275" t="s">
        <v>1687</v>
      </c>
      <c r="B621" s="276">
        <v>386</v>
      </c>
      <c r="C621" s="253" t="s">
        <v>2378</v>
      </c>
      <c r="D621" s="217" t="s">
        <v>2379</v>
      </c>
      <c r="E621" s="276" t="s">
        <v>5118</v>
      </c>
      <c r="F621" s="277" t="s">
        <v>5119</v>
      </c>
      <c r="G621" s="277" t="s">
        <v>5120</v>
      </c>
      <c r="H621" s="218" t="s">
        <v>5121</v>
      </c>
      <c r="I621" s="218" t="s">
        <v>5122</v>
      </c>
      <c r="J621" s="253" t="s">
        <v>144</v>
      </c>
      <c r="K621" s="253" t="s">
        <v>144</v>
      </c>
      <c r="L621" s="718" t="s">
        <v>5123</v>
      </c>
      <c r="M621" s="253" t="s">
        <v>144</v>
      </c>
      <c r="N621" s="253" t="s">
        <v>144</v>
      </c>
      <c r="O621" s="253" t="s">
        <v>144</v>
      </c>
      <c r="P621" s="253" t="s">
        <v>144</v>
      </c>
      <c r="Q621" s="220" t="s">
        <v>338</v>
      </c>
      <c r="R621" s="220" t="s">
        <v>339</v>
      </c>
      <c r="S621" s="276" t="s">
        <v>147</v>
      </c>
      <c r="T621" s="221" t="s">
        <v>144</v>
      </c>
      <c r="U621" s="221" t="s">
        <v>144</v>
      </c>
      <c r="V621" s="253">
        <v>50</v>
      </c>
      <c r="W621" s="217" t="s">
        <v>144</v>
      </c>
      <c r="X621" s="221">
        <v>41</v>
      </c>
      <c r="Y621" s="221">
        <v>42</v>
      </c>
      <c r="Z621" s="221" t="s">
        <v>144</v>
      </c>
      <c r="AA621" s="253" t="s">
        <v>144</v>
      </c>
      <c r="AB621" s="217" t="s">
        <v>144</v>
      </c>
      <c r="AC621" s="253" t="s">
        <v>265</v>
      </c>
      <c r="AD621" s="253" t="s">
        <v>144</v>
      </c>
      <c r="AE621" s="253" t="s">
        <v>144</v>
      </c>
      <c r="AF621" s="254" t="s">
        <v>144</v>
      </c>
      <c r="AG621" s="838"/>
      <c r="AH621" s="280"/>
      <c r="AI621" s="281"/>
      <c r="AJ621" s="253"/>
      <c r="AK621" s="254"/>
      <c r="AL621" s="281"/>
      <c r="AM621" s="281"/>
      <c r="AN621" s="253"/>
      <c r="AO621" s="254"/>
      <c r="AP621" s="281"/>
      <c r="AQ621" s="281"/>
      <c r="AR621" s="253"/>
      <c r="AS621" s="254"/>
      <c r="AT621" s="281"/>
      <c r="AU621" s="281"/>
      <c r="AV621" s="253"/>
      <c r="AW621" s="254"/>
      <c r="AX621" s="281"/>
      <c r="AY621" s="281"/>
      <c r="AZ621" s="253"/>
      <c r="BA621" s="254"/>
      <c r="BB621" s="280"/>
      <c r="BC621" s="281"/>
      <c r="BD621" s="253"/>
      <c r="BE621" s="254"/>
      <c r="BF621" s="838"/>
    </row>
    <row r="622" spans="1:58" s="57" customFormat="1" ht="54" hidden="1" customHeight="1" x14ac:dyDescent="0.25">
      <c r="A622" s="275" t="s">
        <v>1687</v>
      </c>
      <c r="B622" s="276">
        <v>387</v>
      </c>
      <c r="C622" s="253" t="s">
        <v>144</v>
      </c>
      <c r="D622" s="217" t="s">
        <v>144</v>
      </c>
      <c r="E622" s="276" t="s">
        <v>5124</v>
      </c>
      <c r="F622" s="277" t="s">
        <v>5125</v>
      </c>
      <c r="G622" s="277" t="s">
        <v>5126</v>
      </c>
      <c r="H622" s="218" t="s">
        <v>5127</v>
      </c>
      <c r="I622" s="218" t="s">
        <v>5128</v>
      </c>
      <c r="J622" s="253" t="s">
        <v>144</v>
      </c>
      <c r="K622" s="253" t="s">
        <v>144</v>
      </c>
      <c r="L622" s="718" t="s">
        <v>5129</v>
      </c>
      <c r="M622" s="253" t="s">
        <v>144</v>
      </c>
      <c r="N622" s="253" t="s">
        <v>144</v>
      </c>
      <c r="O622" s="253" t="s">
        <v>144</v>
      </c>
      <c r="P622" s="253" t="s">
        <v>144</v>
      </c>
      <c r="Q622" s="220" t="s">
        <v>338</v>
      </c>
      <c r="R622" s="220" t="s">
        <v>339</v>
      </c>
      <c r="S622" s="276" t="s">
        <v>147</v>
      </c>
      <c r="T622" s="221" t="s">
        <v>144</v>
      </c>
      <c r="U622" s="221" t="s">
        <v>144</v>
      </c>
      <c r="V622" s="253">
        <v>1</v>
      </c>
      <c r="W622" s="217" t="s">
        <v>144</v>
      </c>
      <c r="X622" s="221">
        <v>41</v>
      </c>
      <c r="Y622" s="221">
        <v>42</v>
      </c>
      <c r="Z622" s="221" t="s">
        <v>144</v>
      </c>
      <c r="AA622" s="253" t="s">
        <v>144</v>
      </c>
      <c r="AB622" s="217" t="s">
        <v>144</v>
      </c>
      <c r="AC622" s="253" t="s">
        <v>265</v>
      </c>
      <c r="AD622" s="253" t="s">
        <v>144</v>
      </c>
      <c r="AE622" s="253" t="s">
        <v>144</v>
      </c>
      <c r="AF622" s="254" t="s">
        <v>144</v>
      </c>
      <c r="AG622" s="838"/>
      <c r="AH622" s="280"/>
      <c r="AI622" s="281"/>
      <c r="AJ622" s="253"/>
      <c r="AK622" s="254"/>
      <c r="AL622" s="281"/>
      <c r="AM622" s="281"/>
      <c r="AN622" s="253"/>
      <c r="AO622" s="254"/>
      <c r="AP622" s="281"/>
      <c r="AQ622" s="281"/>
      <c r="AR622" s="253"/>
      <c r="AS622" s="254"/>
      <c r="AT622" s="281"/>
      <c r="AU622" s="281"/>
      <c r="AV622" s="253"/>
      <c r="AW622" s="254"/>
      <c r="AX622" s="281"/>
      <c r="AY622" s="281"/>
      <c r="AZ622" s="253"/>
      <c r="BA622" s="254"/>
      <c r="BB622" s="280"/>
      <c r="BC622" s="281"/>
      <c r="BD622" s="253"/>
      <c r="BE622" s="254"/>
      <c r="BF622" s="838"/>
    </row>
    <row r="623" spans="1:58" s="57" customFormat="1" ht="54" hidden="1" customHeight="1" x14ac:dyDescent="0.25">
      <c r="A623" s="275" t="s">
        <v>1687</v>
      </c>
      <c r="B623" s="276">
        <v>388</v>
      </c>
      <c r="C623" s="253" t="s">
        <v>144</v>
      </c>
      <c r="D623" s="217" t="s">
        <v>144</v>
      </c>
      <c r="E623" s="276" t="s">
        <v>5130</v>
      </c>
      <c r="F623" s="277" t="s">
        <v>5131</v>
      </c>
      <c r="G623" s="277" t="s">
        <v>5132</v>
      </c>
      <c r="H623" s="218" t="s">
        <v>5089</v>
      </c>
      <c r="I623" s="218" t="s">
        <v>5090</v>
      </c>
      <c r="J623" s="253" t="s">
        <v>144</v>
      </c>
      <c r="K623" s="253" t="s">
        <v>144</v>
      </c>
      <c r="L623" s="718" t="s">
        <v>5133</v>
      </c>
      <c r="M623" s="253" t="s">
        <v>144</v>
      </c>
      <c r="N623" s="253" t="s">
        <v>144</v>
      </c>
      <c r="O623" s="253" t="s">
        <v>5092</v>
      </c>
      <c r="P623" s="253" t="s">
        <v>5093</v>
      </c>
      <c r="Q623" s="220" t="s">
        <v>338</v>
      </c>
      <c r="R623" s="220" t="s">
        <v>339</v>
      </c>
      <c r="S623" s="276" t="s">
        <v>147</v>
      </c>
      <c r="T623" s="221" t="s">
        <v>144</v>
      </c>
      <c r="U623" s="221" t="s">
        <v>144</v>
      </c>
      <c r="V623" s="253">
        <v>1</v>
      </c>
      <c r="W623" s="217" t="s">
        <v>144</v>
      </c>
      <c r="X623" s="221">
        <v>41</v>
      </c>
      <c r="Y623" s="221">
        <v>42</v>
      </c>
      <c r="Z623" s="221" t="s">
        <v>144</v>
      </c>
      <c r="AA623" s="253" t="s">
        <v>144</v>
      </c>
      <c r="AB623" s="217" t="s">
        <v>144</v>
      </c>
      <c r="AC623" s="253" t="s">
        <v>265</v>
      </c>
      <c r="AD623" s="253" t="s">
        <v>144</v>
      </c>
      <c r="AE623" s="253" t="s">
        <v>144</v>
      </c>
      <c r="AF623" s="254" t="s">
        <v>144</v>
      </c>
      <c r="AG623" s="838"/>
      <c r="AH623" s="280"/>
      <c r="AI623" s="281"/>
      <c r="AJ623" s="253"/>
      <c r="AK623" s="254"/>
      <c r="AL623" s="281"/>
      <c r="AM623" s="281"/>
      <c r="AN623" s="253"/>
      <c r="AO623" s="254"/>
      <c r="AP623" s="281"/>
      <c r="AQ623" s="281"/>
      <c r="AR623" s="253"/>
      <c r="AS623" s="254"/>
      <c r="AT623" s="281"/>
      <c r="AU623" s="281"/>
      <c r="AV623" s="253"/>
      <c r="AW623" s="254"/>
      <c r="AX623" s="281"/>
      <c r="AY623" s="281"/>
      <c r="AZ623" s="253"/>
      <c r="BA623" s="254"/>
      <c r="BB623" s="280"/>
      <c r="BC623" s="281"/>
      <c r="BD623" s="253"/>
      <c r="BE623" s="254"/>
      <c r="BF623" s="838"/>
    </row>
    <row r="624" spans="1:58" s="57" customFormat="1" ht="54" hidden="1" customHeight="1" x14ac:dyDescent="0.25">
      <c r="A624" s="275" t="s">
        <v>1687</v>
      </c>
      <c r="B624" s="276">
        <v>389</v>
      </c>
      <c r="C624" s="253" t="s">
        <v>144</v>
      </c>
      <c r="D624" s="217" t="s">
        <v>144</v>
      </c>
      <c r="E624" s="276" t="s">
        <v>5134</v>
      </c>
      <c r="F624" s="277" t="s">
        <v>5135</v>
      </c>
      <c r="G624" s="277" t="s">
        <v>5136</v>
      </c>
      <c r="H624" s="218" t="s">
        <v>5097</v>
      </c>
      <c r="I624" s="218" t="s">
        <v>5098</v>
      </c>
      <c r="J624" s="253" t="s">
        <v>144</v>
      </c>
      <c r="K624" s="253" t="s">
        <v>144</v>
      </c>
      <c r="L624" s="718" t="s">
        <v>5137</v>
      </c>
      <c r="M624" s="253" t="s">
        <v>144</v>
      </c>
      <c r="N624" s="253" t="s">
        <v>144</v>
      </c>
      <c r="O624" s="253" t="s">
        <v>144</v>
      </c>
      <c r="P624" s="253" t="s">
        <v>144</v>
      </c>
      <c r="Q624" s="220" t="s">
        <v>338</v>
      </c>
      <c r="R624" s="220" t="s">
        <v>339</v>
      </c>
      <c r="S624" s="276" t="s">
        <v>147</v>
      </c>
      <c r="T624" s="221" t="s">
        <v>144</v>
      </c>
      <c r="U624" s="221" t="s">
        <v>144</v>
      </c>
      <c r="V624" s="253">
        <v>1</v>
      </c>
      <c r="W624" s="217" t="s">
        <v>144</v>
      </c>
      <c r="X624" s="221">
        <v>41</v>
      </c>
      <c r="Y624" s="221">
        <v>42</v>
      </c>
      <c r="Z624" s="221" t="s">
        <v>144</v>
      </c>
      <c r="AA624" s="253" t="s">
        <v>144</v>
      </c>
      <c r="AB624" s="217" t="s">
        <v>144</v>
      </c>
      <c r="AC624" s="253" t="s">
        <v>265</v>
      </c>
      <c r="AD624" s="253" t="s">
        <v>144</v>
      </c>
      <c r="AE624" s="253" t="s">
        <v>144</v>
      </c>
      <c r="AF624" s="254" t="s">
        <v>144</v>
      </c>
      <c r="AG624" s="838"/>
      <c r="AH624" s="280"/>
      <c r="AI624" s="281"/>
      <c r="AJ624" s="253"/>
      <c r="AK624" s="254"/>
      <c r="AL624" s="281"/>
      <c r="AM624" s="281"/>
      <c r="AN624" s="253"/>
      <c r="AO624" s="254"/>
      <c r="AP624" s="281"/>
      <c r="AQ624" s="281"/>
      <c r="AR624" s="253"/>
      <c r="AS624" s="254"/>
      <c r="AT624" s="281"/>
      <c r="AU624" s="281"/>
      <c r="AV624" s="253"/>
      <c r="AW624" s="254"/>
      <c r="AX624" s="281"/>
      <c r="AY624" s="281"/>
      <c r="AZ624" s="253"/>
      <c r="BA624" s="254"/>
      <c r="BB624" s="280"/>
      <c r="BC624" s="281"/>
      <c r="BD624" s="253"/>
      <c r="BE624" s="254"/>
      <c r="BF624" s="838"/>
    </row>
    <row r="625" spans="1:58" s="57" customFormat="1" ht="54" hidden="1" customHeight="1" x14ac:dyDescent="0.25">
      <c r="A625" s="275" t="s">
        <v>1687</v>
      </c>
      <c r="B625" s="276">
        <v>390</v>
      </c>
      <c r="C625" s="253" t="s">
        <v>144</v>
      </c>
      <c r="D625" s="217" t="s">
        <v>144</v>
      </c>
      <c r="E625" s="276" t="s">
        <v>5138</v>
      </c>
      <c r="F625" s="277" t="s">
        <v>5139</v>
      </c>
      <c r="G625" s="277" t="s">
        <v>5140</v>
      </c>
      <c r="H625" s="218" t="s">
        <v>5103</v>
      </c>
      <c r="I625" s="218" t="s">
        <v>5104</v>
      </c>
      <c r="J625" s="253" t="s">
        <v>144</v>
      </c>
      <c r="K625" s="253" t="s">
        <v>144</v>
      </c>
      <c r="L625" s="718" t="s">
        <v>5141</v>
      </c>
      <c r="M625" s="253" t="s">
        <v>144</v>
      </c>
      <c r="N625" s="253" t="s">
        <v>144</v>
      </c>
      <c r="O625" s="253" t="s">
        <v>144</v>
      </c>
      <c r="P625" s="253" t="s">
        <v>144</v>
      </c>
      <c r="Q625" s="220" t="s">
        <v>338</v>
      </c>
      <c r="R625" s="220" t="s">
        <v>339</v>
      </c>
      <c r="S625" s="276" t="s">
        <v>147</v>
      </c>
      <c r="T625" s="221" t="s">
        <v>144</v>
      </c>
      <c r="U625" s="221" t="s">
        <v>144</v>
      </c>
      <c r="V625" s="253">
        <v>30</v>
      </c>
      <c r="W625" s="217" t="s">
        <v>144</v>
      </c>
      <c r="X625" s="221" t="s">
        <v>144</v>
      </c>
      <c r="Y625" s="221">
        <v>42</v>
      </c>
      <c r="Z625" s="221" t="s">
        <v>144</v>
      </c>
      <c r="AA625" s="253" t="s">
        <v>144</v>
      </c>
      <c r="AB625" s="217" t="s">
        <v>144</v>
      </c>
      <c r="AC625" s="253" t="s">
        <v>265</v>
      </c>
      <c r="AD625" s="253" t="s">
        <v>144</v>
      </c>
      <c r="AE625" s="253" t="s">
        <v>144</v>
      </c>
      <c r="AF625" s="254" t="s">
        <v>144</v>
      </c>
      <c r="AG625" s="838"/>
      <c r="AH625" s="280"/>
      <c r="AI625" s="281"/>
      <c r="AJ625" s="253"/>
      <c r="AK625" s="254"/>
      <c r="AL625" s="281"/>
      <c r="AM625" s="281"/>
      <c r="AN625" s="253"/>
      <c r="AO625" s="254"/>
      <c r="AP625" s="281"/>
      <c r="AQ625" s="281"/>
      <c r="AR625" s="253"/>
      <c r="AS625" s="254"/>
      <c r="AT625" s="281"/>
      <c r="AU625" s="281"/>
      <c r="AV625" s="253"/>
      <c r="AW625" s="254"/>
      <c r="AX625" s="281"/>
      <c r="AY625" s="281"/>
      <c r="AZ625" s="253"/>
      <c r="BA625" s="254"/>
      <c r="BB625" s="280"/>
      <c r="BC625" s="281"/>
      <c r="BD625" s="253"/>
      <c r="BE625" s="254"/>
      <c r="BF625" s="838"/>
    </row>
    <row r="626" spans="1:58" s="88" customFormat="1" ht="54" hidden="1" customHeight="1" x14ac:dyDescent="0.25">
      <c r="A626" s="267" t="s">
        <v>1687</v>
      </c>
      <c r="B626" s="268">
        <v>391</v>
      </c>
      <c r="C626" s="240" t="s">
        <v>2378</v>
      </c>
      <c r="D626" s="211" t="s">
        <v>2379</v>
      </c>
      <c r="E626" s="268" t="s">
        <v>5142</v>
      </c>
      <c r="F626" s="299" t="s">
        <v>5143</v>
      </c>
      <c r="G626" s="269" t="s">
        <v>5144</v>
      </c>
      <c r="H626" s="845" t="s">
        <v>5145</v>
      </c>
      <c r="I626" s="208" t="s">
        <v>5144</v>
      </c>
      <c r="J626" s="240" t="s">
        <v>140</v>
      </c>
      <c r="K626" s="270" t="s">
        <v>140</v>
      </c>
      <c r="L626" s="862" t="s">
        <v>5146</v>
      </c>
      <c r="M626" s="847" t="s">
        <v>193</v>
      </c>
      <c r="N626" s="253" t="s">
        <v>194</v>
      </c>
      <c r="O626" s="240" t="s">
        <v>144</v>
      </c>
      <c r="P626" s="240" t="s">
        <v>144</v>
      </c>
      <c r="Q626" s="845" t="s">
        <v>5147</v>
      </c>
      <c r="R626" s="208" t="s">
        <v>5148</v>
      </c>
      <c r="S626" s="864" t="s">
        <v>147</v>
      </c>
      <c r="T626" s="212" t="s">
        <v>144</v>
      </c>
      <c r="U626" s="213" t="s">
        <v>144</v>
      </c>
      <c r="V626" s="240">
        <v>12</v>
      </c>
      <c r="W626" s="206" t="s">
        <v>144</v>
      </c>
      <c r="X626" s="212">
        <v>41</v>
      </c>
      <c r="Y626" s="212" t="s">
        <v>144</v>
      </c>
      <c r="Z626" s="252" t="s">
        <v>144</v>
      </c>
      <c r="AA626" s="240" t="s">
        <v>5149</v>
      </c>
      <c r="AB626" s="206" t="s">
        <v>140</v>
      </c>
      <c r="AC626" s="847" t="s">
        <v>265</v>
      </c>
      <c r="AD626" s="847" t="s">
        <v>2552</v>
      </c>
      <c r="AE626" s="847" t="s">
        <v>144</v>
      </c>
      <c r="AF626" s="848" t="s">
        <v>144</v>
      </c>
      <c r="AG626" s="838"/>
      <c r="AH626" s="339"/>
      <c r="AI626" s="273"/>
      <c r="AJ626" s="847"/>
      <c r="AK626" s="848"/>
      <c r="AL626" s="867"/>
      <c r="AM626" s="273"/>
      <c r="AN626" s="847"/>
      <c r="AO626" s="848"/>
      <c r="AP626" s="867" t="s">
        <v>2788</v>
      </c>
      <c r="AQ626" s="273" t="s">
        <v>2789</v>
      </c>
      <c r="AR626" s="847">
        <v>6</v>
      </c>
      <c r="AS626" s="848" t="s">
        <v>2790</v>
      </c>
      <c r="AT626" s="867" t="s">
        <v>5150</v>
      </c>
      <c r="AU626" s="273" t="s">
        <v>5151</v>
      </c>
      <c r="AV626" s="847">
        <v>6</v>
      </c>
      <c r="AW626" s="848" t="s">
        <v>5152</v>
      </c>
      <c r="AX626" s="867"/>
      <c r="AY626" s="273"/>
      <c r="AZ626" s="847"/>
      <c r="BA626" s="848"/>
      <c r="BB626" s="866"/>
      <c r="BC626" s="273"/>
      <c r="BD626" s="847"/>
      <c r="BE626" s="848"/>
      <c r="BF626" s="838"/>
    </row>
    <row r="627" spans="1:58" s="57" customFormat="1" ht="54" customHeight="1" x14ac:dyDescent="0.25">
      <c r="A627" s="275" t="s">
        <v>1687</v>
      </c>
      <c r="B627" s="276">
        <v>392</v>
      </c>
      <c r="C627" s="253" t="s">
        <v>144</v>
      </c>
      <c r="D627" s="217" t="s">
        <v>144</v>
      </c>
      <c r="E627" s="276" t="s">
        <v>5153</v>
      </c>
      <c r="F627" s="277" t="s">
        <v>4829</v>
      </c>
      <c r="G627" s="277" t="s">
        <v>4829</v>
      </c>
      <c r="H627" s="220" t="s">
        <v>336</v>
      </c>
      <c r="I627" s="218" t="s">
        <v>5154</v>
      </c>
      <c r="J627" s="253" t="s">
        <v>144</v>
      </c>
      <c r="K627" s="253" t="s">
        <v>144</v>
      </c>
      <c r="L627" s="718" t="s">
        <v>5155</v>
      </c>
      <c r="M627" s="253" t="s">
        <v>144</v>
      </c>
      <c r="N627" s="253" t="s">
        <v>144</v>
      </c>
      <c r="O627" s="253" t="s">
        <v>144</v>
      </c>
      <c r="P627" s="253" t="s">
        <v>144</v>
      </c>
      <c r="Q627" s="220" t="s">
        <v>338</v>
      </c>
      <c r="R627" s="220" t="s">
        <v>339</v>
      </c>
      <c r="S627" s="276" t="s">
        <v>147</v>
      </c>
      <c r="T627" s="221" t="s">
        <v>144</v>
      </c>
      <c r="U627" s="221" t="s">
        <v>144</v>
      </c>
      <c r="V627" s="253">
        <v>10</v>
      </c>
      <c r="W627" s="217" t="s">
        <v>144</v>
      </c>
      <c r="X627" s="221" t="s">
        <v>144</v>
      </c>
      <c r="Y627" s="221" t="s">
        <v>144</v>
      </c>
      <c r="Z627" s="221" t="s">
        <v>144</v>
      </c>
      <c r="AA627" s="253" t="s">
        <v>144</v>
      </c>
      <c r="AB627" s="217" t="s">
        <v>144</v>
      </c>
      <c r="AC627" s="253" t="s">
        <v>265</v>
      </c>
      <c r="AD627" s="253" t="s">
        <v>144</v>
      </c>
      <c r="AE627" s="253" t="s">
        <v>144</v>
      </c>
      <c r="AF627" s="254" t="s">
        <v>144</v>
      </c>
      <c r="AG627" s="838"/>
      <c r="AH627" s="280"/>
      <c r="AI627" s="281"/>
      <c r="AJ627" s="253"/>
      <c r="AK627" s="254"/>
      <c r="AL627" s="281"/>
      <c r="AM627" s="281"/>
      <c r="AN627" s="253"/>
      <c r="AO627" s="254"/>
      <c r="AP627" s="281"/>
      <c r="AQ627" s="281"/>
      <c r="AR627" s="253"/>
      <c r="AS627" s="254"/>
      <c r="AT627" s="281"/>
      <c r="AU627" s="281"/>
      <c r="AV627" s="253"/>
      <c r="AW627" s="254"/>
      <c r="AX627" s="281"/>
      <c r="AY627" s="281"/>
      <c r="AZ627" s="253"/>
      <c r="BA627" s="254"/>
      <c r="BB627" s="280"/>
      <c r="BC627" s="281"/>
      <c r="BD627" s="253"/>
      <c r="BE627" s="254"/>
      <c r="BF627" s="838"/>
    </row>
    <row r="628" spans="1:58" s="88" customFormat="1" ht="54" hidden="1" customHeight="1" x14ac:dyDescent="0.25">
      <c r="A628" s="267" t="s">
        <v>1687</v>
      </c>
      <c r="B628" s="268">
        <v>393</v>
      </c>
      <c r="C628" s="240" t="s">
        <v>1022</v>
      </c>
      <c r="D628" s="270" t="s">
        <v>1023</v>
      </c>
      <c r="E628" s="268" t="s">
        <v>5156</v>
      </c>
      <c r="F628" s="861" t="s">
        <v>5157</v>
      </c>
      <c r="G628" s="269" t="s">
        <v>5158</v>
      </c>
      <c r="H628" s="861" t="s">
        <v>5157</v>
      </c>
      <c r="I628" s="269" t="s">
        <v>5159</v>
      </c>
      <c r="J628" s="296" t="s">
        <v>140</v>
      </c>
      <c r="K628" s="297" t="s">
        <v>140</v>
      </c>
      <c r="L628" s="862" t="s">
        <v>5160</v>
      </c>
      <c r="M628" s="847" t="s">
        <v>193</v>
      </c>
      <c r="N628" s="270" t="s">
        <v>194</v>
      </c>
      <c r="O628" s="240" t="s">
        <v>144</v>
      </c>
      <c r="P628" s="240" t="s">
        <v>144</v>
      </c>
      <c r="Q628" s="845" t="s">
        <v>144</v>
      </c>
      <c r="R628" s="208" t="s">
        <v>144</v>
      </c>
      <c r="S628" s="864" t="s">
        <v>746</v>
      </c>
      <c r="T628" s="212" t="s">
        <v>1104</v>
      </c>
      <c r="U628" s="213" t="s">
        <v>1105</v>
      </c>
      <c r="V628" s="847">
        <v>19</v>
      </c>
      <c r="W628" s="415" t="s">
        <v>144</v>
      </c>
      <c r="X628" s="212">
        <v>41</v>
      </c>
      <c r="Y628" s="212" t="s">
        <v>144</v>
      </c>
      <c r="Z628" s="241" t="s">
        <v>144</v>
      </c>
      <c r="AA628" s="616" t="s">
        <v>148</v>
      </c>
      <c r="AB628" s="206" t="s">
        <v>140</v>
      </c>
      <c r="AC628" s="847" t="s">
        <v>265</v>
      </c>
      <c r="AD628" s="847" t="s">
        <v>2541</v>
      </c>
      <c r="AE628" s="847" t="s">
        <v>144</v>
      </c>
      <c r="AF628" s="848" t="s">
        <v>144</v>
      </c>
      <c r="AG628" s="838"/>
      <c r="AH628" s="866"/>
      <c r="AI628" s="273"/>
      <c r="AJ628" s="847"/>
      <c r="AK628" s="848"/>
      <c r="AL628" s="867"/>
      <c r="AM628" s="273"/>
      <c r="AN628" s="847"/>
      <c r="AO628" s="848"/>
      <c r="AP628" s="867"/>
      <c r="AQ628" s="273"/>
      <c r="AR628" s="847"/>
      <c r="AS628" s="848"/>
      <c r="AT628" s="867"/>
      <c r="AU628" s="273"/>
      <c r="AV628" s="847"/>
      <c r="AW628" s="848"/>
      <c r="AX628" s="867"/>
      <c r="AY628" s="273"/>
      <c r="AZ628" s="847"/>
      <c r="BA628" s="848"/>
      <c r="BB628" s="866"/>
      <c r="BC628" s="273"/>
      <c r="BD628" s="847"/>
      <c r="BE628" s="848"/>
      <c r="BF628" s="838"/>
    </row>
    <row r="629" spans="1:58" s="88" customFormat="1" ht="54" hidden="1" customHeight="1" x14ac:dyDescent="0.25">
      <c r="A629" s="267" t="s">
        <v>1687</v>
      </c>
      <c r="B629" s="268">
        <v>394</v>
      </c>
      <c r="C629" s="240" t="s">
        <v>1022</v>
      </c>
      <c r="D629" s="270" t="s">
        <v>1023</v>
      </c>
      <c r="E629" s="268" t="s">
        <v>5161</v>
      </c>
      <c r="F629" s="861" t="s">
        <v>5162</v>
      </c>
      <c r="G629" s="269" t="s">
        <v>5163</v>
      </c>
      <c r="H629" s="845" t="s">
        <v>5164</v>
      </c>
      <c r="I629" s="269" t="s">
        <v>5165</v>
      </c>
      <c r="J629" s="296" t="s">
        <v>140</v>
      </c>
      <c r="K629" s="297" t="s">
        <v>140</v>
      </c>
      <c r="L629" s="862" t="s">
        <v>5166</v>
      </c>
      <c r="M629" s="847" t="s">
        <v>973</v>
      </c>
      <c r="N629" s="270" t="s">
        <v>974</v>
      </c>
      <c r="O629" s="240" t="s">
        <v>814</v>
      </c>
      <c r="P629" s="240" t="s">
        <v>815</v>
      </c>
      <c r="Q629" s="845" t="s">
        <v>144</v>
      </c>
      <c r="R629" s="208" t="s">
        <v>144</v>
      </c>
      <c r="S629" s="864" t="s">
        <v>147</v>
      </c>
      <c r="T629" s="212" t="s">
        <v>144</v>
      </c>
      <c r="U629" s="213" t="s">
        <v>144</v>
      </c>
      <c r="V629" s="847">
        <v>3</v>
      </c>
      <c r="W629" s="415" t="s">
        <v>144</v>
      </c>
      <c r="X629" s="212">
        <v>41</v>
      </c>
      <c r="Y629" s="212" t="s">
        <v>144</v>
      </c>
      <c r="Z629" s="241" t="s">
        <v>144</v>
      </c>
      <c r="AA629" s="616" t="s">
        <v>148</v>
      </c>
      <c r="AB629" s="206" t="s">
        <v>140</v>
      </c>
      <c r="AC629" s="847" t="s">
        <v>265</v>
      </c>
      <c r="AD629" s="847" t="s">
        <v>2541</v>
      </c>
      <c r="AE629" s="847" t="s">
        <v>144</v>
      </c>
      <c r="AF629" s="848" t="s">
        <v>144</v>
      </c>
      <c r="AG629" s="838"/>
      <c r="AH629" s="866" t="s">
        <v>5167</v>
      </c>
      <c r="AI629" s="273" t="s">
        <v>5168</v>
      </c>
      <c r="AJ629" s="847">
        <v>7</v>
      </c>
      <c r="AK629" s="848" t="s">
        <v>1280</v>
      </c>
      <c r="AL629" s="867" t="s">
        <v>294</v>
      </c>
      <c r="AM629" s="273" t="s">
        <v>295</v>
      </c>
      <c r="AN629" s="847">
        <v>7</v>
      </c>
      <c r="AO629" s="187" t="s">
        <v>966</v>
      </c>
      <c r="AP629" s="867"/>
      <c r="AQ629" s="273"/>
      <c r="AR629" s="847"/>
      <c r="AS629" s="848"/>
      <c r="AT629" s="867"/>
      <c r="AU629" s="273"/>
      <c r="AV629" s="847"/>
      <c r="AW629" s="848"/>
      <c r="AX629" s="867"/>
      <c r="AY629" s="273"/>
      <c r="AZ629" s="847"/>
      <c r="BA629" s="848"/>
      <c r="BB629" s="866"/>
      <c r="BC629" s="273"/>
      <c r="BD629" s="847"/>
      <c r="BE629" s="848"/>
      <c r="BF629" s="838"/>
    </row>
    <row r="630" spans="1:58" s="88" customFormat="1" ht="54" hidden="1" customHeight="1" x14ac:dyDescent="0.25">
      <c r="A630" s="267" t="s">
        <v>1687</v>
      </c>
      <c r="B630" s="268">
        <v>395</v>
      </c>
      <c r="C630" s="240" t="s">
        <v>684</v>
      </c>
      <c r="D630" s="270" t="s">
        <v>685</v>
      </c>
      <c r="E630" s="268" t="s">
        <v>5169</v>
      </c>
      <c r="F630" s="861" t="s">
        <v>5170</v>
      </c>
      <c r="G630" s="269" t="s">
        <v>5171</v>
      </c>
      <c r="H630" s="861" t="s">
        <v>5170</v>
      </c>
      <c r="I630" s="269" t="s">
        <v>5171</v>
      </c>
      <c r="J630" s="296" t="s">
        <v>140</v>
      </c>
      <c r="K630" s="297" t="s">
        <v>140</v>
      </c>
      <c r="L630" s="862" t="s">
        <v>5172</v>
      </c>
      <c r="M630" s="847" t="s">
        <v>973</v>
      </c>
      <c r="N630" s="270" t="s">
        <v>974</v>
      </c>
      <c r="O630" s="240" t="s">
        <v>144</v>
      </c>
      <c r="P630" s="240" t="s">
        <v>144</v>
      </c>
      <c r="Q630" s="845" t="s">
        <v>144</v>
      </c>
      <c r="R630" s="208" t="s">
        <v>144</v>
      </c>
      <c r="S630" s="864" t="s">
        <v>746</v>
      </c>
      <c r="T630" s="212" t="s">
        <v>1104</v>
      </c>
      <c r="U630" s="213" t="s">
        <v>1105</v>
      </c>
      <c r="V630" s="847">
        <v>19</v>
      </c>
      <c r="W630" s="415" t="s">
        <v>144</v>
      </c>
      <c r="X630" s="212">
        <v>41</v>
      </c>
      <c r="Y630" s="212" t="s">
        <v>144</v>
      </c>
      <c r="Z630" s="241" t="s">
        <v>144</v>
      </c>
      <c r="AA630" s="615" t="s">
        <v>733</v>
      </c>
      <c r="AB630" s="206" t="s">
        <v>140</v>
      </c>
      <c r="AC630" s="847" t="s">
        <v>265</v>
      </c>
      <c r="AD630" s="847" t="s">
        <v>2541</v>
      </c>
      <c r="AE630" s="847" t="s">
        <v>144</v>
      </c>
      <c r="AF630" s="848" t="s">
        <v>144</v>
      </c>
      <c r="AG630" s="838"/>
      <c r="AH630" s="866" t="s">
        <v>5173</v>
      </c>
      <c r="AI630" s="273" t="s">
        <v>5174</v>
      </c>
      <c r="AJ630" s="847">
        <v>6</v>
      </c>
      <c r="AK630" s="848" t="s">
        <v>5175</v>
      </c>
      <c r="AL630" s="867"/>
      <c r="AM630" s="273"/>
      <c r="AN630" s="847"/>
      <c r="AO630" s="848"/>
      <c r="AP630" s="867"/>
      <c r="AQ630" s="273"/>
      <c r="AR630" s="847"/>
      <c r="AS630" s="848"/>
      <c r="AT630" s="867"/>
      <c r="AU630" s="273"/>
      <c r="AV630" s="847"/>
      <c r="AW630" s="848"/>
      <c r="AX630" s="867"/>
      <c r="AY630" s="273"/>
      <c r="AZ630" s="847"/>
      <c r="BA630" s="848"/>
      <c r="BB630" s="866"/>
      <c r="BC630" s="273"/>
      <c r="BD630" s="847"/>
      <c r="BE630" s="848"/>
      <c r="BF630" s="838"/>
    </row>
    <row r="631" spans="1:58" s="88" customFormat="1" ht="54" hidden="1" customHeight="1" x14ac:dyDescent="0.25">
      <c r="A631" s="267" t="s">
        <v>1687</v>
      </c>
      <c r="B631" s="268">
        <v>396</v>
      </c>
      <c r="C631" s="240" t="s">
        <v>684</v>
      </c>
      <c r="D631" s="270" t="s">
        <v>685</v>
      </c>
      <c r="E631" s="268" t="s">
        <v>5176</v>
      </c>
      <c r="F631" s="861" t="s">
        <v>5177</v>
      </c>
      <c r="G631" s="269" t="s">
        <v>5178</v>
      </c>
      <c r="H631" s="861" t="s">
        <v>5177</v>
      </c>
      <c r="I631" s="269" t="s">
        <v>5178</v>
      </c>
      <c r="J631" s="296" t="s">
        <v>140</v>
      </c>
      <c r="K631" s="297" t="s">
        <v>140</v>
      </c>
      <c r="L631" s="862" t="s">
        <v>5179</v>
      </c>
      <c r="M631" s="847" t="s">
        <v>973</v>
      </c>
      <c r="N631" s="270" t="s">
        <v>974</v>
      </c>
      <c r="O631" s="240" t="s">
        <v>814</v>
      </c>
      <c r="P631" s="240" t="s">
        <v>815</v>
      </c>
      <c r="Q631" s="845" t="s">
        <v>144</v>
      </c>
      <c r="R631" s="208" t="s">
        <v>144</v>
      </c>
      <c r="S631" s="864" t="s">
        <v>147</v>
      </c>
      <c r="T631" s="212" t="s">
        <v>144</v>
      </c>
      <c r="U631" s="213" t="s">
        <v>144</v>
      </c>
      <c r="V631" s="847">
        <v>3</v>
      </c>
      <c r="W631" s="415" t="s">
        <v>144</v>
      </c>
      <c r="X631" s="212">
        <v>41</v>
      </c>
      <c r="Y631" s="212" t="s">
        <v>144</v>
      </c>
      <c r="Z631" s="241" t="s">
        <v>144</v>
      </c>
      <c r="AA631" s="615" t="s">
        <v>733</v>
      </c>
      <c r="AB631" s="206" t="s">
        <v>140</v>
      </c>
      <c r="AC631" s="847" t="s">
        <v>265</v>
      </c>
      <c r="AD631" s="847" t="s">
        <v>2541</v>
      </c>
      <c r="AE631" s="847" t="s">
        <v>144</v>
      </c>
      <c r="AF631" s="848" t="s">
        <v>144</v>
      </c>
      <c r="AG631" s="838"/>
      <c r="AH631" s="866" t="s">
        <v>5180</v>
      </c>
      <c r="AI631" s="273" t="s">
        <v>5181</v>
      </c>
      <c r="AJ631" s="847">
        <v>7</v>
      </c>
      <c r="AK631" s="848" t="s">
        <v>1280</v>
      </c>
      <c r="AL631" s="867" t="s">
        <v>294</v>
      </c>
      <c r="AM631" s="273" t="s">
        <v>295</v>
      </c>
      <c r="AN631" s="847">
        <v>7</v>
      </c>
      <c r="AO631" s="187" t="s">
        <v>966</v>
      </c>
      <c r="AP631" s="867"/>
      <c r="AQ631" s="273"/>
      <c r="AR631" s="847"/>
      <c r="AS631" s="848"/>
      <c r="AT631" s="867"/>
      <c r="AU631" s="273"/>
      <c r="AV631" s="847"/>
      <c r="AW631" s="848"/>
      <c r="AX631" s="867"/>
      <c r="AY631" s="273"/>
      <c r="AZ631" s="847"/>
      <c r="BA631" s="848"/>
      <c r="BB631" s="866"/>
      <c r="BC631" s="273"/>
      <c r="BD631" s="847"/>
      <c r="BE631" s="848"/>
      <c r="BF631" s="838"/>
    </row>
    <row r="632" spans="1:58" s="88" customFormat="1" ht="54" hidden="1" customHeight="1" x14ac:dyDescent="0.25">
      <c r="A632" s="267" t="s">
        <v>1687</v>
      </c>
      <c r="B632" s="268">
        <v>397</v>
      </c>
      <c r="C632" s="240" t="s">
        <v>684</v>
      </c>
      <c r="D632" s="270" t="s">
        <v>685</v>
      </c>
      <c r="E632" s="268" t="s">
        <v>5182</v>
      </c>
      <c r="F632" s="861" t="s">
        <v>5183</v>
      </c>
      <c r="G632" s="269" t="s">
        <v>5184</v>
      </c>
      <c r="H632" s="861" t="s">
        <v>5183</v>
      </c>
      <c r="I632" s="269" t="s">
        <v>5184</v>
      </c>
      <c r="J632" s="296" t="s">
        <v>140</v>
      </c>
      <c r="K632" s="297" t="s">
        <v>140</v>
      </c>
      <c r="L632" s="862" t="s">
        <v>5185</v>
      </c>
      <c r="M632" s="847" t="s">
        <v>973</v>
      </c>
      <c r="N632" s="270" t="s">
        <v>974</v>
      </c>
      <c r="O632" s="240" t="s">
        <v>144</v>
      </c>
      <c r="P632" s="240" t="s">
        <v>144</v>
      </c>
      <c r="Q632" s="845" t="s">
        <v>144</v>
      </c>
      <c r="R632" s="208" t="s">
        <v>144</v>
      </c>
      <c r="S632" s="864" t="s">
        <v>746</v>
      </c>
      <c r="T632" s="212" t="s">
        <v>1104</v>
      </c>
      <c r="U632" s="213" t="s">
        <v>1105</v>
      </c>
      <c r="V632" s="847">
        <v>19</v>
      </c>
      <c r="W632" s="415" t="s">
        <v>144</v>
      </c>
      <c r="X632" s="212">
        <v>41</v>
      </c>
      <c r="Y632" s="212" t="s">
        <v>144</v>
      </c>
      <c r="Z632" s="241" t="s">
        <v>144</v>
      </c>
      <c r="AA632" s="615" t="s">
        <v>733</v>
      </c>
      <c r="AB632" s="206" t="s">
        <v>140</v>
      </c>
      <c r="AC632" s="847" t="s">
        <v>265</v>
      </c>
      <c r="AD632" s="847" t="s">
        <v>2541</v>
      </c>
      <c r="AE632" s="847" t="s">
        <v>144</v>
      </c>
      <c r="AF632" s="848" t="s">
        <v>144</v>
      </c>
      <c r="AG632" s="838"/>
      <c r="AH632" s="866" t="s">
        <v>5173</v>
      </c>
      <c r="AI632" s="273" t="s">
        <v>5174</v>
      </c>
      <c r="AJ632" s="847">
        <v>6</v>
      </c>
      <c r="AK632" s="848" t="s">
        <v>5175</v>
      </c>
      <c r="AL632" s="867"/>
      <c r="AM632" s="273"/>
      <c r="AN632" s="847"/>
      <c r="AO632" s="848"/>
      <c r="AP632" s="867" t="s">
        <v>1107</v>
      </c>
      <c r="AQ632" s="273" t="s">
        <v>1108</v>
      </c>
      <c r="AR632" s="847">
        <v>7</v>
      </c>
      <c r="AS632" s="286" t="s">
        <v>1109</v>
      </c>
      <c r="AT632" s="867"/>
      <c r="AU632" s="273"/>
      <c r="AV632" s="847"/>
      <c r="AW632" s="848"/>
      <c r="AX632" s="867"/>
      <c r="AY632" s="273"/>
      <c r="AZ632" s="847"/>
      <c r="BA632" s="848"/>
      <c r="BB632" s="866"/>
      <c r="BC632" s="273"/>
      <c r="BD632" s="847"/>
      <c r="BE632" s="848"/>
      <c r="BF632" s="838"/>
    </row>
    <row r="633" spans="1:58" s="88" customFormat="1" ht="54" hidden="1" customHeight="1" x14ac:dyDescent="0.25">
      <c r="A633" s="267" t="s">
        <v>1687</v>
      </c>
      <c r="B633" s="268">
        <v>398</v>
      </c>
      <c r="C633" s="240" t="s">
        <v>684</v>
      </c>
      <c r="D633" s="270" t="s">
        <v>685</v>
      </c>
      <c r="E633" s="268" t="s">
        <v>5186</v>
      </c>
      <c r="F633" s="861" t="s">
        <v>5187</v>
      </c>
      <c r="G633" s="269" t="s">
        <v>5188</v>
      </c>
      <c r="H633" s="861" t="s">
        <v>5187</v>
      </c>
      <c r="I633" s="269" t="s">
        <v>5188</v>
      </c>
      <c r="J633" s="296" t="s">
        <v>140</v>
      </c>
      <c r="K633" s="297" t="s">
        <v>140</v>
      </c>
      <c r="L633" s="862" t="s">
        <v>5189</v>
      </c>
      <c r="M633" s="847" t="s">
        <v>973</v>
      </c>
      <c r="N633" s="270" t="s">
        <v>974</v>
      </c>
      <c r="O633" s="240" t="s">
        <v>814</v>
      </c>
      <c r="P633" s="240" t="s">
        <v>815</v>
      </c>
      <c r="Q633" s="845" t="s">
        <v>144</v>
      </c>
      <c r="R633" s="208" t="s">
        <v>144</v>
      </c>
      <c r="S633" s="864" t="s">
        <v>147</v>
      </c>
      <c r="T633" s="212" t="s">
        <v>144</v>
      </c>
      <c r="U633" s="213" t="s">
        <v>144</v>
      </c>
      <c r="V633" s="847">
        <v>3</v>
      </c>
      <c r="W633" s="415" t="s">
        <v>144</v>
      </c>
      <c r="X633" s="212">
        <v>41</v>
      </c>
      <c r="Y633" s="212" t="s">
        <v>144</v>
      </c>
      <c r="Z633" s="241" t="s">
        <v>144</v>
      </c>
      <c r="AA633" s="615" t="s">
        <v>733</v>
      </c>
      <c r="AB633" s="206" t="s">
        <v>140</v>
      </c>
      <c r="AC633" s="847" t="s">
        <v>265</v>
      </c>
      <c r="AD633" s="847" t="s">
        <v>2541</v>
      </c>
      <c r="AE633" s="847" t="s">
        <v>144</v>
      </c>
      <c r="AF633" s="848" t="s">
        <v>144</v>
      </c>
      <c r="AG633" s="838"/>
      <c r="AH633" s="866" t="s">
        <v>5190</v>
      </c>
      <c r="AI633" s="273" t="s">
        <v>5191</v>
      </c>
      <c r="AJ633" s="847">
        <v>7</v>
      </c>
      <c r="AK633" s="848" t="s">
        <v>1280</v>
      </c>
      <c r="AL633" s="867" t="s">
        <v>294</v>
      </c>
      <c r="AM633" s="273" t="s">
        <v>295</v>
      </c>
      <c r="AN633" s="847">
        <v>7</v>
      </c>
      <c r="AO633" s="187" t="s">
        <v>966</v>
      </c>
      <c r="AP633" s="867"/>
      <c r="AQ633" s="273"/>
      <c r="AR633" s="847"/>
      <c r="AS633" s="848"/>
      <c r="AT633" s="867"/>
      <c r="AU633" s="273"/>
      <c r="AV633" s="847"/>
      <c r="AW633" s="848"/>
      <c r="AX633" s="867"/>
      <c r="AY633" s="273"/>
      <c r="AZ633" s="847"/>
      <c r="BA633" s="848"/>
      <c r="BB633" s="866"/>
      <c r="BC633" s="273"/>
      <c r="BD633" s="847"/>
      <c r="BE633" s="848"/>
      <c r="BF633" s="838"/>
    </row>
    <row r="634" spans="1:58" s="88" customFormat="1" ht="54" hidden="1" customHeight="1" x14ac:dyDescent="0.25">
      <c r="A634" s="267" t="s">
        <v>1687</v>
      </c>
      <c r="B634" s="268">
        <v>399</v>
      </c>
      <c r="C634" s="240" t="s">
        <v>1022</v>
      </c>
      <c r="D634" s="270" t="s">
        <v>1023</v>
      </c>
      <c r="E634" s="268" t="s">
        <v>5192</v>
      </c>
      <c r="F634" s="861" t="s">
        <v>5193</v>
      </c>
      <c r="G634" s="269" t="s">
        <v>5194</v>
      </c>
      <c r="H634" s="861" t="s">
        <v>5193</v>
      </c>
      <c r="I634" s="269" t="s">
        <v>5194</v>
      </c>
      <c r="J634" s="296" t="s">
        <v>140</v>
      </c>
      <c r="K634" s="297" t="s">
        <v>140</v>
      </c>
      <c r="L634" s="862" t="s">
        <v>5195</v>
      </c>
      <c r="M634" s="847" t="s">
        <v>973</v>
      </c>
      <c r="N634" s="270" t="s">
        <v>974</v>
      </c>
      <c r="O634" s="240" t="s">
        <v>144</v>
      </c>
      <c r="P634" s="240" t="s">
        <v>144</v>
      </c>
      <c r="Q634" s="845" t="s">
        <v>144</v>
      </c>
      <c r="R634" s="208" t="s">
        <v>144</v>
      </c>
      <c r="S634" s="864" t="s">
        <v>746</v>
      </c>
      <c r="T634" s="212" t="s">
        <v>3155</v>
      </c>
      <c r="U634" s="213" t="s">
        <v>3156</v>
      </c>
      <c r="V634" s="307">
        <v>6</v>
      </c>
      <c r="W634" s="415" t="s">
        <v>144</v>
      </c>
      <c r="X634" s="212">
        <v>41</v>
      </c>
      <c r="Y634" s="212" t="s">
        <v>144</v>
      </c>
      <c r="Z634" s="241" t="s">
        <v>144</v>
      </c>
      <c r="AA634" s="615" t="s">
        <v>733</v>
      </c>
      <c r="AB634" s="206" t="s">
        <v>140</v>
      </c>
      <c r="AC634" s="847" t="s">
        <v>265</v>
      </c>
      <c r="AD634" s="847" t="s">
        <v>2541</v>
      </c>
      <c r="AE634" s="847" t="s">
        <v>144</v>
      </c>
      <c r="AF634" s="848" t="s">
        <v>144</v>
      </c>
      <c r="AG634" s="838"/>
      <c r="AH634" s="866" t="s">
        <v>5173</v>
      </c>
      <c r="AI634" s="273" t="s">
        <v>5174</v>
      </c>
      <c r="AJ634" s="847">
        <v>6</v>
      </c>
      <c r="AK634" s="848" t="s">
        <v>5175</v>
      </c>
      <c r="AL634" s="867"/>
      <c r="AM634" s="273"/>
      <c r="AN634" s="847"/>
      <c r="AO634" s="848"/>
      <c r="AP634" s="867"/>
      <c r="AQ634" s="273"/>
      <c r="AR634" s="847"/>
      <c r="AS634" s="848"/>
      <c r="AT634" s="867"/>
      <c r="AU634" s="273"/>
      <c r="AV634" s="847"/>
      <c r="AW634" s="848"/>
      <c r="AX634" s="867"/>
      <c r="AY634" s="273"/>
      <c r="AZ634" s="847"/>
      <c r="BA634" s="848"/>
      <c r="BB634" s="866"/>
      <c r="BC634" s="273"/>
      <c r="BD634" s="847"/>
      <c r="BE634" s="848"/>
      <c r="BF634" s="838"/>
    </row>
    <row r="635" spans="1:58" s="88" customFormat="1" ht="54" hidden="1" customHeight="1" x14ac:dyDescent="0.25">
      <c r="A635" s="267" t="s">
        <v>1687</v>
      </c>
      <c r="B635" s="268">
        <v>400</v>
      </c>
      <c r="C635" s="240" t="s">
        <v>1022</v>
      </c>
      <c r="D635" s="270" t="s">
        <v>1023</v>
      </c>
      <c r="E635" s="268" t="s">
        <v>5196</v>
      </c>
      <c r="F635" s="861" t="s">
        <v>5197</v>
      </c>
      <c r="G635" s="269" t="s">
        <v>5198</v>
      </c>
      <c r="H635" s="861" t="s">
        <v>5197</v>
      </c>
      <c r="I635" s="269" t="s">
        <v>5198</v>
      </c>
      <c r="J635" s="296" t="s">
        <v>140</v>
      </c>
      <c r="K635" s="297" t="s">
        <v>140</v>
      </c>
      <c r="L635" s="862" t="s">
        <v>5199</v>
      </c>
      <c r="M635" s="847" t="s">
        <v>973</v>
      </c>
      <c r="N635" s="270" t="s">
        <v>974</v>
      </c>
      <c r="O635" s="240" t="s">
        <v>144</v>
      </c>
      <c r="P635" s="240" t="s">
        <v>144</v>
      </c>
      <c r="Q635" s="845" t="s">
        <v>144</v>
      </c>
      <c r="R635" s="208" t="s">
        <v>144</v>
      </c>
      <c r="S635" s="864" t="s">
        <v>746</v>
      </c>
      <c r="T635" s="212" t="s">
        <v>3155</v>
      </c>
      <c r="U635" s="213" t="s">
        <v>3156</v>
      </c>
      <c r="V635" s="307">
        <v>6</v>
      </c>
      <c r="W635" s="415" t="s">
        <v>144</v>
      </c>
      <c r="X635" s="212">
        <v>41</v>
      </c>
      <c r="Y635" s="212" t="s">
        <v>144</v>
      </c>
      <c r="Z635" s="241" t="s">
        <v>144</v>
      </c>
      <c r="AA635" s="615" t="s">
        <v>733</v>
      </c>
      <c r="AB635" s="206" t="s">
        <v>140</v>
      </c>
      <c r="AC635" s="847" t="s">
        <v>265</v>
      </c>
      <c r="AD635" s="847" t="s">
        <v>2541</v>
      </c>
      <c r="AE635" s="847" t="s">
        <v>144</v>
      </c>
      <c r="AF635" s="848" t="s">
        <v>144</v>
      </c>
      <c r="AG635" s="838"/>
      <c r="AH635" s="866" t="s">
        <v>5173</v>
      </c>
      <c r="AI635" s="273" t="s">
        <v>5174</v>
      </c>
      <c r="AJ635" s="847">
        <v>6</v>
      </c>
      <c r="AK635" s="848" t="s">
        <v>5175</v>
      </c>
      <c r="AL635" s="867"/>
      <c r="AM635" s="273"/>
      <c r="AN635" s="847"/>
      <c r="AO635" s="848"/>
      <c r="AP635" s="867"/>
      <c r="AQ635" s="273"/>
      <c r="AR635" s="847"/>
      <c r="AS635" s="848"/>
      <c r="AT635" s="867"/>
      <c r="AU635" s="273"/>
      <c r="AV635" s="847"/>
      <c r="AW635" s="848"/>
      <c r="AX635" s="867"/>
      <c r="AY635" s="273"/>
      <c r="AZ635" s="847"/>
      <c r="BA635" s="848"/>
      <c r="BB635" s="866"/>
      <c r="BC635" s="273"/>
      <c r="BD635" s="847"/>
      <c r="BE635" s="848"/>
      <c r="BF635" s="838"/>
    </row>
    <row r="636" spans="1:58" s="57" customFormat="1" ht="54" customHeight="1" x14ac:dyDescent="0.25">
      <c r="A636" s="275" t="s">
        <v>1687</v>
      </c>
      <c r="B636" s="276">
        <v>401</v>
      </c>
      <c r="C636" s="253" t="s">
        <v>144</v>
      </c>
      <c r="D636" s="253" t="s">
        <v>144</v>
      </c>
      <c r="E636" s="276" t="s">
        <v>5200</v>
      </c>
      <c r="F636" s="277" t="s">
        <v>251</v>
      </c>
      <c r="G636" s="277" t="s">
        <v>251</v>
      </c>
      <c r="H636" s="220" t="s">
        <v>336</v>
      </c>
      <c r="I636" s="218" t="s">
        <v>337</v>
      </c>
      <c r="J636" s="253" t="s">
        <v>144</v>
      </c>
      <c r="K636" s="253" t="s">
        <v>144</v>
      </c>
      <c r="L636" s="718" t="s">
        <v>5201</v>
      </c>
      <c r="M636" s="253" t="s">
        <v>144</v>
      </c>
      <c r="N636" s="253" t="s">
        <v>144</v>
      </c>
      <c r="O636" s="253" t="s">
        <v>144</v>
      </c>
      <c r="P636" s="253" t="s">
        <v>144</v>
      </c>
      <c r="Q636" s="220" t="s">
        <v>338</v>
      </c>
      <c r="R636" s="220" t="s">
        <v>339</v>
      </c>
      <c r="S636" s="276" t="s">
        <v>147</v>
      </c>
      <c r="T636" s="221" t="s">
        <v>144</v>
      </c>
      <c r="U636" s="221" t="s">
        <v>144</v>
      </c>
      <c r="V636" s="253">
        <v>100</v>
      </c>
      <c r="W636" s="217" t="s">
        <v>144</v>
      </c>
      <c r="X636" s="221" t="s">
        <v>144</v>
      </c>
      <c r="Y636" s="221" t="s">
        <v>144</v>
      </c>
      <c r="Z636" s="221" t="s">
        <v>144</v>
      </c>
      <c r="AA636" s="253" t="s">
        <v>144</v>
      </c>
      <c r="AB636" s="217" t="s">
        <v>144</v>
      </c>
      <c r="AC636" s="253" t="s">
        <v>265</v>
      </c>
      <c r="AD636" s="253" t="s">
        <v>144</v>
      </c>
      <c r="AE636" s="253" t="s">
        <v>144</v>
      </c>
      <c r="AF636" s="254" t="s">
        <v>144</v>
      </c>
      <c r="AG636" s="838"/>
      <c r="AH636" s="280"/>
      <c r="AI636" s="281"/>
      <c r="AJ636" s="253"/>
      <c r="AK636" s="254"/>
      <c r="AL636" s="281"/>
      <c r="AM636" s="281"/>
      <c r="AN636" s="253"/>
      <c r="AO636" s="254"/>
      <c r="AP636" s="281"/>
      <c r="AQ636" s="281"/>
      <c r="AR636" s="253"/>
      <c r="AS636" s="254"/>
      <c r="AT636" s="281"/>
      <c r="AU636" s="281"/>
      <c r="AV636" s="253"/>
      <c r="AW636" s="254"/>
      <c r="AX636" s="281"/>
      <c r="AY636" s="281"/>
      <c r="AZ636" s="253"/>
      <c r="BA636" s="254"/>
      <c r="BB636" s="280"/>
      <c r="BC636" s="281"/>
      <c r="BD636" s="253"/>
      <c r="BE636" s="254"/>
      <c r="BF636" s="838"/>
    </row>
    <row r="637" spans="1:58" s="88" customFormat="1" ht="54" hidden="1" customHeight="1" x14ac:dyDescent="0.25">
      <c r="A637" s="267" t="s">
        <v>1687</v>
      </c>
      <c r="B637" s="268">
        <v>402</v>
      </c>
      <c r="C637" s="240" t="s">
        <v>5202</v>
      </c>
      <c r="D637" s="211" t="s">
        <v>5203</v>
      </c>
      <c r="E637" s="268" t="s">
        <v>5204</v>
      </c>
      <c r="F637" s="861" t="s">
        <v>5205</v>
      </c>
      <c r="G637" s="269" t="s">
        <v>5206</v>
      </c>
      <c r="H637" s="845" t="s">
        <v>5205</v>
      </c>
      <c r="I637" s="269" t="s">
        <v>5207</v>
      </c>
      <c r="J637" s="296" t="s">
        <v>140</v>
      </c>
      <c r="K637" s="297" t="s">
        <v>140</v>
      </c>
      <c r="L637" s="862" t="s">
        <v>5208</v>
      </c>
      <c r="M637" s="847" t="s">
        <v>193</v>
      </c>
      <c r="N637" s="270" t="s">
        <v>194</v>
      </c>
      <c r="O637" s="240" t="s">
        <v>5092</v>
      </c>
      <c r="P637" s="240" t="s">
        <v>5093</v>
      </c>
      <c r="Q637" s="845" t="s">
        <v>5209</v>
      </c>
      <c r="R637" s="208" t="s">
        <v>5210</v>
      </c>
      <c r="S637" s="864" t="s">
        <v>147</v>
      </c>
      <c r="T637" s="212" t="s">
        <v>144</v>
      </c>
      <c r="U637" s="213" t="s">
        <v>144</v>
      </c>
      <c r="V637" s="847">
        <v>1</v>
      </c>
      <c r="W637" s="415" t="s">
        <v>144</v>
      </c>
      <c r="X637" s="212">
        <v>41</v>
      </c>
      <c r="Y637" s="212" t="s">
        <v>144</v>
      </c>
      <c r="Z637" s="212" t="s">
        <v>144</v>
      </c>
      <c r="AA637" s="240" t="s">
        <v>5211</v>
      </c>
      <c r="AB637" s="206" t="s">
        <v>140</v>
      </c>
      <c r="AC637" s="847" t="s">
        <v>265</v>
      </c>
      <c r="AD637" s="847" t="s">
        <v>1690</v>
      </c>
      <c r="AE637" s="847" t="s">
        <v>144</v>
      </c>
      <c r="AF637" s="848" t="s">
        <v>144</v>
      </c>
      <c r="AG637" s="838"/>
      <c r="AH637" s="866"/>
      <c r="AI637" s="273"/>
      <c r="AJ637" s="847"/>
      <c r="AK637" s="848"/>
      <c r="AL637" s="867" t="s">
        <v>294</v>
      </c>
      <c r="AM637" s="273" t="s">
        <v>295</v>
      </c>
      <c r="AN637" s="847">
        <v>7</v>
      </c>
      <c r="AO637" s="187" t="s">
        <v>966</v>
      </c>
      <c r="AP637" s="867"/>
      <c r="AQ637" s="273"/>
      <c r="AR637" s="847"/>
      <c r="AS637" s="848"/>
      <c r="AT637" s="867"/>
      <c r="AU637" s="273"/>
      <c r="AV637" s="847"/>
      <c r="AW637" s="848"/>
      <c r="AX637" s="867"/>
      <c r="AY637" s="273"/>
      <c r="AZ637" s="847"/>
      <c r="BA637" s="848"/>
      <c r="BB637" s="866"/>
      <c r="BC637" s="273"/>
      <c r="BD637" s="847"/>
      <c r="BE637" s="848"/>
      <c r="BF637" s="838"/>
    </row>
    <row r="638" spans="1:58" s="88" customFormat="1" ht="54" hidden="1" customHeight="1" x14ac:dyDescent="0.25">
      <c r="A638" s="267" t="s">
        <v>1687</v>
      </c>
      <c r="B638" s="268">
        <v>403</v>
      </c>
      <c r="C638" s="240" t="s">
        <v>5202</v>
      </c>
      <c r="D638" s="211" t="s">
        <v>5203</v>
      </c>
      <c r="E638" s="268" t="s">
        <v>5212</v>
      </c>
      <c r="F638" s="861" t="s">
        <v>5213</v>
      </c>
      <c r="G638" s="269" t="s">
        <v>5214</v>
      </c>
      <c r="H638" s="845" t="s">
        <v>5215</v>
      </c>
      <c r="I638" s="208" t="s">
        <v>5216</v>
      </c>
      <c r="J638" s="240" t="s">
        <v>140</v>
      </c>
      <c r="K638" s="270" t="s">
        <v>140</v>
      </c>
      <c r="L638" s="862" t="s">
        <v>5217</v>
      </c>
      <c r="M638" s="847" t="s">
        <v>973</v>
      </c>
      <c r="N638" s="270" t="s">
        <v>974</v>
      </c>
      <c r="O638" s="240" t="s">
        <v>5218</v>
      </c>
      <c r="P638" s="240" t="s">
        <v>5219</v>
      </c>
      <c r="Q638" s="845" t="s">
        <v>144</v>
      </c>
      <c r="R638" s="208" t="s">
        <v>144</v>
      </c>
      <c r="S638" s="864" t="s">
        <v>147</v>
      </c>
      <c r="T638" s="212" t="s">
        <v>144</v>
      </c>
      <c r="U638" s="213" t="s">
        <v>144</v>
      </c>
      <c r="V638" s="847">
        <v>1</v>
      </c>
      <c r="W638" s="415" t="s">
        <v>144</v>
      </c>
      <c r="X638" s="212">
        <v>43</v>
      </c>
      <c r="Y638" s="212" t="s">
        <v>144</v>
      </c>
      <c r="Z638" s="241" t="s">
        <v>144</v>
      </c>
      <c r="AA638" s="437" t="s">
        <v>5220</v>
      </c>
      <c r="AB638" s="206" t="s">
        <v>140</v>
      </c>
      <c r="AC638" s="847" t="s">
        <v>265</v>
      </c>
      <c r="AD638" s="847" t="s">
        <v>5221</v>
      </c>
      <c r="AE638" s="847" t="s">
        <v>144</v>
      </c>
      <c r="AF638" s="848" t="s">
        <v>144</v>
      </c>
      <c r="AG638" s="838"/>
      <c r="AH638" s="866" t="s">
        <v>5222</v>
      </c>
      <c r="AI638" s="273" t="s">
        <v>5223</v>
      </c>
      <c r="AJ638" s="847">
        <v>6</v>
      </c>
      <c r="AK638" s="848" t="s">
        <v>5224</v>
      </c>
      <c r="AL638" s="875" t="s">
        <v>294</v>
      </c>
      <c r="AM638" s="301" t="s">
        <v>295</v>
      </c>
      <c r="AN638" s="847">
        <v>7</v>
      </c>
      <c r="AO638" s="187" t="s">
        <v>966</v>
      </c>
      <c r="AP638" s="867"/>
      <c r="AQ638" s="273"/>
      <c r="AR638" s="847"/>
      <c r="AS638" s="848"/>
      <c r="AT638" s="867"/>
      <c r="AU638" s="273"/>
      <c r="AV638" s="847"/>
      <c r="AW638" s="848"/>
      <c r="AX638" s="867"/>
      <c r="AY638" s="273"/>
      <c r="AZ638" s="847"/>
      <c r="BA638" s="848"/>
      <c r="BB638" s="866"/>
      <c r="BC638" s="273"/>
      <c r="BD638" s="847"/>
      <c r="BE638" s="848"/>
      <c r="BF638" s="838"/>
    </row>
    <row r="639" spans="1:58" s="88" customFormat="1" ht="54" hidden="1" customHeight="1" x14ac:dyDescent="0.25">
      <c r="A639" s="267" t="s">
        <v>1687</v>
      </c>
      <c r="B639" s="268">
        <v>404</v>
      </c>
      <c r="C639" s="240" t="s">
        <v>5202</v>
      </c>
      <c r="D639" s="211" t="s">
        <v>5203</v>
      </c>
      <c r="E639" s="268" t="s">
        <v>5225</v>
      </c>
      <c r="F639" s="861" t="s">
        <v>5226</v>
      </c>
      <c r="G639" s="269" t="s">
        <v>5227</v>
      </c>
      <c r="H639" s="345" t="s">
        <v>5228</v>
      </c>
      <c r="I639" s="208" t="s">
        <v>5229</v>
      </c>
      <c r="J639" s="240" t="s">
        <v>140</v>
      </c>
      <c r="K639" s="270" t="s">
        <v>140</v>
      </c>
      <c r="L639" s="862" t="s">
        <v>5230</v>
      </c>
      <c r="M639" s="240" t="s">
        <v>973</v>
      </c>
      <c r="N639" s="270" t="s">
        <v>974</v>
      </c>
      <c r="O639" s="240" t="s">
        <v>144</v>
      </c>
      <c r="P639" s="240" t="s">
        <v>144</v>
      </c>
      <c r="Q639" s="845" t="s">
        <v>144</v>
      </c>
      <c r="R639" s="208" t="s">
        <v>144</v>
      </c>
      <c r="S639" s="864" t="s">
        <v>147</v>
      </c>
      <c r="T639" s="212" t="s">
        <v>144</v>
      </c>
      <c r="U639" s="213" t="s">
        <v>144</v>
      </c>
      <c r="V639" s="847">
        <v>3</v>
      </c>
      <c r="W639" s="415" t="s">
        <v>144</v>
      </c>
      <c r="X639" s="212">
        <v>43</v>
      </c>
      <c r="Y639" s="212" t="s">
        <v>144</v>
      </c>
      <c r="Z639" s="214" t="s">
        <v>144</v>
      </c>
      <c r="AA639" s="240" t="s">
        <v>5211</v>
      </c>
      <c r="AB639" s="206" t="s">
        <v>140</v>
      </c>
      <c r="AC639" s="847" t="s">
        <v>265</v>
      </c>
      <c r="AD639" s="847" t="s">
        <v>5231</v>
      </c>
      <c r="AE639" s="847" t="s">
        <v>144</v>
      </c>
      <c r="AF639" s="848" t="s">
        <v>144</v>
      </c>
      <c r="AG639" s="838"/>
      <c r="AH639" s="866" t="s">
        <v>5232</v>
      </c>
      <c r="AI639" s="273" t="s">
        <v>5233</v>
      </c>
      <c r="AJ639" s="847">
        <v>6</v>
      </c>
      <c r="AK639" s="286" t="s">
        <v>5234</v>
      </c>
      <c r="AL639" s="867"/>
      <c r="AM639" s="273"/>
      <c r="AN639" s="847"/>
      <c r="AO639" s="848"/>
      <c r="AP639" s="867"/>
      <c r="AQ639" s="273"/>
      <c r="AR639" s="847"/>
      <c r="AS639" s="848"/>
      <c r="AT639" s="867" t="s">
        <v>5235</v>
      </c>
      <c r="AU639" s="273" t="s">
        <v>5236</v>
      </c>
      <c r="AV639" s="847">
        <v>6</v>
      </c>
      <c r="AW639" s="286" t="s">
        <v>5237</v>
      </c>
      <c r="AX639" s="867"/>
      <c r="AY639" s="273"/>
      <c r="AZ639" s="847"/>
      <c r="BA639" s="848"/>
      <c r="BB639" s="866"/>
      <c r="BC639" s="273"/>
      <c r="BD639" s="847"/>
      <c r="BE639" s="848"/>
      <c r="BF639" s="838"/>
    </row>
    <row r="640" spans="1:58" s="88" customFormat="1" ht="54" hidden="1" customHeight="1" x14ac:dyDescent="0.25">
      <c r="A640" s="267" t="s">
        <v>1687</v>
      </c>
      <c r="B640" s="268">
        <v>405</v>
      </c>
      <c r="C640" s="240" t="s">
        <v>5202</v>
      </c>
      <c r="D640" s="211" t="s">
        <v>5203</v>
      </c>
      <c r="E640" s="268" t="s">
        <v>5238</v>
      </c>
      <c r="F640" s="861" t="s">
        <v>5239</v>
      </c>
      <c r="G640" s="269" t="s">
        <v>5240</v>
      </c>
      <c r="H640" s="345" t="s">
        <v>5241</v>
      </c>
      <c r="I640" s="208" t="s">
        <v>5242</v>
      </c>
      <c r="J640" s="240" t="s">
        <v>140</v>
      </c>
      <c r="K640" s="270" t="s">
        <v>140</v>
      </c>
      <c r="L640" s="862" t="s">
        <v>5243</v>
      </c>
      <c r="M640" s="240" t="s">
        <v>973</v>
      </c>
      <c r="N640" s="270" t="s">
        <v>974</v>
      </c>
      <c r="O640" s="240" t="s">
        <v>5244</v>
      </c>
      <c r="P640" s="240" t="s">
        <v>5245</v>
      </c>
      <c r="Q640" s="845" t="s">
        <v>5246</v>
      </c>
      <c r="R640" s="208" t="s">
        <v>5247</v>
      </c>
      <c r="S640" s="864" t="s">
        <v>147</v>
      </c>
      <c r="T640" s="212" t="s">
        <v>144</v>
      </c>
      <c r="U640" s="213" t="s">
        <v>144</v>
      </c>
      <c r="V640" s="847">
        <v>3</v>
      </c>
      <c r="W640" s="415" t="s">
        <v>144</v>
      </c>
      <c r="X640" s="212">
        <v>43</v>
      </c>
      <c r="Y640" s="212" t="s">
        <v>144</v>
      </c>
      <c r="Z640" s="241" t="s">
        <v>144</v>
      </c>
      <c r="AA640" s="437" t="s">
        <v>5220</v>
      </c>
      <c r="AB640" s="206" t="s">
        <v>140</v>
      </c>
      <c r="AC640" s="847" t="s">
        <v>265</v>
      </c>
      <c r="AD640" s="847" t="s">
        <v>5231</v>
      </c>
      <c r="AE640" s="847" t="s">
        <v>144</v>
      </c>
      <c r="AF640" s="848" t="s">
        <v>144</v>
      </c>
      <c r="AG640" s="838"/>
      <c r="AH640" s="866" t="s">
        <v>5248</v>
      </c>
      <c r="AI640" s="273" t="s">
        <v>5249</v>
      </c>
      <c r="AJ640" s="847">
        <v>6</v>
      </c>
      <c r="AK640" s="286" t="s">
        <v>5250</v>
      </c>
      <c r="AL640" s="875" t="s">
        <v>294</v>
      </c>
      <c r="AM640" s="301" t="s">
        <v>295</v>
      </c>
      <c r="AN640" s="847">
        <v>7</v>
      </c>
      <c r="AO640" s="187" t="s">
        <v>966</v>
      </c>
      <c r="AP640" s="867"/>
      <c r="AQ640" s="273"/>
      <c r="AR640" s="847"/>
      <c r="AS640" s="848"/>
      <c r="AT640" s="867" t="s">
        <v>5251</v>
      </c>
      <c r="AU640" s="273" t="s">
        <v>5252</v>
      </c>
      <c r="AV640" s="847">
        <v>6</v>
      </c>
      <c r="AW640" s="286" t="s">
        <v>5253</v>
      </c>
      <c r="AX640" s="867"/>
      <c r="AY640" s="273"/>
      <c r="AZ640" s="847"/>
      <c r="BA640" s="848"/>
      <c r="BB640" s="866"/>
      <c r="BC640" s="273"/>
      <c r="BD640" s="847"/>
      <c r="BE640" s="848"/>
      <c r="BF640" s="838"/>
    </row>
    <row r="641" spans="1:58" s="57" customFormat="1" ht="54" hidden="1" customHeight="1" x14ac:dyDescent="0.25">
      <c r="A641" s="275" t="s">
        <v>1687</v>
      </c>
      <c r="B641" s="276">
        <v>406</v>
      </c>
      <c r="C641" s="253" t="s">
        <v>1022</v>
      </c>
      <c r="D641" s="217" t="s">
        <v>1023</v>
      </c>
      <c r="E641" s="276" t="s">
        <v>5254</v>
      </c>
      <c r="F641" s="277" t="s">
        <v>5255</v>
      </c>
      <c r="G641" s="277" t="s">
        <v>5256</v>
      </c>
      <c r="H641" s="218" t="s">
        <v>5255</v>
      </c>
      <c r="I641" s="277" t="s">
        <v>5256</v>
      </c>
      <c r="J641" s="278" t="s">
        <v>144</v>
      </c>
      <c r="K641" s="278" t="s">
        <v>144</v>
      </c>
      <c r="L641" s="718" t="s">
        <v>5257</v>
      </c>
      <c r="M641" s="253" t="s">
        <v>144</v>
      </c>
      <c r="N641" s="253" t="s">
        <v>144</v>
      </c>
      <c r="O641" s="253" t="s">
        <v>144</v>
      </c>
      <c r="P641" s="253" t="s">
        <v>144</v>
      </c>
      <c r="Q641" s="218" t="s">
        <v>144</v>
      </c>
      <c r="R641" s="218" t="s">
        <v>144</v>
      </c>
      <c r="S641" s="276" t="s">
        <v>147</v>
      </c>
      <c r="T641" s="221" t="s">
        <v>144</v>
      </c>
      <c r="U641" s="221" t="s">
        <v>144</v>
      </c>
      <c r="V641" s="253">
        <v>44</v>
      </c>
      <c r="W641" s="217" t="s">
        <v>144</v>
      </c>
      <c r="X641" s="221" t="s">
        <v>144</v>
      </c>
      <c r="Y641" s="221" t="s">
        <v>144</v>
      </c>
      <c r="Z641" s="222" t="s">
        <v>144</v>
      </c>
      <c r="AA641" s="253" t="s">
        <v>144</v>
      </c>
      <c r="AB641" s="217" t="s">
        <v>144</v>
      </c>
      <c r="AC641" s="253" t="s">
        <v>265</v>
      </c>
      <c r="AD641" s="253" t="s">
        <v>144</v>
      </c>
      <c r="AE641" s="253" t="s">
        <v>144</v>
      </c>
      <c r="AF641" s="254" t="s">
        <v>144</v>
      </c>
      <c r="AG641" s="838"/>
      <c r="AH641" s="280"/>
      <c r="AI641" s="281"/>
      <c r="AJ641" s="253"/>
      <c r="AK641" s="254"/>
      <c r="AL641" s="281"/>
      <c r="AM641" s="281"/>
      <c r="AN641" s="253"/>
      <c r="AO641" s="254"/>
      <c r="AP641" s="281"/>
      <c r="AQ641" s="281"/>
      <c r="AR641" s="253"/>
      <c r="AS641" s="254"/>
      <c r="AT641" s="281"/>
      <c r="AU641" s="281"/>
      <c r="AV641" s="253"/>
      <c r="AW641" s="254"/>
      <c r="AX641" s="281"/>
      <c r="AY641" s="281"/>
      <c r="AZ641" s="253"/>
      <c r="BA641" s="254"/>
      <c r="BB641" s="280"/>
      <c r="BC641" s="281"/>
      <c r="BD641" s="253"/>
      <c r="BE641" s="254"/>
      <c r="BF641" s="838"/>
    </row>
    <row r="642" spans="1:58" s="88" customFormat="1" ht="54" hidden="1" customHeight="1" x14ac:dyDescent="0.25">
      <c r="A642" s="267" t="s">
        <v>1687</v>
      </c>
      <c r="B642" s="268">
        <v>407</v>
      </c>
      <c r="C642" s="240" t="s">
        <v>1022</v>
      </c>
      <c r="D642" s="270" t="s">
        <v>1023</v>
      </c>
      <c r="E642" s="268" t="s">
        <v>5258</v>
      </c>
      <c r="F642" s="299" t="s">
        <v>5259</v>
      </c>
      <c r="G642" s="269" t="s">
        <v>5260</v>
      </c>
      <c r="H642" s="299" t="s">
        <v>5261</v>
      </c>
      <c r="I642" s="269" t="s">
        <v>5262</v>
      </c>
      <c r="J642" s="296" t="s">
        <v>140</v>
      </c>
      <c r="K642" s="297" t="s">
        <v>140</v>
      </c>
      <c r="L642" s="862" t="s">
        <v>5263</v>
      </c>
      <c r="M642" s="847" t="s">
        <v>193</v>
      </c>
      <c r="N642" s="253" t="s">
        <v>194</v>
      </c>
      <c r="O642" s="240" t="s">
        <v>144</v>
      </c>
      <c r="P642" s="240" t="s">
        <v>144</v>
      </c>
      <c r="Q642" s="845" t="s">
        <v>144</v>
      </c>
      <c r="R642" s="208" t="s">
        <v>144</v>
      </c>
      <c r="S642" s="864" t="s">
        <v>746</v>
      </c>
      <c r="T642" s="212" t="s">
        <v>1104</v>
      </c>
      <c r="U642" s="213" t="s">
        <v>1105</v>
      </c>
      <c r="V642" s="847">
        <v>19</v>
      </c>
      <c r="W642" s="415" t="s">
        <v>144</v>
      </c>
      <c r="X642" s="212">
        <v>41</v>
      </c>
      <c r="Y642" s="212" t="s">
        <v>144</v>
      </c>
      <c r="Z642" s="212" t="s">
        <v>144</v>
      </c>
      <c r="AA642" s="240" t="s">
        <v>5264</v>
      </c>
      <c r="AB642" s="206" t="s">
        <v>140</v>
      </c>
      <c r="AC642" s="847" t="s">
        <v>265</v>
      </c>
      <c r="AD642" s="847" t="s">
        <v>1690</v>
      </c>
      <c r="AE642" s="847" t="s">
        <v>144</v>
      </c>
      <c r="AF642" s="848" t="s">
        <v>144</v>
      </c>
      <c r="AG642" s="838"/>
      <c r="AH642" s="866"/>
      <c r="AI642" s="273"/>
      <c r="AJ642" s="847"/>
      <c r="AK642" s="848"/>
      <c r="AL642" s="867"/>
      <c r="AM642" s="273"/>
      <c r="AN642" s="847"/>
      <c r="AO642" s="848"/>
      <c r="AP642" s="867" t="s">
        <v>1107</v>
      </c>
      <c r="AQ642" s="273" t="s">
        <v>1108</v>
      </c>
      <c r="AR642" s="847">
        <v>7</v>
      </c>
      <c r="AS642" s="848" t="s">
        <v>1109</v>
      </c>
      <c r="AT642" s="867"/>
      <c r="AU642" s="273"/>
      <c r="AV642" s="847"/>
      <c r="AW642" s="848"/>
      <c r="AX642" s="867"/>
      <c r="AY642" s="273"/>
      <c r="AZ642" s="847"/>
      <c r="BA642" s="848"/>
      <c r="BB642" s="866"/>
      <c r="BC642" s="273"/>
      <c r="BD642" s="847"/>
      <c r="BE642" s="848"/>
      <c r="BF642" s="838"/>
    </row>
    <row r="643" spans="1:58" s="88" customFormat="1" ht="54" hidden="1" customHeight="1" x14ac:dyDescent="0.25">
      <c r="A643" s="267" t="s">
        <v>1687</v>
      </c>
      <c r="B643" s="268">
        <v>408</v>
      </c>
      <c r="C643" s="240" t="s">
        <v>1022</v>
      </c>
      <c r="D643" s="270" t="s">
        <v>1023</v>
      </c>
      <c r="E643" s="268" t="s">
        <v>5265</v>
      </c>
      <c r="F643" s="299" t="s">
        <v>5266</v>
      </c>
      <c r="G643" s="269" t="s">
        <v>5267</v>
      </c>
      <c r="H643" s="845" t="s">
        <v>5268</v>
      </c>
      <c r="I643" s="269" t="s">
        <v>5267</v>
      </c>
      <c r="J643" s="296" t="s">
        <v>140</v>
      </c>
      <c r="K643" s="297" t="s">
        <v>140</v>
      </c>
      <c r="L643" s="862" t="s">
        <v>5269</v>
      </c>
      <c r="M643" s="847" t="s">
        <v>973</v>
      </c>
      <c r="N643" s="253" t="s">
        <v>974</v>
      </c>
      <c r="O643" s="240" t="s">
        <v>814</v>
      </c>
      <c r="P643" s="240" t="s">
        <v>815</v>
      </c>
      <c r="Q643" s="845" t="s">
        <v>144</v>
      </c>
      <c r="R643" s="208" t="s">
        <v>144</v>
      </c>
      <c r="S643" s="864" t="s">
        <v>147</v>
      </c>
      <c r="T643" s="212" t="s">
        <v>144</v>
      </c>
      <c r="U643" s="213" t="s">
        <v>144</v>
      </c>
      <c r="V643" s="847">
        <v>3</v>
      </c>
      <c r="W643" s="415" t="s">
        <v>144</v>
      </c>
      <c r="X643" s="212">
        <v>41</v>
      </c>
      <c r="Y643" s="212" t="s">
        <v>144</v>
      </c>
      <c r="Z643" s="212" t="s">
        <v>144</v>
      </c>
      <c r="AA643" s="240" t="s">
        <v>5264</v>
      </c>
      <c r="AB643" s="206" t="s">
        <v>140</v>
      </c>
      <c r="AC643" s="847" t="s">
        <v>265</v>
      </c>
      <c r="AD643" s="847" t="s">
        <v>1690</v>
      </c>
      <c r="AE643" s="847" t="s">
        <v>144</v>
      </c>
      <c r="AF643" s="848" t="s">
        <v>144</v>
      </c>
      <c r="AG643" s="838"/>
      <c r="AH643" s="866" t="s">
        <v>5270</v>
      </c>
      <c r="AI643" s="273" t="s">
        <v>5271</v>
      </c>
      <c r="AJ643" s="847">
        <v>7</v>
      </c>
      <c r="AK643" s="848" t="s">
        <v>1280</v>
      </c>
      <c r="AL643" s="867" t="s">
        <v>294</v>
      </c>
      <c r="AM643" s="273" t="s">
        <v>295</v>
      </c>
      <c r="AN643" s="847">
        <v>7</v>
      </c>
      <c r="AO643" s="187" t="s">
        <v>966</v>
      </c>
      <c r="AP643" s="867"/>
      <c r="AQ643" s="273"/>
      <c r="AR643" s="847"/>
      <c r="AS643" s="848"/>
      <c r="AT643" s="867"/>
      <c r="AU643" s="273"/>
      <c r="AV643" s="847"/>
      <c r="AW643" s="848"/>
      <c r="AX643" s="867"/>
      <c r="AY643" s="273"/>
      <c r="AZ643" s="847"/>
      <c r="BA643" s="848"/>
      <c r="BB643" s="866"/>
      <c r="BC643" s="273"/>
      <c r="BD643" s="847"/>
      <c r="BE643" s="848"/>
      <c r="BF643" s="838"/>
    </row>
    <row r="644" spans="1:58" s="88" customFormat="1" ht="54" hidden="1" customHeight="1" x14ac:dyDescent="0.25">
      <c r="A644" s="267" t="s">
        <v>1687</v>
      </c>
      <c r="B644" s="268">
        <v>409</v>
      </c>
      <c r="C644" s="240" t="s">
        <v>1022</v>
      </c>
      <c r="D644" s="270" t="s">
        <v>1023</v>
      </c>
      <c r="E644" s="268" t="s">
        <v>5272</v>
      </c>
      <c r="F644" s="861" t="s">
        <v>5273</v>
      </c>
      <c r="G644" s="269" t="s">
        <v>5274</v>
      </c>
      <c r="H644" s="845" t="s">
        <v>5275</v>
      </c>
      <c r="I644" s="208" t="s">
        <v>5276</v>
      </c>
      <c r="J644" s="240" t="s">
        <v>140</v>
      </c>
      <c r="K644" s="270" t="s">
        <v>140</v>
      </c>
      <c r="L644" s="862" t="s">
        <v>5277</v>
      </c>
      <c r="M644" s="847" t="s">
        <v>142</v>
      </c>
      <c r="N644" s="270" t="s">
        <v>143</v>
      </c>
      <c r="O644" s="240" t="s">
        <v>5278</v>
      </c>
      <c r="P644" s="240" t="s">
        <v>5279</v>
      </c>
      <c r="Q644" s="845" t="s">
        <v>144</v>
      </c>
      <c r="R644" s="208" t="s">
        <v>144</v>
      </c>
      <c r="S644" s="864" t="s">
        <v>147</v>
      </c>
      <c r="T644" s="212" t="s">
        <v>144</v>
      </c>
      <c r="U644" s="213" t="s">
        <v>144</v>
      </c>
      <c r="V644" s="847">
        <v>1</v>
      </c>
      <c r="W644" s="415" t="s">
        <v>144</v>
      </c>
      <c r="X644" s="212">
        <v>43</v>
      </c>
      <c r="Y644" s="212" t="s">
        <v>144</v>
      </c>
      <c r="Z644" s="214" t="s">
        <v>144</v>
      </c>
      <c r="AA644" s="240" t="s">
        <v>398</v>
      </c>
      <c r="AB644" s="206" t="s">
        <v>140</v>
      </c>
      <c r="AC644" s="847" t="s">
        <v>265</v>
      </c>
      <c r="AD644" s="847" t="s">
        <v>1690</v>
      </c>
      <c r="AE644" s="847" t="s">
        <v>144</v>
      </c>
      <c r="AF644" s="848" t="s">
        <v>144</v>
      </c>
      <c r="AG644" s="838"/>
      <c r="AH644" s="866" t="s">
        <v>266</v>
      </c>
      <c r="AI644" s="273" t="s">
        <v>267</v>
      </c>
      <c r="AJ644" s="847">
        <v>7</v>
      </c>
      <c r="AK644" s="848" t="s">
        <v>1046</v>
      </c>
      <c r="AL644" s="875" t="s">
        <v>294</v>
      </c>
      <c r="AM644" s="301" t="s">
        <v>295</v>
      </c>
      <c r="AN644" s="847">
        <v>7</v>
      </c>
      <c r="AO644" s="187" t="s">
        <v>966</v>
      </c>
      <c r="AP644" s="867"/>
      <c r="AQ644" s="273"/>
      <c r="AR644" s="847"/>
      <c r="AS644" s="848"/>
      <c r="AT644" s="867"/>
      <c r="AU644" s="273"/>
      <c r="AV644" s="847"/>
      <c r="AW644" s="848"/>
      <c r="AX644" s="867"/>
      <c r="AY644" s="273"/>
      <c r="AZ644" s="847"/>
      <c r="BA644" s="848"/>
      <c r="BB644" s="866"/>
      <c r="BC644" s="273"/>
      <c r="BD644" s="847"/>
      <c r="BE644" s="848"/>
      <c r="BF644" s="838"/>
    </row>
    <row r="645" spans="1:58" s="88" customFormat="1" ht="54" hidden="1" customHeight="1" x14ac:dyDescent="0.25">
      <c r="A645" s="267" t="s">
        <v>1687</v>
      </c>
      <c r="B645" s="268">
        <v>410</v>
      </c>
      <c r="C645" s="240" t="s">
        <v>1022</v>
      </c>
      <c r="D645" s="270" t="s">
        <v>1023</v>
      </c>
      <c r="E645" s="268" t="s">
        <v>5280</v>
      </c>
      <c r="F645" s="861" t="s">
        <v>5281</v>
      </c>
      <c r="G645" s="269" t="s">
        <v>5282</v>
      </c>
      <c r="H645" s="845" t="s">
        <v>5283</v>
      </c>
      <c r="I645" s="208" t="s">
        <v>5284</v>
      </c>
      <c r="J645" s="240" t="s">
        <v>140</v>
      </c>
      <c r="K645" s="270" t="s">
        <v>140</v>
      </c>
      <c r="L645" s="862" t="s">
        <v>5285</v>
      </c>
      <c r="M645" s="847" t="s">
        <v>193</v>
      </c>
      <c r="N645" s="270" t="s">
        <v>194</v>
      </c>
      <c r="O645" s="240" t="s">
        <v>5286</v>
      </c>
      <c r="P645" s="240" t="s">
        <v>5287</v>
      </c>
      <c r="Q645" s="845" t="s">
        <v>144</v>
      </c>
      <c r="R645" s="208" t="s">
        <v>144</v>
      </c>
      <c r="S645" s="864" t="s">
        <v>147</v>
      </c>
      <c r="T645" s="212" t="s">
        <v>144</v>
      </c>
      <c r="U645" s="213" t="s">
        <v>144</v>
      </c>
      <c r="V645" s="847">
        <v>2</v>
      </c>
      <c r="W645" s="415" t="s">
        <v>144</v>
      </c>
      <c r="X645" s="212">
        <v>43</v>
      </c>
      <c r="Y645" s="212" t="s">
        <v>144</v>
      </c>
      <c r="Z645" s="214" t="s">
        <v>144</v>
      </c>
      <c r="AA645" s="240" t="s">
        <v>398</v>
      </c>
      <c r="AB645" s="206" t="s">
        <v>140</v>
      </c>
      <c r="AC645" s="847" t="s">
        <v>265</v>
      </c>
      <c r="AD645" s="847" t="s">
        <v>1690</v>
      </c>
      <c r="AE645" s="847" t="s">
        <v>144</v>
      </c>
      <c r="AF645" s="848" t="s">
        <v>144</v>
      </c>
      <c r="AG645" s="838"/>
      <c r="AH645" s="866"/>
      <c r="AI645" s="273"/>
      <c r="AJ645" s="847"/>
      <c r="AK645" s="848"/>
      <c r="AL645" s="875" t="s">
        <v>294</v>
      </c>
      <c r="AM645" s="301" t="s">
        <v>295</v>
      </c>
      <c r="AN645" s="847">
        <v>7</v>
      </c>
      <c r="AO645" s="187" t="s">
        <v>966</v>
      </c>
      <c r="AP645" s="867"/>
      <c r="AQ645" s="273"/>
      <c r="AR645" s="847"/>
      <c r="AS645" s="848"/>
      <c r="AT645" s="867"/>
      <c r="AU645" s="273"/>
      <c r="AV645" s="847"/>
      <c r="AW645" s="848"/>
      <c r="AX645" s="867"/>
      <c r="AY645" s="273"/>
      <c r="AZ645" s="847"/>
      <c r="BA645" s="848"/>
      <c r="BB645" s="866"/>
      <c r="BC645" s="273"/>
      <c r="BD645" s="847"/>
      <c r="BE645" s="848"/>
      <c r="BF645" s="838"/>
    </row>
    <row r="646" spans="1:58" s="57" customFormat="1" ht="54" customHeight="1" x14ac:dyDescent="0.25">
      <c r="A646" s="275" t="s">
        <v>1687</v>
      </c>
      <c r="B646" s="276">
        <v>411</v>
      </c>
      <c r="C646" s="253" t="s">
        <v>144</v>
      </c>
      <c r="D646" s="253" t="s">
        <v>144</v>
      </c>
      <c r="E646" s="276" t="s">
        <v>5288</v>
      </c>
      <c r="F646" s="277" t="s">
        <v>4829</v>
      </c>
      <c r="G646" s="277" t="s">
        <v>251</v>
      </c>
      <c r="H646" s="220" t="s">
        <v>336</v>
      </c>
      <c r="I646" s="277" t="s">
        <v>337</v>
      </c>
      <c r="J646" s="302" t="s">
        <v>144</v>
      </c>
      <c r="K646" s="302" t="s">
        <v>144</v>
      </c>
      <c r="L646" s="718" t="s">
        <v>5289</v>
      </c>
      <c r="M646" s="253" t="s">
        <v>144</v>
      </c>
      <c r="N646" s="253" t="s">
        <v>144</v>
      </c>
      <c r="O646" s="253" t="s">
        <v>144</v>
      </c>
      <c r="P646" s="253" t="s">
        <v>144</v>
      </c>
      <c r="Q646" s="220" t="s">
        <v>338</v>
      </c>
      <c r="R646" s="220" t="s">
        <v>339</v>
      </c>
      <c r="S646" s="276" t="s">
        <v>147</v>
      </c>
      <c r="T646" s="221" t="s">
        <v>144</v>
      </c>
      <c r="U646" s="221" t="s">
        <v>144</v>
      </c>
      <c r="V646" s="253">
        <v>23</v>
      </c>
      <c r="W646" s="217" t="s">
        <v>144</v>
      </c>
      <c r="X646" s="221" t="s">
        <v>144</v>
      </c>
      <c r="Y646" s="221" t="s">
        <v>144</v>
      </c>
      <c r="Z646" s="222" t="s">
        <v>144</v>
      </c>
      <c r="AA646" s="253" t="s">
        <v>144</v>
      </c>
      <c r="AB646" s="217" t="s">
        <v>144</v>
      </c>
      <c r="AC646" s="253" t="s">
        <v>265</v>
      </c>
      <c r="AD646" s="253" t="s">
        <v>144</v>
      </c>
      <c r="AE646" s="253" t="s">
        <v>144</v>
      </c>
      <c r="AF646" s="254" t="s">
        <v>144</v>
      </c>
      <c r="AG646" s="838"/>
      <c r="AH646" s="280"/>
      <c r="AI646" s="281"/>
      <c r="AJ646" s="253"/>
      <c r="AK646" s="254"/>
      <c r="AL646" s="281"/>
      <c r="AM646" s="281"/>
      <c r="AN646" s="253"/>
      <c r="AO646" s="254"/>
      <c r="AP646" s="281"/>
      <c r="AQ646" s="281"/>
      <c r="AR646" s="253"/>
      <c r="AS646" s="254"/>
      <c r="AT646" s="281"/>
      <c r="AU646" s="281"/>
      <c r="AV646" s="253"/>
      <c r="AW646" s="254"/>
      <c r="AX646" s="281"/>
      <c r="AY646" s="281"/>
      <c r="AZ646" s="253"/>
      <c r="BA646" s="254"/>
      <c r="BB646" s="280"/>
      <c r="BC646" s="281"/>
      <c r="BD646" s="253"/>
      <c r="BE646" s="254"/>
      <c r="BF646" s="838"/>
    </row>
    <row r="647" spans="1:58" s="88" customFormat="1" ht="54" hidden="1" customHeight="1" x14ac:dyDescent="0.25">
      <c r="A647" s="267" t="s">
        <v>1687</v>
      </c>
      <c r="B647" s="268">
        <v>412</v>
      </c>
      <c r="C647" s="240" t="s">
        <v>5290</v>
      </c>
      <c r="D647" s="211" t="s">
        <v>5291</v>
      </c>
      <c r="E647" s="298" t="s">
        <v>5292</v>
      </c>
      <c r="F647" s="299" t="s">
        <v>5293</v>
      </c>
      <c r="G647" s="269" t="s">
        <v>5294</v>
      </c>
      <c r="H647" s="845" t="s">
        <v>5295</v>
      </c>
      <c r="I647" s="269" t="s">
        <v>5296</v>
      </c>
      <c r="J647" s="296" t="s">
        <v>140</v>
      </c>
      <c r="K647" s="297" t="s">
        <v>140</v>
      </c>
      <c r="L647" s="862" t="s">
        <v>5297</v>
      </c>
      <c r="M647" s="847" t="s">
        <v>973</v>
      </c>
      <c r="N647" s="253" t="s">
        <v>974</v>
      </c>
      <c r="O647" s="240" t="s">
        <v>5298</v>
      </c>
      <c r="P647" s="240" t="s">
        <v>5299</v>
      </c>
      <c r="Q647" s="845" t="s">
        <v>144</v>
      </c>
      <c r="R647" s="208" t="s">
        <v>144</v>
      </c>
      <c r="S647" s="864" t="s">
        <v>147</v>
      </c>
      <c r="T647" s="212" t="s">
        <v>144</v>
      </c>
      <c r="U647" s="213" t="s">
        <v>144</v>
      </c>
      <c r="V647" s="348">
        <v>1</v>
      </c>
      <c r="W647" s="415" t="s">
        <v>144</v>
      </c>
      <c r="X647" s="212">
        <v>42</v>
      </c>
      <c r="Y647" s="212" t="s">
        <v>144</v>
      </c>
      <c r="Z647" s="252" t="s">
        <v>25</v>
      </c>
      <c r="AA647" s="240" t="s">
        <v>5300</v>
      </c>
      <c r="AB647" s="206" t="s">
        <v>140</v>
      </c>
      <c r="AC647" s="847" t="s">
        <v>265</v>
      </c>
      <c r="AD647" s="847" t="s">
        <v>5301</v>
      </c>
      <c r="AE647" s="847" t="s">
        <v>144</v>
      </c>
      <c r="AF647" s="848" t="s">
        <v>144</v>
      </c>
      <c r="AG647" s="838"/>
      <c r="AH647" s="866" t="s">
        <v>5302</v>
      </c>
      <c r="AI647" s="273" t="s">
        <v>5303</v>
      </c>
      <c r="AJ647" s="872">
        <v>7</v>
      </c>
      <c r="AK647" s="286" t="s">
        <v>5304</v>
      </c>
      <c r="AL647" s="875" t="s">
        <v>294</v>
      </c>
      <c r="AM647" s="301" t="s">
        <v>295</v>
      </c>
      <c r="AN647" s="847">
        <v>7</v>
      </c>
      <c r="AO647" s="187" t="s">
        <v>966</v>
      </c>
      <c r="AP647" s="867"/>
      <c r="AQ647" s="273"/>
      <c r="AR647" s="847"/>
      <c r="AS647" s="848"/>
      <c r="AT647" s="867"/>
      <c r="AU647" s="273"/>
      <c r="AV647" s="847"/>
      <c r="AW647" s="848"/>
      <c r="AX647" s="867"/>
      <c r="AY647" s="273"/>
      <c r="AZ647" s="847"/>
      <c r="BA647" s="848"/>
      <c r="BB647" s="866"/>
      <c r="BC647" s="273"/>
      <c r="BD647" s="847"/>
      <c r="BE647" s="848"/>
      <c r="BF647" s="838"/>
    </row>
    <row r="648" spans="1:58" s="88" customFormat="1" ht="54" hidden="1" customHeight="1" x14ac:dyDescent="0.25">
      <c r="A648" s="267" t="s">
        <v>1687</v>
      </c>
      <c r="B648" s="268">
        <v>413</v>
      </c>
      <c r="C648" s="240" t="s">
        <v>5290</v>
      </c>
      <c r="D648" s="211" t="s">
        <v>5291</v>
      </c>
      <c r="E648" s="298" t="s">
        <v>5305</v>
      </c>
      <c r="F648" s="299" t="s">
        <v>5306</v>
      </c>
      <c r="G648" s="269" t="s">
        <v>5307</v>
      </c>
      <c r="H648" s="845" t="s">
        <v>5308</v>
      </c>
      <c r="I648" s="269" t="s">
        <v>5309</v>
      </c>
      <c r="J648" s="296" t="s">
        <v>140</v>
      </c>
      <c r="K648" s="297" t="s">
        <v>140</v>
      </c>
      <c r="L648" s="862" t="s">
        <v>5310</v>
      </c>
      <c r="M648" s="847" t="s">
        <v>973</v>
      </c>
      <c r="N648" s="253" t="s">
        <v>974</v>
      </c>
      <c r="O648" s="240" t="s">
        <v>5311</v>
      </c>
      <c r="P648" s="240" t="s">
        <v>5312</v>
      </c>
      <c r="Q648" s="845" t="s">
        <v>144</v>
      </c>
      <c r="R648" s="208" t="s">
        <v>144</v>
      </c>
      <c r="S648" s="864" t="s">
        <v>147</v>
      </c>
      <c r="T648" s="346" t="s">
        <v>144</v>
      </c>
      <c r="U648" s="347" t="s">
        <v>144</v>
      </c>
      <c r="V648" s="348">
        <v>1</v>
      </c>
      <c r="W648" s="415" t="s">
        <v>144</v>
      </c>
      <c r="X648" s="212">
        <v>42</v>
      </c>
      <c r="Y648" s="212" t="s">
        <v>144</v>
      </c>
      <c r="Z648" s="212" t="s">
        <v>144</v>
      </c>
      <c r="AA648" s="240" t="s">
        <v>5300</v>
      </c>
      <c r="AB648" s="206" t="s">
        <v>140</v>
      </c>
      <c r="AC648" s="847" t="s">
        <v>265</v>
      </c>
      <c r="AD648" s="847" t="s">
        <v>5301</v>
      </c>
      <c r="AE648" s="847" t="s">
        <v>144</v>
      </c>
      <c r="AF648" s="848" t="s">
        <v>144</v>
      </c>
      <c r="AG648" s="838"/>
      <c r="AH648" s="866" t="s">
        <v>5313</v>
      </c>
      <c r="AI648" s="273" t="s">
        <v>5314</v>
      </c>
      <c r="AJ648" s="847">
        <v>6</v>
      </c>
      <c r="AK648" s="848" t="s">
        <v>5315</v>
      </c>
      <c r="AL648" s="875" t="s">
        <v>294</v>
      </c>
      <c r="AM648" s="301" t="s">
        <v>295</v>
      </c>
      <c r="AN648" s="847">
        <v>7</v>
      </c>
      <c r="AO648" s="187" t="s">
        <v>966</v>
      </c>
      <c r="AP648" s="867"/>
      <c r="AQ648" s="273"/>
      <c r="AR648" s="847"/>
      <c r="AS648" s="848"/>
      <c r="AT648" s="312"/>
      <c r="AU648" s="313"/>
      <c r="AV648" s="289"/>
      <c r="AW648" s="848"/>
      <c r="AX648" s="867"/>
      <c r="AY648" s="273"/>
      <c r="AZ648" s="847"/>
      <c r="BA648" s="848"/>
      <c r="BB648" s="866"/>
      <c r="BC648" s="273"/>
      <c r="BD648" s="847"/>
      <c r="BE648" s="848"/>
      <c r="BF648" s="838"/>
    </row>
    <row r="649" spans="1:58" s="88" customFormat="1" ht="54" hidden="1" customHeight="1" x14ac:dyDescent="0.25">
      <c r="A649" s="267" t="s">
        <v>1687</v>
      </c>
      <c r="B649" s="268">
        <v>414</v>
      </c>
      <c r="C649" s="240" t="s">
        <v>2096</v>
      </c>
      <c r="D649" s="270" t="s">
        <v>2097</v>
      </c>
      <c r="E649" s="298" t="s">
        <v>5316</v>
      </c>
      <c r="F649" s="299" t="s">
        <v>5317</v>
      </c>
      <c r="G649" s="269" t="s">
        <v>5318</v>
      </c>
      <c r="H649" s="299" t="s">
        <v>5319</v>
      </c>
      <c r="I649" s="269" t="s">
        <v>5320</v>
      </c>
      <c r="J649" s="296" t="s">
        <v>140</v>
      </c>
      <c r="K649" s="297" t="s">
        <v>140</v>
      </c>
      <c r="L649" s="862" t="s">
        <v>5321</v>
      </c>
      <c r="M649" s="847" t="s">
        <v>193</v>
      </c>
      <c r="N649" s="253" t="s">
        <v>194</v>
      </c>
      <c r="O649" s="240" t="s">
        <v>144</v>
      </c>
      <c r="P649" s="240" t="s">
        <v>144</v>
      </c>
      <c r="Q649" s="845" t="s">
        <v>144</v>
      </c>
      <c r="R649" s="208" t="s">
        <v>144</v>
      </c>
      <c r="S649" s="864" t="s">
        <v>746</v>
      </c>
      <c r="T649" s="212" t="s">
        <v>1104</v>
      </c>
      <c r="U649" s="213" t="s">
        <v>1105</v>
      </c>
      <c r="V649" s="847">
        <v>19</v>
      </c>
      <c r="W649" s="415" t="s">
        <v>144</v>
      </c>
      <c r="X649" s="212">
        <v>42</v>
      </c>
      <c r="Y649" s="212" t="s">
        <v>144</v>
      </c>
      <c r="Z649" s="212" t="s">
        <v>144</v>
      </c>
      <c r="AA649" s="240" t="s">
        <v>1212</v>
      </c>
      <c r="AB649" s="206" t="s">
        <v>140</v>
      </c>
      <c r="AC649" s="847" t="s">
        <v>265</v>
      </c>
      <c r="AD649" s="847" t="s">
        <v>2105</v>
      </c>
      <c r="AE649" s="847" t="s">
        <v>144</v>
      </c>
      <c r="AF649" s="848" t="s">
        <v>144</v>
      </c>
      <c r="AG649" s="838"/>
      <c r="AH649" s="866"/>
      <c r="AI649" s="273"/>
      <c r="AJ649" s="847"/>
      <c r="AK649" s="848"/>
      <c r="AL649" s="867"/>
      <c r="AM649" s="273"/>
      <c r="AN649" s="847"/>
      <c r="AO649" s="848"/>
      <c r="AP649" s="867" t="s">
        <v>1107</v>
      </c>
      <c r="AQ649" s="273" t="s">
        <v>1108</v>
      </c>
      <c r="AR649" s="847">
        <v>7</v>
      </c>
      <c r="AS649" s="286" t="s">
        <v>1109</v>
      </c>
      <c r="AT649" s="867"/>
      <c r="AU649" s="273"/>
      <c r="AV649" s="847"/>
      <c r="AW649" s="848"/>
      <c r="AX649" s="867"/>
      <c r="AY649" s="273"/>
      <c r="AZ649" s="847"/>
      <c r="BA649" s="848"/>
      <c r="BB649" s="866"/>
      <c r="BC649" s="273"/>
      <c r="BD649" s="847"/>
      <c r="BE649" s="848"/>
      <c r="BF649" s="838"/>
    </row>
    <row r="650" spans="1:58" s="88" customFormat="1" ht="54" hidden="1" customHeight="1" x14ac:dyDescent="0.25">
      <c r="A650" s="267" t="s">
        <v>1687</v>
      </c>
      <c r="B650" s="268">
        <v>415</v>
      </c>
      <c r="C650" s="240" t="s">
        <v>2096</v>
      </c>
      <c r="D650" s="270" t="s">
        <v>2097</v>
      </c>
      <c r="E650" s="298" t="s">
        <v>5322</v>
      </c>
      <c r="F650" s="299" t="s">
        <v>5323</v>
      </c>
      <c r="G650" s="269" t="s">
        <v>5324</v>
      </c>
      <c r="H650" s="845" t="s">
        <v>5323</v>
      </c>
      <c r="I650" s="269" t="s">
        <v>5324</v>
      </c>
      <c r="J650" s="296" t="s">
        <v>140</v>
      </c>
      <c r="K650" s="297" t="s">
        <v>140</v>
      </c>
      <c r="L650" s="862" t="s">
        <v>5325</v>
      </c>
      <c r="M650" s="847" t="s">
        <v>973</v>
      </c>
      <c r="N650" s="253" t="s">
        <v>974</v>
      </c>
      <c r="O650" s="240" t="s">
        <v>814</v>
      </c>
      <c r="P650" s="240" t="s">
        <v>815</v>
      </c>
      <c r="Q650" s="845" t="s">
        <v>144</v>
      </c>
      <c r="R650" s="208" t="s">
        <v>144</v>
      </c>
      <c r="S650" s="864" t="s">
        <v>147</v>
      </c>
      <c r="T650" s="212" t="s">
        <v>144</v>
      </c>
      <c r="U650" s="213" t="s">
        <v>144</v>
      </c>
      <c r="V650" s="847">
        <v>3</v>
      </c>
      <c r="W650" s="415" t="s">
        <v>144</v>
      </c>
      <c r="X650" s="212">
        <v>42</v>
      </c>
      <c r="Y650" s="212" t="s">
        <v>144</v>
      </c>
      <c r="Z650" s="212" t="s">
        <v>144</v>
      </c>
      <c r="AA650" s="240" t="s">
        <v>398</v>
      </c>
      <c r="AB650" s="206" t="s">
        <v>140</v>
      </c>
      <c r="AC650" s="847" t="s">
        <v>265</v>
      </c>
      <c r="AD650" s="847" t="s">
        <v>2301</v>
      </c>
      <c r="AE650" s="847" t="s">
        <v>144</v>
      </c>
      <c r="AF650" s="848" t="s">
        <v>144</v>
      </c>
      <c r="AG650" s="838"/>
      <c r="AH650" s="866" t="s">
        <v>5326</v>
      </c>
      <c r="AI650" s="273" t="s">
        <v>5327</v>
      </c>
      <c r="AJ650" s="847">
        <v>7</v>
      </c>
      <c r="AK650" s="848" t="s">
        <v>1280</v>
      </c>
      <c r="AL650" s="867" t="s">
        <v>294</v>
      </c>
      <c r="AM650" s="273" t="s">
        <v>295</v>
      </c>
      <c r="AN650" s="847">
        <v>7</v>
      </c>
      <c r="AO650" s="187" t="s">
        <v>966</v>
      </c>
      <c r="AP650" s="867"/>
      <c r="AQ650" s="273"/>
      <c r="AR650" s="847"/>
      <c r="AS650" s="848"/>
      <c r="AT650" s="867"/>
      <c r="AU650" s="273"/>
      <c r="AV650" s="847"/>
      <c r="AW650" s="848"/>
      <c r="AX650" s="867"/>
      <c r="AY650" s="273"/>
      <c r="AZ650" s="847"/>
      <c r="BA650" s="848"/>
      <c r="BB650" s="866"/>
      <c r="BC650" s="273"/>
      <c r="BD650" s="847"/>
      <c r="BE650" s="848"/>
      <c r="BF650" s="838"/>
    </row>
    <row r="651" spans="1:58" s="88" customFormat="1" ht="54" hidden="1" customHeight="1" x14ac:dyDescent="0.25">
      <c r="A651" s="267" t="s">
        <v>1687</v>
      </c>
      <c r="B651" s="268">
        <v>416</v>
      </c>
      <c r="C651" s="240" t="s">
        <v>2530</v>
      </c>
      <c r="D651" s="211" t="s">
        <v>2531</v>
      </c>
      <c r="E651" s="298" t="s">
        <v>5328</v>
      </c>
      <c r="F651" s="299" t="s">
        <v>5329</v>
      </c>
      <c r="G651" s="269" t="s">
        <v>5330</v>
      </c>
      <c r="H651" s="845" t="s">
        <v>5331</v>
      </c>
      <c r="I651" s="269" t="s">
        <v>5332</v>
      </c>
      <c r="J651" s="296" t="s">
        <v>140</v>
      </c>
      <c r="K651" s="297" t="s">
        <v>140</v>
      </c>
      <c r="L651" s="862" t="s">
        <v>5333</v>
      </c>
      <c r="M651" s="847" t="s">
        <v>973</v>
      </c>
      <c r="N651" s="253" t="s">
        <v>974</v>
      </c>
      <c r="O651" s="240" t="s">
        <v>5334</v>
      </c>
      <c r="P651" s="240" t="s">
        <v>5335</v>
      </c>
      <c r="Q651" s="845" t="s">
        <v>144</v>
      </c>
      <c r="R651" s="208" t="s">
        <v>144</v>
      </c>
      <c r="S651" s="864" t="s">
        <v>147</v>
      </c>
      <c r="T651" s="212" t="s">
        <v>144</v>
      </c>
      <c r="U651" s="213" t="s">
        <v>144</v>
      </c>
      <c r="V651" s="847">
        <v>2</v>
      </c>
      <c r="W651" s="415" t="s">
        <v>144</v>
      </c>
      <c r="X651" s="212">
        <v>42</v>
      </c>
      <c r="Y651" s="212" t="s">
        <v>144</v>
      </c>
      <c r="Z651" s="241" t="s">
        <v>29</v>
      </c>
      <c r="AA651" s="240" t="s">
        <v>5336</v>
      </c>
      <c r="AB651" s="206" t="s">
        <v>140</v>
      </c>
      <c r="AC651" s="847" t="s">
        <v>265</v>
      </c>
      <c r="AD651" s="847" t="s">
        <v>5337</v>
      </c>
      <c r="AE651" s="847" t="s">
        <v>144</v>
      </c>
      <c r="AF651" s="848" t="s">
        <v>144</v>
      </c>
      <c r="AG651" s="838"/>
      <c r="AH651" s="463" t="s">
        <v>5338</v>
      </c>
      <c r="AI651" s="406" t="s">
        <v>5339</v>
      </c>
      <c r="AJ651" s="437">
        <v>6</v>
      </c>
      <c r="AK651" s="731" t="s">
        <v>2598</v>
      </c>
      <c r="AL651" s="875" t="s">
        <v>294</v>
      </c>
      <c r="AM651" s="301" t="s">
        <v>295</v>
      </c>
      <c r="AN651" s="847">
        <v>7</v>
      </c>
      <c r="AO651" s="187" t="s">
        <v>966</v>
      </c>
      <c r="AP651" s="867"/>
      <c r="AQ651" s="273"/>
      <c r="AR651" s="847"/>
      <c r="AS651" s="848"/>
      <c r="AT651" s="867"/>
      <c r="AU651" s="273"/>
      <c r="AV651" s="847"/>
      <c r="AW651" s="848"/>
      <c r="AX651" s="867"/>
      <c r="AY651" s="273"/>
      <c r="AZ651" s="847"/>
      <c r="BA651" s="848"/>
      <c r="BB651" s="866"/>
      <c r="BC651" s="273"/>
      <c r="BD651" s="847"/>
      <c r="BE651" s="848"/>
      <c r="BF651" s="838"/>
    </row>
    <row r="652" spans="1:58" s="88" customFormat="1" ht="54" hidden="1" customHeight="1" x14ac:dyDescent="0.25">
      <c r="A652" s="267" t="s">
        <v>1687</v>
      </c>
      <c r="B652" s="268">
        <v>417</v>
      </c>
      <c r="C652" s="240" t="s">
        <v>2530</v>
      </c>
      <c r="D652" s="211" t="s">
        <v>2531</v>
      </c>
      <c r="E652" s="298" t="s">
        <v>5340</v>
      </c>
      <c r="F652" s="299" t="s">
        <v>5341</v>
      </c>
      <c r="G652" s="269" t="s">
        <v>5342</v>
      </c>
      <c r="H652" s="845" t="s">
        <v>5343</v>
      </c>
      <c r="I652" s="269" t="s">
        <v>5344</v>
      </c>
      <c r="J652" s="296" t="s">
        <v>140</v>
      </c>
      <c r="K652" s="297" t="s">
        <v>140</v>
      </c>
      <c r="L652" s="862" t="s">
        <v>5345</v>
      </c>
      <c r="M652" s="847" t="s">
        <v>973</v>
      </c>
      <c r="N652" s="253" t="s">
        <v>974</v>
      </c>
      <c r="O652" s="240" t="s">
        <v>5346</v>
      </c>
      <c r="P652" s="240" t="s">
        <v>5347</v>
      </c>
      <c r="Q652" s="845" t="s">
        <v>144</v>
      </c>
      <c r="R652" s="208" t="s">
        <v>144</v>
      </c>
      <c r="S652" s="864" t="s">
        <v>147</v>
      </c>
      <c r="T652" s="212" t="s">
        <v>144</v>
      </c>
      <c r="U652" s="213" t="s">
        <v>144</v>
      </c>
      <c r="V652" s="847">
        <v>1</v>
      </c>
      <c r="W652" s="415" t="s">
        <v>144</v>
      </c>
      <c r="X652" s="212">
        <v>42</v>
      </c>
      <c r="Y652" s="212" t="s">
        <v>144</v>
      </c>
      <c r="Z652" s="252" t="s">
        <v>144</v>
      </c>
      <c r="AA652" s="240" t="s">
        <v>5336</v>
      </c>
      <c r="AB652" s="206" t="s">
        <v>140</v>
      </c>
      <c r="AC652" s="847" t="s">
        <v>265</v>
      </c>
      <c r="AD652" s="847" t="s">
        <v>2552</v>
      </c>
      <c r="AE652" s="847" t="s">
        <v>144</v>
      </c>
      <c r="AF652" s="848" t="s">
        <v>144</v>
      </c>
      <c r="AG652" s="838"/>
      <c r="AH652" s="866" t="s">
        <v>5348</v>
      </c>
      <c r="AI652" s="273" t="s">
        <v>5349</v>
      </c>
      <c r="AJ652" s="847">
        <v>6</v>
      </c>
      <c r="AK652" s="848" t="s">
        <v>5350</v>
      </c>
      <c r="AL652" s="875" t="s">
        <v>294</v>
      </c>
      <c r="AM652" s="301" t="s">
        <v>295</v>
      </c>
      <c r="AN652" s="847">
        <v>7</v>
      </c>
      <c r="AO652" s="187" t="s">
        <v>966</v>
      </c>
      <c r="AP652" s="292"/>
      <c r="AQ652" s="273"/>
      <c r="AR652" s="240"/>
      <c r="AS652" s="848"/>
      <c r="AT652" s="867"/>
      <c r="AU652" s="273"/>
      <c r="AV652" s="847"/>
      <c r="AW652" s="848"/>
      <c r="AX652" s="867"/>
      <c r="AY652" s="273"/>
      <c r="AZ652" s="847"/>
      <c r="BA652" s="848"/>
      <c r="BB652" s="866"/>
      <c r="BC652" s="273"/>
      <c r="BD652" s="847"/>
      <c r="BE652" s="848"/>
      <c r="BF652" s="838"/>
    </row>
    <row r="653" spans="1:58" s="88" customFormat="1" ht="54" hidden="1" customHeight="1" x14ac:dyDescent="0.25">
      <c r="A653" s="267" t="s">
        <v>1687</v>
      </c>
      <c r="B653" s="268">
        <v>418</v>
      </c>
      <c r="C653" s="240" t="s">
        <v>2530</v>
      </c>
      <c r="D653" s="211" t="s">
        <v>2531</v>
      </c>
      <c r="E653" s="298" t="s">
        <v>5351</v>
      </c>
      <c r="F653" s="299" t="s">
        <v>5352</v>
      </c>
      <c r="G653" s="269" t="s">
        <v>5353</v>
      </c>
      <c r="H653" s="845" t="s">
        <v>5354</v>
      </c>
      <c r="I653" s="269" t="s">
        <v>5355</v>
      </c>
      <c r="J653" s="296" t="s">
        <v>140</v>
      </c>
      <c r="K653" s="297" t="s">
        <v>140</v>
      </c>
      <c r="L653" s="862" t="s">
        <v>5356</v>
      </c>
      <c r="M653" s="847" t="s">
        <v>973</v>
      </c>
      <c r="N653" s="253" t="s">
        <v>974</v>
      </c>
      <c r="O653" s="240" t="s">
        <v>5357</v>
      </c>
      <c r="P653" s="240" t="s">
        <v>5358</v>
      </c>
      <c r="Q653" s="845" t="s">
        <v>144</v>
      </c>
      <c r="R653" s="208" t="s">
        <v>144</v>
      </c>
      <c r="S653" s="864" t="s">
        <v>147</v>
      </c>
      <c r="T653" s="212" t="s">
        <v>144</v>
      </c>
      <c r="U653" s="213" t="s">
        <v>144</v>
      </c>
      <c r="V653" s="847">
        <v>1</v>
      </c>
      <c r="W653" s="415" t="s">
        <v>144</v>
      </c>
      <c r="X653" s="212">
        <v>42</v>
      </c>
      <c r="Y653" s="212" t="s">
        <v>144</v>
      </c>
      <c r="Z653" s="252" t="s">
        <v>144</v>
      </c>
      <c r="AA653" s="240" t="s">
        <v>5336</v>
      </c>
      <c r="AB653" s="206" t="s">
        <v>140</v>
      </c>
      <c r="AC653" s="847" t="s">
        <v>265</v>
      </c>
      <c r="AD653" s="847" t="s">
        <v>2552</v>
      </c>
      <c r="AE653" s="847" t="s">
        <v>144</v>
      </c>
      <c r="AF653" s="848" t="s">
        <v>144</v>
      </c>
      <c r="AG653" s="838"/>
      <c r="AH653" s="866" t="s">
        <v>5348</v>
      </c>
      <c r="AI653" s="273" t="s">
        <v>5349</v>
      </c>
      <c r="AJ653" s="847">
        <v>6</v>
      </c>
      <c r="AK653" s="848" t="s">
        <v>5350</v>
      </c>
      <c r="AL653" s="867" t="s">
        <v>294</v>
      </c>
      <c r="AM653" s="273" t="s">
        <v>295</v>
      </c>
      <c r="AN653" s="847">
        <v>7</v>
      </c>
      <c r="AO653" s="187" t="s">
        <v>966</v>
      </c>
      <c r="AP653" s="867"/>
      <c r="AQ653" s="273"/>
      <c r="AR653" s="847"/>
      <c r="AS653" s="848"/>
      <c r="AT653" s="867"/>
      <c r="AU653" s="273"/>
      <c r="AV653" s="847"/>
      <c r="AW653" s="848"/>
      <c r="AX653" s="867"/>
      <c r="AY653" s="273"/>
      <c r="AZ653" s="847"/>
      <c r="BA653" s="848"/>
      <c r="BB653" s="866"/>
      <c r="BC653" s="273"/>
      <c r="BD653" s="847"/>
      <c r="BE653" s="848"/>
      <c r="BF653" s="838"/>
    </row>
    <row r="654" spans="1:58" s="88" customFormat="1" ht="54" hidden="1" customHeight="1" x14ac:dyDescent="0.25">
      <c r="A654" s="267" t="s">
        <v>1687</v>
      </c>
      <c r="B654" s="268">
        <v>419</v>
      </c>
      <c r="C654" s="240" t="s">
        <v>2378</v>
      </c>
      <c r="D654" s="211" t="s">
        <v>2379</v>
      </c>
      <c r="E654" s="298" t="s">
        <v>5359</v>
      </c>
      <c r="F654" s="861" t="s">
        <v>5360</v>
      </c>
      <c r="G654" s="269" t="s">
        <v>5361</v>
      </c>
      <c r="H654" s="861" t="s">
        <v>5360</v>
      </c>
      <c r="I654" s="269" t="s">
        <v>5361</v>
      </c>
      <c r="J654" s="296" t="s">
        <v>140</v>
      </c>
      <c r="K654" s="297" t="s">
        <v>140</v>
      </c>
      <c r="L654" s="862" t="s">
        <v>5362</v>
      </c>
      <c r="M654" s="847" t="s">
        <v>973</v>
      </c>
      <c r="N654" s="270" t="s">
        <v>974</v>
      </c>
      <c r="O654" s="240" t="s">
        <v>144</v>
      </c>
      <c r="P654" s="240" t="s">
        <v>144</v>
      </c>
      <c r="Q654" s="351" t="s">
        <v>144</v>
      </c>
      <c r="R654" s="318" t="s">
        <v>144</v>
      </c>
      <c r="S654" s="864" t="s">
        <v>746</v>
      </c>
      <c r="T654" s="212" t="s">
        <v>1104</v>
      </c>
      <c r="U654" s="213" t="s">
        <v>1105</v>
      </c>
      <c r="V654" s="847">
        <v>19</v>
      </c>
      <c r="W654" s="415" t="s">
        <v>144</v>
      </c>
      <c r="X654" s="212">
        <v>42</v>
      </c>
      <c r="Y654" s="212" t="s">
        <v>144</v>
      </c>
      <c r="Z654" s="241" t="s">
        <v>32</v>
      </c>
      <c r="AA654" s="826" t="s">
        <v>5363</v>
      </c>
      <c r="AB654" s="206" t="s">
        <v>140</v>
      </c>
      <c r="AC654" s="847" t="s">
        <v>265</v>
      </c>
      <c r="AD654" s="847" t="s">
        <v>2731</v>
      </c>
      <c r="AE654" s="847" t="s">
        <v>144</v>
      </c>
      <c r="AF654" s="848" t="s">
        <v>144</v>
      </c>
      <c r="AG654" s="838"/>
      <c r="AH654" s="866" t="s">
        <v>5364</v>
      </c>
      <c r="AI654" s="273" t="s">
        <v>5365</v>
      </c>
      <c r="AJ654" s="847">
        <v>6</v>
      </c>
      <c r="AK654" s="848" t="s">
        <v>5366</v>
      </c>
      <c r="AL654" s="867"/>
      <c r="AM654" s="273"/>
      <c r="AN654" s="847"/>
      <c r="AO654" s="848"/>
      <c r="AP654" s="867" t="s">
        <v>1107</v>
      </c>
      <c r="AQ654" s="273" t="s">
        <v>1108</v>
      </c>
      <c r="AR654" s="847">
        <v>7</v>
      </c>
      <c r="AS654" s="286" t="s">
        <v>1109</v>
      </c>
      <c r="AT654" s="867"/>
      <c r="AU654" s="273"/>
      <c r="AV654" s="847"/>
      <c r="AW654" s="848"/>
      <c r="AX654" s="867"/>
      <c r="AY654" s="273"/>
      <c r="AZ654" s="847"/>
      <c r="BA654" s="848"/>
      <c r="BB654" s="866"/>
      <c r="BC654" s="273"/>
      <c r="BD654" s="847"/>
      <c r="BE654" s="848"/>
      <c r="BF654" s="838"/>
    </row>
    <row r="655" spans="1:58" s="88" customFormat="1" ht="54" hidden="1" customHeight="1" x14ac:dyDescent="0.25">
      <c r="A655" s="267" t="s">
        <v>1687</v>
      </c>
      <c r="B655" s="268">
        <v>420</v>
      </c>
      <c r="C655" s="240" t="s">
        <v>2378</v>
      </c>
      <c r="D655" s="211" t="s">
        <v>2379</v>
      </c>
      <c r="E655" s="298" t="s">
        <v>5367</v>
      </c>
      <c r="F655" s="861" t="s">
        <v>5368</v>
      </c>
      <c r="G655" s="269" t="s">
        <v>5369</v>
      </c>
      <c r="H655" s="861" t="s">
        <v>5368</v>
      </c>
      <c r="I655" s="269" t="s">
        <v>5369</v>
      </c>
      <c r="J655" s="296" t="s">
        <v>140</v>
      </c>
      <c r="K655" s="297" t="s">
        <v>140</v>
      </c>
      <c r="L655" s="862" t="s">
        <v>5370</v>
      </c>
      <c r="M655" s="847" t="s">
        <v>973</v>
      </c>
      <c r="N655" s="270" t="s">
        <v>974</v>
      </c>
      <c r="O655" s="240" t="s">
        <v>814</v>
      </c>
      <c r="P655" s="240" t="s">
        <v>815</v>
      </c>
      <c r="Q655" s="845" t="s">
        <v>144</v>
      </c>
      <c r="R655" s="208" t="s">
        <v>144</v>
      </c>
      <c r="S655" s="864" t="s">
        <v>147</v>
      </c>
      <c r="T655" s="212" t="s">
        <v>144</v>
      </c>
      <c r="U655" s="213" t="s">
        <v>144</v>
      </c>
      <c r="V655" s="847">
        <v>3</v>
      </c>
      <c r="W655" s="415" t="s">
        <v>144</v>
      </c>
      <c r="X655" s="212">
        <v>42</v>
      </c>
      <c r="Y655" s="212" t="s">
        <v>144</v>
      </c>
      <c r="Z655" s="241" t="s">
        <v>32</v>
      </c>
      <c r="AA655" s="826" t="s">
        <v>5363</v>
      </c>
      <c r="AB655" s="206" t="s">
        <v>140</v>
      </c>
      <c r="AC655" s="847" t="s">
        <v>265</v>
      </c>
      <c r="AD655" s="847" t="s">
        <v>2731</v>
      </c>
      <c r="AE655" s="847" t="s">
        <v>144</v>
      </c>
      <c r="AF655" s="848" t="s">
        <v>144</v>
      </c>
      <c r="AG655" s="838"/>
      <c r="AH655" s="866" t="s">
        <v>5371</v>
      </c>
      <c r="AI655" s="273" t="s">
        <v>5372</v>
      </c>
      <c r="AJ655" s="847">
        <v>7</v>
      </c>
      <c r="AK655" s="848" t="s">
        <v>1280</v>
      </c>
      <c r="AL655" s="867" t="s">
        <v>294</v>
      </c>
      <c r="AM655" s="273" t="s">
        <v>295</v>
      </c>
      <c r="AN655" s="847">
        <v>7</v>
      </c>
      <c r="AO655" s="187" t="s">
        <v>966</v>
      </c>
      <c r="AP655" s="867"/>
      <c r="AQ655" s="273"/>
      <c r="AR655" s="847"/>
      <c r="AS655" s="848"/>
      <c r="AT655" s="867"/>
      <c r="AU655" s="273"/>
      <c r="AV655" s="847"/>
      <c r="AW655" s="848"/>
      <c r="AX655" s="867"/>
      <c r="AY655" s="273"/>
      <c r="AZ655" s="847"/>
      <c r="BA655" s="848"/>
      <c r="BB655" s="866"/>
      <c r="BC655" s="273"/>
      <c r="BD655" s="847"/>
      <c r="BE655" s="848"/>
      <c r="BF655" s="838"/>
    </row>
    <row r="656" spans="1:58" s="88" customFormat="1" ht="54" hidden="1" customHeight="1" x14ac:dyDescent="0.25">
      <c r="A656" s="267" t="s">
        <v>1687</v>
      </c>
      <c r="B656" s="268">
        <v>421</v>
      </c>
      <c r="C656" s="240" t="s">
        <v>2378</v>
      </c>
      <c r="D656" s="211" t="s">
        <v>2379</v>
      </c>
      <c r="E656" s="298" t="s">
        <v>5373</v>
      </c>
      <c r="F656" s="861" t="s">
        <v>5374</v>
      </c>
      <c r="G656" s="269" t="s">
        <v>5375</v>
      </c>
      <c r="H656" s="861" t="s">
        <v>5376</v>
      </c>
      <c r="I656" s="269" t="s">
        <v>5375</v>
      </c>
      <c r="J656" s="296" t="s">
        <v>140</v>
      </c>
      <c r="K656" s="297" t="s">
        <v>140</v>
      </c>
      <c r="L656" s="862" t="s">
        <v>5377</v>
      </c>
      <c r="M656" s="847" t="s">
        <v>973</v>
      </c>
      <c r="N656" s="270" t="s">
        <v>974</v>
      </c>
      <c r="O656" s="240" t="s">
        <v>144</v>
      </c>
      <c r="P656" s="240" t="s">
        <v>144</v>
      </c>
      <c r="Q656" s="845" t="s">
        <v>144</v>
      </c>
      <c r="R656" s="208" t="s">
        <v>144</v>
      </c>
      <c r="S656" s="864" t="s">
        <v>746</v>
      </c>
      <c r="T656" s="212" t="s">
        <v>1104</v>
      </c>
      <c r="U656" s="213" t="s">
        <v>1105</v>
      </c>
      <c r="V656" s="847">
        <v>19</v>
      </c>
      <c r="W656" s="415" t="s">
        <v>144</v>
      </c>
      <c r="X656" s="212">
        <v>42</v>
      </c>
      <c r="Y656" s="212" t="s">
        <v>144</v>
      </c>
      <c r="Z656" s="241" t="s">
        <v>32</v>
      </c>
      <c r="AA656" s="826" t="s">
        <v>5378</v>
      </c>
      <c r="AB656" s="206" t="s">
        <v>140</v>
      </c>
      <c r="AC656" s="847" t="s">
        <v>265</v>
      </c>
      <c r="AD656" s="847" t="s">
        <v>2731</v>
      </c>
      <c r="AE656" s="847" t="s">
        <v>144</v>
      </c>
      <c r="AF656" s="848" t="s">
        <v>144</v>
      </c>
      <c r="AG656" s="838"/>
      <c r="AH656" s="866" t="s">
        <v>5364</v>
      </c>
      <c r="AI656" s="273" t="s">
        <v>5365</v>
      </c>
      <c r="AJ656" s="847">
        <v>6</v>
      </c>
      <c r="AK656" s="848" t="s">
        <v>5366</v>
      </c>
      <c r="AL656" s="867"/>
      <c r="AM656" s="273"/>
      <c r="AN656" s="847"/>
      <c r="AO656" s="848"/>
      <c r="AP656" s="312"/>
      <c r="AQ656" s="313"/>
      <c r="AR656" s="289"/>
      <c r="AS656" s="848"/>
      <c r="AT656" s="312"/>
      <c r="AU656" s="313"/>
      <c r="AV656" s="289"/>
      <c r="AW656" s="848"/>
      <c r="AX656" s="867"/>
      <c r="AY656" s="273"/>
      <c r="AZ656" s="847"/>
      <c r="BA656" s="848"/>
      <c r="BB656" s="866"/>
      <c r="BC656" s="273"/>
      <c r="BD656" s="847"/>
      <c r="BE656" s="848"/>
      <c r="BF656" s="838"/>
    </row>
    <row r="657" spans="1:58" s="88" customFormat="1" ht="54" hidden="1" customHeight="1" x14ac:dyDescent="0.25">
      <c r="A657" s="267" t="s">
        <v>1687</v>
      </c>
      <c r="B657" s="268">
        <v>422</v>
      </c>
      <c r="C657" s="240" t="s">
        <v>2530</v>
      </c>
      <c r="D657" s="211" t="s">
        <v>2531</v>
      </c>
      <c r="E657" s="298" t="s">
        <v>5379</v>
      </c>
      <c r="F657" s="861" t="s">
        <v>5380</v>
      </c>
      <c r="G657" s="269" t="s">
        <v>5381</v>
      </c>
      <c r="H657" s="861" t="s">
        <v>5380</v>
      </c>
      <c r="I657" s="269" t="s">
        <v>5381</v>
      </c>
      <c r="J657" s="296" t="s">
        <v>140</v>
      </c>
      <c r="K657" s="297" t="s">
        <v>140</v>
      </c>
      <c r="L657" s="862" t="s">
        <v>5382</v>
      </c>
      <c r="M657" s="847" t="s">
        <v>973</v>
      </c>
      <c r="N657" s="270" t="s">
        <v>974</v>
      </c>
      <c r="O657" s="240" t="s">
        <v>814</v>
      </c>
      <c r="P657" s="240" t="s">
        <v>815</v>
      </c>
      <c r="Q657" s="845" t="s">
        <v>144</v>
      </c>
      <c r="R657" s="208" t="s">
        <v>144</v>
      </c>
      <c r="S657" s="864" t="s">
        <v>147</v>
      </c>
      <c r="T657" s="212" t="s">
        <v>144</v>
      </c>
      <c r="U657" s="213" t="s">
        <v>144</v>
      </c>
      <c r="V657" s="847">
        <v>3</v>
      </c>
      <c r="W657" s="415" t="s">
        <v>144</v>
      </c>
      <c r="X657" s="212">
        <v>42</v>
      </c>
      <c r="Y657" s="212" t="s">
        <v>144</v>
      </c>
      <c r="Z657" s="241" t="s">
        <v>32</v>
      </c>
      <c r="AA657" s="826" t="s">
        <v>5378</v>
      </c>
      <c r="AB657" s="206" t="s">
        <v>140</v>
      </c>
      <c r="AC657" s="847" t="s">
        <v>265</v>
      </c>
      <c r="AD657" s="847" t="s">
        <v>2731</v>
      </c>
      <c r="AE657" s="847" t="s">
        <v>144</v>
      </c>
      <c r="AF657" s="848" t="s">
        <v>144</v>
      </c>
      <c r="AG657" s="838"/>
      <c r="AH657" s="866" t="s">
        <v>5383</v>
      </c>
      <c r="AI657" s="273" t="s">
        <v>5384</v>
      </c>
      <c r="AJ657" s="847">
        <v>7</v>
      </c>
      <c r="AK657" s="848" t="s">
        <v>1280</v>
      </c>
      <c r="AL657" s="867" t="s">
        <v>294</v>
      </c>
      <c r="AM657" s="273" t="s">
        <v>295</v>
      </c>
      <c r="AN657" s="847">
        <v>7</v>
      </c>
      <c r="AO657" s="187" t="s">
        <v>966</v>
      </c>
      <c r="AP657" s="867"/>
      <c r="AQ657" s="273"/>
      <c r="AR657" s="847"/>
      <c r="AS657" s="848"/>
      <c r="AT657" s="867"/>
      <c r="AU657" s="273"/>
      <c r="AV657" s="847"/>
      <c r="AW657" s="848"/>
      <c r="AX657" s="867"/>
      <c r="AY657" s="273"/>
      <c r="AZ657" s="847"/>
      <c r="BA657" s="848"/>
      <c r="BB657" s="866"/>
      <c r="BC657" s="273"/>
      <c r="BD657" s="847"/>
      <c r="BE657" s="848"/>
      <c r="BF657" s="838"/>
    </row>
    <row r="658" spans="1:58" s="88" customFormat="1" ht="54" hidden="1" customHeight="1" x14ac:dyDescent="0.25">
      <c r="A658" s="267" t="s">
        <v>1687</v>
      </c>
      <c r="B658" s="268">
        <v>423</v>
      </c>
      <c r="C658" s="240" t="s">
        <v>2378</v>
      </c>
      <c r="D658" s="211" t="s">
        <v>2379</v>
      </c>
      <c r="E658" s="298" t="s">
        <v>5385</v>
      </c>
      <c r="F658" s="861" t="s">
        <v>5386</v>
      </c>
      <c r="G658" s="269" t="s">
        <v>5387</v>
      </c>
      <c r="H658" s="861" t="s">
        <v>5386</v>
      </c>
      <c r="I658" s="269" t="s">
        <v>5387</v>
      </c>
      <c r="J658" s="296" t="s">
        <v>140</v>
      </c>
      <c r="K658" s="297" t="s">
        <v>140</v>
      </c>
      <c r="L658" s="862" t="s">
        <v>5388</v>
      </c>
      <c r="M658" s="847" t="s">
        <v>973</v>
      </c>
      <c r="N658" s="270" t="s">
        <v>974</v>
      </c>
      <c r="O658" s="240" t="s">
        <v>144</v>
      </c>
      <c r="P658" s="240" t="s">
        <v>144</v>
      </c>
      <c r="Q658" s="351" t="s">
        <v>2833</v>
      </c>
      <c r="R658" s="318" t="s">
        <v>2834</v>
      </c>
      <c r="S658" s="864" t="s">
        <v>746</v>
      </c>
      <c r="T658" s="212" t="s">
        <v>1104</v>
      </c>
      <c r="U658" s="213" t="s">
        <v>1105</v>
      </c>
      <c r="V658" s="847">
        <v>19</v>
      </c>
      <c r="W658" s="415" t="s">
        <v>144</v>
      </c>
      <c r="X658" s="212">
        <v>42</v>
      </c>
      <c r="Y658" s="212" t="s">
        <v>144</v>
      </c>
      <c r="Z658" s="241" t="s">
        <v>32</v>
      </c>
      <c r="AA658" s="826" t="s">
        <v>5363</v>
      </c>
      <c r="AB658" s="206" t="s">
        <v>140</v>
      </c>
      <c r="AC658" s="847" t="s">
        <v>265</v>
      </c>
      <c r="AD658" s="847" t="s">
        <v>2731</v>
      </c>
      <c r="AE658" s="847" t="s">
        <v>144</v>
      </c>
      <c r="AF658" s="848" t="s">
        <v>144</v>
      </c>
      <c r="AG658" s="838"/>
      <c r="AH658" s="866" t="s">
        <v>5364</v>
      </c>
      <c r="AI658" s="273" t="s">
        <v>5365</v>
      </c>
      <c r="AJ658" s="847">
        <v>6</v>
      </c>
      <c r="AK658" s="848" t="s">
        <v>5366</v>
      </c>
      <c r="AL658" s="867"/>
      <c r="AM658" s="273"/>
      <c r="AN658" s="847"/>
      <c r="AO658" s="848"/>
      <c r="AP658" s="867" t="s">
        <v>1107</v>
      </c>
      <c r="AQ658" s="273" t="s">
        <v>1108</v>
      </c>
      <c r="AR658" s="847">
        <v>7</v>
      </c>
      <c r="AS658" s="286" t="s">
        <v>1109</v>
      </c>
      <c r="AT658" s="867"/>
      <c r="AU658" s="273"/>
      <c r="AV658" s="847"/>
      <c r="AW658" s="848"/>
      <c r="AX658" s="867"/>
      <c r="AY658" s="273"/>
      <c r="AZ658" s="847"/>
      <c r="BA658" s="848"/>
      <c r="BB658" s="866"/>
      <c r="BC658" s="273"/>
      <c r="BD658" s="847"/>
      <c r="BE658" s="848"/>
      <c r="BF658" s="838"/>
    </row>
    <row r="659" spans="1:58" s="88" customFormat="1" ht="54" hidden="1" customHeight="1" x14ac:dyDescent="0.25">
      <c r="A659" s="267" t="s">
        <v>1687</v>
      </c>
      <c r="B659" s="268">
        <v>424</v>
      </c>
      <c r="C659" s="240" t="s">
        <v>2378</v>
      </c>
      <c r="D659" s="211" t="s">
        <v>2379</v>
      </c>
      <c r="E659" s="298" t="s">
        <v>5389</v>
      </c>
      <c r="F659" s="861" t="s">
        <v>5390</v>
      </c>
      <c r="G659" s="269" t="s">
        <v>5391</v>
      </c>
      <c r="H659" s="861" t="s">
        <v>5390</v>
      </c>
      <c r="I659" s="269" t="s">
        <v>5391</v>
      </c>
      <c r="J659" s="296" t="s">
        <v>140</v>
      </c>
      <c r="K659" s="297" t="s">
        <v>140</v>
      </c>
      <c r="L659" s="862" t="s">
        <v>5392</v>
      </c>
      <c r="M659" s="847" t="s">
        <v>973</v>
      </c>
      <c r="N659" s="270" t="s">
        <v>974</v>
      </c>
      <c r="O659" s="240" t="s">
        <v>814</v>
      </c>
      <c r="P659" s="240" t="s">
        <v>815</v>
      </c>
      <c r="Q659" s="845" t="s">
        <v>144</v>
      </c>
      <c r="R659" s="208" t="s">
        <v>144</v>
      </c>
      <c r="S659" s="864" t="s">
        <v>147</v>
      </c>
      <c r="T659" s="212" t="s">
        <v>144</v>
      </c>
      <c r="U659" s="213" t="s">
        <v>144</v>
      </c>
      <c r="V659" s="847">
        <v>3</v>
      </c>
      <c r="W659" s="415" t="s">
        <v>144</v>
      </c>
      <c r="X659" s="212">
        <v>42</v>
      </c>
      <c r="Y659" s="212" t="s">
        <v>144</v>
      </c>
      <c r="Z659" s="241" t="s">
        <v>32</v>
      </c>
      <c r="AA659" s="826" t="s">
        <v>5363</v>
      </c>
      <c r="AB659" s="206" t="s">
        <v>140</v>
      </c>
      <c r="AC659" s="847" t="s">
        <v>265</v>
      </c>
      <c r="AD659" s="847" t="s">
        <v>2731</v>
      </c>
      <c r="AE659" s="847" t="s">
        <v>144</v>
      </c>
      <c r="AF659" s="848" t="s">
        <v>144</v>
      </c>
      <c r="AG659" s="838"/>
      <c r="AH659" s="866" t="s">
        <v>5393</v>
      </c>
      <c r="AI659" s="273" t="s">
        <v>5394</v>
      </c>
      <c r="AJ659" s="847">
        <v>7</v>
      </c>
      <c r="AK659" s="848" t="s">
        <v>1280</v>
      </c>
      <c r="AL659" s="867" t="s">
        <v>294</v>
      </c>
      <c r="AM659" s="273" t="s">
        <v>295</v>
      </c>
      <c r="AN659" s="847">
        <v>7</v>
      </c>
      <c r="AO659" s="187" t="s">
        <v>966</v>
      </c>
      <c r="AP659" s="867"/>
      <c r="AQ659" s="273"/>
      <c r="AR659" s="847"/>
      <c r="AS659" s="848"/>
      <c r="AT659" s="867"/>
      <c r="AU659" s="273"/>
      <c r="AV659" s="847"/>
      <c r="AW659" s="848"/>
      <c r="AX659" s="867"/>
      <c r="AY659" s="273"/>
      <c r="AZ659" s="847"/>
      <c r="BA659" s="848"/>
      <c r="BB659" s="866"/>
      <c r="BC659" s="273"/>
      <c r="BD659" s="847"/>
      <c r="BE659" s="848"/>
      <c r="BF659" s="838"/>
    </row>
    <row r="660" spans="1:58" s="88" customFormat="1" ht="54" hidden="1" customHeight="1" x14ac:dyDescent="0.25">
      <c r="A660" s="267" t="s">
        <v>1687</v>
      </c>
      <c r="B660" s="268">
        <v>425</v>
      </c>
      <c r="C660" s="240" t="s">
        <v>2378</v>
      </c>
      <c r="D660" s="211" t="s">
        <v>2379</v>
      </c>
      <c r="E660" s="298" t="s">
        <v>5395</v>
      </c>
      <c r="F660" s="861" t="s">
        <v>5396</v>
      </c>
      <c r="G660" s="269" t="s">
        <v>5397</v>
      </c>
      <c r="H660" s="861" t="s">
        <v>5396</v>
      </c>
      <c r="I660" s="269" t="s">
        <v>5397</v>
      </c>
      <c r="J660" s="296" t="s">
        <v>140</v>
      </c>
      <c r="K660" s="297" t="s">
        <v>140</v>
      </c>
      <c r="L660" s="862" t="s">
        <v>5398</v>
      </c>
      <c r="M660" s="847" t="s">
        <v>973</v>
      </c>
      <c r="N660" s="270" t="s">
        <v>974</v>
      </c>
      <c r="O660" s="240" t="s">
        <v>144</v>
      </c>
      <c r="P660" s="240" t="s">
        <v>144</v>
      </c>
      <c r="Q660" s="845" t="s">
        <v>144</v>
      </c>
      <c r="R660" s="208" t="s">
        <v>144</v>
      </c>
      <c r="S660" s="864" t="s">
        <v>746</v>
      </c>
      <c r="T660" s="212" t="s">
        <v>1104</v>
      </c>
      <c r="U660" s="213" t="s">
        <v>1105</v>
      </c>
      <c r="V660" s="847">
        <v>19</v>
      </c>
      <c r="W660" s="415" t="s">
        <v>144</v>
      </c>
      <c r="X660" s="212">
        <v>42</v>
      </c>
      <c r="Y660" s="212" t="s">
        <v>144</v>
      </c>
      <c r="Z660" s="241" t="s">
        <v>32</v>
      </c>
      <c r="AA660" s="826" t="s">
        <v>5378</v>
      </c>
      <c r="AB660" s="206" t="s">
        <v>140</v>
      </c>
      <c r="AC660" s="847" t="s">
        <v>265</v>
      </c>
      <c r="AD660" s="847" t="s">
        <v>2731</v>
      </c>
      <c r="AE660" s="847" t="s">
        <v>144</v>
      </c>
      <c r="AF660" s="848" t="s">
        <v>144</v>
      </c>
      <c r="AG660" s="838"/>
      <c r="AH660" s="866" t="s">
        <v>5364</v>
      </c>
      <c r="AI660" s="273" t="s">
        <v>5365</v>
      </c>
      <c r="AJ660" s="847">
        <v>6</v>
      </c>
      <c r="AK660" s="848" t="s">
        <v>5366</v>
      </c>
      <c r="AL660" s="867"/>
      <c r="AM660" s="273"/>
      <c r="AN660" s="847"/>
      <c r="AO660" s="848"/>
      <c r="AP660" s="312"/>
      <c r="AQ660" s="313"/>
      <c r="AR660" s="289"/>
      <c r="AS660" s="848"/>
      <c r="AT660" s="312"/>
      <c r="AU660" s="313"/>
      <c r="AV660" s="289"/>
      <c r="AW660" s="848"/>
      <c r="AX660" s="867"/>
      <c r="AY660" s="273"/>
      <c r="AZ660" s="847"/>
      <c r="BA660" s="848"/>
      <c r="BB660" s="866"/>
      <c r="BC660" s="273"/>
      <c r="BD660" s="847"/>
      <c r="BE660" s="848"/>
      <c r="BF660" s="838"/>
    </row>
    <row r="661" spans="1:58" s="88" customFormat="1" ht="54" hidden="1" customHeight="1" x14ac:dyDescent="0.25">
      <c r="A661" s="267" t="s">
        <v>1687</v>
      </c>
      <c r="B661" s="268">
        <v>426</v>
      </c>
      <c r="C661" s="240" t="s">
        <v>2530</v>
      </c>
      <c r="D661" s="211" t="s">
        <v>2531</v>
      </c>
      <c r="E661" s="298" t="s">
        <v>5399</v>
      </c>
      <c r="F661" s="861" t="s">
        <v>5400</v>
      </c>
      <c r="G661" s="269" t="s">
        <v>5401</v>
      </c>
      <c r="H661" s="861" t="s">
        <v>5400</v>
      </c>
      <c r="I661" s="269" t="s">
        <v>5401</v>
      </c>
      <c r="J661" s="296" t="s">
        <v>140</v>
      </c>
      <c r="K661" s="297" t="s">
        <v>140</v>
      </c>
      <c r="L661" s="862" t="s">
        <v>5402</v>
      </c>
      <c r="M661" s="847" t="s">
        <v>973</v>
      </c>
      <c r="N661" s="270" t="s">
        <v>974</v>
      </c>
      <c r="O661" s="240" t="s">
        <v>814</v>
      </c>
      <c r="P661" s="240" t="s">
        <v>815</v>
      </c>
      <c r="Q661" s="845" t="s">
        <v>144</v>
      </c>
      <c r="R661" s="208" t="s">
        <v>144</v>
      </c>
      <c r="S661" s="864" t="s">
        <v>147</v>
      </c>
      <c r="T661" s="212" t="s">
        <v>144</v>
      </c>
      <c r="U661" s="213" t="s">
        <v>144</v>
      </c>
      <c r="V661" s="847">
        <v>3</v>
      </c>
      <c r="W661" s="415" t="s">
        <v>144</v>
      </c>
      <c r="X661" s="212">
        <v>42</v>
      </c>
      <c r="Y661" s="212" t="s">
        <v>144</v>
      </c>
      <c r="Z661" s="241" t="s">
        <v>32</v>
      </c>
      <c r="AA661" s="826" t="s">
        <v>5378</v>
      </c>
      <c r="AB661" s="206" t="s">
        <v>140</v>
      </c>
      <c r="AC661" s="847" t="s">
        <v>265</v>
      </c>
      <c r="AD661" s="847" t="s">
        <v>2731</v>
      </c>
      <c r="AE661" s="847" t="s">
        <v>144</v>
      </c>
      <c r="AF661" s="848" t="s">
        <v>144</v>
      </c>
      <c r="AG661" s="838"/>
      <c r="AH661" s="866" t="s">
        <v>5403</v>
      </c>
      <c r="AI661" s="273" t="s">
        <v>5404</v>
      </c>
      <c r="AJ661" s="847">
        <v>7</v>
      </c>
      <c r="AK661" s="848" t="s">
        <v>1280</v>
      </c>
      <c r="AL661" s="867" t="s">
        <v>294</v>
      </c>
      <c r="AM661" s="273" t="s">
        <v>295</v>
      </c>
      <c r="AN661" s="847">
        <v>7</v>
      </c>
      <c r="AO661" s="187" t="s">
        <v>966</v>
      </c>
      <c r="AP661" s="867"/>
      <c r="AQ661" s="273"/>
      <c r="AR661" s="847"/>
      <c r="AS661" s="848"/>
      <c r="AT661" s="867"/>
      <c r="AU661" s="273"/>
      <c r="AV661" s="847"/>
      <c r="AW661" s="848"/>
      <c r="AX661" s="867"/>
      <c r="AY661" s="273"/>
      <c r="AZ661" s="847"/>
      <c r="BA661" s="848"/>
      <c r="BB661" s="866"/>
      <c r="BC661" s="273"/>
      <c r="BD661" s="847"/>
      <c r="BE661" s="848"/>
      <c r="BF661" s="838"/>
    </row>
    <row r="662" spans="1:58" s="88" customFormat="1" ht="54" hidden="1" customHeight="1" x14ac:dyDescent="0.25">
      <c r="A662" s="267" t="s">
        <v>1687</v>
      </c>
      <c r="B662" s="268">
        <v>427</v>
      </c>
      <c r="C662" s="240" t="s">
        <v>2530</v>
      </c>
      <c r="D662" s="211" t="s">
        <v>2531</v>
      </c>
      <c r="E662" s="298" t="s">
        <v>5405</v>
      </c>
      <c r="F662" s="861" t="s">
        <v>5406</v>
      </c>
      <c r="G662" s="269" t="s">
        <v>5407</v>
      </c>
      <c r="H662" s="861" t="s">
        <v>5406</v>
      </c>
      <c r="I662" s="269" t="s">
        <v>5407</v>
      </c>
      <c r="J662" s="296" t="s">
        <v>140</v>
      </c>
      <c r="K662" s="297" t="s">
        <v>140</v>
      </c>
      <c r="L662" s="862" t="s">
        <v>5408</v>
      </c>
      <c r="M662" s="872" t="s">
        <v>973</v>
      </c>
      <c r="N662" s="439" t="s">
        <v>974</v>
      </c>
      <c r="O662" s="240" t="s">
        <v>144</v>
      </c>
      <c r="P662" s="240" t="s">
        <v>144</v>
      </c>
      <c r="Q662" s="351" t="s">
        <v>144</v>
      </c>
      <c r="R662" s="318" t="s">
        <v>144</v>
      </c>
      <c r="S662" s="864" t="s">
        <v>746</v>
      </c>
      <c r="T662" s="212" t="s">
        <v>1104</v>
      </c>
      <c r="U662" s="213" t="s">
        <v>1105</v>
      </c>
      <c r="V662" s="847">
        <v>19</v>
      </c>
      <c r="W662" s="415" t="s">
        <v>144</v>
      </c>
      <c r="X662" s="212">
        <v>42</v>
      </c>
      <c r="Y662" s="212" t="s">
        <v>144</v>
      </c>
      <c r="Z662" s="241" t="s">
        <v>32</v>
      </c>
      <c r="AA662" s="826" t="s">
        <v>5409</v>
      </c>
      <c r="AB662" s="206" t="s">
        <v>140</v>
      </c>
      <c r="AC662" s="847" t="s">
        <v>265</v>
      </c>
      <c r="AD662" s="832" t="s">
        <v>5410</v>
      </c>
      <c r="AE662" s="847" t="s">
        <v>144</v>
      </c>
      <c r="AF662" s="848" t="s">
        <v>144</v>
      </c>
      <c r="AG662" s="838"/>
      <c r="AH662" s="463" t="s">
        <v>5411</v>
      </c>
      <c r="AI662" s="406" t="s">
        <v>5412</v>
      </c>
      <c r="AJ662" s="407">
        <v>6</v>
      </c>
      <c r="AK662" s="731" t="s">
        <v>5413</v>
      </c>
      <c r="AL662" s="867"/>
      <c r="AM662" s="273"/>
      <c r="AN662" s="847"/>
      <c r="AO662" s="848"/>
      <c r="AP662" s="867"/>
      <c r="AQ662" s="273"/>
      <c r="AR662" s="847"/>
      <c r="AS662" s="848"/>
      <c r="AT662" s="867"/>
      <c r="AU662" s="273"/>
      <c r="AV662" s="847"/>
      <c r="AW662" s="848"/>
      <c r="AX662" s="867"/>
      <c r="AY662" s="273"/>
      <c r="AZ662" s="847"/>
      <c r="BA662" s="848"/>
      <c r="BB662" s="866"/>
      <c r="BC662" s="273"/>
      <c r="BD662" s="847"/>
      <c r="BE662" s="848"/>
      <c r="BF662" s="838"/>
    </row>
    <row r="663" spans="1:58" s="88" customFormat="1" ht="54" hidden="1" customHeight="1" x14ac:dyDescent="0.25">
      <c r="A663" s="267" t="s">
        <v>1687</v>
      </c>
      <c r="B663" s="268">
        <v>428</v>
      </c>
      <c r="C663" s="240" t="s">
        <v>2530</v>
      </c>
      <c r="D663" s="211" t="s">
        <v>2531</v>
      </c>
      <c r="E663" s="298" t="s">
        <v>5414</v>
      </c>
      <c r="F663" s="861" t="s">
        <v>5415</v>
      </c>
      <c r="G663" s="269" t="s">
        <v>5416</v>
      </c>
      <c r="H663" s="861" t="s">
        <v>5415</v>
      </c>
      <c r="I663" s="269" t="s">
        <v>5416</v>
      </c>
      <c r="J663" s="296" t="s">
        <v>140</v>
      </c>
      <c r="K663" s="297" t="s">
        <v>140</v>
      </c>
      <c r="L663" s="862" t="s">
        <v>5417</v>
      </c>
      <c r="M663" s="847" t="s">
        <v>973</v>
      </c>
      <c r="N663" s="270" t="s">
        <v>974</v>
      </c>
      <c r="O663" s="240" t="s">
        <v>814</v>
      </c>
      <c r="P663" s="240" t="s">
        <v>815</v>
      </c>
      <c r="Q663" s="845" t="s">
        <v>144</v>
      </c>
      <c r="R663" s="208" t="s">
        <v>144</v>
      </c>
      <c r="S663" s="864" t="s">
        <v>147</v>
      </c>
      <c r="T663" s="212" t="s">
        <v>144</v>
      </c>
      <c r="U663" s="213" t="s">
        <v>144</v>
      </c>
      <c r="V663" s="847">
        <v>3</v>
      </c>
      <c r="W663" s="415" t="s">
        <v>144</v>
      </c>
      <c r="X663" s="212">
        <v>42</v>
      </c>
      <c r="Y663" s="212" t="s">
        <v>144</v>
      </c>
      <c r="Z663" s="241" t="s">
        <v>32</v>
      </c>
      <c r="AA663" s="826" t="s">
        <v>5409</v>
      </c>
      <c r="AB663" s="206" t="s">
        <v>140</v>
      </c>
      <c r="AC663" s="847" t="s">
        <v>265</v>
      </c>
      <c r="AD663" s="832" t="s">
        <v>5410</v>
      </c>
      <c r="AE663" s="847" t="s">
        <v>144</v>
      </c>
      <c r="AF663" s="848" t="s">
        <v>144</v>
      </c>
      <c r="AG663" s="838"/>
      <c r="AH663" s="866" t="s">
        <v>5418</v>
      </c>
      <c r="AI663" s="273" t="s">
        <v>5419</v>
      </c>
      <c r="AJ663" s="847">
        <v>7</v>
      </c>
      <c r="AK663" s="848" t="s">
        <v>1280</v>
      </c>
      <c r="AL663" s="867" t="s">
        <v>294</v>
      </c>
      <c r="AM663" s="273" t="s">
        <v>295</v>
      </c>
      <c r="AN663" s="847">
        <v>7</v>
      </c>
      <c r="AO663" s="187" t="s">
        <v>966</v>
      </c>
      <c r="AP663" s="867"/>
      <c r="AQ663" s="273"/>
      <c r="AR663" s="847"/>
      <c r="AS663" s="848"/>
      <c r="AT663" s="867"/>
      <c r="AU663" s="273"/>
      <c r="AV663" s="847"/>
      <c r="AW663" s="848"/>
      <c r="AX663" s="867"/>
      <c r="AY663" s="273"/>
      <c r="AZ663" s="847"/>
      <c r="BA663" s="848"/>
      <c r="BB663" s="866"/>
      <c r="BC663" s="273"/>
      <c r="BD663" s="847"/>
      <c r="BE663" s="848"/>
      <c r="BF663" s="838"/>
    </row>
    <row r="664" spans="1:58" s="88" customFormat="1" ht="54" hidden="1" customHeight="1" x14ac:dyDescent="0.25">
      <c r="A664" s="267" t="s">
        <v>1687</v>
      </c>
      <c r="B664" s="268">
        <v>429</v>
      </c>
      <c r="C664" s="240" t="s">
        <v>2530</v>
      </c>
      <c r="D664" s="211" t="s">
        <v>2531</v>
      </c>
      <c r="E664" s="298" t="s">
        <v>5420</v>
      </c>
      <c r="F664" s="861" t="s">
        <v>5421</v>
      </c>
      <c r="G664" s="269" t="s">
        <v>5422</v>
      </c>
      <c r="H664" s="861" t="s">
        <v>5421</v>
      </c>
      <c r="I664" s="269" t="s">
        <v>5422</v>
      </c>
      <c r="J664" s="296" t="s">
        <v>140</v>
      </c>
      <c r="K664" s="297" t="s">
        <v>140</v>
      </c>
      <c r="L664" s="862" t="s">
        <v>5423</v>
      </c>
      <c r="M664" s="872" t="s">
        <v>973</v>
      </c>
      <c r="N664" s="439" t="s">
        <v>974</v>
      </c>
      <c r="O664" s="240" t="s">
        <v>144</v>
      </c>
      <c r="P664" s="240" t="s">
        <v>144</v>
      </c>
      <c r="Q664" s="351" t="s">
        <v>144</v>
      </c>
      <c r="R664" s="318" t="s">
        <v>144</v>
      </c>
      <c r="S664" s="864" t="s">
        <v>746</v>
      </c>
      <c r="T664" s="212" t="s">
        <v>1104</v>
      </c>
      <c r="U664" s="213" t="s">
        <v>1105</v>
      </c>
      <c r="V664" s="847">
        <v>19</v>
      </c>
      <c r="W664" s="415" t="s">
        <v>144</v>
      </c>
      <c r="X664" s="212">
        <v>42</v>
      </c>
      <c r="Y664" s="212" t="s">
        <v>144</v>
      </c>
      <c r="Z664" s="241" t="s">
        <v>32</v>
      </c>
      <c r="AA664" s="826" t="s">
        <v>5409</v>
      </c>
      <c r="AB664" s="206" t="s">
        <v>140</v>
      </c>
      <c r="AC664" s="847" t="s">
        <v>265</v>
      </c>
      <c r="AD664" s="832" t="s">
        <v>5410</v>
      </c>
      <c r="AE664" s="847" t="s">
        <v>144</v>
      </c>
      <c r="AF664" s="848" t="s">
        <v>144</v>
      </c>
      <c r="AG664" s="838"/>
      <c r="AH664" s="463" t="s">
        <v>5411</v>
      </c>
      <c r="AI664" s="406" t="s">
        <v>5412</v>
      </c>
      <c r="AJ664" s="407">
        <v>6</v>
      </c>
      <c r="AK664" s="731" t="s">
        <v>5413</v>
      </c>
      <c r="AL664" s="867"/>
      <c r="AM664" s="273"/>
      <c r="AN664" s="847"/>
      <c r="AO664" s="848"/>
      <c r="AP664" s="867"/>
      <c r="AQ664" s="273"/>
      <c r="AR664" s="847"/>
      <c r="AS664" s="848"/>
      <c r="AT664" s="867"/>
      <c r="AU664" s="273"/>
      <c r="AV664" s="847"/>
      <c r="AW664" s="848"/>
      <c r="AX664" s="867"/>
      <c r="AY664" s="273"/>
      <c r="AZ664" s="847"/>
      <c r="BA664" s="848"/>
      <c r="BB664" s="866"/>
      <c r="BC664" s="273"/>
      <c r="BD664" s="847"/>
      <c r="BE664" s="848"/>
      <c r="BF664" s="838"/>
    </row>
    <row r="665" spans="1:58" s="88" customFormat="1" ht="54" hidden="1" customHeight="1" x14ac:dyDescent="0.25">
      <c r="A665" s="267" t="s">
        <v>1687</v>
      </c>
      <c r="B665" s="268">
        <v>430</v>
      </c>
      <c r="C665" s="240" t="s">
        <v>2530</v>
      </c>
      <c r="D665" s="211" t="s">
        <v>2531</v>
      </c>
      <c r="E665" s="298" t="s">
        <v>5424</v>
      </c>
      <c r="F665" s="861" t="s">
        <v>5425</v>
      </c>
      <c r="G665" s="269" t="s">
        <v>5426</v>
      </c>
      <c r="H665" s="861" t="s">
        <v>5425</v>
      </c>
      <c r="I665" s="269" t="s">
        <v>5426</v>
      </c>
      <c r="J665" s="296" t="s">
        <v>140</v>
      </c>
      <c r="K665" s="297" t="s">
        <v>140</v>
      </c>
      <c r="L665" s="862" t="s">
        <v>5427</v>
      </c>
      <c r="M665" s="847" t="s">
        <v>973</v>
      </c>
      <c r="N665" s="270" t="s">
        <v>974</v>
      </c>
      <c r="O665" s="240" t="s">
        <v>814</v>
      </c>
      <c r="P665" s="240" t="s">
        <v>815</v>
      </c>
      <c r="Q665" s="845" t="s">
        <v>144</v>
      </c>
      <c r="R665" s="208" t="s">
        <v>144</v>
      </c>
      <c r="S665" s="864" t="s">
        <v>147</v>
      </c>
      <c r="T665" s="212" t="s">
        <v>144</v>
      </c>
      <c r="U665" s="213" t="s">
        <v>144</v>
      </c>
      <c r="V665" s="847">
        <v>3</v>
      </c>
      <c r="W665" s="415" t="s">
        <v>144</v>
      </c>
      <c r="X665" s="212">
        <v>42</v>
      </c>
      <c r="Y665" s="212" t="s">
        <v>144</v>
      </c>
      <c r="Z665" s="241" t="s">
        <v>32</v>
      </c>
      <c r="AA665" s="826" t="s">
        <v>5409</v>
      </c>
      <c r="AB665" s="206" t="s">
        <v>140</v>
      </c>
      <c r="AC665" s="847" t="s">
        <v>265</v>
      </c>
      <c r="AD665" s="832" t="s">
        <v>5410</v>
      </c>
      <c r="AE665" s="847" t="s">
        <v>144</v>
      </c>
      <c r="AF665" s="848" t="s">
        <v>144</v>
      </c>
      <c r="AG665" s="838"/>
      <c r="AH665" s="866" t="s">
        <v>5428</v>
      </c>
      <c r="AI665" s="273" t="s">
        <v>5429</v>
      </c>
      <c r="AJ665" s="847">
        <v>7</v>
      </c>
      <c r="AK665" s="848" t="s">
        <v>1280</v>
      </c>
      <c r="AL665" s="867" t="s">
        <v>294</v>
      </c>
      <c r="AM665" s="273" t="s">
        <v>295</v>
      </c>
      <c r="AN665" s="847">
        <v>7</v>
      </c>
      <c r="AO665" s="187" t="s">
        <v>966</v>
      </c>
      <c r="AP665" s="867"/>
      <c r="AQ665" s="273"/>
      <c r="AR665" s="847"/>
      <c r="AS665" s="848"/>
      <c r="AT665" s="867"/>
      <c r="AU665" s="273"/>
      <c r="AV665" s="847"/>
      <c r="AW665" s="848"/>
      <c r="AX665" s="867"/>
      <c r="AY665" s="273"/>
      <c r="AZ665" s="847"/>
      <c r="BA665" s="848"/>
      <c r="BB665" s="866"/>
      <c r="BC665" s="273"/>
      <c r="BD665" s="847"/>
      <c r="BE665" s="848"/>
      <c r="BF665" s="838"/>
    </row>
    <row r="666" spans="1:58" s="88" customFormat="1" ht="54" hidden="1" customHeight="1" x14ac:dyDescent="0.25">
      <c r="A666" s="267" t="s">
        <v>1687</v>
      </c>
      <c r="B666" s="268">
        <v>431</v>
      </c>
      <c r="C666" s="240" t="s">
        <v>2170</v>
      </c>
      <c r="D666" s="211" t="s">
        <v>2171</v>
      </c>
      <c r="E666" s="298" t="s">
        <v>5430</v>
      </c>
      <c r="F666" s="861" t="s">
        <v>5431</v>
      </c>
      <c r="G666" s="269" t="s">
        <v>5432</v>
      </c>
      <c r="H666" s="845" t="s">
        <v>5433</v>
      </c>
      <c r="I666" s="269" t="s">
        <v>5434</v>
      </c>
      <c r="J666" s="296" t="s">
        <v>140</v>
      </c>
      <c r="K666" s="297" t="s">
        <v>140</v>
      </c>
      <c r="L666" s="862" t="s">
        <v>5435</v>
      </c>
      <c r="M666" s="847" t="s">
        <v>973</v>
      </c>
      <c r="N666" s="270" t="s">
        <v>974</v>
      </c>
      <c r="O666" s="240" t="s">
        <v>225</v>
      </c>
      <c r="P666" s="240" t="s">
        <v>226</v>
      </c>
      <c r="Q666" s="845" t="s">
        <v>144</v>
      </c>
      <c r="R666" s="208" t="s">
        <v>144</v>
      </c>
      <c r="S666" s="864" t="s">
        <v>147</v>
      </c>
      <c r="T666" s="212" t="s">
        <v>144</v>
      </c>
      <c r="U666" s="213" t="s">
        <v>144</v>
      </c>
      <c r="V666" s="240">
        <v>1</v>
      </c>
      <c r="W666" s="206" t="s">
        <v>144</v>
      </c>
      <c r="X666" s="212">
        <v>42</v>
      </c>
      <c r="Y666" s="212" t="s">
        <v>144</v>
      </c>
      <c r="Z666" s="241" t="s">
        <v>32</v>
      </c>
      <c r="AA666" s="826" t="s">
        <v>5436</v>
      </c>
      <c r="AB666" s="206" t="s">
        <v>140</v>
      </c>
      <c r="AC666" s="847" t="s">
        <v>265</v>
      </c>
      <c r="AD666" s="847" t="s">
        <v>2552</v>
      </c>
      <c r="AE666" s="847" t="s">
        <v>144</v>
      </c>
      <c r="AF666" s="848" t="s">
        <v>144</v>
      </c>
      <c r="AG666" s="838"/>
      <c r="AH666" s="866" t="s">
        <v>5437</v>
      </c>
      <c r="AI666" s="273" t="s">
        <v>5438</v>
      </c>
      <c r="AJ666" s="847">
        <v>6</v>
      </c>
      <c r="AK666" s="848" t="s">
        <v>5439</v>
      </c>
      <c r="AL666" s="867" t="s">
        <v>294</v>
      </c>
      <c r="AM666" s="273" t="s">
        <v>295</v>
      </c>
      <c r="AN666" s="847">
        <v>7</v>
      </c>
      <c r="AO666" s="187" t="s">
        <v>966</v>
      </c>
      <c r="AP666" s="867"/>
      <c r="AQ666" s="273"/>
      <c r="AR666" s="847"/>
      <c r="AS666" s="848"/>
      <c r="AT666" s="867"/>
      <c r="AU666" s="273"/>
      <c r="AV666" s="847"/>
      <c r="AW666" s="848"/>
      <c r="AX666" s="867"/>
      <c r="AY666" s="273"/>
      <c r="AZ666" s="847"/>
      <c r="BA666" s="848"/>
      <c r="BB666" s="866"/>
      <c r="BC666" s="273"/>
      <c r="BD666" s="847"/>
      <c r="BE666" s="848"/>
      <c r="BF666" s="838"/>
    </row>
    <row r="667" spans="1:58" s="88" customFormat="1" ht="54" hidden="1" customHeight="1" x14ac:dyDescent="0.25">
      <c r="A667" s="267" t="s">
        <v>1687</v>
      </c>
      <c r="B667" s="268">
        <v>432</v>
      </c>
      <c r="C667" s="240" t="s">
        <v>2170</v>
      </c>
      <c r="D667" s="211" t="s">
        <v>2171</v>
      </c>
      <c r="E667" s="298" t="s">
        <v>5440</v>
      </c>
      <c r="F667" s="861" t="s">
        <v>5441</v>
      </c>
      <c r="G667" s="269" t="s">
        <v>5442</v>
      </c>
      <c r="H667" s="845" t="s">
        <v>5443</v>
      </c>
      <c r="I667" s="269" t="s">
        <v>5444</v>
      </c>
      <c r="J667" s="296" t="s">
        <v>140</v>
      </c>
      <c r="K667" s="297" t="s">
        <v>140</v>
      </c>
      <c r="L667" s="862" t="s">
        <v>5445</v>
      </c>
      <c r="M667" s="847" t="s">
        <v>973</v>
      </c>
      <c r="N667" s="270" t="s">
        <v>974</v>
      </c>
      <c r="O667" s="240" t="s">
        <v>144</v>
      </c>
      <c r="P667" s="240" t="s">
        <v>144</v>
      </c>
      <c r="Q667" s="845" t="s">
        <v>144</v>
      </c>
      <c r="R667" s="208" t="s">
        <v>144</v>
      </c>
      <c r="S667" s="864" t="s">
        <v>746</v>
      </c>
      <c r="T667" s="212" t="s">
        <v>1307</v>
      </c>
      <c r="U667" s="213" t="s">
        <v>1308</v>
      </c>
      <c r="V667" s="307">
        <v>10</v>
      </c>
      <c r="W667" s="415" t="s">
        <v>144</v>
      </c>
      <c r="X667" s="212">
        <v>42</v>
      </c>
      <c r="Y667" s="212" t="s">
        <v>144</v>
      </c>
      <c r="Z667" s="212" t="s">
        <v>25</v>
      </c>
      <c r="AA667" s="407" t="s">
        <v>5446</v>
      </c>
      <c r="AB667" s="206" t="s">
        <v>140</v>
      </c>
      <c r="AC667" s="847" t="s">
        <v>265</v>
      </c>
      <c r="AD667" s="847" t="s">
        <v>5447</v>
      </c>
      <c r="AE667" s="847" t="s">
        <v>144</v>
      </c>
      <c r="AF667" s="848" t="s">
        <v>144</v>
      </c>
      <c r="AG667" s="838"/>
      <c r="AH667" s="291" t="s">
        <v>5448</v>
      </c>
      <c r="AI667" s="273" t="s">
        <v>5449</v>
      </c>
      <c r="AJ667" s="240">
        <v>6</v>
      </c>
      <c r="AK667" s="286" t="s">
        <v>5450</v>
      </c>
      <c r="AL667" s="867"/>
      <c r="AM667" s="273"/>
      <c r="AN667" s="847"/>
      <c r="AO667" s="848"/>
      <c r="AP667" s="312"/>
      <c r="AQ667" s="313"/>
      <c r="AR667" s="289"/>
      <c r="AS667" s="848"/>
      <c r="AT667" s="312"/>
      <c r="AU667" s="313"/>
      <c r="AV667" s="289"/>
      <c r="AW667" s="848"/>
      <c r="AX667" s="867"/>
      <c r="AY667" s="273"/>
      <c r="AZ667" s="847"/>
      <c r="BA667" s="848"/>
      <c r="BB667" s="866"/>
      <c r="BC667" s="273"/>
      <c r="BD667" s="847"/>
      <c r="BE667" s="848"/>
      <c r="BF667" s="838"/>
    </row>
    <row r="668" spans="1:58" s="88" customFormat="1" ht="54" hidden="1" customHeight="1" x14ac:dyDescent="0.25">
      <c r="A668" s="267" t="s">
        <v>1687</v>
      </c>
      <c r="B668" s="268">
        <v>433</v>
      </c>
      <c r="C668" s="240" t="s">
        <v>2530</v>
      </c>
      <c r="D668" s="211" t="s">
        <v>2531</v>
      </c>
      <c r="E668" s="298" t="s">
        <v>5451</v>
      </c>
      <c r="F668" s="861" t="s">
        <v>5452</v>
      </c>
      <c r="G668" s="269" t="s">
        <v>5453</v>
      </c>
      <c r="H668" s="845" t="s">
        <v>4391</v>
      </c>
      <c r="I668" s="269" t="s">
        <v>4392</v>
      </c>
      <c r="J668" s="296" t="s">
        <v>140</v>
      </c>
      <c r="K668" s="297" t="s">
        <v>140</v>
      </c>
      <c r="L668" s="862" t="s">
        <v>5454</v>
      </c>
      <c r="M668" s="847" t="s">
        <v>973</v>
      </c>
      <c r="N668" s="270" t="s">
        <v>974</v>
      </c>
      <c r="O668" s="240" t="s">
        <v>4394</v>
      </c>
      <c r="P668" s="240" t="s">
        <v>4395</v>
      </c>
      <c r="Q668" s="845" t="s">
        <v>144</v>
      </c>
      <c r="R668" s="208" t="s">
        <v>144</v>
      </c>
      <c r="S668" s="864" t="s">
        <v>147</v>
      </c>
      <c r="T668" s="212" t="s">
        <v>144</v>
      </c>
      <c r="U668" s="213" t="s">
        <v>144</v>
      </c>
      <c r="V668" s="847">
        <v>7</v>
      </c>
      <c r="W668" s="415" t="s">
        <v>144</v>
      </c>
      <c r="X668" s="212">
        <v>42</v>
      </c>
      <c r="Y668" s="212" t="s">
        <v>144</v>
      </c>
      <c r="Z668" s="252" t="s">
        <v>25</v>
      </c>
      <c r="AA668" s="407" t="s">
        <v>5446</v>
      </c>
      <c r="AB668" s="206" t="s">
        <v>140</v>
      </c>
      <c r="AC668" s="847" t="s">
        <v>265</v>
      </c>
      <c r="AD668" s="847" t="s">
        <v>2552</v>
      </c>
      <c r="AE668" s="847" t="s">
        <v>144</v>
      </c>
      <c r="AF668" s="848" t="s">
        <v>144</v>
      </c>
      <c r="AG668" s="838"/>
      <c r="AH668" s="866" t="s">
        <v>5437</v>
      </c>
      <c r="AI668" s="273" t="s">
        <v>5438</v>
      </c>
      <c r="AJ668" s="847">
        <v>6</v>
      </c>
      <c r="AK668" s="848" t="s">
        <v>5439</v>
      </c>
      <c r="AL668" s="867" t="s">
        <v>294</v>
      </c>
      <c r="AM668" s="273" t="s">
        <v>295</v>
      </c>
      <c r="AN668" s="847">
        <v>7</v>
      </c>
      <c r="AO668" s="187" t="s">
        <v>966</v>
      </c>
      <c r="AP668" s="867"/>
      <c r="AQ668" s="273"/>
      <c r="AR668" s="847"/>
      <c r="AS668" s="848"/>
      <c r="AT668" s="867"/>
      <c r="AU668" s="273"/>
      <c r="AV668" s="847"/>
      <c r="AW668" s="848"/>
      <c r="AX668" s="867"/>
      <c r="AY668" s="273"/>
      <c r="AZ668" s="847"/>
      <c r="BA668" s="848"/>
      <c r="BB668" s="866"/>
      <c r="BC668" s="273"/>
      <c r="BD668" s="847"/>
      <c r="BE668" s="848"/>
      <c r="BF668" s="838"/>
    </row>
    <row r="669" spans="1:58" s="88" customFormat="1" ht="54" hidden="1" customHeight="1" x14ac:dyDescent="0.25">
      <c r="A669" s="267" t="s">
        <v>1687</v>
      </c>
      <c r="B669" s="268">
        <v>434</v>
      </c>
      <c r="C669" s="240" t="s">
        <v>2170</v>
      </c>
      <c r="D669" s="211" t="s">
        <v>2171</v>
      </c>
      <c r="E669" s="298" t="s">
        <v>5455</v>
      </c>
      <c r="F669" s="861" t="s">
        <v>5456</v>
      </c>
      <c r="G669" s="269" t="s">
        <v>5457</v>
      </c>
      <c r="H669" s="845" t="s">
        <v>5458</v>
      </c>
      <c r="I669" s="269" t="s">
        <v>5459</v>
      </c>
      <c r="J669" s="296" t="s">
        <v>140</v>
      </c>
      <c r="K669" s="297" t="s">
        <v>140</v>
      </c>
      <c r="L669" s="862" t="s">
        <v>5460</v>
      </c>
      <c r="M669" s="847" t="s">
        <v>973</v>
      </c>
      <c r="N669" s="270" t="s">
        <v>974</v>
      </c>
      <c r="O669" s="240" t="s">
        <v>225</v>
      </c>
      <c r="P669" s="240" t="s">
        <v>226</v>
      </c>
      <c r="Q669" s="845" t="s">
        <v>144</v>
      </c>
      <c r="R669" s="208" t="s">
        <v>144</v>
      </c>
      <c r="S669" s="864" t="s">
        <v>147</v>
      </c>
      <c r="T669" s="212" t="s">
        <v>144</v>
      </c>
      <c r="U669" s="213" t="s">
        <v>144</v>
      </c>
      <c r="V669" s="240">
        <v>1</v>
      </c>
      <c r="W669" s="206" t="s">
        <v>144</v>
      </c>
      <c r="X669" s="212">
        <v>42</v>
      </c>
      <c r="Y669" s="212" t="s">
        <v>144</v>
      </c>
      <c r="Z669" s="241" t="s">
        <v>32</v>
      </c>
      <c r="AA669" s="826" t="s">
        <v>5436</v>
      </c>
      <c r="AB669" s="206" t="s">
        <v>140</v>
      </c>
      <c r="AC669" s="847" t="s">
        <v>265</v>
      </c>
      <c r="AD669" s="847" t="s">
        <v>2552</v>
      </c>
      <c r="AE669" s="847" t="s">
        <v>144</v>
      </c>
      <c r="AF669" s="848" t="s">
        <v>144</v>
      </c>
      <c r="AG669" s="838"/>
      <c r="AH669" s="866" t="s">
        <v>5437</v>
      </c>
      <c r="AI669" s="273" t="s">
        <v>5438</v>
      </c>
      <c r="AJ669" s="847">
        <v>6</v>
      </c>
      <c r="AK669" s="848" t="s">
        <v>5439</v>
      </c>
      <c r="AL669" s="867" t="s">
        <v>294</v>
      </c>
      <c r="AM669" s="273" t="s">
        <v>295</v>
      </c>
      <c r="AN669" s="847">
        <v>7</v>
      </c>
      <c r="AO669" s="187" t="s">
        <v>966</v>
      </c>
      <c r="AP669" s="867"/>
      <c r="AQ669" s="273"/>
      <c r="AR669" s="847"/>
      <c r="AS669" s="848"/>
      <c r="AT669" s="867"/>
      <c r="AU669" s="273"/>
      <c r="AV669" s="847"/>
      <c r="AW669" s="848"/>
      <c r="AX669" s="867"/>
      <c r="AY669" s="273"/>
      <c r="AZ669" s="847"/>
      <c r="BA669" s="848"/>
      <c r="BB669" s="866"/>
      <c r="BC669" s="273"/>
      <c r="BD669" s="847"/>
      <c r="BE669" s="848"/>
      <c r="BF669" s="838"/>
    </row>
    <row r="670" spans="1:58" s="88" customFormat="1" ht="54" hidden="1" customHeight="1" x14ac:dyDescent="0.25">
      <c r="A670" s="267" t="s">
        <v>1687</v>
      </c>
      <c r="B670" s="268">
        <v>435</v>
      </c>
      <c r="C670" s="240" t="s">
        <v>2170</v>
      </c>
      <c r="D670" s="211" t="s">
        <v>2171</v>
      </c>
      <c r="E670" s="298" t="s">
        <v>5461</v>
      </c>
      <c r="F670" s="913" t="s">
        <v>5462</v>
      </c>
      <c r="G670" s="269" t="s">
        <v>5463</v>
      </c>
      <c r="H670" s="845" t="s">
        <v>5464</v>
      </c>
      <c r="I670" s="269" t="s">
        <v>5465</v>
      </c>
      <c r="J670" s="296" t="s">
        <v>140</v>
      </c>
      <c r="K670" s="297" t="s">
        <v>140</v>
      </c>
      <c r="L670" s="862" t="s">
        <v>5466</v>
      </c>
      <c r="M670" s="847" t="s">
        <v>973</v>
      </c>
      <c r="N670" s="270" t="s">
        <v>974</v>
      </c>
      <c r="O670" s="240" t="s">
        <v>144</v>
      </c>
      <c r="P670" s="240" t="s">
        <v>144</v>
      </c>
      <c r="Q670" s="845" t="s">
        <v>144</v>
      </c>
      <c r="R670" s="208" t="s">
        <v>144</v>
      </c>
      <c r="S670" s="864" t="s">
        <v>746</v>
      </c>
      <c r="T670" s="212" t="s">
        <v>1307</v>
      </c>
      <c r="U670" s="213" t="s">
        <v>1308</v>
      </c>
      <c r="V670" s="307">
        <v>10</v>
      </c>
      <c r="W670" s="415" t="s">
        <v>144</v>
      </c>
      <c r="X670" s="212">
        <v>42</v>
      </c>
      <c r="Y670" s="212" t="s">
        <v>144</v>
      </c>
      <c r="Z670" s="212" t="s">
        <v>25</v>
      </c>
      <c r="AA670" s="407" t="s">
        <v>5446</v>
      </c>
      <c r="AB670" s="206" t="s">
        <v>140</v>
      </c>
      <c r="AC670" s="847" t="s">
        <v>265</v>
      </c>
      <c r="AD670" s="847" t="s">
        <v>5467</v>
      </c>
      <c r="AE670" s="847" t="s">
        <v>144</v>
      </c>
      <c r="AF670" s="848" t="s">
        <v>144</v>
      </c>
      <c r="AG670" s="838"/>
      <c r="AH670" s="291" t="s">
        <v>5468</v>
      </c>
      <c r="AI670" s="273" t="s">
        <v>5469</v>
      </c>
      <c r="AJ670" s="240">
        <v>6</v>
      </c>
      <c r="AK670" s="286" t="s">
        <v>5470</v>
      </c>
      <c r="AL670" s="867"/>
      <c r="AM670" s="273"/>
      <c r="AN670" s="847"/>
      <c r="AO670" s="848"/>
      <c r="AP670" s="312"/>
      <c r="AQ670" s="313"/>
      <c r="AR670" s="289"/>
      <c r="AS670" s="848"/>
      <c r="AT670" s="312"/>
      <c r="AU670" s="313"/>
      <c r="AV670" s="289"/>
      <c r="AW670" s="848"/>
      <c r="AX670" s="867"/>
      <c r="AY670" s="273"/>
      <c r="AZ670" s="847"/>
      <c r="BA670" s="848"/>
      <c r="BB670" s="866"/>
      <c r="BC670" s="273"/>
      <c r="BD670" s="847"/>
      <c r="BE670" s="848"/>
      <c r="BF670" s="838"/>
    </row>
    <row r="671" spans="1:58" s="88" customFormat="1" ht="54" hidden="1" customHeight="1" x14ac:dyDescent="0.25">
      <c r="A671" s="267" t="s">
        <v>1687</v>
      </c>
      <c r="B671" s="268">
        <v>436</v>
      </c>
      <c r="C671" s="240" t="s">
        <v>2530</v>
      </c>
      <c r="D671" s="211" t="s">
        <v>2531</v>
      </c>
      <c r="E671" s="298" t="s">
        <v>5471</v>
      </c>
      <c r="F671" s="861" t="s">
        <v>5472</v>
      </c>
      <c r="G671" s="269" t="s">
        <v>5473</v>
      </c>
      <c r="H671" s="845" t="s">
        <v>4391</v>
      </c>
      <c r="I671" s="269" t="s">
        <v>4392</v>
      </c>
      <c r="J671" s="296" t="s">
        <v>140</v>
      </c>
      <c r="K671" s="297" t="s">
        <v>140</v>
      </c>
      <c r="L671" s="862" t="s">
        <v>5474</v>
      </c>
      <c r="M671" s="847" t="s">
        <v>973</v>
      </c>
      <c r="N671" s="270" t="s">
        <v>974</v>
      </c>
      <c r="O671" s="240" t="s">
        <v>4394</v>
      </c>
      <c r="P671" s="240" t="s">
        <v>4395</v>
      </c>
      <c r="Q671" s="845" t="s">
        <v>144</v>
      </c>
      <c r="R671" s="208" t="s">
        <v>144</v>
      </c>
      <c r="S671" s="864" t="s">
        <v>147</v>
      </c>
      <c r="T671" s="212" t="s">
        <v>144</v>
      </c>
      <c r="U671" s="213" t="s">
        <v>144</v>
      </c>
      <c r="V671" s="847">
        <v>7</v>
      </c>
      <c r="W671" s="415" t="s">
        <v>144</v>
      </c>
      <c r="X671" s="212">
        <v>42</v>
      </c>
      <c r="Y671" s="212" t="s">
        <v>144</v>
      </c>
      <c r="Z671" s="252" t="s">
        <v>25</v>
      </c>
      <c r="AA671" s="407" t="s">
        <v>5446</v>
      </c>
      <c r="AB671" s="206" t="s">
        <v>140</v>
      </c>
      <c r="AC671" s="847" t="s">
        <v>265</v>
      </c>
      <c r="AD671" s="847" t="s">
        <v>2552</v>
      </c>
      <c r="AE671" s="847" t="s">
        <v>144</v>
      </c>
      <c r="AF671" s="848" t="s">
        <v>144</v>
      </c>
      <c r="AG671" s="838"/>
      <c r="AH671" s="866" t="s">
        <v>5437</v>
      </c>
      <c r="AI671" s="273" t="s">
        <v>5438</v>
      </c>
      <c r="AJ671" s="847">
        <v>6</v>
      </c>
      <c r="AK671" s="848" t="s">
        <v>5439</v>
      </c>
      <c r="AL671" s="867" t="s">
        <v>294</v>
      </c>
      <c r="AM671" s="273" t="s">
        <v>295</v>
      </c>
      <c r="AN671" s="847">
        <v>7</v>
      </c>
      <c r="AO671" s="187" t="s">
        <v>966</v>
      </c>
      <c r="AP671" s="867"/>
      <c r="AQ671" s="273"/>
      <c r="AR671" s="847"/>
      <c r="AS671" s="848"/>
      <c r="AT671" s="867"/>
      <c r="AU671" s="273"/>
      <c r="AV671" s="847"/>
      <c r="AW671" s="848"/>
      <c r="AX671" s="867"/>
      <c r="AY671" s="273"/>
      <c r="AZ671" s="847"/>
      <c r="BA671" s="848"/>
      <c r="BB671" s="866"/>
      <c r="BC671" s="273"/>
      <c r="BD671" s="847"/>
      <c r="BE671" s="848"/>
      <c r="BF671" s="838"/>
    </row>
    <row r="672" spans="1:58" s="88" customFormat="1" ht="54" hidden="1" customHeight="1" x14ac:dyDescent="0.25">
      <c r="A672" s="267" t="s">
        <v>1687</v>
      </c>
      <c r="B672" s="268">
        <v>437</v>
      </c>
      <c r="C672" s="240" t="s">
        <v>256</v>
      </c>
      <c r="D672" s="211" t="s">
        <v>257</v>
      </c>
      <c r="E672" s="298" t="s">
        <v>5475</v>
      </c>
      <c r="F672" s="861" t="s">
        <v>5476</v>
      </c>
      <c r="G672" s="269" t="s">
        <v>5477</v>
      </c>
      <c r="H672" s="861" t="s">
        <v>5478</v>
      </c>
      <c r="I672" s="269" t="s">
        <v>5479</v>
      </c>
      <c r="J672" s="296" t="s">
        <v>140</v>
      </c>
      <c r="K672" s="297" t="s">
        <v>140</v>
      </c>
      <c r="L672" s="862" t="s">
        <v>5480</v>
      </c>
      <c r="M672" s="847" t="s">
        <v>973</v>
      </c>
      <c r="N672" s="270" t="s">
        <v>974</v>
      </c>
      <c r="O672" s="240" t="s">
        <v>144</v>
      </c>
      <c r="P672" s="240" t="s">
        <v>144</v>
      </c>
      <c r="Q672" s="845" t="s">
        <v>144</v>
      </c>
      <c r="R672" s="208" t="s">
        <v>144</v>
      </c>
      <c r="S672" s="864" t="s">
        <v>147</v>
      </c>
      <c r="T672" s="212" t="s">
        <v>144</v>
      </c>
      <c r="U672" s="213" t="s">
        <v>144</v>
      </c>
      <c r="V672" s="847">
        <v>25</v>
      </c>
      <c r="W672" s="415" t="s">
        <v>144</v>
      </c>
      <c r="X672" s="212">
        <v>43</v>
      </c>
      <c r="Y672" s="212" t="s">
        <v>144</v>
      </c>
      <c r="Z672" s="241" t="s">
        <v>32</v>
      </c>
      <c r="AA672" s="826" t="s">
        <v>5336</v>
      </c>
      <c r="AB672" s="206" t="s">
        <v>140</v>
      </c>
      <c r="AC672" s="847" t="s">
        <v>265</v>
      </c>
      <c r="AD672" s="847" t="s">
        <v>2643</v>
      </c>
      <c r="AE672" s="847" t="s">
        <v>144</v>
      </c>
      <c r="AF672" s="848" t="s">
        <v>144</v>
      </c>
      <c r="AG672" s="838"/>
      <c r="AH672" s="866" t="s">
        <v>5481</v>
      </c>
      <c r="AI672" s="273" t="s">
        <v>5482</v>
      </c>
      <c r="AJ672" s="847">
        <v>6</v>
      </c>
      <c r="AK672" s="286" t="s">
        <v>5483</v>
      </c>
      <c r="AL672" s="867"/>
      <c r="AM672" s="273"/>
      <c r="AN672" s="847"/>
      <c r="AO672" s="848"/>
      <c r="AP672" s="867"/>
      <c r="AQ672" s="273"/>
      <c r="AR672" s="847"/>
      <c r="AS672" s="848"/>
      <c r="AT672" s="867"/>
      <c r="AU672" s="273"/>
      <c r="AV672" s="847"/>
      <c r="AW672" s="848"/>
      <c r="AX672" s="867"/>
      <c r="AY672" s="273"/>
      <c r="AZ672" s="847"/>
      <c r="BA672" s="848"/>
      <c r="BB672" s="866"/>
      <c r="BC672" s="273"/>
      <c r="BD672" s="847"/>
      <c r="BE672" s="848"/>
      <c r="BF672" s="838"/>
    </row>
    <row r="673" spans="1:58" s="88" customFormat="1" ht="54" hidden="1" customHeight="1" x14ac:dyDescent="0.25">
      <c r="A673" s="267" t="s">
        <v>1687</v>
      </c>
      <c r="B673" s="268">
        <v>438</v>
      </c>
      <c r="C673" s="240" t="s">
        <v>2530</v>
      </c>
      <c r="D673" s="211" t="s">
        <v>2531</v>
      </c>
      <c r="E673" s="298" t="s">
        <v>5484</v>
      </c>
      <c r="F673" s="861" t="s">
        <v>5485</v>
      </c>
      <c r="G673" s="269" t="s">
        <v>5486</v>
      </c>
      <c r="H673" s="845" t="s">
        <v>5487</v>
      </c>
      <c r="I673" s="269" t="s">
        <v>5488</v>
      </c>
      <c r="J673" s="296" t="s">
        <v>140</v>
      </c>
      <c r="K673" s="297" t="s">
        <v>140</v>
      </c>
      <c r="L673" s="862" t="s">
        <v>5489</v>
      </c>
      <c r="M673" s="847" t="s">
        <v>973</v>
      </c>
      <c r="N673" s="270" t="s">
        <v>974</v>
      </c>
      <c r="O673" s="240" t="s">
        <v>5490</v>
      </c>
      <c r="P673" s="240" t="s">
        <v>5491</v>
      </c>
      <c r="Q673" s="845" t="s">
        <v>144</v>
      </c>
      <c r="R673" s="208" t="s">
        <v>144</v>
      </c>
      <c r="S673" s="864" t="s">
        <v>147</v>
      </c>
      <c r="T673" s="212" t="s">
        <v>144</v>
      </c>
      <c r="U673" s="213" t="s">
        <v>144</v>
      </c>
      <c r="V673" s="847">
        <v>1</v>
      </c>
      <c r="W673" s="415" t="s">
        <v>144</v>
      </c>
      <c r="X673" s="212">
        <v>43</v>
      </c>
      <c r="Y673" s="212" t="s">
        <v>144</v>
      </c>
      <c r="Z673" s="214" t="s">
        <v>144</v>
      </c>
      <c r="AA673" s="240" t="s">
        <v>5336</v>
      </c>
      <c r="AB673" s="206" t="s">
        <v>140</v>
      </c>
      <c r="AC673" s="847" t="s">
        <v>265</v>
      </c>
      <c r="AD673" s="847" t="s">
        <v>5492</v>
      </c>
      <c r="AE673" s="847" t="s">
        <v>144</v>
      </c>
      <c r="AF673" s="848" t="s">
        <v>144</v>
      </c>
      <c r="AG673" s="838"/>
      <c r="AH673" s="866" t="s">
        <v>2631</v>
      </c>
      <c r="AI673" s="273" t="s">
        <v>2632</v>
      </c>
      <c r="AJ673" s="847">
        <v>7</v>
      </c>
      <c r="AK673" s="848" t="s">
        <v>2633</v>
      </c>
      <c r="AL673" s="875" t="s">
        <v>294</v>
      </c>
      <c r="AM673" s="301" t="s">
        <v>295</v>
      </c>
      <c r="AN673" s="847">
        <v>7</v>
      </c>
      <c r="AO673" s="187" t="s">
        <v>966</v>
      </c>
      <c r="AP673" s="867"/>
      <c r="AQ673" s="273"/>
      <c r="AR673" s="847"/>
      <c r="AS673" s="848"/>
      <c r="AT673" s="867"/>
      <c r="AU673" s="273"/>
      <c r="AV673" s="847"/>
      <c r="AW673" s="848"/>
      <c r="AX673" s="867"/>
      <c r="AY673" s="273"/>
      <c r="AZ673" s="847"/>
      <c r="BA673" s="848"/>
      <c r="BB673" s="866"/>
      <c r="BC673" s="273"/>
      <c r="BD673" s="847"/>
      <c r="BE673" s="848"/>
      <c r="BF673" s="838"/>
    </row>
    <row r="674" spans="1:58" s="88" customFormat="1" ht="54" hidden="1" customHeight="1" x14ac:dyDescent="0.25">
      <c r="A674" s="267" t="s">
        <v>1687</v>
      </c>
      <c r="B674" s="268">
        <v>439</v>
      </c>
      <c r="C674" s="240" t="s">
        <v>256</v>
      </c>
      <c r="D674" s="211" t="s">
        <v>257</v>
      </c>
      <c r="E674" s="298" t="s">
        <v>5493</v>
      </c>
      <c r="F674" s="861" t="s">
        <v>5494</v>
      </c>
      <c r="G674" s="269" t="s">
        <v>5495</v>
      </c>
      <c r="H674" s="861" t="s">
        <v>5494</v>
      </c>
      <c r="I674" s="269" t="s">
        <v>5495</v>
      </c>
      <c r="J674" s="296" t="s">
        <v>140</v>
      </c>
      <c r="K674" s="297" t="s">
        <v>140</v>
      </c>
      <c r="L674" s="862" t="s">
        <v>5496</v>
      </c>
      <c r="M674" s="847" t="s">
        <v>973</v>
      </c>
      <c r="N674" s="270" t="s">
        <v>974</v>
      </c>
      <c r="O674" s="240" t="s">
        <v>144</v>
      </c>
      <c r="P674" s="240" t="s">
        <v>144</v>
      </c>
      <c r="Q674" s="845" t="s">
        <v>144</v>
      </c>
      <c r="R674" s="208" t="s">
        <v>144</v>
      </c>
      <c r="S674" s="864" t="s">
        <v>147</v>
      </c>
      <c r="T674" s="212" t="s">
        <v>144</v>
      </c>
      <c r="U674" s="213" t="s">
        <v>144</v>
      </c>
      <c r="V674" s="847">
        <v>25</v>
      </c>
      <c r="W674" s="415" t="s">
        <v>144</v>
      </c>
      <c r="X674" s="212">
        <v>43</v>
      </c>
      <c r="Y674" s="212" t="s">
        <v>144</v>
      </c>
      <c r="Z674" s="214" t="s">
        <v>144</v>
      </c>
      <c r="AA674" s="240" t="s">
        <v>4636</v>
      </c>
      <c r="AB674" s="206" t="s">
        <v>140</v>
      </c>
      <c r="AC674" s="847" t="s">
        <v>265</v>
      </c>
      <c r="AD674" s="847" t="s">
        <v>5492</v>
      </c>
      <c r="AE674" s="847" t="s">
        <v>144</v>
      </c>
      <c r="AF674" s="848" t="s">
        <v>144</v>
      </c>
      <c r="AG674" s="838"/>
      <c r="AH674" s="866" t="s">
        <v>5497</v>
      </c>
      <c r="AI674" s="273" t="s">
        <v>5498</v>
      </c>
      <c r="AJ674" s="847">
        <v>7</v>
      </c>
      <c r="AK674" s="286" t="s">
        <v>5499</v>
      </c>
      <c r="AL674" s="867"/>
      <c r="AM674" s="273"/>
      <c r="AN674" s="847"/>
      <c r="AO674" s="848"/>
      <c r="AP674" s="867"/>
      <c r="AQ674" s="273"/>
      <c r="AR674" s="847"/>
      <c r="AS674" s="848"/>
      <c r="AT674" s="867"/>
      <c r="AU674" s="273"/>
      <c r="AV674" s="847"/>
      <c r="AW674" s="848"/>
      <c r="AX674" s="867"/>
      <c r="AY674" s="273"/>
      <c r="AZ674" s="847"/>
      <c r="BA674" s="848"/>
      <c r="BB674" s="866"/>
      <c r="BC674" s="273"/>
      <c r="BD674" s="847"/>
      <c r="BE674" s="848"/>
      <c r="BF674" s="838"/>
    </row>
    <row r="675" spans="1:58" s="88" customFormat="1" ht="54" hidden="1" customHeight="1" x14ac:dyDescent="0.25">
      <c r="A675" s="267" t="s">
        <v>1687</v>
      </c>
      <c r="B675" s="268">
        <v>440</v>
      </c>
      <c r="C675" s="240" t="s">
        <v>2530</v>
      </c>
      <c r="D675" s="211" t="s">
        <v>2531</v>
      </c>
      <c r="E675" s="298" t="s">
        <v>5500</v>
      </c>
      <c r="F675" s="861" t="s">
        <v>5501</v>
      </c>
      <c r="G675" s="269" t="s">
        <v>5502</v>
      </c>
      <c r="H675" s="845" t="s">
        <v>5503</v>
      </c>
      <c r="I675" s="269" t="s">
        <v>5504</v>
      </c>
      <c r="J675" s="296" t="s">
        <v>140</v>
      </c>
      <c r="K675" s="297" t="s">
        <v>140</v>
      </c>
      <c r="L675" s="862" t="s">
        <v>5505</v>
      </c>
      <c r="M675" s="847" t="s">
        <v>973</v>
      </c>
      <c r="N675" s="270" t="s">
        <v>974</v>
      </c>
      <c r="O675" s="240" t="s">
        <v>5506</v>
      </c>
      <c r="P675" s="240" t="s">
        <v>5507</v>
      </c>
      <c r="Q675" s="845" t="s">
        <v>144</v>
      </c>
      <c r="R675" s="208" t="s">
        <v>144</v>
      </c>
      <c r="S675" s="864" t="s">
        <v>147</v>
      </c>
      <c r="T675" s="212" t="s">
        <v>144</v>
      </c>
      <c r="U675" s="213" t="s">
        <v>144</v>
      </c>
      <c r="V675" s="847">
        <v>1</v>
      </c>
      <c r="W675" s="415" t="s">
        <v>144</v>
      </c>
      <c r="X675" s="212">
        <v>43</v>
      </c>
      <c r="Y675" s="212" t="s">
        <v>144</v>
      </c>
      <c r="Z675" s="214" t="s">
        <v>144</v>
      </c>
      <c r="AA675" s="240" t="s">
        <v>5336</v>
      </c>
      <c r="AB675" s="206" t="s">
        <v>140</v>
      </c>
      <c r="AC675" s="847" t="s">
        <v>265</v>
      </c>
      <c r="AD675" s="847" t="s">
        <v>5492</v>
      </c>
      <c r="AE675" s="847" t="s">
        <v>144</v>
      </c>
      <c r="AF675" s="848" t="s">
        <v>144</v>
      </c>
      <c r="AG675" s="838"/>
      <c r="AH675" s="866" t="s">
        <v>5508</v>
      </c>
      <c r="AI675" s="273" t="s">
        <v>5509</v>
      </c>
      <c r="AJ675" s="240">
        <v>6</v>
      </c>
      <c r="AK675" s="286" t="s">
        <v>5510</v>
      </c>
      <c r="AL675" s="875" t="s">
        <v>294</v>
      </c>
      <c r="AM675" s="301" t="s">
        <v>295</v>
      </c>
      <c r="AN675" s="847">
        <v>7</v>
      </c>
      <c r="AO675" s="187" t="s">
        <v>966</v>
      </c>
      <c r="AP675" s="867"/>
      <c r="AQ675" s="273"/>
      <c r="AR675" s="847"/>
      <c r="AS675" s="848"/>
      <c r="AT675" s="867"/>
      <c r="AU675" s="273"/>
      <c r="AV675" s="847"/>
      <c r="AW675" s="848"/>
      <c r="AX675" s="867"/>
      <c r="AY675" s="273"/>
      <c r="AZ675" s="847"/>
      <c r="BA675" s="848"/>
      <c r="BB675" s="866"/>
      <c r="BC675" s="273"/>
      <c r="BD675" s="847"/>
      <c r="BE675" s="848"/>
      <c r="BF675" s="838"/>
    </row>
    <row r="676" spans="1:58" s="88" customFormat="1" ht="54" hidden="1" customHeight="1" x14ac:dyDescent="0.25">
      <c r="A676" s="267" t="s">
        <v>1687</v>
      </c>
      <c r="B676" s="268">
        <v>441</v>
      </c>
      <c r="C676" s="240" t="s">
        <v>256</v>
      </c>
      <c r="D676" s="211" t="s">
        <v>257</v>
      </c>
      <c r="E676" s="298" t="s">
        <v>5511</v>
      </c>
      <c r="F676" s="861" t="s">
        <v>5512</v>
      </c>
      <c r="G676" s="269" t="s">
        <v>5513</v>
      </c>
      <c r="H676" s="861" t="s">
        <v>5512</v>
      </c>
      <c r="I676" s="269" t="s">
        <v>5513</v>
      </c>
      <c r="J676" s="296" t="s">
        <v>140</v>
      </c>
      <c r="K676" s="297" t="s">
        <v>140</v>
      </c>
      <c r="L676" s="862" t="s">
        <v>5514</v>
      </c>
      <c r="M676" s="847" t="s">
        <v>973</v>
      </c>
      <c r="N676" s="270" t="s">
        <v>974</v>
      </c>
      <c r="O676" s="240" t="s">
        <v>144</v>
      </c>
      <c r="P676" s="240" t="s">
        <v>144</v>
      </c>
      <c r="Q676" s="845" t="s">
        <v>144</v>
      </c>
      <c r="R676" s="208" t="s">
        <v>144</v>
      </c>
      <c r="S676" s="864" t="s">
        <v>147</v>
      </c>
      <c r="T676" s="212" t="s">
        <v>144</v>
      </c>
      <c r="U676" s="213" t="s">
        <v>144</v>
      </c>
      <c r="V676" s="847">
        <v>25</v>
      </c>
      <c r="W676" s="415" t="s">
        <v>144</v>
      </c>
      <c r="X676" s="212">
        <v>43</v>
      </c>
      <c r="Y676" s="212" t="s">
        <v>144</v>
      </c>
      <c r="Z676" s="214" t="s">
        <v>144</v>
      </c>
      <c r="AA676" s="240" t="s">
        <v>5336</v>
      </c>
      <c r="AB676" s="206" t="s">
        <v>140</v>
      </c>
      <c r="AC676" s="847" t="s">
        <v>265</v>
      </c>
      <c r="AD676" s="847" t="s">
        <v>5492</v>
      </c>
      <c r="AE676" s="847" t="s">
        <v>144</v>
      </c>
      <c r="AF676" s="848" t="s">
        <v>144</v>
      </c>
      <c r="AG676" s="838"/>
      <c r="AH676" s="866" t="s">
        <v>5515</v>
      </c>
      <c r="AI676" s="273" t="s">
        <v>5516</v>
      </c>
      <c r="AJ676" s="847">
        <v>7</v>
      </c>
      <c r="AK676" s="286" t="s">
        <v>5517</v>
      </c>
      <c r="AL676" s="867"/>
      <c r="AM676" s="273"/>
      <c r="AN676" s="847"/>
      <c r="AO676" s="848"/>
      <c r="AP676" s="867"/>
      <c r="AQ676" s="273"/>
      <c r="AR676" s="847"/>
      <c r="AS676" s="848"/>
      <c r="AT676" s="867"/>
      <c r="AU676" s="273"/>
      <c r="AV676" s="847"/>
      <c r="AW676" s="848"/>
      <c r="AX676" s="867"/>
      <c r="AY676" s="273"/>
      <c r="AZ676" s="847"/>
      <c r="BA676" s="848"/>
      <c r="BB676" s="866"/>
      <c r="BC676" s="273"/>
      <c r="BD676" s="847"/>
      <c r="BE676" s="848"/>
      <c r="BF676" s="838"/>
    </row>
    <row r="677" spans="1:58" s="88" customFormat="1" ht="54" hidden="1" customHeight="1" x14ac:dyDescent="0.25">
      <c r="A677" s="267" t="s">
        <v>1687</v>
      </c>
      <c r="B677" s="268">
        <v>442</v>
      </c>
      <c r="C677" s="240" t="s">
        <v>2530</v>
      </c>
      <c r="D677" s="211" t="s">
        <v>2531</v>
      </c>
      <c r="E677" s="298" t="s">
        <v>5518</v>
      </c>
      <c r="F677" s="861" t="s">
        <v>5519</v>
      </c>
      <c r="G677" s="269" t="s">
        <v>5520</v>
      </c>
      <c r="H677" s="845" t="s">
        <v>5521</v>
      </c>
      <c r="I677" s="294" t="s">
        <v>5522</v>
      </c>
      <c r="J677" s="325" t="s">
        <v>140</v>
      </c>
      <c r="K677" s="326" t="s">
        <v>140</v>
      </c>
      <c r="L677" s="862" t="s">
        <v>5523</v>
      </c>
      <c r="M677" s="847" t="s">
        <v>973</v>
      </c>
      <c r="N677" s="270" t="s">
        <v>974</v>
      </c>
      <c r="O677" s="240" t="s">
        <v>5524</v>
      </c>
      <c r="P677" s="240" t="s">
        <v>5525</v>
      </c>
      <c r="Q677" s="845" t="s">
        <v>144</v>
      </c>
      <c r="R677" s="208" t="s">
        <v>144</v>
      </c>
      <c r="S677" s="864" t="s">
        <v>147</v>
      </c>
      <c r="T677" s="212" t="s">
        <v>144</v>
      </c>
      <c r="U677" s="213" t="s">
        <v>144</v>
      </c>
      <c r="V677" s="847">
        <v>1</v>
      </c>
      <c r="W677" s="415" t="s">
        <v>144</v>
      </c>
      <c r="X677" s="212">
        <v>43</v>
      </c>
      <c r="Y677" s="212" t="s">
        <v>144</v>
      </c>
      <c r="Z677" s="241" t="s">
        <v>25</v>
      </c>
      <c r="AA677" s="437" t="s">
        <v>5526</v>
      </c>
      <c r="AB677" s="206" t="s">
        <v>140</v>
      </c>
      <c r="AC677" s="847" t="s">
        <v>265</v>
      </c>
      <c r="AD677" s="407" t="s">
        <v>5527</v>
      </c>
      <c r="AE677" s="240" t="s">
        <v>144</v>
      </c>
      <c r="AF677" s="295" t="s">
        <v>144</v>
      </c>
      <c r="AG677" s="838"/>
      <c r="AH677" s="436" t="s">
        <v>5528</v>
      </c>
      <c r="AI677" s="410" t="s">
        <v>5529</v>
      </c>
      <c r="AJ677" s="437">
        <v>6</v>
      </c>
      <c r="AK677" s="874" t="s">
        <v>5530</v>
      </c>
      <c r="AL677" s="875" t="s">
        <v>294</v>
      </c>
      <c r="AM677" s="301" t="s">
        <v>295</v>
      </c>
      <c r="AN677" s="847">
        <v>7</v>
      </c>
      <c r="AO677" s="187" t="s">
        <v>966</v>
      </c>
      <c r="AP677" s="867"/>
      <c r="AQ677" s="273"/>
      <c r="AR677" s="847"/>
      <c r="AS677" s="848"/>
      <c r="AT677" s="867"/>
      <c r="AU677" s="273"/>
      <c r="AV677" s="847"/>
      <c r="AW677" s="848"/>
      <c r="AX677" s="867"/>
      <c r="AY677" s="273"/>
      <c r="AZ677" s="847"/>
      <c r="BA677" s="848"/>
      <c r="BB677" s="866"/>
      <c r="BC677" s="273"/>
      <c r="BD677" s="847"/>
      <c r="BE677" s="848"/>
      <c r="BF677" s="838"/>
    </row>
    <row r="678" spans="1:58" s="88" customFormat="1" ht="54" hidden="1" customHeight="1" x14ac:dyDescent="0.25">
      <c r="A678" s="267" t="s">
        <v>1687</v>
      </c>
      <c r="B678" s="268">
        <v>443</v>
      </c>
      <c r="C678" s="240" t="s">
        <v>1022</v>
      </c>
      <c r="D678" s="270" t="s">
        <v>1023</v>
      </c>
      <c r="E678" s="298" t="s">
        <v>5531</v>
      </c>
      <c r="F678" s="861" t="s">
        <v>1457</v>
      </c>
      <c r="G678" s="269" t="s">
        <v>1458</v>
      </c>
      <c r="H678" s="861" t="s">
        <v>5532</v>
      </c>
      <c r="I678" s="269" t="s">
        <v>5533</v>
      </c>
      <c r="J678" s="296" t="s">
        <v>140</v>
      </c>
      <c r="K678" s="297" t="s">
        <v>140</v>
      </c>
      <c r="L678" s="862" t="s">
        <v>5534</v>
      </c>
      <c r="M678" s="847" t="s">
        <v>193</v>
      </c>
      <c r="N678" s="270" t="s">
        <v>194</v>
      </c>
      <c r="O678" s="240" t="s">
        <v>1462</v>
      </c>
      <c r="P678" s="240" t="s">
        <v>1463</v>
      </c>
      <c r="Q678" s="863" t="s">
        <v>1464</v>
      </c>
      <c r="R678" s="271" t="s">
        <v>1465</v>
      </c>
      <c r="S678" s="864" t="s">
        <v>147</v>
      </c>
      <c r="T678" s="212" t="s">
        <v>144</v>
      </c>
      <c r="U678" s="213" t="s">
        <v>144</v>
      </c>
      <c r="V678" s="847">
        <v>5</v>
      </c>
      <c r="W678" s="415" t="s">
        <v>144</v>
      </c>
      <c r="X678" s="212">
        <v>43</v>
      </c>
      <c r="Y678" s="212" t="s">
        <v>144</v>
      </c>
      <c r="Z678" s="214" t="s">
        <v>144</v>
      </c>
      <c r="AA678" s="240" t="s">
        <v>5535</v>
      </c>
      <c r="AB678" s="206" t="s">
        <v>140</v>
      </c>
      <c r="AC678" s="847" t="s">
        <v>265</v>
      </c>
      <c r="AD678" s="847" t="s">
        <v>1690</v>
      </c>
      <c r="AE678" s="847" t="s">
        <v>144</v>
      </c>
      <c r="AF678" s="848" t="s">
        <v>144</v>
      </c>
      <c r="AG678" s="838"/>
      <c r="AH678" s="866"/>
      <c r="AI678" s="273"/>
      <c r="AJ678" s="847"/>
      <c r="AK678" s="848"/>
      <c r="AL678" s="875" t="s">
        <v>294</v>
      </c>
      <c r="AM678" s="301" t="s">
        <v>295</v>
      </c>
      <c r="AN678" s="847">
        <v>7</v>
      </c>
      <c r="AO678" s="187" t="s">
        <v>966</v>
      </c>
      <c r="AP678" s="867"/>
      <c r="AQ678" s="273"/>
      <c r="AR678" s="847"/>
      <c r="AS678" s="848"/>
      <c r="AT678" s="867"/>
      <c r="AU678" s="273"/>
      <c r="AV678" s="847"/>
      <c r="AW678" s="848"/>
      <c r="AX678" s="867"/>
      <c r="AY678" s="273"/>
      <c r="AZ678" s="847"/>
      <c r="BA678" s="848"/>
      <c r="BB678" s="866"/>
      <c r="BC678" s="273"/>
      <c r="BD678" s="847"/>
      <c r="BE678" s="848"/>
      <c r="BF678" s="838"/>
    </row>
    <row r="679" spans="1:58" s="88" customFormat="1" ht="54" hidden="1" customHeight="1" x14ac:dyDescent="0.25">
      <c r="A679" s="267" t="s">
        <v>1687</v>
      </c>
      <c r="B679" s="268">
        <v>444</v>
      </c>
      <c r="C679" s="240" t="s">
        <v>256</v>
      </c>
      <c r="D679" s="270" t="s">
        <v>257</v>
      </c>
      <c r="E679" s="298" t="s">
        <v>5536</v>
      </c>
      <c r="F679" s="861" t="s">
        <v>5537</v>
      </c>
      <c r="G679" s="269" t="s">
        <v>5538</v>
      </c>
      <c r="H679" s="845" t="s">
        <v>5539</v>
      </c>
      <c r="I679" s="269" t="s">
        <v>5540</v>
      </c>
      <c r="J679" s="296" t="s">
        <v>140</v>
      </c>
      <c r="K679" s="297" t="s">
        <v>140</v>
      </c>
      <c r="L679" s="862" t="s">
        <v>5541</v>
      </c>
      <c r="M679" s="206" t="s">
        <v>193</v>
      </c>
      <c r="N679" s="270" t="s">
        <v>194</v>
      </c>
      <c r="O679" s="240" t="s">
        <v>144</v>
      </c>
      <c r="P679" s="240" t="s">
        <v>144</v>
      </c>
      <c r="Q679" s="845" t="s">
        <v>144</v>
      </c>
      <c r="R679" s="208" t="s">
        <v>144</v>
      </c>
      <c r="S679" s="864" t="s">
        <v>147</v>
      </c>
      <c r="T679" s="212" t="s">
        <v>144</v>
      </c>
      <c r="U679" s="213" t="s">
        <v>144</v>
      </c>
      <c r="V679" s="847">
        <v>40</v>
      </c>
      <c r="W679" s="415" t="s">
        <v>144</v>
      </c>
      <c r="X679" s="212">
        <v>43</v>
      </c>
      <c r="Y679" s="212" t="s">
        <v>144</v>
      </c>
      <c r="Z679" s="214" t="s">
        <v>144</v>
      </c>
      <c r="AA679" s="240" t="s">
        <v>398</v>
      </c>
      <c r="AB679" s="206" t="s">
        <v>140</v>
      </c>
      <c r="AC679" s="847" t="s">
        <v>265</v>
      </c>
      <c r="AD679" s="847" t="s">
        <v>1690</v>
      </c>
      <c r="AE679" s="847" t="s">
        <v>144</v>
      </c>
      <c r="AF679" s="848" t="s">
        <v>144</v>
      </c>
      <c r="AG679" s="838"/>
      <c r="AH679" s="866"/>
      <c r="AI679" s="273"/>
      <c r="AJ679" s="847"/>
      <c r="AK679" s="848"/>
      <c r="AL679" s="867"/>
      <c r="AM679" s="273"/>
      <c r="AN679" s="847"/>
      <c r="AO679" s="848"/>
      <c r="AP679" s="867"/>
      <c r="AQ679" s="273"/>
      <c r="AR679" s="847"/>
      <c r="AS679" s="848"/>
      <c r="AT679" s="867"/>
      <c r="AU679" s="273"/>
      <c r="AV679" s="847"/>
      <c r="AW679" s="848"/>
      <c r="AX679" s="867"/>
      <c r="AY679" s="273"/>
      <c r="AZ679" s="847"/>
      <c r="BA679" s="848"/>
      <c r="BB679" s="866"/>
      <c r="BC679" s="273"/>
      <c r="BD679" s="847"/>
      <c r="BE679" s="848"/>
      <c r="BF679" s="838"/>
    </row>
    <row r="680" spans="1:58" s="88" customFormat="1" ht="54" hidden="1" customHeight="1" x14ac:dyDescent="0.25">
      <c r="A680" s="267" t="s">
        <v>1687</v>
      </c>
      <c r="B680" s="268">
        <v>445</v>
      </c>
      <c r="C680" s="240" t="s">
        <v>256</v>
      </c>
      <c r="D680" s="270" t="s">
        <v>257</v>
      </c>
      <c r="E680" s="298" t="s">
        <v>5542</v>
      </c>
      <c r="F680" s="861" t="s">
        <v>5543</v>
      </c>
      <c r="G680" s="269" t="s">
        <v>5544</v>
      </c>
      <c r="H680" s="845" t="s">
        <v>5545</v>
      </c>
      <c r="I680" s="269" t="s">
        <v>5546</v>
      </c>
      <c r="J680" s="296" t="s">
        <v>140</v>
      </c>
      <c r="K680" s="297" t="s">
        <v>140</v>
      </c>
      <c r="L680" s="862" t="s">
        <v>5547</v>
      </c>
      <c r="M680" s="206" t="s">
        <v>193</v>
      </c>
      <c r="N680" s="270" t="s">
        <v>194</v>
      </c>
      <c r="O680" s="240" t="s">
        <v>144</v>
      </c>
      <c r="P680" s="240" t="s">
        <v>144</v>
      </c>
      <c r="Q680" s="845" t="s">
        <v>144</v>
      </c>
      <c r="R680" s="208" t="s">
        <v>144</v>
      </c>
      <c r="S680" s="864" t="s">
        <v>147</v>
      </c>
      <c r="T680" s="212" t="s">
        <v>144</v>
      </c>
      <c r="U680" s="213" t="s">
        <v>144</v>
      </c>
      <c r="V680" s="847">
        <v>40</v>
      </c>
      <c r="W680" s="415" t="s">
        <v>144</v>
      </c>
      <c r="X680" s="212">
        <v>43</v>
      </c>
      <c r="Y680" s="212" t="s">
        <v>144</v>
      </c>
      <c r="Z680" s="214" t="s">
        <v>144</v>
      </c>
      <c r="AA680" s="240" t="s">
        <v>398</v>
      </c>
      <c r="AB680" s="206" t="s">
        <v>140</v>
      </c>
      <c r="AC680" s="847" t="s">
        <v>265</v>
      </c>
      <c r="AD680" s="847" t="s">
        <v>1690</v>
      </c>
      <c r="AE680" s="847" t="s">
        <v>144</v>
      </c>
      <c r="AF680" s="848" t="s">
        <v>144</v>
      </c>
      <c r="AG680" s="838"/>
      <c r="AH680" s="866"/>
      <c r="AI680" s="273"/>
      <c r="AJ680" s="847"/>
      <c r="AK680" s="848"/>
      <c r="AL680" s="867"/>
      <c r="AM680" s="273"/>
      <c r="AN680" s="847"/>
      <c r="AO680" s="848"/>
      <c r="AP680" s="867"/>
      <c r="AQ680" s="273"/>
      <c r="AR680" s="847"/>
      <c r="AS680" s="848"/>
      <c r="AT680" s="867"/>
      <c r="AU680" s="273"/>
      <c r="AV680" s="847"/>
      <c r="AW680" s="848"/>
      <c r="AX680" s="867"/>
      <c r="AY680" s="273"/>
      <c r="AZ680" s="847"/>
      <c r="BA680" s="848"/>
      <c r="BB680" s="866"/>
      <c r="BC680" s="273"/>
      <c r="BD680" s="847"/>
      <c r="BE680" s="848"/>
      <c r="BF680" s="838"/>
    </row>
    <row r="681" spans="1:58" s="88" customFormat="1" ht="54" hidden="1" customHeight="1" x14ac:dyDescent="0.25">
      <c r="A681" s="267" t="s">
        <v>1687</v>
      </c>
      <c r="B681" s="268">
        <v>446</v>
      </c>
      <c r="C681" s="240" t="s">
        <v>1022</v>
      </c>
      <c r="D681" s="270" t="s">
        <v>1023</v>
      </c>
      <c r="E681" s="298" t="s">
        <v>5548</v>
      </c>
      <c r="F681" s="861" t="s">
        <v>5549</v>
      </c>
      <c r="G681" s="269" t="s">
        <v>5550</v>
      </c>
      <c r="H681" s="861" t="s">
        <v>5551</v>
      </c>
      <c r="I681" s="269" t="s">
        <v>5552</v>
      </c>
      <c r="J681" s="296" t="s">
        <v>140</v>
      </c>
      <c r="K681" s="297" t="s">
        <v>140</v>
      </c>
      <c r="L681" s="862" t="s">
        <v>5553</v>
      </c>
      <c r="M681" s="847" t="s">
        <v>973</v>
      </c>
      <c r="N681" s="270" t="s">
        <v>974</v>
      </c>
      <c r="O681" s="240" t="s">
        <v>144</v>
      </c>
      <c r="P681" s="240" t="s">
        <v>144</v>
      </c>
      <c r="Q681" s="845" t="s">
        <v>144</v>
      </c>
      <c r="R681" s="208" t="s">
        <v>144</v>
      </c>
      <c r="S681" s="268" t="s">
        <v>746</v>
      </c>
      <c r="T681" s="212" t="s">
        <v>1104</v>
      </c>
      <c r="U681" s="213" t="s">
        <v>1105</v>
      </c>
      <c r="V681" s="847">
        <v>19</v>
      </c>
      <c r="W681" s="415" t="s">
        <v>144</v>
      </c>
      <c r="X681" s="212">
        <v>43</v>
      </c>
      <c r="Y681" s="212" t="s">
        <v>144</v>
      </c>
      <c r="Z681" s="252" t="s">
        <v>144</v>
      </c>
      <c r="AA681" s="240" t="s">
        <v>398</v>
      </c>
      <c r="AB681" s="206" t="s">
        <v>140</v>
      </c>
      <c r="AC681" s="847" t="s">
        <v>265</v>
      </c>
      <c r="AD681" s="847" t="s">
        <v>5554</v>
      </c>
      <c r="AE681" s="847" t="s">
        <v>144</v>
      </c>
      <c r="AF681" s="848" t="s">
        <v>144</v>
      </c>
      <c r="AG681" s="838"/>
      <c r="AH681" s="291" t="s">
        <v>5555</v>
      </c>
      <c r="AI681" s="273" t="s">
        <v>5556</v>
      </c>
      <c r="AJ681" s="240">
        <v>6</v>
      </c>
      <c r="AK681" s="286" t="s">
        <v>5557</v>
      </c>
      <c r="AL681" s="867"/>
      <c r="AM681" s="273"/>
      <c r="AN681" s="847"/>
      <c r="AO681" s="848"/>
      <c r="AP681" s="867" t="s">
        <v>1107</v>
      </c>
      <c r="AQ681" s="273" t="s">
        <v>1108</v>
      </c>
      <c r="AR681" s="847">
        <v>7</v>
      </c>
      <c r="AS681" s="286" t="s">
        <v>1109</v>
      </c>
      <c r="AT681" s="867"/>
      <c r="AU681" s="273"/>
      <c r="AV681" s="847"/>
      <c r="AW681" s="848"/>
      <c r="AX681" s="867"/>
      <c r="AY681" s="273"/>
      <c r="AZ681" s="847"/>
      <c r="BA681" s="848"/>
      <c r="BB681" s="866"/>
      <c r="BC681" s="273"/>
      <c r="BD681" s="847"/>
      <c r="BE681" s="848"/>
      <c r="BF681" s="838"/>
    </row>
    <row r="682" spans="1:58" s="88" customFormat="1" ht="54" hidden="1" customHeight="1" x14ac:dyDescent="0.25">
      <c r="A682" s="267" t="s">
        <v>1687</v>
      </c>
      <c r="B682" s="268">
        <v>447</v>
      </c>
      <c r="C682" s="240" t="s">
        <v>1022</v>
      </c>
      <c r="D682" s="270" t="s">
        <v>1023</v>
      </c>
      <c r="E682" s="298" t="s">
        <v>5558</v>
      </c>
      <c r="F682" s="861" t="s">
        <v>5559</v>
      </c>
      <c r="G682" s="269" t="s">
        <v>5560</v>
      </c>
      <c r="H682" s="861" t="s">
        <v>5561</v>
      </c>
      <c r="I682" s="269" t="s">
        <v>5562</v>
      </c>
      <c r="J682" s="296" t="s">
        <v>140</v>
      </c>
      <c r="K682" s="297" t="s">
        <v>140</v>
      </c>
      <c r="L682" s="862" t="s">
        <v>5563</v>
      </c>
      <c r="M682" s="847" t="s">
        <v>973</v>
      </c>
      <c r="N682" s="270" t="s">
        <v>974</v>
      </c>
      <c r="O682" s="240" t="s">
        <v>5564</v>
      </c>
      <c r="P682" s="240" t="s">
        <v>5565</v>
      </c>
      <c r="Q682" s="845" t="s">
        <v>144</v>
      </c>
      <c r="R682" s="208" t="s">
        <v>144</v>
      </c>
      <c r="S682" s="268" t="s">
        <v>147</v>
      </c>
      <c r="T682" s="212" t="s">
        <v>144</v>
      </c>
      <c r="U682" s="213" t="s">
        <v>144</v>
      </c>
      <c r="V682" s="847">
        <v>1</v>
      </c>
      <c r="W682" s="415" t="s">
        <v>144</v>
      </c>
      <c r="X682" s="212">
        <v>43</v>
      </c>
      <c r="Y682" s="212" t="s">
        <v>144</v>
      </c>
      <c r="Z682" s="241" t="s">
        <v>144</v>
      </c>
      <c r="AA682" s="240" t="s">
        <v>398</v>
      </c>
      <c r="AB682" s="206" t="s">
        <v>140</v>
      </c>
      <c r="AC682" s="847" t="s">
        <v>265</v>
      </c>
      <c r="AD682" s="847" t="s">
        <v>2205</v>
      </c>
      <c r="AE682" s="847" t="s">
        <v>144</v>
      </c>
      <c r="AF682" s="848" t="s">
        <v>144</v>
      </c>
      <c r="AG682" s="838"/>
      <c r="AH682" s="866" t="s">
        <v>5566</v>
      </c>
      <c r="AI682" s="273" t="s">
        <v>5567</v>
      </c>
      <c r="AJ682" s="847">
        <v>6</v>
      </c>
      <c r="AK682" s="848" t="s">
        <v>5568</v>
      </c>
      <c r="AL682" s="875" t="s">
        <v>294</v>
      </c>
      <c r="AM682" s="301" t="s">
        <v>295</v>
      </c>
      <c r="AN682" s="847">
        <v>7</v>
      </c>
      <c r="AO682" s="187" t="s">
        <v>966</v>
      </c>
      <c r="AP682" s="867"/>
      <c r="AQ682" s="273"/>
      <c r="AR682" s="847"/>
      <c r="AS682" s="848"/>
      <c r="AT682" s="867"/>
      <c r="AU682" s="273"/>
      <c r="AV682" s="847"/>
      <c r="AW682" s="848"/>
      <c r="AX682" s="867"/>
      <c r="AY682" s="273"/>
      <c r="AZ682" s="847"/>
      <c r="BA682" s="848"/>
      <c r="BB682" s="866"/>
      <c r="BC682" s="273"/>
      <c r="BD682" s="847"/>
      <c r="BE682" s="848"/>
      <c r="BF682" s="838"/>
    </row>
    <row r="683" spans="1:58" s="88" customFormat="1" ht="54" hidden="1" customHeight="1" x14ac:dyDescent="0.25">
      <c r="A683" s="267" t="s">
        <v>1687</v>
      </c>
      <c r="B683" s="268">
        <v>448</v>
      </c>
      <c r="C683" s="240" t="s">
        <v>1022</v>
      </c>
      <c r="D683" s="270" t="s">
        <v>1023</v>
      </c>
      <c r="E683" s="298" t="s">
        <v>5569</v>
      </c>
      <c r="F683" s="861" t="s">
        <v>5570</v>
      </c>
      <c r="G683" s="269" t="s">
        <v>5571</v>
      </c>
      <c r="H683" s="861" t="s">
        <v>5570</v>
      </c>
      <c r="I683" s="269" t="s">
        <v>5571</v>
      </c>
      <c r="J683" s="296" t="s">
        <v>140</v>
      </c>
      <c r="K683" s="297" t="s">
        <v>140</v>
      </c>
      <c r="L683" s="862" t="s">
        <v>5572</v>
      </c>
      <c r="M683" s="847" t="s">
        <v>973</v>
      </c>
      <c r="N683" s="270" t="s">
        <v>974</v>
      </c>
      <c r="O683" s="240" t="s">
        <v>5573</v>
      </c>
      <c r="P683" s="240" t="s">
        <v>5574</v>
      </c>
      <c r="Q683" s="845" t="s">
        <v>144</v>
      </c>
      <c r="R683" s="208" t="s">
        <v>144</v>
      </c>
      <c r="S683" s="268" t="s">
        <v>147</v>
      </c>
      <c r="T683" s="212" t="s">
        <v>144</v>
      </c>
      <c r="U683" s="213" t="s">
        <v>144</v>
      </c>
      <c r="V683" s="847">
        <v>1</v>
      </c>
      <c r="W683" s="415" t="s">
        <v>144</v>
      </c>
      <c r="X683" s="212">
        <v>43</v>
      </c>
      <c r="Y683" s="212" t="s">
        <v>144</v>
      </c>
      <c r="Z683" s="241" t="s">
        <v>144</v>
      </c>
      <c r="AA683" s="616" t="s">
        <v>148</v>
      </c>
      <c r="AB683" s="206" t="s">
        <v>140</v>
      </c>
      <c r="AC683" s="847" t="s">
        <v>265</v>
      </c>
      <c r="AD683" s="847" t="s">
        <v>5575</v>
      </c>
      <c r="AE683" s="847" t="s">
        <v>144</v>
      </c>
      <c r="AF683" s="848" t="s">
        <v>144</v>
      </c>
      <c r="AG683" s="838"/>
      <c r="AH683" s="866" t="s">
        <v>5576</v>
      </c>
      <c r="AI683" s="273" t="s">
        <v>5577</v>
      </c>
      <c r="AJ683" s="847">
        <v>6</v>
      </c>
      <c r="AK683" s="286" t="s">
        <v>5578</v>
      </c>
      <c r="AL683" s="875" t="s">
        <v>294</v>
      </c>
      <c r="AM683" s="301" t="s">
        <v>295</v>
      </c>
      <c r="AN683" s="847">
        <v>7</v>
      </c>
      <c r="AO683" s="187" t="s">
        <v>966</v>
      </c>
      <c r="AP683" s="867"/>
      <c r="AQ683" s="273"/>
      <c r="AR683" s="847"/>
      <c r="AS683" s="848"/>
      <c r="AT683" s="867"/>
      <c r="AU683" s="273"/>
      <c r="AV683" s="847"/>
      <c r="AW683" s="848"/>
      <c r="AX683" s="867"/>
      <c r="AY683" s="273"/>
      <c r="AZ683" s="847"/>
      <c r="BA683" s="848"/>
      <c r="BB683" s="866"/>
      <c r="BC683" s="273"/>
      <c r="BD683" s="847"/>
      <c r="BE683" s="848"/>
      <c r="BF683" s="838"/>
    </row>
    <row r="684" spans="1:58" s="88" customFormat="1" ht="54" hidden="1" customHeight="1" x14ac:dyDescent="0.25">
      <c r="A684" s="267" t="s">
        <v>1687</v>
      </c>
      <c r="B684" s="268">
        <v>449</v>
      </c>
      <c r="C684" s="240" t="s">
        <v>1022</v>
      </c>
      <c r="D684" s="270" t="s">
        <v>1023</v>
      </c>
      <c r="E684" s="298" t="s">
        <v>5579</v>
      </c>
      <c r="F684" s="861" t="s">
        <v>5580</v>
      </c>
      <c r="G684" s="269" t="s">
        <v>5581</v>
      </c>
      <c r="H684" s="845" t="s">
        <v>5582</v>
      </c>
      <c r="I684" s="269" t="s">
        <v>5583</v>
      </c>
      <c r="J684" s="296" t="s">
        <v>140</v>
      </c>
      <c r="K684" s="297" t="s">
        <v>140</v>
      </c>
      <c r="L684" s="862" t="s">
        <v>5584</v>
      </c>
      <c r="M684" s="847" t="s">
        <v>973</v>
      </c>
      <c r="N684" s="270" t="s">
        <v>974</v>
      </c>
      <c r="O684" s="240" t="s">
        <v>5585</v>
      </c>
      <c r="P684" s="240" t="s">
        <v>5586</v>
      </c>
      <c r="Q684" s="845" t="s">
        <v>144</v>
      </c>
      <c r="R684" s="208" t="s">
        <v>144</v>
      </c>
      <c r="S684" s="864" t="s">
        <v>147</v>
      </c>
      <c r="T684" s="212" t="s">
        <v>144</v>
      </c>
      <c r="U684" s="213" t="s">
        <v>144</v>
      </c>
      <c r="V684" s="847">
        <v>6</v>
      </c>
      <c r="W684" s="415" t="s">
        <v>144</v>
      </c>
      <c r="X684" s="212">
        <v>43</v>
      </c>
      <c r="Y684" s="212" t="s">
        <v>144</v>
      </c>
      <c r="Z684" s="214" t="s">
        <v>144</v>
      </c>
      <c r="AA684" s="240" t="s">
        <v>5336</v>
      </c>
      <c r="AB684" s="206" t="s">
        <v>140</v>
      </c>
      <c r="AC684" s="847" t="s">
        <v>265</v>
      </c>
      <c r="AD684" s="847" t="s">
        <v>5587</v>
      </c>
      <c r="AE684" s="847" t="s">
        <v>144</v>
      </c>
      <c r="AF684" s="848" t="s">
        <v>144</v>
      </c>
      <c r="AG684" s="838"/>
      <c r="AH684" s="866" t="s">
        <v>5588</v>
      </c>
      <c r="AI684" s="273" t="s">
        <v>5589</v>
      </c>
      <c r="AJ684" s="847">
        <v>6</v>
      </c>
      <c r="AK684" s="848" t="s">
        <v>5590</v>
      </c>
      <c r="AL684" s="875" t="s">
        <v>294</v>
      </c>
      <c r="AM684" s="301" t="s">
        <v>295</v>
      </c>
      <c r="AN684" s="847">
        <v>7</v>
      </c>
      <c r="AO684" s="187" t="s">
        <v>966</v>
      </c>
      <c r="AP684" s="867"/>
      <c r="AQ684" s="273"/>
      <c r="AR684" s="847"/>
      <c r="AS684" s="848"/>
      <c r="AT684" s="914"/>
      <c r="AU684" s="273"/>
      <c r="AV684" s="847"/>
      <c r="AW684" s="848"/>
      <c r="AX684" s="867"/>
      <c r="AY684" s="273"/>
      <c r="AZ684" s="847"/>
      <c r="BA684" s="848"/>
      <c r="BB684" s="866"/>
      <c r="BC684" s="273"/>
      <c r="BD684" s="847"/>
      <c r="BE684" s="848"/>
      <c r="BF684" s="838"/>
    </row>
    <row r="685" spans="1:58" s="88" customFormat="1" ht="54" hidden="1" customHeight="1" x14ac:dyDescent="0.25">
      <c r="A685" s="267" t="s">
        <v>1687</v>
      </c>
      <c r="B685" s="268">
        <v>450</v>
      </c>
      <c r="C685" s="240" t="s">
        <v>1022</v>
      </c>
      <c r="D685" s="270" t="s">
        <v>1023</v>
      </c>
      <c r="E685" s="298" t="s">
        <v>5591</v>
      </c>
      <c r="F685" s="861" t="s">
        <v>5592</v>
      </c>
      <c r="G685" s="269" t="s">
        <v>5593</v>
      </c>
      <c r="H685" s="845" t="s">
        <v>5594</v>
      </c>
      <c r="I685" s="208" t="s">
        <v>5595</v>
      </c>
      <c r="J685" s="240" t="s">
        <v>140</v>
      </c>
      <c r="K685" s="270" t="s">
        <v>140</v>
      </c>
      <c r="L685" s="862" t="s">
        <v>5596</v>
      </c>
      <c r="M685" s="847" t="s">
        <v>973</v>
      </c>
      <c r="N685" s="270" t="s">
        <v>974</v>
      </c>
      <c r="O685" s="240" t="s">
        <v>5597</v>
      </c>
      <c r="P685" s="240" t="s">
        <v>5598</v>
      </c>
      <c r="Q685" s="845" t="s">
        <v>144</v>
      </c>
      <c r="R685" s="208" t="s">
        <v>144</v>
      </c>
      <c r="S685" s="864" t="s">
        <v>147</v>
      </c>
      <c r="T685" s="212" t="s">
        <v>144</v>
      </c>
      <c r="U685" s="213" t="s">
        <v>144</v>
      </c>
      <c r="V685" s="847">
        <v>1</v>
      </c>
      <c r="W685" s="415" t="s">
        <v>144</v>
      </c>
      <c r="X685" s="212">
        <v>43</v>
      </c>
      <c r="Y685" s="212" t="s">
        <v>144</v>
      </c>
      <c r="Z685" s="214" t="s">
        <v>144</v>
      </c>
      <c r="AA685" s="240" t="s">
        <v>5336</v>
      </c>
      <c r="AB685" s="206" t="s">
        <v>140</v>
      </c>
      <c r="AC685" s="847" t="s">
        <v>265</v>
      </c>
      <c r="AD685" s="847" t="s">
        <v>5587</v>
      </c>
      <c r="AE685" s="847" t="s">
        <v>144</v>
      </c>
      <c r="AF685" s="848" t="s">
        <v>144</v>
      </c>
      <c r="AG685" s="838"/>
      <c r="AH685" s="866" t="s">
        <v>5588</v>
      </c>
      <c r="AI685" s="273" t="s">
        <v>5589</v>
      </c>
      <c r="AJ685" s="847">
        <v>6</v>
      </c>
      <c r="AK685" s="848" t="s">
        <v>5590</v>
      </c>
      <c r="AL685" s="875" t="s">
        <v>294</v>
      </c>
      <c r="AM685" s="301" t="s">
        <v>295</v>
      </c>
      <c r="AN685" s="847">
        <v>7</v>
      </c>
      <c r="AO685" s="187" t="s">
        <v>966</v>
      </c>
      <c r="AP685" s="867"/>
      <c r="AQ685" s="273"/>
      <c r="AR685" s="847"/>
      <c r="AS685" s="848"/>
      <c r="AT685" s="867" t="s">
        <v>5599</v>
      </c>
      <c r="AU685" s="273" t="s">
        <v>5600</v>
      </c>
      <c r="AV685" s="847">
        <v>6</v>
      </c>
      <c r="AW685" s="286" t="s">
        <v>5601</v>
      </c>
      <c r="AX685" s="867"/>
      <c r="AY685" s="273"/>
      <c r="AZ685" s="847"/>
      <c r="BA685" s="848"/>
      <c r="BB685" s="866"/>
      <c r="BC685" s="273"/>
      <c r="BD685" s="847"/>
      <c r="BE685" s="848"/>
      <c r="BF685" s="838"/>
    </row>
    <row r="686" spans="1:58" s="88" customFormat="1" ht="54" hidden="1" customHeight="1" x14ac:dyDescent="0.25">
      <c r="A686" s="267" t="s">
        <v>1687</v>
      </c>
      <c r="B686" s="268">
        <v>451</v>
      </c>
      <c r="C686" s="240" t="s">
        <v>5602</v>
      </c>
      <c r="D686" s="270" t="s">
        <v>5603</v>
      </c>
      <c r="E686" s="268" t="s">
        <v>5604</v>
      </c>
      <c r="F686" s="861" t="s">
        <v>5605</v>
      </c>
      <c r="G686" s="269" t="s">
        <v>5606</v>
      </c>
      <c r="H686" s="861" t="s">
        <v>5607</v>
      </c>
      <c r="I686" s="269" t="s">
        <v>5608</v>
      </c>
      <c r="J686" s="296" t="s">
        <v>140</v>
      </c>
      <c r="K686" s="297" t="s">
        <v>140</v>
      </c>
      <c r="L686" s="862" t="s">
        <v>5609</v>
      </c>
      <c r="M686" s="847" t="s">
        <v>973</v>
      </c>
      <c r="N686" s="270" t="s">
        <v>974</v>
      </c>
      <c r="O686" s="240" t="s">
        <v>5610</v>
      </c>
      <c r="P686" s="240" t="s">
        <v>5611</v>
      </c>
      <c r="Q686" s="845" t="s">
        <v>144</v>
      </c>
      <c r="R686" s="208" t="s">
        <v>144</v>
      </c>
      <c r="S686" s="864" t="s">
        <v>147</v>
      </c>
      <c r="T686" s="212" t="s">
        <v>144</v>
      </c>
      <c r="U686" s="213" t="s">
        <v>144</v>
      </c>
      <c r="V686" s="847">
        <v>15</v>
      </c>
      <c r="W686" s="415" t="s">
        <v>144</v>
      </c>
      <c r="X686" s="212">
        <v>43</v>
      </c>
      <c r="Y686" s="212" t="s">
        <v>144</v>
      </c>
      <c r="Z686" s="241" t="s">
        <v>144</v>
      </c>
      <c r="AA686" s="240" t="s">
        <v>5612</v>
      </c>
      <c r="AB686" s="206" t="s">
        <v>140</v>
      </c>
      <c r="AC686" s="847" t="s">
        <v>265</v>
      </c>
      <c r="AD686" s="847" t="s">
        <v>2286</v>
      </c>
      <c r="AE686" s="847" t="s">
        <v>144</v>
      </c>
      <c r="AF686" s="848" t="s">
        <v>144</v>
      </c>
      <c r="AG686" s="838"/>
      <c r="AH686" s="866" t="s">
        <v>5613</v>
      </c>
      <c r="AI686" s="273" t="s">
        <v>5614</v>
      </c>
      <c r="AJ686" s="847">
        <v>7</v>
      </c>
      <c r="AK686" s="848" t="s">
        <v>5615</v>
      </c>
      <c r="AL686" s="875" t="s">
        <v>5616</v>
      </c>
      <c r="AM686" s="301" t="s">
        <v>5617</v>
      </c>
      <c r="AN686" s="847">
        <v>7</v>
      </c>
      <c r="AO686" s="848" t="s">
        <v>5618</v>
      </c>
      <c r="AP686" s="867"/>
      <c r="AQ686" s="273"/>
      <c r="AR686" s="847"/>
      <c r="AS686" s="848"/>
      <c r="AT686" s="867"/>
      <c r="AU686" s="273"/>
      <c r="AV686" s="847"/>
      <c r="AW686" s="848"/>
      <c r="AX686" s="867"/>
      <c r="AY686" s="273"/>
      <c r="AZ686" s="847"/>
      <c r="BA686" s="848"/>
      <c r="BB686" s="866"/>
      <c r="BC686" s="273"/>
      <c r="BD686" s="847"/>
      <c r="BE686" s="848"/>
      <c r="BF686" s="838"/>
    </row>
    <row r="687" spans="1:58" s="88" customFormat="1" ht="54" hidden="1" customHeight="1" x14ac:dyDescent="0.25">
      <c r="A687" s="267" t="s">
        <v>1687</v>
      </c>
      <c r="B687" s="268">
        <v>452</v>
      </c>
      <c r="C687" s="240" t="s">
        <v>5602</v>
      </c>
      <c r="D687" s="270" t="s">
        <v>5603</v>
      </c>
      <c r="E687" s="268" t="s">
        <v>5619</v>
      </c>
      <c r="F687" s="861" t="s">
        <v>5620</v>
      </c>
      <c r="G687" s="269" t="s">
        <v>5621</v>
      </c>
      <c r="H687" s="861" t="s">
        <v>5622</v>
      </c>
      <c r="I687" s="269" t="s">
        <v>5623</v>
      </c>
      <c r="J687" s="296" t="s">
        <v>140</v>
      </c>
      <c r="K687" s="297" t="s">
        <v>140</v>
      </c>
      <c r="L687" s="862" t="s">
        <v>5624</v>
      </c>
      <c r="M687" s="847" t="s">
        <v>973</v>
      </c>
      <c r="N687" s="270" t="s">
        <v>974</v>
      </c>
      <c r="O687" s="240" t="s">
        <v>4634</v>
      </c>
      <c r="P687" s="240" t="s">
        <v>4635</v>
      </c>
      <c r="Q687" s="845" t="s">
        <v>144</v>
      </c>
      <c r="R687" s="208" t="s">
        <v>144</v>
      </c>
      <c r="S687" s="864" t="s">
        <v>147</v>
      </c>
      <c r="T687" s="212" t="s">
        <v>144</v>
      </c>
      <c r="U687" s="213" t="s">
        <v>144</v>
      </c>
      <c r="V687" s="847">
        <v>2</v>
      </c>
      <c r="W687" s="415" t="s">
        <v>144</v>
      </c>
      <c r="X687" s="212">
        <v>43</v>
      </c>
      <c r="Y687" s="212" t="s">
        <v>144</v>
      </c>
      <c r="Z687" s="241" t="s">
        <v>144</v>
      </c>
      <c r="AA687" s="240" t="s">
        <v>5625</v>
      </c>
      <c r="AB687" s="206" t="s">
        <v>140</v>
      </c>
      <c r="AC687" s="847" t="s">
        <v>265</v>
      </c>
      <c r="AD687" s="847" t="s">
        <v>2286</v>
      </c>
      <c r="AE687" s="847" t="s">
        <v>144</v>
      </c>
      <c r="AF687" s="848" t="s">
        <v>144</v>
      </c>
      <c r="AG687" s="838"/>
      <c r="AH687" s="866" t="s">
        <v>5626</v>
      </c>
      <c r="AI687" s="273" t="s">
        <v>5627</v>
      </c>
      <c r="AJ687" s="847">
        <v>7</v>
      </c>
      <c r="AK687" s="848" t="s">
        <v>5628</v>
      </c>
      <c r="AL687" s="875" t="s">
        <v>294</v>
      </c>
      <c r="AM687" s="301" t="s">
        <v>295</v>
      </c>
      <c r="AN687" s="847">
        <v>7</v>
      </c>
      <c r="AO687" s="187" t="s">
        <v>966</v>
      </c>
      <c r="AP687" s="867"/>
      <c r="AQ687" s="273"/>
      <c r="AR687" s="847"/>
      <c r="AS687" s="848"/>
      <c r="AT687" s="867"/>
      <c r="AU687" s="273"/>
      <c r="AV687" s="847"/>
      <c r="AW687" s="848"/>
      <c r="AX687" s="867"/>
      <c r="AY687" s="273"/>
      <c r="AZ687" s="847"/>
      <c r="BA687" s="848"/>
      <c r="BB687" s="866"/>
      <c r="BC687" s="273"/>
      <c r="BD687" s="847"/>
      <c r="BE687" s="848"/>
      <c r="BF687" s="838"/>
    </row>
    <row r="688" spans="1:58" s="88" customFormat="1" ht="54" hidden="1" customHeight="1" x14ac:dyDescent="0.25">
      <c r="A688" s="267" t="s">
        <v>1687</v>
      </c>
      <c r="B688" s="268">
        <v>453</v>
      </c>
      <c r="C688" s="240" t="s">
        <v>1022</v>
      </c>
      <c r="D688" s="270" t="s">
        <v>1023</v>
      </c>
      <c r="E688" s="298" t="s">
        <v>5629</v>
      </c>
      <c r="F688" s="861" t="s">
        <v>5630</v>
      </c>
      <c r="G688" s="269" t="s">
        <v>5631</v>
      </c>
      <c r="H688" s="845" t="s">
        <v>5630</v>
      </c>
      <c r="I688" s="269" t="s">
        <v>5631</v>
      </c>
      <c r="J688" s="296" t="s">
        <v>140</v>
      </c>
      <c r="K688" s="297" t="s">
        <v>140</v>
      </c>
      <c r="L688" s="862" t="s">
        <v>5632</v>
      </c>
      <c r="M688" s="847" t="s">
        <v>973</v>
      </c>
      <c r="N688" s="270" t="s">
        <v>974</v>
      </c>
      <c r="O688" s="240" t="s">
        <v>5633</v>
      </c>
      <c r="P688" s="240" t="s">
        <v>5634</v>
      </c>
      <c r="Q688" s="845" t="s">
        <v>144</v>
      </c>
      <c r="R688" s="208" t="s">
        <v>144</v>
      </c>
      <c r="S688" s="864" t="s">
        <v>147</v>
      </c>
      <c r="T688" s="212" t="s">
        <v>144</v>
      </c>
      <c r="U688" s="213" t="s">
        <v>144</v>
      </c>
      <c r="V688" s="847">
        <v>1</v>
      </c>
      <c r="W688" s="415" t="s">
        <v>144</v>
      </c>
      <c r="X688" s="212">
        <v>43</v>
      </c>
      <c r="Y688" s="212" t="s">
        <v>144</v>
      </c>
      <c r="Z688" s="214" t="s">
        <v>144</v>
      </c>
      <c r="AA688" s="240" t="s">
        <v>4543</v>
      </c>
      <c r="AB688" s="206" t="s">
        <v>140</v>
      </c>
      <c r="AC688" s="847" t="s">
        <v>265</v>
      </c>
      <c r="AD688" s="349" t="s">
        <v>2286</v>
      </c>
      <c r="AE688" s="349" t="s">
        <v>144</v>
      </c>
      <c r="AF688" s="350" t="s">
        <v>144</v>
      </c>
      <c r="AG688" s="838"/>
      <c r="AH688" s="866" t="s">
        <v>5635</v>
      </c>
      <c r="AI688" s="273" t="s">
        <v>5636</v>
      </c>
      <c r="AJ688" s="847">
        <v>6</v>
      </c>
      <c r="AK688" s="848" t="s">
        <v>5637</v>
      </c>
      <c r="AL688" s="875" t="s">
        <v>294</v>
      </c>
      <c r="AM688" s="301" t="s">
        <v>295</v>
      </c>
      <c r="AN688" s="847">
        <v>7</v>
      </c>
      <c r="AO688" s="187" t="s">
        <v>966</v>
      </c>
      <c r="AP688" s="867"/>
      <c r="AQ688" s="273"/>
      <c r="AR688" s="847"/>
      <c r="AS688" s="848"/>
      <c r="AT688" s="867"/>
      <c r="AU688" s="273"/>
      <c r="AV688" s="847"/>
      <c r="AW688" s="848"/>
      <c r="AX688" s="867"/>
      <c r="AY688" s="273"/>
      <c r="AZ688" s="847"/>
      <c r="BA688" s="848"/>
      <c r="BB688" s="866"/>
      <c r="BC688" s="273"/>
      <c r="BD688" s="847"/>
      <c r="BE688" s="848"/>
      <c r="BF688" s="838"/>
    </row>
    <row r="689" spans="1:58" s="88" customFormat="1" ht="54" hidden="1" customHeight="1" x14ac:dyDescent="0.25">
      <c r="A689" s="267" t="s">
        <v>1687</v>
      </c>
      <c r="B689" s="268">
        <v>454</v>
      </c>
      <c r="C689" s="240" t="s">
        <v>1022</v>
      </c>
      <c r="D689" s="270" t="s">
        <v>1023</v>
      </c>
      <c r="E689" s="298" t="s">
        <v>5638</v>
      </c>
      <c r="F689" s="861" t="s">
        <v>5639</v>
      </c>
      <c r="G689" s="269" t="s">
        <v>5640</v>
      </c>
      <c r="H689" s="845" t="s">
        <v>5639</v>
      </c>
      <c r="I689" s="269" t="s">
        <v>5640</v>
      </c>
      <c r="J689" s="296" t="s">
        <v>140</v>
      </c>
      <c r="K689" s="297" t="s">
        <v>140</v>
      </c>
      <c r="L689" s="862" t="s">
        <v>5641</v>
      </c>
      <c r="M689" s="847" t="s">
        <v>193</v>
      </c>
      <c r="N689" s="270" t="s">
        <v>194</v>
      </c>
      <c r="O689" s="240" t="s">
        <v>5642</v>
      </c>
      <c r="P689" s="240" t="s">
        <v>5643</v>
      </c>
      <c r="Q689" s="845" t="s">
        <v>144</v>
      </c>
      <c r="R689" s="208" t="s">
        <v>144</v>
      </c>
      <c r="S689" s="864" t="s">
        <v>147</v>
      </c>
      <c r="T689" s="212" t="s">
        <v>144</v>
      </c>
      <c r="U689" s="213" t="s">
        <v>144</v>
      </c>
      <c r="V689" s="847">
        <v>1</v>
      </c>
      <c r="W689" s="415" t="s">
        <v>144</v>
      </c>
      <c r="X689" s="212">
        <v>43</v>
      </c>
      <c r="Y689" s="212" t="s">
        <v>144</v>
      </c>
      <c r="Z689" s="214" t="s">
        <v>144</v>
      </c>
      <c r="AA689" s="240" t="s">
        <v>4543</v>
      </c>
      <c r="AB689" s="206" t="s">
        <v>140</v>
      </c>
      <c r="AC689" s="847" t="s">
        <v>265</v>
      </c>
      <c r="AD689" s="847" t="s">
        <v>2286</v>
      </c>
      <c r="AE689" s="847" t="s">
        <v>144</v>
      </c>
      <c r="AF689" s="848" t="s">
        <v>144</v>
      </c>
      <c r="AG689" s="838"/>
      <c r="AH689" s="866"/>
      <c r="AI689" s="273"/>
      <c r="AJ689" s="847"/>
      <c r="AK689" s="848"/>
      <c r="AL689" s="875" t="s">
        <v>294</v>
      </c>
      <c r="AM689" s="301" t="s">
        <v>295</v>
      </c>
      <c r="AN689" s="847">
        <v>7</v>
      </c>
      <c r="AO689" s="187" t="s">
        <v>966</v>
      </c>
      <c r="AP689" s="867"/>
      <c r="AQ689" s="273"/>
      <c r="AR689" s="847"/>
      <c r="AS689" s="848"/>
      <c r="AT689" s="867"/>
      <c r="AU689" s="273"/>
      <c r="AV689" s="847"/>
      <c r="AW689" s="848"/>
      <c r="AX689" s="867"/>
      <c r="AY689" s="273"/>
      <c r="AZ689" s="847"/>
      <c r="BA689" s="848"/>
      <c r="BB689" s="866"/>
      <c r="BC689" s="273"/>
      <c r="BD689" s="847"/>
      <c r="BE689" s="848"/>
      <c r="BF689" s="838"/>
    </row>
    <row r="690" spans="1:58" s="88" customFormat="1" ht="54" hidden="1" customHeight="1" x14ac:dyDescent="0.25">
      <c r="A690" s="267" t="s">
        <v>1687</v>
      </c>
      <c r="B690" s="268">
        <v>455</v>
      </c>
      <c r="C690" s="240" t="s">
        <v>1022</v>
      </c>
      <c r="D690" s="270" t="s">
        <v>1023</v>
      </c>
      <c r="E690" s="298" t="s">
        <v>5644</v>
      </c>
      <c r="F690" s="861" t="s">
        <v>5645</v>
      </c>
      <c r="G690" s="269" t="s">
        <v>5646</v>
      </c>
      <c r="H690" s="845" t="s">
        <v>5645</v>
      </c>
      <c r="I690" s="269" t="s">
        <v>5646</v>
      </c>
      <c r="J690" s="296" t="s">
        <v>140</v>
      </c>
      <c r="K690" s="297" t="s">
        <v>140</v>
      </c>
      <c r="L690" s="862" t="s">
        <v>5647</v>
      </c>
      <c r="M690" s="847" t="s">
        <v>193</v>
      </c>
      <c r="N690" s="270" t="s">
        <v>194</v>
      </c>
      <c r="O690" s="240" t="s">
        <v>5648</v>
      </c>
      <c r="P690" s="240" t="s">
        <v>5649</v>
      </c>
      <c r="Q690" s="845" t="s">
        <v>144</v>
      </c>
      <c r="R690" s="208" t="s">
        <v>144</v>
      </c>
      <c r="S690" s="864" t="s">
        <v>147</v>
      </c>
      <c r="T690" s="212" t="s">
        <v>144</v>
      </c>
      <c r="U690" s="213" t="s">
        <v>144</v>
      </c>
      <c r="V690" s="847">
        <v>1</v>
      </c>
      <c r="W690" s="415" t="s">
        <v>144</v>
      </c>
      <c r="X690" s="212">
        <v>43</v>
      </c>
      <c r="Y690" s="212" t="s">
        <v>144</v>
      </c>
      <c r="Z690" s="252" t="s">
        <v>144</v>
      </c>
      <c r="AA690" s="240" t="s">
        <v>5650</v>
      </c>
      <c r="AB690" s="206" t="s">
        <v>140</v>
      </c>
      <c r="AC690" s="847" t="s">
        <v>265</v>
      </c>
      <c r="AD690" s="847" t="s">
        <v>2286</v>
      </c>
      <c r="AE690" s="847" t="s">
        <v>144</v>
      </c>
      <c r="AF690" s="848" t="s">
        <v>144</v>
      </c>
      <c r="AG690" s="838"/>
      <c r="AH690" s="291"/>
      <c r="AI690" s="273"/>
      <c r="AJ690" s="240"/>
      <c r="AK690" s="848"/>
      <c r="AL690" s="875" t="s">
        <v>294</v>
      </c>
      <c r="AM690" s="301" t="s">
        <v>295</v>
      </c>
      <c r="AN690" s="847">
        <v>7</v>
      </c>
      <c r="AO690" s="187" t="s">
        <v>966</v>
      </c>
      <c r="AP690" s="867" t="s">
        <v>5651</v>
      </c>
      <c r="AQ690" s="273" t="s">
        <v>5652</v>
      </c>
      <c r="AR690" s="847">
        <v>7</v>
      </c>
      <c r="AS690" s="286" t="s">
        <v>5653</v>
      </c>
      <c r="AT690" s="867"/>
      <c r="AU690" s="273"/>
      <c r="AV690" s="847"/>
      <c r="AW690" s="848"/>
      <c r="AX690" s="867"/>
      <c r="AY690" s="273"/>
      <c r="AZ690" s="847"/>
      <c r="BA690" s="848"/>
      <c r="BB690" s="866"/>
      <c r="BC690" s="273"/>
      <c r="BD690" s="847"/>
      <c r="BE690" s="848"/>
      <c r="BF690" s="838"/>
    </row>
    <row r="691" spans="1:58" s="88" customFormat="1" ht="54" hidden="1" customHeight="1" x14ac:dyDescent="0.25">
      <c r="A691" s="267" t="s">
        <v>1687</v>
      </c>
      <c r="B691" s="268">
        <v>456</v>
      </c>
      <c r="C691" s="240" t="s">
        <v>2170</v>
      </c>
      <c r="D691" s="270" t="s">
        <v>2171</v>
      </c>
      <c r="E691" s="298" t="s">
        <v>5654</v>
      </c>
      <c r="F691" s="861" t="s">
        <v>5655</v>
      </c>
      <c r="G691" s="269" t="s">
        <v>5656</v>
      </c>
      <c r="H691" s="861" t="s">
        <v>5657</v>
      </c>
      <c r="I691" s="269" t="s">
        <v>5658</v>
      </c>
      <c r="J691" s="296" t="s">
        <v>140</v>
      </c>
      <c r="K691" s="297" t="s">
        <v>140</v>
      </c>
      <c r="L691" s="862" t="s">
        <v>5659</v>
      </c>
      <c r="M691" s="847" t="s">
        <v>973</v>
      </c>
      <c r="N691" s="270" t="s">
        <v>974</v>
      </c>
      <c r="O691" s="240" t="s">
        <v>144</v>
      </c>
      <c r="P691" s="240" t="s">
        <v>144</v>
      </c>
      <c r="Q691" s="845" t="s">
        <v>144</v>
      </c>
      <c r="R691" s="208" t="s">
        <v>144</v>
      </c>
      <c r="S691" s="864" t="s">
        <v>746</v>
      </c>
      <c r="T691" s="212" t="s">
        <v>5660</v>
      </c>
      <c r="U691" s="213" t="s">
        <v>5661</v>
      </c>
      <c r="V691" s="847">
        <v>15</v>
      </c>
      <c r="W691" s="415" t="s">
        <v>144</v>
      </c>
      <c r="X691" s="212">
        <v>43</v>
      </c>
      <c r="Y691" s="212" t="s">
        <v>144</v>
      </c>
      <c r="Z691" s="214" t="s">
        <v>144</v>
      </c>
      <c r="AA691" s="240" t="s">
        <v>4543</v>
      </c>
      <c r="AB691" s="206" t="s">
        <v>140</v>
      </c>
      <c r="AC691" s="847" t="s">
        <v>265</v>
      </c>
      <c r="AD691" s="847" t="s">
        <v>2286</v>
      </c>
      <c r="AE691" s="847" t="s">
        <v>144</v>
      </c>
      <c r="AF691" s="848" t="s">
        <v>144</v>
      </c>
      <c r="AG691" s="838"/>
      <c r="AH691" s="866" t="s">
        <v>5635</v>
      </c>
      <c r="AI691" s="273" t="s">
        <v>5636</v>
      </c>
      <c r="AJ691" s="847">
        <v>6</v>
      </c>
      <c r="AK691" s="848" t="s">
        <v>5637</v>
      </c>
      <c r="AL691" s="867"/>
      <c r="AM691" s="273"/>
      <c r="AN691" s="847"/>
      <c r="AO691" s="848"/>
      <c r="AP691" s="867" t="s">
        <v>1107</v>
      </c>
      <c r="AQ691" s="273" t="s">
        <v>1108</v>
      </c>
      <c r="AR691" s="847">
        <v>7</v>
      </c>
      <c r="AS691" s="286" t="s">
        <v>1109</v>
      </c>
      <c r="AT691" s="867"/>
      <c r="AU691" s="273"/>
      <c r="AV691" s="847"/>
      <c r="AW691" s="848"/>
      <c r="AX691" s="867"/>
      <c r="AY691" s="273"/>
      <c r="AZ691" s="847"/>
      <c r="BA691" s="848"/>
      <c r="BB691" s="866"/>
      <c r="BC691" s="273"/>
      <c r="BD691" s="847"/>
      <c r="BE691" s="848"/>
      <c r="BF691" s="838"/>
    </row>
    <row r="692" spans="1:58" s="88" customFormat="1" ht="54" hidden="1" customHeight="1" x14ac:dyDescent="0.25">
      <c r="A692" s="267" t="s">
        <v>1687</v>
      </c>
      <c r="B692" s="268">
        <v>457</v>
      </c>
      <c r="C692" s="240" t="s">
        <v>1022</v>
      </c>
      <c r="D692" s="270" t="s">
        <v>1023</v>
      </c>
      <c r="E692" s="298" t="s">
        <v>5662</v>
      </c>
      <c r="F692" s="861" t="s">
        <v>5663</v>
      </c>
      <c r="G692" s="269" t="s">
        <v>5664</v>
      </c>
      <c r="H692" s="845" t="s">
        <v>5665</v>
      </c>
      <c r="I692" s="269" t="s">
        <v>5666</v>
      </c>
      <c r="J692" s="296" t="s">
        <v>140</v>
      </c>
      <c r="K692" s="297" t="s">
        <v>140</v>
      </c>
      <c r="L692" s="862" t="s">
        <v>5667</v>
      </c>
      <c r="M692" s="847" t="s">
        <v>973</v>
      </c>
      <c r="N692" s="270" t="s">
        <v>974</v>
      </c>
      <c r="O692" s="240" t="s">
        <v>144</v>
      </c>
      <c r="P692" s="240" t="s">
        <v>144</v>
      </c>
      <c r="Q692" s="845" t="s">
        <v>144</v>
      </c>
      <c r="R692" s="208" t="s">
        <v>144</v>
      </c>
      <c r="S692" s="268" t="s">
        <v>746</v>
      </c>
      <c r="T692" s="212" t="s">
        <v>1104</v>
      </c>
      <c r="U692" s="213" t="s">
        <v>1105</v>
      </c>
      <c r="V692" s="847">
        <v>19</v>
      </c>
      <c r="W692" s="415" t="s">
        <v>144</v>
      </c>
      <c r="X692" s="212">
        <v>43</v>
      </c>
      <c r="Y692" s="212" t="s">
        <v>144</v>
      </c>
      <c r="Z692" s="241" t="s">
        <v>144</v>
      </c>
      <c r="AA692" s="240" t="s">
        <v>5668</v>
      </c>
      <c r="AB692" s="206" t="s">
        <v>140</v>
      </c>
      <c r="AC692" s="847" t="s">
        <v>265</v>
      </c>
      <c r="AD692" s="847" t="s">
        <v>2286</v>
      </c>
      <c r="AE692" s="847" t="s">
        <v>144</v>
      </c>
      <c r="AF692" s="848" t="s">
        <v>144</v>
      </c>
      <c r="AG692" s="838"/>
      <c r="AH692" s="866" t="s">
        <v>5635</v>
      </c>
      <c r="AI692" s="273" t="s">
        <v>5636</v>
      </c>
      <c r="AJ692" s="847">
        <v>6</v>
      </c>
      <c r="AK692" s="848" t="s">
        <v>5637</v>
      </c>
      <c r="AL692" s="867"/>
      <c r="AM692" s="273"/>
      <c r="AN692" s="847"/>
      <c r="AO692" s="848"/>
      <c r="AP692" s="867" t="s">
        <v>1107</v>
      </c>
      <c r="AQ692" s="273" t="s">
        <v>1108</v>
      </c>
      <c r="AR692" s="847">
        <v>7</v>
      </c>
      <c r="AS692" s="286" t="s">
        <v>1109</v>
      </c>
      <c r="AT692" s="867"/>
      <c r="AU692" s="273"/>
      <c r="AV692" s="847"/>
      <c r="AW692" s="848"/>
      <c r="AX692" s="867"/>
      <c r="AY692" s="273"/>
      <c r="AZ692" s="847"/>
      <c r="BA692" s="848"/>
      <c r="BB692" s="866"/>
      <c r="BC692" s="273"/>
      <c r="BD692" s="847"/>
      <c r="BE692" s="848"/>
      <c r="BF692" s="838"/>
    </row>
    <row r="693" spans="1:58" s="88" customFormat="1" ht="54" hidden="1" customHeight="1" x14ac:dyDescent="0.25">
      <c r="A693" s="267" t="s">
        <v>1687</v>
      </c>
      <c r="B693" s="268">
        <v>458</v>
      </c>
      <c r="C693" s="240" t="s">
        <v>1022</v>
      </c>
      <c r="D693" s="270" t="s">
        <v>1023</v>
      </c>
      <c r="E693" s="298" t="s">
        <v>5669</v>
      </c>
      <c r="F693" s="861" t="s">
        <v>5670</v>
      </c>
      <c r="G693" s="269" t="s">
        <v>5671</v>
      </c>
      <c r="H693" s="845" t="s">
        <v>5672</v>
      </c>
      <c r="I693" s="269" t="s">
        <v>5671</v>
      </c>
      <c r="J693" s="296" t="s">
        <v>140</v>
      </c>
      <c r="K693" s="297" t="s">
        <v>140</v>
      </c>
      <c r="L693" s="862" t="s">
        <v>5673</v>
      </c>
      <c r="M693" s="847" t="s">
        <v>973</v>
      </c>
      <c r="N693" s="270" t="s">
        <v>974</v>
      </c>
      <c r="O693" s="240" t="s">
        <v>814</v>
      </c>
      <c r="P693" s="240" t="s">
        <v>815</v>
      </c>
      <c r="Q693" s="845" t="s">
        <v>144</v>
      </c>
      <c r="R693" s="208" t="s">
        <v>144</v>
      </c>
      <c r="S693" s="864" t="s">
        <v>147</v>
      </c>
      <c r="T693" s="212" t="s">
        <v>144</v>
      </c>
      <c r="U693" s="213" t="s">
        <v>144</v>
      </c>
      <c r="V693" s="847">
        <v>3</v>
      </c>
      <c r="W693" s="415" t="s">
        <v>144</v>
      </c>
      <c r="X693" s="212">
        <v>43</v>
      </c>
      <c r="Y693" s="212" t="s">
        <v>144</v>
      </c>
      <c r="Z693" s="214" t="s">
        <v>144</v>
      </c>
      <c r="AA693" s="240" t="s">
        <v>5668</v>
      </c>
      <c r="AB693" s="206" t="s">
        <v>140</v>
      </c>
      <c r="AC693" s="847" t="s">
        <v>265</v>
      </c>
      <c r="AD693" s="847" t="s">
        <v>2286</v>
      </c>
      <c r="AE693" s="847" t="s">
        <v>144</v>
      </c>
      <c r="AF693" s="848" t="s">
        <v>144</v>
      </c>
      <c r="AG693" s="838"/>
      <c r="AH693" s="866" t="s">
        <v>5674</v>
      </c>
      <c r="AI693" s="273" t="s">
        <v>5675</v>
      </c>
      <c r="AJ693" s="847">
        <v>7</v>
      </c>
      <c r="AK693" s="848" t="s">
        <v>1280</v>
      </c>
      <c r="AL693" s="875" t="s">
        <v>294</v>
      </c>
      <c r="AM693" s="301" t="s">
        <v>295</v>
      </c>
      <c r="AN693" s="847">
        <v>7</v>
      </c>
      <c r="AO693" s="187" t="s">
        <v>966</v>
      </c>
      <c r="AP693" s="867"/>
      <c r="AQ693" s="273"/>
      <c r="AR693" s="847"/>
      <c r="AS693" s="848"/>
      <c r="AT693" s="867"/>
      <c r="AU693" s="273"/>
      <c r="AV693" s="847"/>
      <c r="AW693" s="848"/>
      <c r="AX693" s="867"/>
      <c r="AY693" s="273"/>
      <c r="AZ693" s="847"/>
      <c r="BA693" s="848"/>
      <c r="BB693" s="866"/>
      <c r="BC693" s="273"/>
      <c r="BD693" s="847"/>
      <c r="BE693" s="848"/>
      <c r="BF693" s="838"/>
    </row>
    <row r="694" spans="1:58" s="88" customFormat="1" ht="54" hidden="1" customHeight="1" x14ac:dyDescent="0.25">
      <c r="A694" s="267" t="s">
        <v>1687</v>
      </c>
      <c r="B694" s="268">
        <v>459</v>
      </c>
      <c r="C694" s="240" t="s">
        <v>1022</v>
      </c>
      <c r="D694" s="270" t="s">
        <v>1023</v>
      </c>
      <c r="E694" s="298" t="s">
        <v>5676</v>
      </c>
      <c r="F694" s="861" t="s">
        <v>5677</v>
      </c>
      <c r="G694" s="269" t="s">
        <v>5678</v>
      </c>
      <c r="H694" s="861" t="s">
        <v>5679</v>
      </c>
      <c r="I694" s="269" t="s">
        <v>5680</v>
      </c>
      <c r="J694" s="296" t="s">
        <v>140</v>
      </c>
      <c r="K694" s="297" t="s">
        <v>140</v>
      </c>
      <c r="L694" s="862" t="s">
        <v>5681</v>
      </c>
      <c r="M694" s="847" t="s">
        <v>973</v>
      </c>
      <c r="N694" s="270" t="s">
        <v>974</v>
      </c>
      <c r="O694" s="240" t="s">
        <v>144</v>
      </c>
      <c r="P694" s="240" t="s">
        <v>144</v>
      </c>
      <c r="Q694" s="845" t="s">
        <v>144</v>
      </c>
      <c r="R694" s="208" t="s">
        <v>144</v>
      </c>
      <c r="S694" s="864" t="s">
        <v>746</v>
      </c>
      <c r="T694" s="212" t="s">
        <v>5682</v>
      </c>
      <c r="U694" s="213" t="s">
        <v>5683</v>
      </c>
      <c r="V694" s="847">
        <v>6</v>
      </c>
      <c r="W694" s="415" t="s">
        <v>144</v>
      </c>
      <c r="X694" s="212">
        <v>43</v>
      </c>
      <c r="Y694" s="212" t="s">
        <v>144</v>
      </c>
      <c r="Z694" s="214" t="s">
        <v>144</v>
      </c>
      <c r="AA694" s="240" t="s">
        <v>5684</v>
      </c>
      <c r="AB694" s="206" t="s">
        <v>140</v>
      </c>
      <c r="AC694" s="847" t="s">
        <v>265</v>
      </c>
      <c r="AD694" s="847" t="s">
        <v>2286</v>
      </c>
      <c r="AE694" s="847" t="s">
        <v>144</v>
      </c>
      <c r="AF694" s="848" t="s">
        <v>144</v>
      </c>
      <c r="AG694" s="838"/>
      <c r="AH694" s="866" t="s">
        <v>3227</v>
      </c>
      <c r="AI694" s="273" t="s">
        <v>3228</v>
      </c>
      <c r="AJ694" s="847">
        <v>6</v>
      </c>
      <c r="AK694" s="848" t="s">
        <v>3229</v>
      </c>
      <c r="AL694" s="867"/>
      <c r="AM694" s="273"/>
      <c r="AN694" s="847"/>
      <c r="AO694" s="848"/>
      <c r="AP694" s="867" t="s">
        <v>1107</v>
      </c>
      <c r="AQ694" s="273" t="s">
        <v>1108</v>
      </c>
      <c r="AR694" s="847">
        <v>7</v>
      </c>
      <c r="AS694" s="286" t="s">
        <v>1109</v>
      </c>
      <c r="AT694" s="867"/>
      <c r="AU694" s="273"/>
      <c r="AV694" s="847"/>
      <c r="AW694" s="848"/>
      <c r="AX694" s="867"/>
      <c r="AY694" s="273"/>
      <c r="AZ694" s="847"/>
      <c r="BA694" s="848"/>
      <c r="BB694" s="866"/>
      <c r="BC694" s="273"/>
      <c r="BD694" s="847"/>
      <c r="BE694" s="848"/>
      <c r="BF694" s="838"/>
    </row>
    <row r="695" spans="1:58" s="88" customFormat="1" ht="54" hidden="1" customHeight="1" x14ac:dyDescent="0.25">
      <c r="A695" s="267" t="s">
        <v>1687</v>
      </c>
      <c r="B695" s="268">
        <v>460</v>
      </c>
      <c r="C695" s="240" t="s">
        <v>1022</v>
      </c>
      <c r="D695" s="270" t="s">
        <v>1023</v>
      </c>
      <c r="E695" s="298" t="s">
        <v>5685</v>
      </c>
      <c r="F695" s="861" t="s">
        <v>5686</v>
      </c>
      <c r="G695" s="269" t="s">
        <v>5687</v>
      </c>
      <c r="H695" s="861" t="s">
        <v>5688</v>
      </c>
      <c r="I695" s="269" t="s">
        <v>5689</v>
      </c>
      <c r="J695" s="296" t="s">
        <v>140</v>
      </c>
      <c r="K695" s="297" t="s">
        <v>140</v>
      </c>
      <c r="L695" s="862" t="s">
        <v>5690</v>
      </c>
      <c r="M695" s="847" t="s">
        <v>973</v>
      </c>
      <c r="N695" s="270" t="s">
        <v>974</v>
      </c>
      <c r="O695" s="240" t="s">
        <v>144</v>
      </c>
      <c r="P695" s="240" t="s">
        <v>144</v>
      </c>
      <c r="Q695" s="845" t="s">
        <v>5691</v>
      </c>
      <c r="R695" s="208" t="s">
        <v>5692</v>
      </c>
      <c r="S695" s="864" t="s">
        <v>746</v>
      </c>
      <c r="T695" s="212" t="s">
        <v>5682</v>
      </c>
      <c r="U695" s="213" t="s">
        <v>5683</v>
      </c>
      <c r="V695" s="847">
        <v>6</v>
      </c>
      <c r="W695" s="415" t="s">
        <v>144</v>
      </c>
      <c r="X695" s="212">
        <v>43</v>
      </c>
      <c r="Y695" s="212" t="s">
        <v>144</v>
      </c>
      <c r="Z695" s="214" t="s">
        <v>144</v>
      </c>
      <c r="AA695" s="240" t="s">
        <v>5693</v>
      </c>
      <c r="AB695" s="206" t="s">
        <v>140</v>
      </c>
      <c r="AC695" s="847" t="s">
        <v>265</v>
      </c>
      <c r="AD695" s="847" t="s">
        <v>2286</v>
      </c>
      <c r="AE695" s="847" t="s">
        <v>144</v>
      </c>
      <c r="AF695" s="848" t="s">
        <v>144</v>
      </c>
      <c r="AG695" s="838"/>
      <c r="AH695" s="866" t="s">
        <v>3227</v>
      </c>
      <c r="AI695" s="273" t="s">
        <v>3228</v>
      </c>
      <c r="AJ695" s="847">
        <v>6</v>
      </c>
      <c r="AK695" s="848" t="s">
        <v>3229</v>
      </c>
      <c r="AL695" s="867"/>
      <c r="AM695" s="273"/>
      <c r="AN695" s="847"/>
      <c r="AO695" s="848"/>
      <c r="AP695" s="867" t="s">
        <v>1107</v>
      </c>
      <c r="AQ695" s="273" t="s">
        <v>1108</v>
      </c>
      <c r="AR695" s="847">
        <v>7</v>
      </c>
      <c r="AS695" s="286" t="s">
        <v>1109</v>
      </c>
      <c r="AT695" s="867"/>
      <c r="AU695" s="273"/>
      <c r="AV695" s="847"/>
      <c r="AW695" s="848"/>
      <c r="AX695" s="867"/>
      <c r="AY695" s="273"/>
      <c r="AZ695" s="847"/>
      <c r="BA695" s="848"/>
      <c r="BB695" s="866"/>
      <c r="BC695" s="273"/>
      <c r="BD695" s="847"/>
      <c r="BE695" s="848"/>
      <c r="BF695" s="838"/>
    </row>
    <row r="696" spans="1:58" s="88" customFormat="1" ht="54" hidden="1" customHeight="1" x14ac:dyDescent="0.25">
      <c r="A696" s="267" t="s">
        <v>1687</v>
      </c>
      <c r="B696" s="268">
        <v>461</v>
      </c>
      <c r="C696" s="240" t="s">
        <v>1022</v>
      </c>
      <c r="D696" s="270" t="s">
        <v>1023</v>
      </c>
      <c r="E696" s="298" t="s">
        <v>5694</v>
      </c>
      <c r="F696" s="861" t="s">
        <v>5695</v>
      </c>
      <c r="G696" s="269" t="s">
        <v>5696</v>
      </c>
      <c r="H696" s="861" t="s">
        <v>5697</v>
      </c>
      <c r="I696" s="269" t="s">
        <v>5698</v>
      </c>
      <c r="J696" s="296" t="s">
        <v>140</v>
      </c>
      <c r="K696" s="297" t="s">
        <v>140</v>
      </c>
      <c r="L696" s="862" t="s">
        <v>5699</v>
      </c>
      <c r="M696" s="847" t="s">
        <v>973</v>
      </c>
      <c r="N696" s="270" t="s">
        <v>974</v>
      </c>
      <c r="O696" s="240" t="s">
        <v>144</v>
      </c>
      <c r="P696" s="240" t="s">
        <v>144</v>
      </c>
      <c r="Q696" s="845" t="s">
        <v>144</v>
      </c>
      <c r="R696" s="208" t="s">
        <v>144</v>
      </c>
      <c r="S696" s="864" t="s">
        <v>746</v>
      </c>
      <c r="T696" s="212" t="s">
        <v>5682</v>
      </c>
      <c r="U696" s="213" t="s">
        <v>5683</v>
      </c>
      <c r="V696" s="847">
        <v>6</v>
      </c>
      <c r="W696" s="415" t="s">
        <v>144</v>
      </c>
      <c r="X696" s="212">
        <v>43</v>
      </c>
      <c r="Y696" s="212" t="s">
        <v>144</v>
      </c>
      <c r="Z696" s="241" t="s">
        <v>144</v>
      </c>
      <c r="AA696" s="437" t="s">
        <v>5700</v>
      </c>
      <c r="AB696" s="206" t="s">
        <v>140</v>
      </c>
      <c r="AC696" s="847" t="s">
        <v>265</v>
      </c>
      <c r="AD696" s="847" t="s">
        <v>2205</v>
      </c>
      <c r="AE696" s="847" t="s">
        <v>144</v>
      </c>
      <c r="AF696" s="848" t="s">
        <v>144</v>
      </c>
      <c r="AG696" s="838"/>
      <c r="AH696" s="866" t="s">
        <v>5626</v>
      </c>
      <c r="AI696" s="273" t="s">
        <v>5627</v>
      </c>
      <c r="AJ696" s="847">
        <v>5</v>
      </c>
      <c r="AK696" s="848" t="s">
        <v>5628</v>
      </c>
      <c r="AL696" s="867"/>
      <c r="AM696" s="273"/>
      <c r="AN696" s="847"/>
      <c r="AO696" s="848"/>
      <c r="AP696" s="867" t="s">
        <v>1107</v>
      </c>
      <c r="AQ696" s="273" t="s">
        <v>1108</v>
      </c>
      <c r="AR696" s="847">
        <v>7</v>
      </c>
      <c r="AS696" s="286" t="s">
        <v>1109</v>
      </c>
      <c r="AT696" s="867"/>
      <c r="AU696" s="273"/>
      <c r="AV696" s="847"/>
      <c r="AW696" s="848"/>
      <c r="AX696" s="867"/>
      <c r="AY696" s="273"/>
      <c r="AZ696" s="847"/>
      <c r="BA696" s="848"/>
      <c r="BB696" s="866"/>
      <c r="BC696" s="273"/>
      <c r="BD696" s="847"/>
      <c r="BE696" s="848"/>
      <c r="BF696" s="838"/>
    </row>
    <row r="697" spans="1:58" s="88" customFormat="1" ht="54" hidden="1" customHeight="1" x14ac:dyDescent="0.25">
      <c r="A697" s="267" t="s">
        <v>1687</v>
      </c>
      <c r="B697" s="268">
        <v>462</v>
      </c>
      <c r="C697" s="240" t="s">
        <v>1022</v>
      </c>
      <c r="D697" s="270" t="s">
        <v>1023</v>
      </c>
      <c r="E697" s="298" t="s">
        <v>5701</v>
      </c>
      <c r="F697" s="861" t="s">
        <v>5702</v>
      </c>
      <c r="G697" s="269" t="s">
        <v>5703</v>
      </c>
      <c r="H697" s="845" t="s">
        <v>5704</v>
      </c>
      <c r="I697" s="269" t="s">
        <v>5705</v>
      </c>
      <c r="J697" s="296" t="s">
        <v>140</v>
      </c>
      <c r="K697" s="297" t="s">
        <v>140</v>
      </c>
      <c r="L697" s="862" t="s">
        <v>5706</v>
      </c>
      <c r="M697" s="847" t="s">
        <v>193</v>
      </c>
      <c r="N697" s="270" t="s">
        <v>194</v>
      </c>
      <c r="O697" s="240" t="s">
        <v>5707</v>
      </c>
      <c r="P697" s="240" t="s">
        <v>5708</v>
      </c>
      <c r="Q697" s="845" t="s">
        <v>144</v>
      </c>
      <c r="R697" s="208" t="s">
        <v>144</v>
      </c>
      <c r="S697" s="864" t="s">
        <v>147</v>
      </c>
      <c r="T697" s="212" t="s">
        <v>144</v>
      </c>
      <c r="U697" s="213" t="s">
        <v>144</v>
      </c>
      <c r="V697" s="847">
        <v>1</v>
      </c>
      <c r="W697" s="415" t="s">
        <v>144</v>
      </c>
      <c r="X697" s="212">
        <v>43</v>
      </c>
      <c r="Y697" s="212" t="s">
        <v>144</v>
      </c>
      <c r="Z697" s="252" t="s">
        <v>144</v>
      </c>
      <c r="AA697" s="240" t="s">
        <v>4543</v>
      </c>
      <c r="AB697" s="206" t="s">
        <v>140</v>
      </c>
      <c r="AC697" s="847" t="s">
        <v>265</v>
      </c>
      <c r="AD697" s="847" t="s">
        <v>2286</v>
      </c>
      <c r="AE697" s="847" t="s">
        <v>144</v>
      </c>
      <c r="AF697" s="848" t="s">
        <v>144</v>
      </c>
      <c r="AG697" s="838"/>
      <c r="AH697" s="866"/>
      <c r="AI697" s="273"/>
      <c r="AJ697" s="847"/>
      <c r="AK697" s="848"/>
      <c r="AL697" s="875" t="s">
        <v>294</v>
      </c>
      <c r="AM697" s="301" t="s">
        <v>295</v>
      </c>
      <c r="AN697" s="847">
        <v>7</v>
      </c>
      <c r="AO697" s="187" t="s">
        <v>966</v>
      </c>
      <c r="AP697" s="867"/>
      <c r="AQ697" s="273"/>
      <c r="AR697" s="847"/>
      <c r="AS697" s="848"/>
      <c r="AT697" s="867"/>
      <c r="AU697" s="273"/>
      <c r="AV697" s="847"/>
      <c r="AW697" s="848"/>
      <c r="AX697" s="867"/>
      <c r="AY697" s="273"/>
      <c r="AZ697" s="847"/>
      <c r="BA697" s="848"/>
      <c r="BB697" s="866"/>
      <c r="BC697" s="273"/>
      <c r="BD697" s="847"/>
      <c r="BE697" s="848"/>
      <c r="BF697" s="838"/>
    </row>
    <row r="698" spans="1:58" s="88" customFormat="1" ht="54" hidden="1" customHeight="1" x14ac:dyDescent="0.25">
      <c r="A698" s="267" t="s">
        <v>1687</v>
      </c>
      <c r="B698" s="268">
        <v>463</v>
      </c>
      <c r="C698" s="240" t="s">
        <v>1022</v>
      </c>
      <c r="D698" s="270" t="s">
        <v>1023</v>
      </c>
      <c r="E698" s="298" t="s">
        <v>5709</v>
      </c>
      <c r="F698" s="861" t="s">
        <v>5710</v>
      </c>
      <c r="G698" s="269" t="s">
        <v>5711</v>
      </c>
      <c r="H698" s="845" t="s">
        <v>5712</v>
      </c>
      <c r="I698" s="269" t="s">
        <v>5713</v>
      </c>
      <c r="J698" s="296" t="s">
        <v>140</v>
      </c>
      <c r="K698" s="297" t="s">
        <v>140</v>
      </c>
      <c r="L698" s="862" t="s">
        <v>5714</v>
      </c>
      <c r="M698" s="847" t="s">
        <v>973</v>
      </c>
      <c r="N698" s="270" t="s">
        <v>974</v>
      </c>
      <c r="O698" s="240" t="s">
        <v>5715</v>
      </c>
      <c r="P698" s="240" t="s">
        <v>5716</v>
      </c>
      <c r="Q698" s="845" t="s">
        <v>144</v>
      </c>
      <c r="R698" s="208" t="s">
        <v>144</v>
      </c>
      <c r="S698" s="864" t="s">
        <v>147</v>
      </c>
      <c r="T698" s="212" t="s">
        <v>144</v>
      </c>
      <c r="U698" s="213" t="s">
        <v>144</v>
      </c>
      <c r="V698" s="847">
        <v>2</v>
      </c>
      <c r="W698" s="415" t="s">
        <v>144</v>
      </c>
      <c r="X698" s="212">
        <v>43</v>
      </c>
      <c r="Y698" s="212" t="s">
        <v>144</v>
      </c>
      <c r="Z698" s="241" t="s">
        <v>144</v>
      </c>
      <c r="AA698" s="240" t="s">
        <v>4543</v>
      </c>
      <c r="AB698" s="206" t="s">
        <v>140</v>
      </c>
      <c r="AC698" s="847" t="s">
        <v>265</v>
      </c>
      <c r="AD698" s="847" t="s">
        <v>2286</v>
      </c>
      <c r="AE698" s="847" t="s">
        <v>144</v>
      </c>
      <c r="AF698" s="848" t="s">
        <v>144</v>
      </c>
      <c r="AG698" s="838"/>
      <c r="AH698" s="866" t="s">
        <v>3227</v>
      </c>
      <c r="AI698" s="273" t="s">
        <v>3228</v>
      </c>
      <c r="AJ698" s="847">
        <v>6</v>
      </c>
      <c r="AK698" s="848" t="s">
        <v>3229</v>
      </c>
      <c r="AL698" s="875" t="s">
        <v>294</v>
      </c>
      <c r="AM698" s="301" t="s">
        <v>295</v>
      </c>
      <c r="AN698" s="847">
        <v>7</v>
      </c>
      <c r="AO698" s="187" t="s">
        <v>966</v>
      </c>
      <c r="AP698" s="867"/>
      <c r="AQ698" s="273"/>
      <c r="AR698" s="847"/>
      <c r="AS698" s="848"/>
      <c r="AT698" s="867"/>
      <c r="AU698" s="273"/>
      <c r="AV698" s="847"/>
      <c r="AW698" s="848"/>
      <c r="AX698" s="867"/>
      <c r="AY698" s="273"/>
      <c r="AZ698" s="847"/>
      <c r="BA698" s="848"/>
      <c r="BB698" s="866"/>
      <c r="BC698" s="273"/>
      <c r="BD698" s="847"/>
      <c r="BE698" s="848"/>
      <c r="BF698" s="838"/>
    </row>
    <row r="699" spans="1:58" s="88" customFormat="1" ht="54" hidden="1" customHeight="1" x14ac:dyDescent="0.25">
      <c r="A699" s="267" t="s">
        <v>1687</v>
      </c>
      <c r="B699" s="268">
        <v>464</v>
      </c>
      <c r="C699" s="240" t="s">
        <v>1022</v>
      </c>
      <c r="D699" s="270" t="s">
        <v>1023</v>
      </c>
      <c r="E699" s="298" t="s">
        <v>5717</v>
      </c>
      <c r="F699" s="861" t="s">
        <v>5718</v>
      </c>
      <c r="G699" s="269" t="s">
        <v>5719</v>
      </c>
      <c r="H699" s="845" t="s">
        <v>5720</v>
      </c>
      <c r="I699" s="269" t="s">
        <v>5721</v>
      </c>
      <c r="J699" s="296" t="s">
        <v>140</v>
      </c>
      <c r="K699" s="297" t="s">
        <v>140</v>
      </c>
      <c r="L699" s="862" t="s">
        <v>5722</v>
      </c>
      <c r="M699" s="847" t="s">
        <v>973</v>
      </c>
      <c r="N699" s="270" t="s">
        <v>974</v>
      </c>
      <c r="O699" s="240" t="s">
        <v>5715</v>
      </c>
      <c r="P699" s="240" t="s">
        <v>5716</v>
      </c>
      <c r="Q699" s="845" t="s">
        <v>144</v>
      </c>
      <c r="R699" s="208" t="s">
        <v>144</v>
      </c>
      <c r="S699" s="864" t="s">
        <v>147</v>
      </c>
      <c r="T699" s="212" t="s">
        <v>144</v>
      </c>
      <c r="U699" s="213" t="s">
        <v>144</v>
      </c>
      <c r="V699" s="847">
        <v>2</v>
      </c>
      <c r="W699" s="415" t="s">
        <v>144</v>
      </c>
      <c r="X699" s="212">
        <v>43</v>
      </c>
      <c r="Y699" s="212" t="s">
        <v>144</v>
      </c>
      <c r="Z699" s="214" t="s">
        <v>144</v>
      </c>
      <c r="AA699" s="240" t="s">
        <v>5723</v>
      </c>
      <c r="AB699" s="206" t="s">
        <v>140</v>
      </c>
      <c r="AC699" s="847" t="s">
        <v>265</v>
      </c>
      <c r="AD699" s="847" t="s">
        <v>2286</v>
      </c>
      <c r="AE699" s="847" t="s">
        <v>144</v>
      </c>
      <c r="AF699" s="848" t="s">
        <v>144</v>
      </c>
      <c r="AG699" s="838"/>
      <c r="AH699" s="866" t="s">
        <v>3227</v>
      </c>
      <c r="AI699" s="273" t="s">
        <v>3228</v>
      </c>
      <c r="AJ699" s="847">
        <v>6</v>
      </c>
      <c r="AK699" s="848" t="s">
        <v>3229</v>
      </c>
      <c r="AL699" s="875" t="s">
        <v>294</v>
      </c>
      <c r="AM699" s="301" t="s">
        <v>295</v>
      </c>
      <c r="AN699" s="847">
        <v>7</v>
      </c>
      <c r="AO699" s="187" t="s">
        <v>966</v>
      </c>
      <c r="AP699" s="867"/>
      <c r="AQ699" s="273"/>
      <c r="AR699" s="847"/>
      <c r="AS699" s="848"/>
      <c r="AT699" s="867"/>
      <c r="AU699" s="273"/>
      <c r="AV699" s="847"/>
      <c r="AW699" s="848"/>
      <c r="AX699" s="867"/>
      <c r="AY699" s="273"/>
      <c r="AZ699" s="847"/>
      <c r="BA699" s="848"/>
      <c r="BB699" s="866"/>
      <c r="BC699" s="273"/>
      <c r="BD699" s="847"/>
      <c r="BE699" s="848"/>
      <c r="BF699" s="838"/>
    </row>
    <row r="700" spans="1:58" s="88" customFormat="1" ht="54" hidden="1" customHeight="1" x14ac:dyDescent="0.25">
      <c r="A700" s="267" t="s">
        <v>1687</v>
      </c>
      <c r="B700" s="268">
        <v>465</v>
      </c>
      <c r="C700" s="240" t="s">
        <v>1022</v>
      </c>
      <c r="D700" s="270" t="s">
        <v>1023</v>
      </c>
      <c r="E700" s="298" t="s">
        <v>5724</v>
      </c>
      <c r="F700" s="861" t="s">
        <v>5725</v>
      </c>
      <c r="G700" s="269" t="s">
        <v>5726</v>
      </c>
      <c r="H700" s="351" t="s">
        <v>5727</v>
      </c>
      <c r="I700" s="318" t="s">
        <v>5728</v>
      </c>
      <c r="J700" s="296" t="s">
        <v>140</v>
      </c>
      <c r="K700" s="297" t="s">
        <v>140</v>
      </c>
      <c r="L700" s="862" t="s">
        <v>5729</v>
      </c>
      <c r="M700" s="847" t="s">
        <v>973</v>
      </c>
      <c r="N700" s="270" t="s">
        <v>974</v>
      </c>
      <c r="O700" s="240" t="s">
        <v>144</v>
      </c>
      <c r="P700" s="240" t="s">
        <v>144</v>
      </c>
      <c r="Q700" s="845" t="s">
        <v>144</v>
      </c>
      <c r="R700" s="208" t="s">
        <v>144</v>
      </c>
      <c r="S700" s="268" t="s">
        <v>746</v>
      </c>
      <c r="T700" s="212" t="s">
        <v>1104</v>
      </c>
      <c r="U700" s="213" t="s">
        <v>1105</v>
      </c>
      <c r="V700" s="847">
        <v>19</v>
      </c>
      <c r="W700" s="415" t="s">
        <v>144</v>
      </c>
      <c r="X700" s="212">
        <v>43</v>
      </c>
      <c r="Y700" s="212" t="s">
        <v>144</v>
      </c>
      <c r="Z700" s="214" t="s">
        <v>144</v>
      </c>
      <c r="AA700" s="240" t="s">
        <v>5700</v>
      </c>
      <c r="AB700" s="206" t="s">
        <v>140</v>
      </c>
      <c r="AC700" s="847" t="s">
        <v>265</v>
      </c>
      <c r="AD700" s="847" t="s">
        <v>2205</v>
      </c>
      <c r="AE700" s="847" t="s">
        <v>144</v>
      </c>
      <c r="AF700" s="848" t="s">
        <v>144</v>
      </c>
      <c r="AG700" s="838"/>
      <c r="AH700" s="291" t="s">
        <v>5730</v>
      </c>
      <c r="AI700" s="273" t="s">
        <v>5731</v>
      </c>
      <c r="AJ700" s="240">
        <v>5</v>
      </c>
      <c r="AK700" s="286" t="s">
        <v>5732</v>
      </c>
      <c r="AL700" s="867"/>
      <c r="AM700" s="273"/>
      <c r="AN700" s="847"/>
      <c r="AO700" s="848"/>
      <c r="AP700" s="867" t="s">
        <v>1107</v>
      </c>
      <c r="AQ700" s="273" t="s">
        <v>1108</v>
      </c>
      <c r="AR700" s="847">
        <v>6</v>
      </c>
      <c r="AS700" s="286" t="s">
        <v>1109</v>
      </c>
      <c r="AT700" s="867"/>
      <c r="AU700" s="273"/>
      <c r="AV700" s="847"/>
      <c r="AW700" s="848"/>
      <c r="AX700" s="867"/>
      <c r="AY700" s="273"/>
      <c r="AZ700" s="847"/>
      <c r="BA700" s="848"/>
      <c r="BB700" s="866"/>
      <c r="BC700" s="273"/>
      <c r="BD700" s="847"/>
      <c r="BE700" s="848"/>
      <c r="BF700" s="838"/>
    </row>
    <row r="701" spans="1:58" s="88" customFormat="1" ht="54" hidden="1" customHeight="1" x14ac:dyDescent="0.25">
      <c r="A701" s="267" t="s">
        <v>1687</v>
      </c>
      <c r="B701" s="268">
        <v>466</v>
      </c>
      <c r="C701" s="240" t="s">
        <v>1022</v>
      </c>
      <c r="D701" s="270" t="s">
        <v>1023</v>
      </c>
      <c r="E701" s="298" t="s">
        <v>5733</v>
      </c>
      <c r="F701" s="861" t="s">
        <v>5734</v>
      </c>
      <c r="G701" s="269" t="s">
        <v>5735</v>
      </c>
      <c r="H701" s="845" t="s">
        <v>5736</v>
      </c>
      <c r="I701" s="269" t="s">
        <v>5735</v>
      </c>
      <c r="J701" s="296" t="s">
        <v>140</v>
      </c>
      <c r="K701" s="297" t="s">
        <v>140</v>
      </c>
      <c r="L701" s="862" t="s">
        <v>5737</v>
      </c>
      <c r="M701" s="847" t="s">
        <v>973</v>
      </c>
      <c r="N701" s="270" t="s">
        <v>974</v>
      </c>
      <c r="O701" s="240" t="s">
        <v>814</v>
      </c>
      <c r="P701" s="240" t="s">
        <v>815</v>
      </c>
      <c r="Q701" s="845" t="s">
        <v>144</v>
      </c>
      <c r="R701" s="208" t="s">
        <v>144</v>
      </c>
      <c r="S701" s="864" t="s">
        <v>147</v>
      </c>
      <c r="T701" s="212" t="s">
        <v>144</v>
      </c>
      <c r="U701" s="213" t="s">
        <v>144</v>
      </c>
      <c r="V701" s="847">
        <v>3</v>
      </c>
      <c r="W701" s="415" t="s">
        <v>144</v>
      </c>
      <c r="X701" s="212">
        <v>43</v>
      </c>
      <c r="Y701" s="212" t="s">
        <v>144</v>
      </c>
      <c r="Z701" s="214" t="s">
        <v>144</v>
      </c>
      <c r="AA701" s="240" t="s">
        <v>5700</v>
      </c>
      <c r="AB701" s="206" t="s">
        <v>140</v>
      </c>
      <c r="AC701" s="847" t="s">
        <v>265</v>
      </c>
      <c r="AD701" s="847" t="s">
        <v>2286</v>
      </c>
      <c r="AE701" s="847" t="s">
        <v>144</v>
      </c>
      <c r="AF701" s="848" t="s">
        <v>144</v>
      </c>
      <c r="AG701" s="838"/>
      <c r="AH701" s="291" t="s">
        <v>5738</v>
      </c>
      <c r="AI701" s="273" t="s">
        <v>5739</v>
      </c>
      <c r="AJ701" s="240">
        <v>7</v>
      </c>
      <c r="AK701" s="848" t="s">
        <v>1280</v>
      </c>
      <c r="AL701" s="875" t="s">
        <v>294</v>
      </c>
      <c r="AM701" s="301" t="s">
        <v>295</v>
      </c>
      <c r="AN701" s="847">
        <v>7</v>
      </c>
      <c r="AO701" s="187" t="s">
        <v>966</v>
      </c>
      <c r="AP701" s="867"/>
      <c r="AQ701" s="273"/>
      <c r="AR701" s="847"/>
      <c r="AS701" s="848"/>
      <c r="AT701" s="867"/>
      <c r="AU701" s="273"/>
      <c r="AV701" s="847"/>
      <c r="AW701" s="848"/>
      <c r="AX701" s="867"/>
      <c r="AY701" s="273"/>
      <c r="AZ701" s="847"/>
      <c r="BA701" s="848"/>
      <c r="BB701" s="866"/>
      <c r="BC701" s="273"/>
      <c r="BD701" s="847"/>
      <c r="BE701" s="848"/>
      <c r="BF701" s="838"/>
    </row>
    <row r="702" spans="1:58" s="88" customFormat="1" ht="54" hidden="1" customHeight="1" x14ac:dyDescent="0.25">
      <c r="A702" s="267" t="s">
        <v>1687</v>
      </c>
      <c r="B702" s="268">
        <v>467</v>
      </c>
      <c r="C702" s="240" t="s">
        <v>723</v>
      </c>
      <c r="D702" s="270" t="s">
        <v>723</v>
      </c>
      <c r="E702" s="298" t="s">
        <v>5740</v>
      </c>
      <c r="F702" s="861" t="s">
        <v>5741</v>
      </c>
      <c r="G702" s="269" t="s">
        <v>5742</v>
      </c>
      <c r="H702" s="845" t="s">
        <v>5743</v>
      </c>
      <c r="I702" s="269" t="s">
        <v>5744</v>
      </c>
      <c r="J702" s="296" t="s">
        <v>140</v>
      </c>
      <c r="K702" s="297" t="s">
        <v>140</v>
      </c>
      <c r="L702" s="862" t="s">
        <v>5745</v>
      </c>
      <c r="M702" s="847" t="s">
        <v>973</v>
      </c>
      <c r="N702" s="270" t="s">
        <v>974</v>
      </c>
      <c r="O702" s="240" t="s">
        <v>144</v>
      </c>
      <c r="P702" s="240" t="s">
        <v>144</v>
      </c>
      <c r="Q702" s="845" t="s">
        <v>5746</v>
      </c>
      <c r="R702" s="208" t="s">
        <v>5747</v>
      </c>
      <c r="S702" s="864" t="s">
        <v>746</v>
      </c>
      <c r="T702" s="212" t="s">
        <v>5660</v>
      </c>
      <c r="U702" s="213" t="s">
        <v>5661</v>
      </c>
      <c r="V702" s="847">
        <v>15</v>
      </c>
      <c r="W702" s="415" t="s">
        <v>144</v>
      </c>
      <c r="X702" s="212">
        <v>43</v>
      </c>
      <c r="Y702" s="212" t="s">
        <v>144</v>
      </c>
      <c r="Z702" s="214" t="s">
        <v>144</v>
      </c>
      <c r="AA702" s="240" t="s">
        <v>4543</v>
      </c>
      <c r="AB702" s="206" t="s">
        <v>140</v>
      </c>
      <c r="AC702" s="847" t="s">
        <v>265</v>
      </c>
      <c r="AD702" s="847" t="s">
        <v>2286</v>
      </c>
      <c r="AE702" s="847" t="s">
        <v>144</v>
      </c>
      <c r="AF702" s="848" t="s">
        <v>144</v>
      </c>
      <c r="AG702" s="838"/>
      <c r="AH702" s="291" t="s">
        <v>5748</v>
      </c>
      <c r="AI702" s="273" t="s">
        <v>5749</v>
      </c>
      <c r="AJ702" s="240">
        <v>6</v>
      </c>
      <c r="AK702" s="848" t="s">
        <v>5750</v>
      </c>
      <c r="AL702" s="867"/>
      <c r="AM702" s="273"/>
      <c r="AN702" s="847"/>
      <c r="AO702" s="848"/>
      <c r="AP702" s="867"/>
      <c r="AQ702" s="273"/>
      <c r="AR702" s="847"/>
      <c r="AS702" s="848"/>
      <c r="AT702" s="867"/>
      <c r="AU702" s="273"/>
      <c r="AV702" s="847"/>
      <c r="AW702" s="848"/>
      <c r="AX702" s="867"/>
      <c r="AY702" s="273"/>
      <c r="AZ702" s="847"/>
      <c r="BA702" s="848"/>
      <c r="BB702" s="866"/>
      <c r="BC702" s="273"/>
      <c r="BD702" s="847"/>
      <c r="BE702" s="848"/>
      <c r="BF702" s="838"/>
    </row>
    <row r="703" spans="1:58" s="88" customFormat="1" ht="54" hidden="1" customHeight="1" x14ac:dyDescent="0.25">
      <c r="A703" s="267" t="s">
        <v>1687</v>
      </c>
      <c r="B703" s="268">
        <v>468</v>
      </c>
      <c r="C703" s="240" t="s">
        <v>723</v>
      </c>
      <c r="D703" s="270" t="s">
        <v>723</v>
      </c>
      <c r="E703" s="298" t="s">
        <v>5751</v>
      </c>
      <c r="F703" s="861" t="s">
        <v>5752</v>
      </c>
      <c r="G703" s="269" t="s">
        <v>5753</v>
      </c>
      <c r="H703" s="845" t="s">
        <v>5754</v>
      </c>
      <c r="I703" s="269" t="s">
        <v>5755</v>
      </c>
      <c r="J703" s="296" t="s">
        <v>140</v>
      </c>
      <c r="K703" s="297" t="s">
        <v>140</v>
      </c>
      <c r="L703" s="862" t="s">
        <v>5756</v>
      </c>
      <c r="M703" s="847" t="s">
        <v>973</v>
      </c>
      <c r="N703" s="270" t="s">
        <v>974</v>
      </c>
      <c r="O703" s="240" t="s">
        <v>144</v>
      </c>
      <c r="P703" s="240" t="s">
        <v>144</v>
      </c>
      <c r="Q703" s="845" t="s">
        <v>5757</v>
      </c>
      <c r="R703" s="208" t="s">
        <v>5758</v>
      </c>
      <c r="S703" s="864" t="s">
        <v>746</v>
      </c>
      <c r="T703" s="212" t="s">
        <v>5660</v>
      </c>
      <c r="U703" s="213" t="s">
        <v>5661</v>
      </c>
      <c r="V703" s="847">
        <v>15</v>
      </c>
      <c r="W703" s="415" t="s">
        <v>144</v>
      </c>
      <c r="X703" s="212">
        <v>43</v>
      </c>
      <c r="Y703" s="212" t="s">
        <v>144</v>
      </c>
      <c r="Z703" s="212" t="s">
        <v>144</v>
      </c>
      <c r="AA703" s="240" t="s">
        <v>5759</v>
      </c>
      <c r="AB703" s="206" t="s">
        <v>140</v>
      </c>
      <c r="AC703" s="847" t="s">
        <v>265</v>
      </c>
      <c r="AD703" s="847" t="s">
        <v>2060</v>
      </c>
      <c r="AE703" s="847" t="s">
        <v>144</v>
      </c>
      <c r="AF703" s="848" t="s">
        <v>144</v>
      </c>
      <c r="AG703" s="838"/>
      <c r="AH703" s="866" t="s">
        <v>5760</v>
      </c>
      <c r="AI703" s="273" t="s">
        <v>5761</v>
      </c>
      <c r="AJ703" s="847">
        <v>6</v>
      </c>
      <c r="AK703" s="848" t="s">
        <v>5762</v>
      </c>
      <c r="AL703" s="867"/>
      <c r="AM703" s="273"/>
      <c r="AN703" s="847"/>
      <c r="AO703" s="848"/>
      <c r="AP703" s="867"/>
      <c r="AQ703" s="273"/>
      <c r="AR703" s="847"/>
      <c r="AS703" s="848"/>
      <c r="AT703" s="867"/>
      <c r="AU703" s="273"/>
      <c r="AV703" s="847"/>
      <c r="AW703" s="848"/>
      <c r="AX703" s="867"/>
      <c r="AY703" s="273"/>
      <c r="AZ703" s="847"/>
      <c r="BA703" s="848"/>
      <c r="BB703" s="866"/>
      <c r="BC703" s="273"/>
      <c r="BD703" s="847"/>
      <c r="BE703" s="848"/>
      <c r="BF703" s="838"/>
    </row>
    <row r="704" spans="1:58" s="57" customFormat="1" ht="54" hidden="1" customHeight="1" x14ac:dyDescent="0.25">
      <c r="A704" s="275" t="s">
        <v>1687</v>
      </c>
      <c r="B704" s="276">
        <v>469</v>
      </c>
      <c r="C704" s="253" t="s">
        <v>1022</v>
      </c>
      <c r="D704" s="253" t="s">
        <v>1023</v>
      </c>
      <c r="E704" s="276" t="s">
        <v>5763</v>
      </c>
      <c r="F704" s="277" t="s">
        <v>5764</v>
      </c>
      <c r="G704" s="277" t="s">
        <v>5765</v>
      </c>
      <c r="H704" s="218" t="s">
        <v>5766</v>
      </c>
      <c r="I704" s="218" t="s">
        <v>5767</v>
      </c>
      <c r="J704" s="253" t="s">
        <v>144</v>
      </c>
      <c r="K704" s="253" t="s">
        <v>144</v>
      </c>
      <c r="L704" s="718" t="s">
        <v>5768</v>
      </c>
      <c r="M704" s="253" t="s">
        <v>144</v>
      </c>
      <c r="N704" s="253" t="s">
        <v>144</v>
      </c>
      <c r="O704" s="253" t="s">
        <v>144</v>
      </c>
      <c r="P704" s="253" t="s">
        <v>144</v>
      </c>
      <c r="Q704" s="218" t="s">
        <v>144</v>
      </c>
      <c r="R704" s="218" t="s">
        <v>144</v>
      </c>
      <c r="S704" s="276" t="s">
        <v>746</v>
      </c>
      <c r="T704" s="221" t="s">
        <v>5660</v>
      </c>
      <c r="U704" s="221" t="s">
        <v>5661</v>
      </c>
      <c r="V704" s="253">
        <v>15</v>
      </c>
      <c r="W704" s="217" t="s">
        <v>144</v>
      </c>
      <c r="X704" s="221">
        <v>43</v>
      </c>
      <c r="Y704" s="221">
        <v>43</v>
      </c>
      <c r="Z704" s="221" t="s">
        <v>144</v>
      </c>
      <c r="AA704" s="253" t="s">
        <v>144</v>
      </c>
      <c r="AB704" s="217" t="s">
        <v>144</v>
      </c>
      <c r="AC704" s="253" t="s">
        <v>265</v>
      </c>
      <c r="AD704" s="253" t="s">
        <v>144</v>
      </c>
      <c r="AE704" s="253" t="s">
        <v>144</v>
      </c>
      <c r="AF704" s="254" t="s">
        <v>144</v>
      </c>
      <c r="AG704" s="838"/>
      <c r="AH704" s="280"/>
      <c r="AI704" s="281"/>
      <c r="AJ704" s="253"/>
      <c r="AK704" s="254"/>
      <c r="AL704" s="281"/>
      <c r="AM704" s="281"/>
      <c r="AN704" s="253"/>
      <c r="AO704" s="254"/>
      <c r="AP704" s="281"/>
      <c r="AQ704" s="281"/>
      <c r="AR704" s="253"/>
      <c r="AS704" s="254"/>
      <c r="AT704" s="281"/>
      <c r="AU704" s="281"/>
      <c r="AV704" s="253"/>
      <c r="AW704" s="254"/>
      <c r="AX704" s="281"/>
      <c r="AY704" s="281"/>
      <c r="AZ704" s="253"/>
      <c r="BA704" s="254"/>
      <c r="BB704" s="280"/>
      <c r="BC704" s="281"/>
      <c r="BD704" s="253"/>
      <c r="BE704" s="254"/>
      <c r="BF704" s="838"/>
    </row>
    <row r="705" spans="1:58" s="57" customFormat="1" ht="54" hidden="1" customHeight="1" x14ac:dyDescent="0.25">
      <c r="A705" s="275" t="s">
        <v>1687</v>
      </c>
      <c r="B705" s="276">
        <v>470</v>
      </c>
      <c r="C705" s="253" t="s">
        <v>1022</v>
      </c>
      <c r="D705" s="253" t="s">
        <v>1023</v>
      </c>
      <c r="E705" s="276" t="s">
        <v>5769</v>
      </c>
      <c r="F705" s="277" t="s">
        <v>5770</v>
      </c>
      <c r="G705" s="277" t="s">
        <v>5771</v>
      </c>
      <c r="H705" s="218" t="s">
        <v>5772</v>
      </c>
      <c r="I705" s="218" t="s">
        <v>5773</v>
      </c>
      <c r="J705" s="253" t="s">
        <v>144</v>
      </c>
      <c r="K705" s="253" t="s">
        <v>144</v>
      </c>
      <c r="L705" s="718" t="s">
        <v>5774</v>
      </c>
      <c r="M705" s="253" t="s">
        <v>144</v>
      </c>
      <c r="N705" s="253" t="s">
        <v>144</v>
      </c>
      <c r="O705" s="253" t="s">
        <v>144</v>
      </c>
      <c r="P705" s="253" t="s">
        <v>144</v>
      </c>
      <c r="Q705" s="218" t="s">
        <v>144</v>
      </c>
      <c r="R705" s="218" t="s">
        <v>144</v>
      </c>
      <c r="S705" s="276" t="s">
        <v>746</v>
      </c>
      <c r="T705" s="221" t="s">
        <v>5660</v>
      </c>
      <c r="U705" s="221" t="s">
        <v>5661</v>
      </c>
      <c r="V705" s="253">
        <v>15</v>
      </c>
      <c r="W705" s="217" t="s">
        <v>144</v>
      </c>
      <c r="X705" s="221">
        <v>43</v>
      </c>
      <c r="Y705" s="221">
        <v>43</v>
      </c>
      <c r="Z705" s="221" t="s">
        <v>144</v>
      </c>
      <c r="AA705" s="217" t="s">
        <v>144</v>
      </c>
      <c r="AB705" s="217" t="s">
        <v>144</v>
      </c>
      <c r="AC705" s="253" t="s">
        <v>265</v>
      </c>
      <c r="AD705" s="253" t="s">
        <v>144</v>
      </c>
      <c r="AE705" s="253" t="s">
        <v>144</v>
      </c>
      <c r="AF705" s="254" t="s">
        <v>144</v>
      </c>
      <c r="AG705" s="838"/>
      <c r="AH705" s="280"/>
      <c r="AI705" s="281"/>
      <c r="AJ705" s="253"/>
      <c r="AK705" s="254"/>
      <c r="AL705" s="281"/>
      <c r="AM705" s="281"/>
      <c r="AN705" s="253"/>
      <c r="AO705" s="254"/>
      <c r="AP705" s="281"/>
      <c r="AQ705" s="281"/>
      <c r="AR705" s="253"/>
      <c r="AS705" s="254"/>
      <c r="AT705" s="281"/>
      <c r="AU705" s="281"/>
      <c r="AV705" s="253"/>
      <c r="AW705" s="254"/>
      <c r="AX705" s="281"/>
      <c r="AY705" s="281"/>
      <c r="AZ705" s="253"/>
      <c r="BA705" s="254"/>
      <c r="BB705" s="280"/>
      <c r="BC705" s="281"/>
      <c r="BD705" s="253"/>
      <c r="BE705" s="254"/>
      <c r="BF705" s="838"/>
    </row>
    <row r="706" spans="1:58" s="88" customFormat="1" ht="54" hidden="1" customHeight="1" x14ac:dyDescent="0.25">
      <c r="A706" s="267" t="s">
        <v>1687</v>
      </c>
      <c r="B706" s="268">
        <v>471</v>
      </c>
      <c r="C706" s="240" t="s">
        <v>1022</v>
      </c>
      <c r="D706" s="270" t="s">
        <v>1023</v>
      </c>
      <c r="E706" s="298" t="s">
        <v>5775</v>
      </c>
      <c r="F706" s="861" t="s">
        <v>5776</v>
      </c>
      <c r="G706" s="269" t="s">
        <v>5777</v>
      </c>
      <c r="H706" s="845" t="s">
        <v>5778</v>
      </c>
      <c r="I706" s="269" t="s">
        <v>5779</v>
      </c>
      <c r="J706" s="296" t="s">
        <v>140</v>
      </c>
      <c r="K706" s="297" t="s">
        <v>140</v>
      </c>
      <c r="L706" s="862" t="s">
        <v>5780</v>
      </c>
      <c r="M706" s="847" t="s">
        <v>973</v>
      </c>
      <c r="N706" s="270" t="s">
        <v>974</v>
      </c>
      <c r="O706" s="240" t="s">
        <v>144</v>
      </c>
      <c r="P706" s="240" t="s">
        <v>144</v>
      </c>
      <c r="Q706" s="845" t="s">
        <v>144</v>
      </c>
      <c r="R706" s="208" t="s">
        <v>144</v>
      </c>
      <c r="S706" s="864" t="s">
        <v>746</v>
      </c>
      <c r="T706" s="212" t="s">
        <v>5660</v>
      </c>
      <c r="U706" s="213" t="s">
        <v>5661</v>
      </c>
      <c r="V706" s="847">
        <v>15</v>
      </c>
      <c r="W706" s="415" t="s">
        <v>144</v>
      </c>
      <c r="X706" s="212">
        <v>43</v>
      </c>
      <c r="Y706" s="212" t="s">
        <v>144</v>
      </c>
      <c r="Z706" s="214" t="s">
        <v>144</v>
      </c>
      <c r="AA706" s="240" t="s">
        <v>4543</v>
      </c>
      <c r="AB706" s="206" t="s">
        <v>140</v>
      </c>
      <c r="AC706" s="847" t="s">
        <v>265</v>
      </c>
      <c r="AD706" s="847" t="s">
        <v>2205</v>
      </c>
      <c r="AE706" s="847" t="s">
        <v>144</v>
      </c>
      <c r="AF706" s="848" t="s">
        <v>144</v>
      </c>
      <c r="AG706" s="838"/>
      <c r="AH706" s="866" t="s">
        <v>3227</v>
      </c>
      <c r="AI706" s="273" t="s">
        <v>3228</v>
      </c>
      <c r="AJ706" s="847">
        <v>5</v>
      </c>
      <c r="AK706" s="848" t="s">
        <v>3229</v>
      </c>
      <c r="AL706" s="867"/>
      <c r="AM706" s="273"/>
      <c r="AN706" s="847"/>
      <c r="AO706" s="848"/>
      <c r="AP706" s="867"/>
      <c r="AQ706" s="273"/>
      <c r="AR706" s="847"/>
      <c r="AS706" s="848"/>
      <c r="AT706" s="867"/>
      <c r="AU706" s="273"/>
      <c r="AV706" s="847"/>
      <c r="AW706" s="848"/>
      <c r="AX706" s="867"/>
      <c r="AY706" s="273"/>
      <c r="AZ706" s="847"/>
      <c r="BA706" s="848"/>
      <c r="BB706" s="866"/>
      <c r="BC706" s="273"/>
      <c r="BD706" s="847"/>
      <c r="BE706" s="848"/>
      <c r="BF706" s="838"/>
    </row>
    <row r="707" spans="1:58" s="88" customFormat="1" ht="54" hidden="1" customHeight="1" x14ac:dyDescent="0.25">
      <c r="A707" s="267" t="s">
        <v>1687</v>
      </c>
      <c r="B707" s="268">
        <v>472</v>
      </c>
      <c r="C707" s="240" t="s">
        <v>2206</v>
      </c>
      <c r="D707" s="270" t="s">
        <v>2207</v>
      </c>
      <c r="E707" s="298" t="s">
        <v>5781</v>
      </c>
      <c r="F707" s="861" t="s">
        <v>5782</v>
      </c>
      <c r="G707" s="269" t="s">
        <v>5783</v>
      </c>
      <c r="H707" s="845" t="s">
        <v>5784</v>
      </c>
      <c r="I707" s="342" t="s">
        <v>5785</v>
      </c>
      <c r="J707" s="344" t="s">
        <v>140</v>
      </c>
      <c r="K707" s="352" t="s">
        <v>140</v>
      </c>
      <c r="L707" s="862" t="s">
        <v>5786</v>
      </c>
      <c r="M707" s="847" t="s">
        <v>973</v>
      </c>
      <c r="N707" s="270" t="s">
        <v>974</v>
      </c>
      <c r="O707" s="240" t="s">
        <v>5787</v>
      </c>
      <c r="P707" s="240" t="s">
        <v>5788</v>
      </c>
      <c r="Q707" s="845" t="s">
        <v>144</v>
      </c>
      <c r="R707" s="208" t="s">
        <v>144</v>
      </c>
      <c r="S707" s="864" t="s">
        <v>147</v>
      </c>
      <c r="T707" s="212" t="s">
        <v>144</v>
      </c>
      <c r="U707" s="213" t="s">
        <v>144</v>
      </c>
      <c r="V707" s="847">
        <v>1</v>
      </c>
      <c r="W707" s="415" t="s">
        <v>144</v>
      </c>
      <c r="X707" s="212">
        <v>43</v>
      </c>
      <c r="Y707" s="212" t="s">
        <v>144</v>
      </c>
      <c r="Z707" s="214" t="s">
        <v>144</v>
      </c>
      <c r="AA707" s="240" t="s">
        <v>5336</v>
      </c>
      <c r="AB707" s="206" t="s">
        <v>140</v>
      </c>
      <c r="AC707" s="847" t="s">
        <v>265</v>
      </c>
      <c r="AD707" s="847" t="s">
        <v>2221</v>
      </c>
      <c r="AE707" s="847" t="s">
        <v>144</v>
      </c>
      <c r="AF707" s="848" t="s">
        <v>144</v>
      </c>
      <c r="AG707" s="838"/>
      <c r="AH707" s="866" t="s">
        <v>2124</v>
      </c>
      <c r="AI707" s="273" t="s">
        <v>2125</v>
      </c>
      <c r="AJ707" s="847">
        <v>7</v>
      </c>
      <c r="AK707" s="848" t="s">
        <v>2126</v>
      </c>
      <c r="AL707" s="875" t="s">
        <v>294</v>
      </c>
      <c r="AM707" s="301" t="s">
        <v>295</v>
      </c>
      <c r="AN707" s="847">
        <v>7</v>
      </c>
      <c r="AO707" s="187" t="s">
        <v>966</v>
      </c>
      <c r="AP707" s="867"/>
      <c r="AQ707" s="273"/>
      <c r="AR707" s="847"/>
      <c r="AS707" s="848"/>
      <c r="AT707" s="867"/>
      <c r="AU707" s="273"/>
      <c r="AV707" s="847"/>
      <c r="AW707" s="848"/>
      <c r="AX707" s="867"/>
      <c r="AY707" s="273"/>
      <c r="AZ707" s="847"/>
      <c r="BA707" s="848"/>
      <c r="BB707" s="866"/>
      <c r="BC707" s="273"/>
      <c r="BD707" s="847"/>
      <c r="BE707" s="848"/>
      <c r="BF707" s="838"/>
    </row>
    <row r="708" spans="1:58" s="88" customFormat="1" ht="54" hidden="1" customHeight="1" x14ac:dyDescent="0.25">
      <c r="A708" s="267" t="s">
        <v>1687</v>
      </c>
      <c r="B708" s="268">
        <v>473</v>
      </c>
      <c r="C708" s="240" t="s">
        <v>2206</v>
      </c>
      <c r="D708" s="270" t="s">
        <v>2207</v>
      </c>
      <c r="E708" s="298" t="s">
        <v>5789</v>
      </c>
      <c r="F708" s="861" t="s">
        <v>5790</v>
      </c>
      <c r="G708" s="269" t="s">
        <v>5791</v>
      </c>
      <c r="H708" s="845" t="s">
        <v>5792</v>
      </c>
      <c r="I708" s="294" t="s">
        <v>5793</v>
      </c>
      <c r="J708" s="325" t="s">
        <v>140</v>
      </c>
      <c r="K708" s="326" t="s">
        <v>140</v>
      </c>
      <c r="L708" s="862" t="s">
        <v>5794</v>
      </c>
      <c r="M708" s="847" t="s">
        <v>193</v>
      </c>
      <c r="N708" s="270" t="s">
        <v>194</v>
      </c>
      <c r="O708" s="240" t="s">
        <v>5795</v>
      </c>
      <c r="P708" s="240" t="s">
        <v>5796</v>
      </c>
      <c r="Q708" s="845" t="s">
        <v>144</v>
      </c>
      <c r="R708" s="208" t="s">
        <v>144</v>
      </c>
      <c r="S708" s="864" t="s">
        <v>147</v>
      </c>
      <c r="T708" s="212" t="s">
        <v>144</v>
      </c>
      <c r="U708" s="213" t="s">
        <v>144</v>
      </c>
      <c r="V708" s="847">
        <v>1</v>
      </c>
      <c r="W708" s="415" t="s">
        <v>144</v>
      </c>
      <c r="X708" s="212">
        <v>43</v>
      </c>
      <c r="Y708" s="212" t="s">
        <v>144</v>
      </c>
      <c r="Z708" s="241" t="s">
        <v>144</v>
      </c>
      <c r="AA708" s="240" t="s">
        <v>5797</v>
      </c>
      <c r="AB708" s="206" t="s">
        <v>140</v>
      </c>
      <c r="AC708" s="847" t="s">
        <v>265</v>
      </c>
      <c r="AD708" s="847" t="s">
        <v>2221</v>
      </c>
      <c r="AE708" s="847" t="s">
        <v>144</v>
      </c>
      <c r="AF708" s="848" t="s">
        <v>144</v>
      </c>
      <c r="AG708" s="838"/>
      <c r="AH708" s="339"/>
      <c r="AI708" s="313"/>
      <c r="AJ708" s="289"/>
      <c r="AK708" s="314"/>
      <c r="AL708" s="875" t="s">
        <v>294</v>
      </c>
      <c r="AM708" s="301" t="s">
        <v>295</v>
      </c>
      <c r="AN708" s="847">
        <v>7</v>
      </c>
      <c r="AO708" s="187" t="s">
        <v>966</v>
      </c>
      <c r="AP708" s="867"/>
      <c r="AQ708" s="273"/>
      <c r="AR708" s="847"/>
      <c r="AS708" s="848"/>
      <c r="AT708" s="867"/>
      <c r="AU708" s="273"/>
      <c r="AV708" s="847"/>
      <c r="AW708" s="848"/>
      <c r="AX708" s="867"/>
      <c r="AY708" s="273"/>
      <c r="AZ708" s="847"/>
      <c r="BA708" s="848"/>
      <c r="BB708" s="866"/>
      <c r="BC708" s="273"/>
      <c r="BD708" s="847"/>
      <c r="BE708" s="848"/>
      <c r="BF708" s="838"/>
    </row>
    <row r="709" spans="1:58" s="88" customFormat="1" ht="54" hidden="1" customHeight="1" x14ac:dyDescent="0.25">
      <c r="A709" s="267" t="s">
        <v>1687</v>
      </c>
      <c r="B709" s="268">
        <v>474</v>
      </c>
      <c r="C709" s="240" t="s">
        <v>2096</v>
      </c>
      <c r="D709" s="270" t="s">
        <v>2097</v>
      </c>
      <c r="E709" s="298" t="s">
        <v>5798</v>
      </c>
      <c r="F709" s="861" t="s">
        <v>5799</v>
      </c>
      <c r="G709" s="269" t="s">
        <v>5800</v>
      </c>
      <c r="H709" s="845" t="s">
        <v>5801</v>
      </c>
      <c r="I709" s="269" t="s">
        <v>5802</v>
      </c>
      <c r="J709" s="296" t="s">
        <v>140</v>
      </c>
      <c r="K709" s="297" t="s">
        <v>140</v>
      </c>
      <c r="L709" s="862" t="s">
        <v>5803</v>
      </c>
      <c r="M709" s="847" t="s">
        <v>973</v>
      </c>
      <c r="N709" s="270" t="s">
        <v>974</v>
      </c>
      <c r="O709" s="240" t="s">
        <v>144</v>
      </c>
      <c r="P709" s="240" t="s">
        <v>144</v>
      </c>
      <c r="Q709" s="845" t="s">
        <v>144</v>
      </c>
      <c r="R709" s="208" t="s">
        <v>144</v>
      </c>
      <c r="S709" s="864" t="s">
        <v>746</v>
      </c>
      <c r="T709" s="212" t="s">
        <v>1104</v>
      </c>
      <c r="U709" s="213" t="s">
        <v>1105</v>
      </c>
      <c r="V709" s="847">
        <v>19</v>
      </c>
      <c r="W709" s="415" t="s">
        <v>144</v>
      </c>
      <c r="X709" s="212">
        <v>43</v>
      </c>
      <c r="Y709" s="212" t="s">
        <v>144</v>
      </c>
      <c r="Z709" s="212" t="s">
        <v>144</v>
      </c>
      <c r="AA709" s="240" t="s">
        <v>1212</v>
      </c>
      <c r="AB709" s="206" t="s">
        <v>140</v>
      </c>
      <c r="AC709" s="847" t="s">
        <v>265</v>
      </c>
      <c r="AD709" s="847" t="s">
        <v>2105</v>
      </c>
      <c r="AE709" s="847" t="s">
        <v>144</v>
      </c>
      <c r="AF709" s="848" t="s">
        <v>144</v>
      </c>
      <c r="AG709" s="838"/>
      <c r="AH709" s="866" t="s">
        <v>5804</v>
      </c>
      <c r="AI709" s="273" t="s">
        <v>5805</v>
      </c>
      <c r="AJ709" s="847">
        <v>5</v>
      </c>
      <c r="AK709" s="848" t="s">
        <v>5806</v>
      </c>
      <c r="AL709" s="867"/>
      <c r="AM709" s="273"/>
      <c r="AN709" s="847"/>
      <c r="AO709" s="848"/>
      <c r="AP709" s="867" t="s">
        <v>1107</v>
      </c>
      <c r="AQ709" s="273" t="s">
        <v>1108</v>
      </c>
      <c r="AR709" s="847">
        <v>7</v>
      </c>
      <c r="AS709" s="286" t="s">
        <v>1109</v>
      </c>
      <c r="AT709" s="867"/>
      <c r="AU709" s="273"/>
      <c r="AV709" s="847"/>
      <c r="AW709" s="848"/>
      <c r="AX709" s="867"/>
      <c r="AY709" s="273"/>
      <c r="AZ709" s="847"/>
      <c r="BA709" s="848"/>
      <c r="BB709" s="866"/>
      <c r="BC709" s="273"/>
      <c r="BD709" s="847"/>
      <c r="BE709" s="848"/>
      <c r="BF709" s="838"/>
    </row>
    <row r="710" spans="1:58" s="88" customFormat="1" ht="54" hidden="1" customHeight="1" x14ac:dyDescent="0.25">
      <c r="A710" s="267" t="s">
        <v>1687</v>
      </c>
      <c r="B710" s="268">
        <v>475</v>
      </c>
      <c r="C710" s="240" t="s">
        <v>2096</v>
      </c>
      <c r="D710" s="270" t="s">
        <v>2097</v>
      </c>
      <c r="E710" s="298" t="s">
        <v>5807</v>
      </c>
      <c r="F710" s="861" t="s">
        <v>5808</v>
      </c>
      <c r="G710" s="269" t="s">
        <v>5809</v>
      </c>
      <c r="H710" s="861" t="s">
        <v>5810</v>
      </c>
      <c r="I710" s="269" t="s">
        <v>5811</v>
      </c>
      <c r="J710" s="296" t="s">
        <v>140</v>
      </c>
      <c r="K710" s="297" t="s">
        <v>140</v>
      </c>
      <c r="L710" s="862" t="s">
        <v>5812</v>
      </c>
      <c r="M710" s="847" t="s">
        <v>973</v>
      </c>
      <c r="N710" s="270" t="s">
        <v>974</v>
      </c>
      <c r="O710" s="240" t="s">
        <v>814</v>
      </c>
      <c r="P710" s="240" t="s">
        <v>815</v>
      </c>
      <c r="Q710" s="845" t="s">
        <v>144</v>
      </c>
      <c r="R710" s="208" t="s">
        <v>144</v>
      </c>
      <c r="S710" s="864" t="s">
        <v>147</v>
      </c>
      <c r="T710" s="212" t="s">
        <v>144</v>
      </c>
      <c r="U710" s="213" t="s">
        <v>144</v>
      </c>
      <c r="V710" s="847">
        <v>3</v>
      </c>
      <c r="W710" s="415" t="s">
        <v>144</v>
      </c>
      <c r="X710" s="212">
        <v>43</v>
      </c>
      <c r="Y710" s="212" t="s">
        <v>144</v>
      </c>
      <c r="Z710" s="214" t="s">
        <v>144</v>
      </c>
      <c r="AA710" s="240" t="s">
        <v>398</v>
      </c>
      <c r="AB710" s="206" t="s">
        <v>140</v>
      </c>
      <c r="AC710" s="847" t="s">
        <v>265</v>
      </c>
      <c r="AD710" s="847" t="s">
        <v>2301</v>
      </c>
      <c r="AE710" s="847" t="s">
        <v>144</v>
      </c>
      <c r="AF710" s="848" t="s">
        <v>144</v>
      </c>
      <c r="AG710" s="838"/>
      <c r="AH710" s="866" t="s">
        <v>5813</v>
      </c>
      <c r="AI710" s="273" t="s">
        <v>5814</v>
      </c>
      <c r="AJ710" s="847">
        <v>7</v>
      </c>
      <c r="AK710" s="848" t="s">
        <v>1280</v>
      </c>
      <c r="AL710" s="875" t="s">
        <v>294</v>
      </c>
      <c r="AM710" s="301" t="s">
        <v>295</v>
      </c>
      <c r="AN710" s="847">
        <v>7</v>
      </c>
      <c r="AO710" s="187" t="s">
        <v>966</v>
      </c>
      <c r="AP710" s="867"/>
      <c r="AQ710" s="273"/>
      <c r="AR710" s="847"/>
      <c r="AS710" s="848"/>
      <c r="AT710" s="867"/>
      <c r="AU710" s="273"/>
      <c r="AV710" s="847"/>
      <c r="AW710" s="848"/>
      <c r="AX710" s="867"/>
      <c r="AY710" s="273"/>
      <c r="AZ710" s="847"/>
      <c r="BA710" s="848"/>
      <c r="BB710" s="866"/>
      <c r="BC710" s="273"/>
      <c r="BD710" s="847"/>
      <c r="BE710" s="848"/>
      <c r="BF710" s="838"/>
    </row>
    <row r="711" spans="1:58" s="88" customFormat="1" ht="54" hidden="1" customHeight="1" x14ac:dyDescent="0.25">
      <c r="A711" s="267" t="s">
        <v>1687</v>
      </c>
      <c r="B711" s="268">
        <v>476</v>
      </c>
      <c r="C711" s="240" t="s">
        <v>2096</v>
      </c>
      <c r="D711" s="270" t="s">
        <v>2097</v>
      </c>
      <c r="E711" s="298" t="s">
        <v>5815</v>
      </c>
      <c r="F711" s="861" t="s">
        <v>5816</v>
      </c>
      <c r="G711" s="269" t="s">
        <v>5817</v>
      </c>
      <c r="H711" s="845" t="s">
        <v>5818</v>
      </c>
      <c r="I711" s="269" t="s">
        <v>5819</v>
      </c>
      <c r="J711" s="296" t="s">
        <v>140</v>
      </c>
      <c r="K711" s="297" t="s">
        <v>140</v>
      </c>
      <c r="L711" s="862" t="s">
        <v>5820</v>
      </c>
      <c r="M711" s="847" t="s">
        <v>973</v>
      </c>
      <c r="N711" s="270" t="s">
        <v>974</v>
      </c>
      <c r="O711" s="240" t="s">
        <v>144</v>
      </c>
      <c r="P711" s="240" t="s">
        <v>144</v>
      </c>
      <c r="Q711" s="845" t="s">
        <v>144</v>
      </c>
      <c r="R711" s="208" t="s">
        <v>144</v>
      </c>
      <c r="S711" s="864" t="s">
        <v>746</v>
      </c>
      <c r="T711" s="212" t="s">
        <v>1104</v>
      </c>
      <c r="U711" s="213" t="s">
        <v>1105</v>
      </c>
      <c r="V711" s="847">
        <v>19</v>
      </c>
      <c r="W711" s="415" t="s">
        <v>144</v>
      </c>
      <c r="X711" s="212">
        <v>43</v>
      </c>
      <c r="Y711" s="212" t="s">
        <v>144</v>
      </c>
      <c r="Z711" s="214" t="s">
        <v>144</v>
      </c>
      <c r="AA711" s="240" t="s">
        <v>398</v>
      </c>
      <c r="AB711" s="206" t="s">
        <v>140</v>
      </c>
      <c r="AC711" s="847" t="s">
        <v>265</v>
      </c>
      <c r="AD711" s="847" t="s">
        <v>2105</v>
      </c>
      <c r="AE711" s="847" t="s">
        <v>144</v>
      </c>
      <c r="AF711" s="848" t="s">
        <v>144</v>
      </c>
      <c r="AG711" s="838"/>
      <c r="AH711" s="866" t="s">
        <v>5804</v>
      </c>
      <c r="AI711" s="273" t="s">
        <v>5805</v>
      </c>
      <c r="AJ711" s="847">
        <v>5</v>
      </c>
      <c r="AK711" s="848" t="s">
        <v>5806</v>
      </c>
      <c r="AL711" s="867"/>
      <c r="AM711" s="273"/>
      <c r="AN711" s="847"/>
      <c r="AO711" s="848"/>
      <c r="AP711" s="867" t="s">
        <v>1107</v>
      </c>
      <c r="AQ711" s="273" t="s">
        <v>1108</v>
      </c>
      <c r="AR711" s="847">
        <v>7</v>
      </c>
      <c r="AS711" s="286" t="s">
        <v>1109</v>
      </c>
      <c r="AT711" s="867"/>
      <c r="AU711" s="273"/>
      <c r="AV711" s="847"/>
      <c r="AW711" s="848"/>
      <c r="AX711" s="867"/>
      <c r="AY711" s="273"/>
      <c r="AZ711" s="847"/>
      <c r="BA711" s="848"/>
      <c r="BB711" s="866"/>
      <c r="BC711" s="273"/>
      <c r="BD711" s="847"/>
      <c r="BE711" s="848"/>
      <c r="BF711" s="838"/>
    </row>
    <row r="712" spans="1:58" s="88" customFormat="1" ht="54" hidden="1" customHeight="1" x14ac:dyDescent="0.25">
      <c r="A712" s="267" t="s">
        <v>1687</v>
      </c>
      <c r="B712" s="268">
        <v>477</v>
      </c>
      <c r="C712" s="240" t="s">
        <v>2096</v>
      </c>
      <c r="D712" s="270" t="s">
        <v>2097</v>
      </c>
      <c r="E712" s="298" t="s">
        <v>5821</v>
      </c>
      <c r="F712" s="861" t="s">
        <v>5822</v>
      </c>
      <c r="G712" s="269" t="s">
        <v>5823</v>
      </c>
      <c r="H712" s="845" t="s">
        <v>5824</v>
      </c>
      <c r="I712" s="269" t="s">
        <v>5823</v>
      </c>
      <c r="J712" s="296" t="s">
        <v>140</v>
      </c>
      <c r="K712" s="297" t="s">
        <v>140</v>
      </c>
      <c r="L712" s="862" t="s">
        <v>5825</v>
      </c>
      <c r="M712" s="847" t="s">
        <v>973</v>
      </c>
      <c r="N712" s="270" t="s">
        <v>974</v>
      </c>
      <c r="O712" s="240" t="s">
        <v>814</v>
      </c>
      <c r="P712" s="240" t="s">
        <v>815</v>
      </c>
      <c r="Q712" s="845" t="s">
        <v>144</v>
      </c>
      <c r="R712" s="208" t="s">
        <v>144</v>
      </c>
      <c r="S712" s="864" t="s">
        <v>147</v>
      </c>
      <c r="T712" s="212" t="s">
        <v>144</v>
      </c>
      <c r="U712" s="213" t="s">
        <v>144</v>
      </c>
      <c r="V712" s="847">
        <v>3</v>
      </c>
      <c r="W712" s="415" t="s">
        <v>144</v>
      </c>
      <c r="X712" s="212">
        <v>43</v>
      </c>
      <c r="Y712" s="212" t="s">
        <v>144</v>
      </c>
      <c r="Z712" s="214" t="s">
        <v>144</v>
      </c>
      <c r="AA712" s="240" t="s">
        <v>398</v>
      </c>
      <c r="AB712" s="206" t="s">
        <v>140</v>
      </c>
      <c r="AC712" s="847" t="s">
        <v>265</v>
      </c>
      <c r="AD712" s="847" t="s">
        <v>2105</v>
      </c>
      <c r="AE712" s="847" t="s">
        <v>144</v>
      </c>
      <c r="AF712" s="848" t="s">
        <v>144</v>
      </c>
      <c r="AG712" s="838"/>
      <c r="AH712" s="866" t="s">
        <v>5826</v>
      </c>
      <c r="AI712" s="273" t="s">
        <v>5827</v>
      </c>
      <c r="AJ712" s="847">
        <v>7</v>
      </c>
      <c r="AK712" s="848" t="s">
        <v>1280</v>
      </c>
      <c r="AL712" s="875" t="s">
        <v>294</v>
      </c>
      <c r="AM712" s="301" t="s">
        <v>295</v>
      </c>
      <c r="AN712" s="847">
        <v>7</v>
      </c>
      <c r="AO712" s="187" t="s">
        <v>966</v>
      </c>
      <c r="AP712" s="867"/>
      <c r="AQ712" s="273"/>
      <c r="AR712" s="847"/>
      <c r="AS712" s="848"/>
      <c r="AT712" s="867"/>
      <c r="AU712" s="273"/>
      <c r="AV712" s="847"/>
      <c r="AW712" s="848"/>
      <c r="AX712" s="867"/>
      <c r="AY712" s="273"/>
      <c r="AZ712" s="847"/>
      <c r="BA712" s="848"/>
      <c r="BB712" s="866"/>
      <c r="BC712" s="273"/>
      <c r="BD712" s="847"/>
      <c r="BE712" s="848"/>
      <c r="BF712" s="838"/>
    </row>
    <row r="713" spans="1:58" s="88" customFormat="1" ht="54" hidden="1" customHeight="1" x14ac:dyDescent="0.25">
      <c r="A713" s="267" t="s">
        <v>1687</v>
      </c>
      <c r="B713" s="268">
        <v>478</v>
      </c>
      <c r="C713" s="240" t="s">
        <v>1955</v>
      </c>
      <c r="D713" s="270" t="s">
        <v>1956</v>
      </c>
      <c r="E713" s="298" t="s">
        <v>5828</v>
      </c>
      <c r="F713" s="861" t="s">
        <v>5829</v>
      </c>
      <c r="G713" s="269" t="s">
        <v>5830</v>
      </c>
      <c r="H713" s="861" t="s">
        <v>5831</v>
      </c>
      <c r="I713" s="269" t="s">
        <v>5832</v>
      </c>
      <c r="J713" s="296" t="s">
        <v>140</v>
      </c>
      <c r="K713" s="297" t="s">
        <v>140</v>
      </c>
      <c r="L713" s="862" t="s">
        <v>5833</v>
      </c>
      <c r="M713" s="847" t="s">
        <v>973</v>
      </c>
      <c r="N713" s="270" t="s">
        <v>974</v>
      </c>
      <c r="O713" s="240" t="s">
        <v>144</v>
      </c>
      <c r="P713" s="240" t="s">
        <v>144</v>
      </c>
      <c r="Q713" s="845" t="s">
        <v>5834</v>
      </c>
      <c r="R713" s="208" t="s">
        <v>5835</v>
      </c>
      <c r="S713" s="268" t="s">
        <v>746</v>
      </c>
      <c r="T713" s="212" t="s">
        <v>1104</v>
      </c>
      <c r="U713" s="213" t="s">
        <v>1105</v>
      </c>
      <c r="V713" s="847">
        <v>19</v>
      </c>
      <c r="W713" s="415" t="s">
        <v>144</v>
      </c>
      <c r="X713" s="212">
        <v>43</v>
      </c>
      <c r="Y713" s="212" t="s">
        <v>144</v>
      </c>
      <c r="Z713" s="241" t="s">
        <v>144</v>
      </c>
      <c r="AA713" s="240" t="s">
        <v>5836</v>
      </c>
      <c r="AB713" s="206" t="s">
        <v>140</v>
      </c>
      <c r="AC713" s="847" t="s">
        <v>265</v>
      </c>
      <c r="AD713" s="847" t="s">
        <v>2286</v>
      </c>
      <c r="AE713" s="847" t="s">
        <v>144</v>
      </c>
      <c r="AF713" s="848" t="s">
        <v>144</v>
      </c>
      <c r="AG713" s="838"/>
      <c r="AH713" s="866" t="s">
        <v>4014</v>
      </c>
      <c r="AI713" s="273" t="s">
        <v>4015</v>
      </c>
      <c r="AJ713" s="847">
        <v>6</v>
      </c>
      <c r="AK713" s="848" t="s">
        <v>4016</v>
      </c>
      <c r="AL713" s="867"/>
      <c r="AM713" s="273"/>
      <c r="AN713" s="847"/>
      <c r="AO713" s="848"/>
      <c r="AP713" s="867" t="s">
        <v>1107</v>
      </c>
      <c r="AQ713" s="273" t="s">
        <v>1108</v>
      </c>
      <c r="AR713" s="847">
        <v>7</v>
      </c>
      <c r="AS713" s="286" t="s">
        <v>1109</v>
      </c>
      <c r="AT713" s="867"/>
      <c r="AU713" s="273"/>
      <c r="AV713" s="847"/>
      <c r="AW713" s="848"/>
      <c r="AX713" s="867"/>
      <c r="AY713" s="273"/>
      <c r="AZ713" s="847"/>
      <c r="BA713" s="848"/>
      <c r="BB713" s="866"/>
      <c r="BC713" s="273"/>
      <c r="BD713" s="847"/>
      <c r="BE713" s="848"/>
      <c r="BF713" s="838"/>
    </row>
    <row r="714" spans="1:58" s="88" customFormat="1" ht="54" hidden="1" customHeight="1" x14ac:dyDescent="0.25">
      <c r="A714" s="267" t="s">
        <v>1687</v>
      </c>
      <c r="B714" s="268">
        <v>479</v>
      </c>
      <c r="C714" s="240" t="s">
        <v>1955</v>
      </c>
      <c r="D714" s="270" t="s">
        <v>1956</v>
      </c>
      <c r="E714" s="298" t="s">
        <v>5837</v>
      </c>
      <c r="F714" s="861" t="s">
        <v>5838</v>
      </c>
      <c r="G714" s="269" t="s">
        <v>5839</v>
      </c>
      <c r="H714" s="861" t="s">
        <v>5838</v>
      </c>
      <c r="I714" s="269" t="s">
        <v>5839</v>
      </c>
      <c r="J714" s="296" t="s">
        <v>140</v>
      </c>
      <c r="K714" s="297" t="s">
        <v>140</v>
      </c>
      <c r="L714" s="862" t="s">
        <v>5840</v>
      </c>
      <c r="M714" s="847" t="s">
        <v>973</v>
      </c>
      <c r="N714" s="270" t="s">
        <v>974</v>
      </c>
      <c r="O714" s="240" t="s">
        <v>814</v>
      </c>
      <c r="P714" s="240" t="s">
        <v>815</v>
      </c>
      <c r="Q714" s="845" t="s">
        <v>144</v>
      </c>
      <c r="R714" s="208" t="s">
        <v>144</v>
      </c>
      <c r="S714" s="864" t="s">
        <v>147</v>
      </c>
      <c r="T714" s="212" t="s">
        <v>144</v>
      </c>
      <c r="U714" s="213" t="s">
        <v>144</v>
      </c>
      <c r="V714" s="847">
        <v>3</v>
      </c>
      <c r="W714" s="415" t="s">
        <v>144</v>
      </c>
      <c r="X714" s="212">
        <v>43</v>
      </c>
      <c r="Y714" s="212" t="s">
        <v>144</v>
      </c>
      <c r="Z714" s="241" t="s">
        <v>144</v>
      </c>
      <c r="AA714" s="240" t="s">
        <v>5836</v>
      </c>
      <c r="AB714" s="206" t="s">
        <v>140</v>
      </c>
      <c r="AC714" s="847" t="s">
        <v>265</v>
      </c>
      <c r="AD714" s="847" t="s">
        <v>2286</v>
      </c>
      <c r="AE714" s="847" t="s">
        <v>144</v>
      </c>
      <c r="AF714" s="848" t="s">
        <v>144</v>
      </c>
      <c r="AG714" s="838"/>
      <c r="AH714" s="866" t="s">
        <v>5841</v>
      </c>
      <c r="AI714" s="273" t="s">
        <v>5842</v>
      </c>
      <c r="AJ714" s="847">
        <v>7</v>
      </c>
      <c r="AK714" s="848" t="s">
        <v>1280</v>
      </c>
      <c r="AL714" s="875" t="s">
        <v>294</v>
      </c>
      <c r="AM714" s="301" t="s">
        <v>295</v>
      </c>
      <c r="AN714" s="847">
        <v>7</v>
      </c>
      <c r="AO714" s="187" t="s">
        <v>966</v>
      </c>
      <c r="AP714" s="867"/>
      <c r="AQ714" s="273"/>
      <c r="AR714" s="847"/>
      <c r="AS714" s="848"/>
      <c r="AT714" s="867"/>
      <c r="AU714" s="273"/>
      <c r="AV714" s="847"/>
      <c r="AW714" s="848"/>
      <c r="AX714" s="867"/>
      <c r="AY714" s="273"/>
      <c r="AZ714" s="847"/>
      <c r="BA714" s="848"/>
      <c r="BB714" s="866"/>
      <c r="BC714" s="273"/>
      <c r="BD714" s="847"/>
      <c r="BE714" s="848"/>
      <c r="BF714" s="838"/>
    </row>
    <row r="715" spans="1:58" s="88" customFormat="1" ht="54" hidden="1" customHeight="1" x14ac:dyDescent="0.25">
      <c r="A715" s="267" t="s">
        <v>1687</v>
      </c>
      <c r="B715" s="268">
        <v>480</v>
      </c>
      <c r="C715" s="240" t="s">
        <v>1022</v>
      </c>
      <c r="D715" s="270" t="s">
        <v>1023</v>
      </c>
      <c r="E715" s="298" t="s">
        <v>5843</v>
      </c>
      <c r="F715" s="299" t="s">
        <v>5844</v>
      </c>
      <c r="G715" s="294" t="s">
        <v>5845</v>
      </c>
      <c r="H715" s="845" t="s">
        <v>5846</v>
      </c>
      <c r="I715" s="294" t="s">
        <v>5847</v>
      </c>
      <c r="J715" s="325" t="s">
        <v>140</v>
      </c>
      <c r="K715" s="326" t="s">
        <v>140</v>
      </c>
      <c r="L715" s="862" t="s">
        <v>5848</v>
      </c>
      <c r="M715" s="240" t="s">
        <v>973</v>
      </c>
      <c r="N715" s="253" t="s">
        <v>974</v>
      </c>
      <c r="O715" s="240" t="s">
        <v>5849</v>
      </c>
      <c r="P715" s="240" t="s">
        <v>5850</v>
      </c>
      <c r="Q715" s="207" t="s">
        <v>144</v>
      </c>
      <c r="R715" s="208" t="s">
        <v>144</v>
      </c>
      <c r="S715" s="864" t="s">
        <v>147</v>
      </c>
      <c r="T715" s="212" t="s">
        <v>144</v>
      </c>
      <c r="U715" s="213" t="s">
        <v>144</v>
      </c>
      <c r="V715" s="847">
        <v>1</v>
      </c>
      <c r="W715" s="415" t="s">
        <v>144</v>
      </c>
      <c r="X715" s="212">
        <v>43</v>
      </c>
      <c r="Y715" s="212" t="s">
        <v>144</v>
      </c>
      <c r="Z715" s="241" t="s">
        <v>144</v>
      </c>
      <c r="AA715" s="437" t="s">
        <v>2575</v>
      </c>
      <c r="AB715" s="206" t="s">
        <v>140</v>
      </c>
      <c r="AC715" s="847" t="s">
        <v>265</v>
      </c>
      <c r="AD715" s="847" t="s">
        <v>5851</v>
      </c>
      <c r="AE715" s="847" t="s">
        <v>144</v>
      </c>
      <c r="AF715" s="848" t="s">
        <v>144</v>
      </c>
      <c r="AG715" s="838"/>
      <c r="AH715" s="291" t="s">
        <v>5852</v>
      </c>
      <c r="AI715" s="273" t="s">
        <v>5853</v>
      </c>
      <c r="AJ715" s="847">
        <v>6</v>
      </c>
      <c r="AK715" s="848" t="s">
        <v>5854</v>
      </c>
      <c r="AL715" s="875" t="s">
        <v>294</v>
      </c>
      <c r="AM715" s="301" t="s">
        <v>295</v>
      </c>
      <c r="AN715" s="847">
        <v>7</v>
      </c>
      <c r="AO715" s="187" t="s">
        <v>966</v>
      </c>
      <c r="AP715" s="867"/>
      <c r="AQ715" s="273"/>
      <c r="AR715" s="847"/>
      <c r="AS715" s="848"/>
      <c r="AT715" s="867"/>
      <c r="AU715" s="273"/>
      <c r="AV715" s="847"/>
      <c r="AW715" s="848"/>
      <c r="AX715" s="867"/>
      <c r="AY715" s="273"/>
      <c r="AZ715" s="847"/>
      <c r="BA715" s="848"/>
      <c r="BB715" s="866"/>
      <c r="BC715" s="273"/>
      <c r="BD715" s="847"/>
      <c r="BE715" s="848"/>
      <c r="BF715" s="838"/>
    </row>
    <row r="716" spans="1:58" s="88" customFormat="1" ht="54" hidden="1" customHeight="1" x14ac:dyDescent="0.25">
      <c r="A716" s="267" t="s">
        <v>1687</v>
      </c>
      <c r="B716" s="268">
        <v>481</v>
      </c>
      <c r="C716" s="240" t="s">
        <v>2378</v>
      </c>
      <c r="D716" s="270" t="s">
        <v>2379</v>
      </c>
      <c r="E716" s="298" t="s">
        <v>5855</v>
      </c>
      <c r="F716" s="861" t="s">
        <v>5856</v>
      </c>
      <c r="G716" s="269" t="s">
        <v>5857</v>
      </c>
      <c r="H716" s="845" t="s">
        <v>5858</v>
      </c>
      <c r="I716" s="269" t="s">
        <v>5859</v>
      </c>
      <c r="J716" s="296" t="s">
        <v>140</v>
      </c>
      <c r="K716" s="297" t="s">
        <v>140</v>
      </c>
      <c r="L716" s="862" t="s">
        <v>5860</v>
      </c>
      <c r="M716" s="847" t="s">
        <v>973</v>
      </c>
      <c r="N716" s="270" t="s">
        <v>974</v>
      </c>
      <c r="O716" s="240" t="s">
        <v>5861</v>
      </c>
      <c r="P716" s="240" t="s">
        <v>5862</v>
      </c>
      <c r="Q716" s="845" t="s">
        <v>144</v>
      </c>
      <c r="R716" s="208" t="s">
        <v>144</v>
      </c>
      <c r="S716" s="864" t="s">
        <v>147</v>
      </c>
      <c r="T716" s="212" t="s">
        <v>144</v>
      </c>
      <c r="U716" s="213" t="s">
        <v>144</v>
      </c>
      <c r="V716" s="847">
        <v>1</v>
      </c>
      <c r="W716" s="415" t="s">
        <v>144</v>
      </c>
      <c r="X716" s="212">
        <v>43</v>
      </c>
      <c r="Y716" s="212" t="s">
        <v>144</v>
      </c>
      <c r="Z716" s="212" t="s">
        <v>144</v>
      </c>
      <c r="AA716" s="240" t="s">
        <v>5863</v>
      </c>
      <c r="AB716" s="206" t="s">
        <v>140</v>
      </c>
      <c r="AC716" s="847" t="s">
        <v>265</v>
      </c>
      <c r="AD716" s="847" t="s">
        <v>2430</v>
      </c>
      <c r="AE716" s="847" t="s">
        <v>144</v>
      </c>
      <c r="AF716" s="848" t="s">
        <v>144</v>
      </c>
      <c r="AG716" s="838"/>
      <c r="AH716" s="866" t="s">
        <v>5864</v>
      </c>
      <c r="AI716" s="273" t="s">
        <v>5865</v>
      </c>
      <c r="AJ716" s="847">
        <v>6</v>
      </c>
      <c r="AK716" s="848" t="s">
        <v>5866</v>
      </c>
      <c r="AL716" s="875" t="s">
        <v>294</v>
      </c>
      <c r="AM716" s="301" t="s">
        <v>295</v>
      </c>
      <c r="AN716" s="847">
        <v>7</v>
      </c>
      <c r="AO716" s="187" t="s">
        <v>966</v>
      </c>
      <c r="AP716" s="867"/>
      <c r="AQ716" s="273"/>
      <c r="AR716" s="847"/>
      <c r="AS716" s="848"/>
      <c r="AT716" s="867"/>
      <c r="AU716" s="273"/>
      <c r="AV716" s="847"/>
      <c r="AW716" s="848"/>
      <c r="AX716" s="867"/>
      <c r="AY716" s="273"/>
      <c r="AZ716" s="847"/>
      <c r="BA716" s="848"/>
      <c r="BB716" s="866"/>
      <c r="BC716" s="273"/>
      <c r="BD716" s="847"/>
      <c r="BE716" s="848"/>
      <c r="BF716" s="838"/>
    </row>
    <row r="717" spans="1:58" s="88" customFormat="1" ht="54" hidden="1" customHeight="1" x14ac:dyDescent="0.25">
      <c r="A717" s="267" t="s">
        <v>1687</v>
      </c>
      <c r="B717" s="268">
        <v>482</v>
      </c>
      <c r="C717" s="240" t="s">
        <v>2378</v>
      </c>
      <c r="D717" s="270" t="s">
        <v>2379</v>
      </c>
      <c r="E717" s="298" t="s">
        <v>5867</v>
      </c>
      <c r="F717" s="861" t="s">
        <v>5868</v>
      </c>
      <c r="G717" s="269" t="s">
        <v>5869</v>
      </c>
      <c r="H717" s="845" t="s">
        <v>5870</v>
      </c>
      <c r="I717" s="208" t="s">
        <v>5871</v>
      </c>
      <c r="J717" s="240" t="s">
        <v>140</v>
      </c>
      <c r="K717" s="270" t="s">
        <v>140</v>
      </c>
      <c r="L717" s="862" t="s">
        <v>5872</v>
      </c>
      <c r="M717" s="847" t="s">
        <v>973</v>
      </c>
      <c r="N717" s="270" t="s">
        <v>974</v>
      </c>
      <c r="O717" s="240" t="s">
        <v>144</v>
      </c>
      <c r="P717" s="240" t="s">
        <v>144</v>
      </c>
      <c r="Q717" s="845" t="s">
        <v>144</v>
      </c>
      <c r="R717" s="208" t="s">
        <v>144</v>
      </c>
      <c r="S717" s="181" t="s">
        <v>233</v>
      </c>
      <c r="T717" s="212" t="s">
        <v>234</v>
      </c>
      <c r="U717" s="213" t="s">
        <v>235</v>
      </c>
      <c r="V717" s="847">
        <v>8</v>
      </c>
      <c r="W717" s="415" t="s">
        <v>144</v>
      </c>
      <c r="X717" s="212">
        <v>43</v>
      </c>
      <c r="Y717" s="212" t="s">
        <v>144</v>
      </c>
      <c r="Z717" s="214" t="s">
        <v>144</v>
      </c>
      <c r="AA717" s="240" t="s">
        <v>5873</v>
      </c>
      <c r="AB717" s="206" t="s">
        <v>140</v>
      </c>
      <c r="AC717" s="847" t="s">
        <v>265</v>
      </c>
      <c r="AD717" s="847" t="s">
        <v>4978</v>
      </c>
      <c r="AE717" s="847" t="s">
        <v>144</v>
      </c>
      <c r="AF717" s="848" t="s">
        <v>144</v>
      </c>
      <c r="AG717" s="838"/>
      <c r="AH717" s="877" t="s">
        <v>5874</v>
      </c>
      <c r="AI717" s="273" t="s">
        <v>5875</v>
      </c>
      <c r="AJ717" s="847">
        <v>6</v>
      </c>
      <c r="AK717" s="848" t="s">
        <v>5876</v>
      </c>
      <c r="AL717" s="867"/>
      <c r="AM717" s="273"/>
      <c r="AN717" s="847"/>
      <c r="AO717" s="848"/>
      <c r="AP717" s="867" t="s">
        <v>1160</v>
      </c>
      <c r="AQ717" s="273" t="s">
        <v>1161</v>
      </c>
      <c r="AR717" s="847">
        <v>7</v>
      </c>
      <c r="AS717" s="848" t="s">
        <v>1162</v>
      </c>
      <c r="AT717" s="867" t="s">
        <v>1163</v>
      </c>
      <c r="AU717" s="273" t="s">
        <v>1164</v>
      </c>
      <c r="AV717" s="847">
        <v>7</v>
      </c>
      <c r="AW717" s="286" t="s">
        <v>1165</v>
      </c>
      <c r="AX717" s="867"/>
      <c r="AY717" s="273"/>
      <c r="AZ717" s="847"/>
      <c r="BA717" s="848"/>
      <c r="BB717" s="866"/>
      <c r="BC717" s="273"/>
      <c r="BD717" s="847"/>
      <c r="BE717" s="848"/>
      <c r="BF717" s="838"/>
    </row>
    <row r="718" spans="1:58" s="88" customFormat="1" ht="54" hidden="1" customHeight="1" x14ac:dyDescent="0.25">
      <c r="A718" s="267" t="s">
        <v>1687</v>
      </c>
      <c r="B718" s="268">
        <v>483</v>
      </c>
      <c r="C718" s="240" t="s">
        <v>2378</v>
      </c>
      <c r="D718" s="270" t="s">
        <v>2379</v>
      </c>
      <c r="E718" s="298" t="s">
        <v>5877</v>
      </c>
      <c r="F718" s="861" t="s">
        <v>5878</v>
      </c>
      <c r="G718" s="269" t="s">
        <v>5879</v>
      </c>
      <c r="H718" s="845" t="s">
        <v>5880</v>
      </c>
      <c r="I718" s="208" t="s">
        <v>5881</v>
      </c>
      <c r="J718" s="240" t="s">
        <v>140</v>
      </c>
      <c r="K718" s="270" t="s">
        <v>140</v>
      </c>
      <c r="L718" s="862" t="s">
        <v>5882</v>
      </c>
      <c r="M718" s="847" t="s">
        <v>973</v>
      </c>
      <c r="N718" s="270" t="s">
        <v>974</v>
      </c>
      <c r="O718" s="240" t="s">
        <v>144</v>
      </c>
      <c r="P718" s="240" t="s">
        <v>144</v>
      </c>
      <c r="Q718" s="845" t="s">
        <v>144</v>
      </c>
      <c r="R718" s="208" t="s">
        <v>144</v>
      </c>
      <c r="S718" s="181" t="s">
        <v>233</v>
      </c>
      <c r="T718" s="212" t="s">
        <v>234</v>
      </c>
      <c r="U718" s="213" t="s">
        <v>235</v>
      </c>
      <c r="V718" s="847">
        <v>8</v>
      </c>
      <c r="W718" s="415" t="s">
        <v>144</v>
      </c>
      <c r="X718" s="212">
        <v>43</v>
      </c>
      <c r="Y718" s="212" t="s">
        <v>144</v>
      </c>
      <c r="Z718" s="433" t="s">
        <v>144</v>
      </c>
      <c r="AA718" s="437" t="s">
        <v>5883</v>
      </c>
      <c r="AB718" s="206" t="s">
        <v>140</v>
      </c>
      <c r="AC718" s="847" t="s">
        <v>265</v>
      </c>
      <c r="AD718" s="847" t="s">
        <v>5884</v>
      </c>
      <c r="AE718" s="847" t="s">
        <v>144</v>
      </c>
      <c r="AF718" s="848" t="s">
        <v>144</v>
      </c>
      <c r="AG718" s="838"/>
      <c r="AH718" s="877" t="s">
        <v>5885</v>
      </c>
      <c r="AI718" s="273" t="s">
        <v>5886</v>
      </c>
      <c r="AJ718" s="847">
        <v>6</v>
      </c>
      <c r="AK718" s="848" t="s">
        <v>5887</v>
      </c>
      <c r="AL718" s="867"/>
      <c r="AM718" s="273"/>
      <c r="AN718" s="847"/>
      <c r="AO718" s="848"/>
      <c r="AP718" s="867"/>
      <c r="AQ718" s="273"/>
      <c r="AR718" s="847"/>
      <c r="AS718" s="848"/>
      <c r="AT718" s="292" t="s">
        <v>1186</v>
      </c>
      <c r="AU718" s="273" t="s">
        <v>1187</v>
      </c>
      <c r="AV718" s="847">
        <v>7</v>
      </c>
      <c r="AW718" s="286" t="s">
        <v>1188</v>
      </c>
      <c r="AX718" s="867"/>
      <c r="AY718" s="273"/>
      <c r="AZ718" s="847"/>
      <c r="BA718" s="848"/>
      <c r="BB718" s="866"/>
      <c r="BC718" s="273"/>
      <c r="BD718" s="847"/>
      <c r="BE718" s="848"/>
      <c r="BF718" s="838"/>
    </row>
    <row r="719" spans="1:58" s="88" customFormat="1" ht="54" hidden="1" customHeight="1" x14ac:dyDescent="0.25">
      <c r="A719" s="267" t="s">
        <v>1687</v>
      </c>
      <c r="B719" s="268">
        <v>484</v>
      </c>
      <c r="C719" s="240" t="s">
        <v>2378</v>
      </c>
      <c r="D719" s="270" t="s">
        <v>2379</v>
      </c>
      <c r="E719" s="298" t="s">
        <v>5888</v>
      </c>
      <c r="F719" s="861" t="s">
        <v>5889</v>
      </c>
      <c r="G719" s="269" t="s">
        <v>5890</v>
      </c>
      <c r="H719" s="845" t="s">
        <v>5891</v>
      </c>
      <c r="I719" s="269" t="s">
        <v>5892</v>
      </c>
      <c r="J719" s="296" t="s">
        <v>140</v>
      </c>
      <c r="K719" s="297" t="s">
        <v>140</v>
      </c>
      <c r="L719" s="862" t="s">
        <v>5893</v>
      </c>
      <c r="M719" s="847" t="s">
        <v>973</v>
      </c>
      <c r="N719" s="270" t="s">
        <v>974</v>
      </c>
      <c r="O719" s="240" t="s">
        <v>5894</v>
      </c>
      <c r="P719" s="240" t="s">
        <v>5895</v>
      </c>
      <c r="Q719" s="845" t="s">
        <v>144</v>
      </c>
      <c r="R719" s="208" t="s">
        <v>144</v>
      </c>
      <c r="S719" s="864" t="s">
        <v>147</v>
      </c>
      <c r="T719" s="212" t="s">
        <v>144</v>
      </c>
      <c r="U719" s="213" t="s">
        <v>144</v>
      </c>
      <c r="V719" s="847">
        <v>1</v>
      </c>
      <c r="W719" s="415" t="s">
        <v>144</v>
      </c>
      <c r="X719" s="212">
        <v>43</v>
      </c>
      <c r="Y719" s="212" t="s">
        <v>144</v>
      </c>
      <c r="Z719" s="212" t="s">
        <v>144</v>
      </c>
      <c r="AA719" s="240" t="s">
        <v>5896</v>
      </c>
      <c r="AB719" s="206" t="s">
        <v>140</v>
      </c>
      <c r="AC719" s="847" t="s">
        <v>265</v>
      </c>
      <c r="AD719" s="847" t="s">
        <v>2430</v>
      </c>
      <c r="AE719" s="847" t="s">
        <v>144</v>
      </c>
      <c r="AF719" s="848" t="s">
        <v>144</v>
      </c>
      <c r="AG719" s="838"/>
      <c r="AH719" s="866" t="s">
        <v>5897</v>
      </c>
      <c r="AI719" s="273" t="s">
        <v>5898</v>
      </c>
      <c r="AJ719" s="847">
        <v>6</v>
      </c>
      <c r="AK719" s="848" t="s">
        <v>5899</v>
      </c>
      <c r="AL719" s="875" t="s">
        <v>294</v>
      </c>
      <c r="AM719" s="301" t="s">
        <v>295</v>
      </c>
      <c r="AN719" s="847">
        <v>7</v>
      </c>
      <c r="AO719" s="187" t="s">
        <v>966</v>
      </c>
      <c r="AP719" s="867"/>
      <c r="AQ719" s="273"/>
      <c r="AR719" s="847"/>
      <c r="AS719" s="848"/>
      <c r="AT719" s="867"/>
      <c r="AU719" s="273"/>
      <c r="AV719" s="847"/>
      <c r="AW719" s="848"/>
      <c r="AX719" s="867"/>
      <c r="AY719" s="273"/>
      <c r="AZ719" s="847"/>
      <c r="BA719" s="848"/>
      <c r="BB719" s="866"/>
      <c r="BC719" s="273"/>
      <c r="BD719" s="847"/>
      <c r="BE719" s="848"/>
      <c r="BF719" s="838"/>
    </row>
    <row r="720" spans="1:58" s="88" customFormat="1" ht="54" hidden="1" customHeight="1" x14ac:dyDescent="0.25">
      <c r="A720" s="267" t="s">
        <v>1687</v>
      </c>
      <c r="B720" s="268">
        <v>485</v>
      </c>
      <c r="C720" s="240" t="s">
        <v>2378</v>
      </c>
      <c r="D720" s="270" t="s">
        <v>2379</v>
      </c>
      <c r="E720" s="298" t="s">
        <v>5900</v>
      </c>
      <c r="F720" s="861" t="s">
        <v>5901</v>
      </c>
      <c r="G720" s="269" t="s">
        <v>5902</v>
      </c>
      <c r="H720" s="845" t="s">
        <v>5903</v>
      </c>
      <c r="I720" s="269" t="s">
        <v>5904</v>
      </c>
      <c r="J720" s="296" t="s">
        <v>140</v>
      </c>
      <c r="K720" s="297" t="s">
        <v>140</v>
      </c>
      <c r="L720" s="862" t="s">
        <v>5905</v>
      </c>
      <c r="M720" s="847" t="s">
        <v>973</v>
      </c>
      <c r="N720" s="270" t="s">
        <v>974</v>
      </c>
      <c r="O720" s="240" t="s">
        <v>144</v>
      </c>
      <c r="P720" s="240" t="s">
        <v>144</v>
      </c>
      <c r="Q720" s="845" t="s">
        <v>144</v>
      </c>
      <c r="R720" s="208" t="s">
        <v>144</v>
      </c>
      <c r="S720" s="181" t="s">
        <v>233</v>
      </c>
      <c r="T720" s="212" t="s">
        <v>234</v>
      </c>
      <c r="U720" s="213" t="s">
        <v>235</v>
      </c>
      <c r="V720" s="847">
        <v>8</v>
      </c>
      <c r="W720" s="415" t="s">
        <v>144</v>
      </c>
      <c r="X720" s="212">
        <v>43</v>
      </c>
      <c r="Y720" s="212" t="s">
        <v>144</v>
      </c>
      <c r="Z720" s="241" t="s">
        <v>144</v>
      </c>
      <c r="AA720" s="240" t="s">
        <v>5896</v>
      </c>
      <c r="AB720" s="206" t="s">
        <v>140</v>
      </c>
      <c r="AC720" s="847" t="s">
        <v>265</v>
      </c>
      <c r="AD720" s="847" t="s">
        <v>2430</v>
      </c>
      <c r="AE720" s="847" t="s">
        <v>144</v>
      </c>
      <c r="AF720" s="848" t="s">
        <v>144</v>
      </c>
      <c r="AG720" s="838"/>
      <c r="AH720" s="877" t="s">
        <v>5906</v>
      </c>
      <c r="AI720" s="273" t="s">
        <v>5907</v>
      </c>
      <c r="AJ720" s="847">
        <v>6</v>
      </c>
      <c r="AK720" s="286" t="s">
        <v>5908</v>
      </c>
      <c r="AL720" s="867"/>
      <c r="AM720" s="273"/>
      <c r="AN720" s="847"/>
      <c r="AO720" s="848"/>
      <c r="AP720" s="867"/>
      <c r="AQ720" s="273"/>
      <c r="AR720" s="847"/>
      <c r="AS720" s="848"/>
      <c r="AT720" s="867" t="s">
        <v>5909</v>
      </c>
      <c r="AU720" s="273" t="s">
        <v>5910</v>
      </c>
      <c r="AV720" s="847">
        <v>7</v>
      </c>
      <c r="AW720" s="286" t="s">
        <v>5911</v>
      </c>
      <c r="AX720" s="867"/>
      <c r="AY720" s="273"/>
      <c r="AZ720" s="847"/>
      <c r="BA720" s="848"/>
      <c r="BB720" s="866"/>
      <c r="BC720" s="273"/>
      <c r="BD720" s="847"/>
      <c r="BE720" s="848"/>
      <c r="BF720" s="838"/>
    </row>
    <row r="721" spans="1:58" s="88" customFormat="1" ht="54" hidden="1" customHeight="1" x14ac:dyDescent="0.25">
      <c r="A721" s="267" t="s">
        <v>1687</v>
      </c>
      <c r="B721" s="268">
        <v>486</v>
      </c>
      <c r="C721" s="240" t="s">
        <v>2378</v>
      </c>
      <c r="D721" s="270" t="s">
        <v>2379</v>
      </c>
      <c r="E721" s="298" t="s">
        <v>5912</v>
      </c>
      <c r="F721" s="861" t="s">
        <v>5913</v>
      </c>
      <c r="G721" s="269" t="s">
        <v>5914</v>
      </c>
      <c r="H721" s="845" t="s">
        <v>5915</v>
      </c>
      <c r="I721" s="294" t="s">
        <v>5916</v>
      </c>
      <c r="J721" s="325" t="s">
        <v>140</v>
      </c>
      <c r="K721" s="326" t="s">
        <v>140</v>
      </c>
      <c r="L721" s="862" t="s">
        <v>5917</v>
      </c>
      <c r="M721" s="847" t="s">
        <v>973</v>
      </c>
      <c r="N721" s="270" t="s">
        <v>974</v>
      </c>
      <c r="O721" s="240" t="s">
        <v>5918</v>
      </c>
      <c r="P721" s="240" t="s">
        <v>5919</v>
      </c>
      <c r="Q721" s="845" t="s">
        <v>144</v>
      </c>
      <c r="R721" s="208" t="s">
        <v>144</v>
      </c>
      <c r="S721" s="864" t="s">
        <v>147</v>
      </c>
      <c r="T721" s="212" t="s">
        <v>144</v>
      </c>
      <c r="U721" s="213" t="s">
        <v>144</v>
      </c>
      <c r="V721" s="847">
        <v>1</v>
      </c>
      <c r="W721" s="415" t="s">
        <v>144</v>
      </c>
      <c r="X721" s="212">
        <v>43</v>
      </c>
      <c r="Y721" s="212" t="s">
        <v>144</v>
      </c>
      <c r="Z721" s="214" t="s">
        <v>144</v>
      </c>
      <c r="AA721" s="240" t="s">
        <v>5920</v>
      </c>
      <c r="AB721" s="206" t="s">
        <v>140</v>
      </c>
      <c r="AC721" s="847" t="s">
        <v>265</v>
      </c>
      <c r="AD721" s="847" t="s">
        <v>4978</v>
      </c>
      <c r="AE721" s="847" t="s">
        <v>144</v>
      </c>
      <c r="AF721" s="848" t="s">
        <v>144</v>
      </c>
      <c r="AG721" s="838"/>
      <c r="AH721" s="866" t="s">
        <v>5874</v>
      </c>
      <c r="AI721" s="273" t="s">
        <v>5875</v>
      </c>
      <c r="AJ721" s="847">
        <v>6</v>
      </c>
      <c r="AK721" s="848" t="s">
        <v>5876</v>
      </c>
      <c r="AL721" s="875" t="s">
        <v>294</v>
      </c>
      <c r="AM721" s="301" t="s">
        <v>295</v>
      </c>
      <c r="AN721" s="847">
        <v>7</v>
      </c>
      <c r="AO721" s="187" t="s">
        <v>966</v>
      </c>
      <c r="AP721" s="867"/>
      <c r="AQ721" s="273"/>
      <c r="AR721" s="847"/>
      <c r="AS721" s="848"/>
      <c r="AT721" s="867"/>
      <c r="AU721" s="273"/>
      <c r="AV721" s="847"/>
      <c r="AW721" s="848"/>
      <c r="AX721" s="867"/>
      <c r="AY721" s="273"/>
      <c r="AZ721" s="847"/>
      <c r="BA721" s="848"/>
      <c r="BB721" s="866"/>
      <c r="BC721" s="273"/>
      <c r="BD721" s="847"/>
      <c r="BE721" s="848"/>
      <c r="BF721" s="838"/>
    </row>
    <row r="722" spans="1:58" s="88" customFormat="1" ht="54" hidden="1" customHeight="1" x14ac:dyDescent="0.25">
      <c r="A722" s="267" t="s">
        <v>1687</v>
      </c>
      <c r="B722" s="268">
        <v>487</v>
      </c>
      <c r="C722" s="240" t="s">
        <v>1372</v>
      </c>
      <c r="D722" s="270" t="s">
        <v>1373</v>
      </c>
      <c r="E722" s="268" t="s">
        <v>5921</v>
      </c>
      <c r="F722" s="861" t="s">
        <v>5922</v>
      </c>
      <c r="G722" s="269" t="s">
        <v>5923</v>
      </c>
      <c r="H722" s="845" t="s">
        <v>5924</v>
      </c>
      <c r="I722" s="269" t="s">
        <v>2984</v>
      </c>
      <c r="J722" s="296" t="s">
        <v>140</v>
      </c>
      <c r="K722" s="297" t="s">
        <v>140</v>
      </c>
      <c r="L722" s="862" t="s">
        <v>5925</v>
      </c>
      <c r="M722" s="847" t="s">
        <v>973</v>
      </c>
      <c r="N722" s="270" t="s">
        <v>974</v>
      </c>
      <c r="O722" s="240" t="s">
        <v>5926</v>
      </c>
      <c r="P722" s="240" t="s">
        <v>5927</v>
      </c>
      <c r="Q722" s="845" t="s">
        <v>144</v>
      </c>
      <c r="R722" s="208" t="s">
        <v>144</v>
      </c>
      <c r="S722" s="864" t="s">
        <v>147</v>
      </c>
      <c r="T722" s="212" t="s">
        <v>144</v>
      </c>
      <c r="U722" s="213" t="s">
        <v>144</v>
      </c>
      <c r="V722" s="847">
        <v>7</v>
      </c>
      <c r="W722" s="415" t="s">
        <v>144</v>
      </c>
      <c r="X722" s="212">
        <v>43</v>
      </c>
      <c r="Y722" s="212" t="s">
        <v>144</v>
      </c>
      <c r="Z722" s="241" t="s">
        <v>144</v>
      </c>
      <c r="AA722" s="615" t="s">
        <v>733</v>
      </c>
      <c r="AB722" s="206" t="s">
        <v>140</v>
      </c>
      <c r="AC722" s="847" t="s">
        <v>265</v>
      </c>
      <c r="AD722" s="847" t="s">
        <v>5928</v>
      </c>
      <c r="AE722" s="847" t="s">
        <v>144</v>
      </c>
      <c r="AF722" s="848" t="s">
        <v>144</v>
      </c>
      <c r="AG722" s="838"/>
      <c r="AH722" s="291" t="s">
        <v>2977</v>
      </c>
      <c r="AI722" s="273" t="s">
        <v>2978</v>
      </c>
      <c r="AJ722" s="847">
        <v>6</v>
      </c>
      <c r="AK722" s="848" t="s">
        <v>2979</v>
      </c>
      <c r="AL722" s="875" t="s">
        <v>294</v>
      </c>
      <c r="AM722" s="301" t="s">
        <v>295</v>
      </c>
      <c r="AN722" s="847">
        <v>7</v>
      </c>
      <c r="AO722" s="187" t="s">
        <v>966</v>
      </c>
      <c r="AP722" s="867"/>
      <c r="AQ722" s="273"/>
      <c r="AR722" s="847"/>
      <c r="AS722" s="848"/>
      <c r="AT722" s="867"/>
      <c r="AU722" s="273"/>
      <c r="AV722" s="847"/>
      <c r="AW722" s="848"/>
      <c r="AX722" s="867"/>
      <c r="AY722" s="273"/>
      <c r="AZ722" s="847"/>
      <c r="BA722" s="848"/>
      <c r="BB722" s="866"/>
      <c r="BC722" s="273"/>
      <c r="BD722" s="847"/>
      <c r="BE722" s="848"/>
      <c r="BF722" s="838"/>
    </row>
    <row r="723" spans="1:58" s="90" customFormat="1" ht="54" hidden="1" customHeight="1" x14ac:dyDescent="0.25">
      <c r="A723" s="267" t="s">
        <v>1687</v>
      </c>
      <c r="B723" s="268">
        <v>488</v>
      </c>
      <c r="C723" s="240" t="s">
        <v>1372</v>
      </c>
      <c r="D723" s="270" t="s">
        <v>1373</v>
      </c>
      <c r="E723" s="268" t="s">
        <v>5929</v>
      </c>
      <c r="F723" s="861" t="s">
        <v>5930</v>
      </c>
      <c r="G723" s="353" t="s">
        <v>5931</v>
      </c>
      <c r="H723" s="845" t="s">
        <v>5932</v>
      </c>
      <c r="I723" s="353" t="s">
        <v>5931</v>
      </c>
      <c r="J723" s="354" t="s">
        <v>140</v>
      </c>
      <c r="K723" s="355" t="s">
        <v>140</v>
      </c>
      <c r="L723" s="862" t="s">
        <v>5933</v>
      </c>
      <c r="M723" s="847" t="s">
        <v>973</v>
      </c>
      <c r="N723" s="270" t="s">
        <v>974</v>
      </c>
      <c r="O723" s="240" t="s">
        <v>5934</v>
      </c>
      <c r="P723" s="240" t="s">
        <v>5935</v>
      </c>
      <c r="Q723" s="845" t="s">
        <v>144</v>
      </c>
      <c r="R723" s="208" t="s">
        <v>144</v>
      </c>
      <c r="S723" s="864" t="s">
        <v>147</v>
      </c>
      <c r="T723" s="212" t="s">
        <v>144</v>
      </c>
      <c r="U723" s="213" t="s">
        <v>144</v>
      </c>
      <c r="V723" s="847">
        <v>2</v>
      </c>
      <c r="W723" s="415" t="s">
        <v>144</v>
      </c>
      <c r="X723" s="212">
        <v>43</v>
      </c>
      <c r="Y723" s="212" t="s">
        <v>144</v>
      </c>
      <c r="Z723" s="241" t="s">
        <v>144</v>
      </c>
      <c r="AA723" s="615" t="s">
        <v>733</v>
      </c>
      <c r="AB723" s="206" t="s">
        <v>140</v>
      </c>
      <c r="AC723" s="847" t="s">
        <v>265</v>
      </c>
      <c r="AD723" s="847" t="s">
        <v>5928</v>
      </c>
      <c r="AE723" s="847" t="s">
        <v>144</v>
      </c>
      <c r="AF723" s="848" t="s">
        <v>144</v>
      </c>
      <c r="AG723" s="838"/>
      <c r="AH723" s="291" t="s">
        <v>5936</v>
      </c>
      <c r="AI723" s="273" t="s">
        <v>5937</v>
      </c>
      <c r="AJ723" s="847">
        <v>6</v>
      </c>
      <c r="AK723" s="848" t="s">
        <v>5938</v>
      </c>
      <c r="AL723" s="875" t="s">
        <v>294</v>
      </c>
      <c r="AM723" s="301" t="s">
        <v>295</v>
      </c>
      <c r="AN723" s="847">
        <v>7</v>
      </c>
      <c r="AO723" s="187" t="s">
        <v>966</v>
      </c>
      <c r="AP723" s="867"/>
      <c r="AQ723" s="273"/>
      <c r="AR723" s="847"/>
      <c r="AS723" s="848"/>
      <c r="AT723" s="867"/>
      <c r="AU723" s="273"/>
      <c r="AV723" s="847"/>
      <c r="AW723" s="848"/>
      <c r="AX723" s="867"/>
      <c r="AY723" s="273"/>
      <c r="AZ723" s="847"/>
      <c r="BA723" s="848"/>
      <c r="BB723" s="866"/>
      <c r="BC723" s="273"/>
      <c r="BD723" s="847"/>
      <c r="BE723" s="848"/>
      <c r="BF723" s="838"/>
    </row>
    <row r="724" spans="1:58" s="90" customFormat="1" ht="54" hidden="1" customHeight="1" x14ac:dyDescent="0.25">
      <c r="A724" s="267" t="s">
        <v>1687</v>
      </c>
      <c r="B724" s="268">
        <v>489</v>
      </c>
      <c r="C724" s="240" t="s">
        <v>1372</v>
      </c>
      <c r="D724" s="270" t="s">
        <v>1373</v>
      </c>
      <c r="E724" s="268" t="s">
        <v>5939</v>
      </c>
      <c r="F724" s="861" t="s">
        <v>5940</v>
      </c>
      <c r="G724" s="353" t="s">
        <v>5941</v>
      </c>
      <c r="H724" s="861" t="s">
        <v>5942</v>
      </c>
      <c r="I724" s="353" t="s">
        <v>5943</v>
      </c>
      <c r="J724" s="354" t="s">
        <v>140</v>
      </c>
      <c r="K724" s="355" t="s">
        <v>140</v>
      </c>
      <c r="L724" s="862" t="s">
        <v>5944</v>
      </c>
      <c r="M724" s="847" t="s">
        <v>973</v>
      </c>
      <c r="N724" s="270" t="s">
        <v>974</v>
      </c>
      <c r="O724" s="240" t="s">
        <v>548</v>
      </c>
      <c r="P724" s="240" t="s">
        <v>549</v>
      </c>
      <c r="Q724" s="845" t="s">
        <v>144</v>
      </c>
      <c r="R724" s="208" t="s">
        <v>144</v>
      </c>
      <c r="S724" s="864" t="s">
        <v>147</v>
      </c>
      <c r="T724" s="212" t="s">
        <v>144</v>
      </c>
      <c r="U724" s="213" t="s">
        <v>144</v>
      </c>
      <c r="V724" s="240">
        <v>2</v>
      </c>
      <c r="W724" s="206" t="s">
        <v>144</v>
      </c>
      <c r="X724" s="212">
        <v>43</v>
      </c>
      <c r="Y724" s="212" t="s">
        <v>144</v>
      </c>
      <c r="Z724" s="241" t="s">
        <v>144</v>
      </c>
      <c r="AA724" s="615" t="s">
        <v>733</v>
      </c>
      <c r="AB724" s="206" t="s">
        <v>140</v>
      </c>
      <c r="AC724" s="847" t="s">
        <v>265</v>
      </c>
      <c r="AD724" s="847" t="s">
        <v>5928</v>
      </c>
      <c r="AE724" s="847" t="s">
        <v>144</v>
      </c>
      <c r="AF724" s="848" t="s">
        <v>144</v>
      </c>
      <c r="AG724" s="838"/>
      <c r="AH724" s="291" t="s">
        <v>5945</v>
      </c>
      <c r="AI724" s="273" t="s">
        <v>5946</v>
      </c>
      <c r="AJ724" s="847" t="s">
        <v>5947</v>
      </c>
      <c r="AK724" s="848" t="s">
        <v>5948</v>
      </c>
      <c r="AL724" s="875" t="s">
        <v>294</v>
      </c>
      <c r="AM724" s="301" t="s">
        <v>295</v>
      </c>
      <c r="AN724" s="847">
        <v>7</v>
      </c>
      <c r="AO724" s="187" t="s">
        <v>966</v>
      </c>
      <c r="AP724" s="867"/>
      <c r="AQ724" s="273"/>
      <c r="AR724" s="847"/>
      <c r="AS724" s="848"/>
      <c r="AT724" s="867"/>
      <c r="AU724" s="273"/>
      <c r="AV724" s="847"/>
      <c r="AW724" s="848"/>
      <c r="AX724" s="867"/>
      <c r="AY724" s="273"/>
      <c r="AZ724" s="847"/>
      <c r="BA724" s="848"/>
      <c r="BB724" s="866"/>
      <c r="BC724" s="273"/>
      <c r="BD724" s="847"/>
      <c r="BE724" s="848"/>
      <c r="BF724" s="838"/>
    </row>
    <row r="725" spans="1:58" s="90" customFormat="1" ht="54" hidden="1" customHeight="1" x14ac:dyDescent="0.25">
      <c r="A725" s="267" t="s">
        <v>1687</v>
      </c>
      <c r="B725" s="268">
        <v>490</v>
      </c>
      <c r="C725" s="240" t="s">
        <v>1372</v>
      </c>
      <c r="D725" s="270" t="s">
        <v>1373</v>
      </c>
      <c r="E725" s="268" t="s">
        <v>5949</v>
      </c>
      <c r="F725" s="861" t="s">
        <v>5950</v>
      </c>
      <c r="G725" s="353" t="s">
        <v>5951</v>
      </c>
      <c r="H725" s="845" t="s">
        <v>5952</v>
      </c>
      <c r="I725" s="353" t="s">
        <v>5951</v>
      </c>
      <c r="J725" s="354" t="s">
        <v>140</v>
      </c>
      <c r="K725" s="355" t="s">
        <v>140</v>
      </c>
      <c r="L725" s="862" t="s">
        <v>5953</v>
      </c>
      <c r="M725" s="847" t="s">
        <v>973</v>
      </c>
      <c r="N725" s="270" t="s">
        <v>974</v>
      </c>
      <c r="O725" s="240" t="s">
        <v>5934</v>
      </c>
      <c r="P725" s="240" t="s">
        <v>5935</v>
      </c>
      <c r="Q725" s="845" t="s">
        <v>144</v>
      </c>
      <c r="R725" s="208" t="s">
        <v>144</v>
      </c>
      <c r="S725" s="864" t="s">
        <v>147</v>
      </c>
      <c r="T725" s="212" t="s">
        <v>144</v>
      </c>
      <c r="U725" s="213" t="s">
        <v>144</v>
      </c>
      <c r="V725" s="847">
        <v>2</v>
      </c>
      <c r="W725" s="415" t="s">
        <v>144</v>
      </c>
      <c r="X725" s="212">
        <v>43</v>
      </c>
      <c r="Y725" s="212" t="s">
        <v>144</v>
      </c>
      <c r="Z725" s="241" t="s">
        <v>144</v>
      </c>
      <c r="AA725" s="615" t="s">
        <v>733</v>
      </c>
      <c r="AB725" s="206" t="s">
        <v>140</v>
      </c>
      <c r="AC725" s="847" t="s">
        <v>265</v>
      </c>
      <c r="AD725" s="847" t="s">
        <v>5928</v>
      </c>
      <c r="AE725" s="847" t="s">
        <v>144</v>
      </c>
      <c r="AF725" s="848" t="s">
        <v>144</v>
      </c>
      <c r="AG725" s="838"/>
      <c r="AH725" s="291" t="s">
        <v>5954</v>
      </c>
      <c r="AI725" s="273" t="s">
        <v>5955</v>
      </c>
      <c r="AJ725" s="847">
        <v>6</v>
      </c>
      <c r="AK725" s="848" t="s">
        <v>5956</v>
      </c>
      <c r="AL725" s="875" t="s">
        <v>294</v>
      </c>
      <c r="AM725" s="301" t="s">
        <v>295</v>
      </c>
      <c r="AN725" s="847">
        <v>7</v>
      </c>
      <c r="AO725" s="187" t="s">
        <v>966</v>
      </c>
      <c r="AP725" s="867"/>
      <c r="AQ725" s="273"/>
      <c r="AR725" s="847"/>
      <c r="AS725" s="848"/>
      <c r="AT725" s="867"/>
      <c r="AU725" s="273"/>
      <c r="AV725" s="847"/>
      <c r="AW725" s="848"/>
      <c r="AX725" s="867"/>
      <c r="AY725" s="273"/>
      <c r="AZ725" s="847"/>
      <c r="BA725" s="848"/>
      <c r="BB725" s="866"/>
      <c r="BC725" s="273"/>
      <c r="BD725" s="847"/>
      <c r="BE725" s="848"/>
      <c r="BF725" s="838"/>
    </row>
    <row r="726" spans="1:58" s="90" customFormat="1" ht="54" hidden="1" customHeight="1" x14ac:dyDescent="0.25">
      <c r="A726" s="267" t="s">
        <v>1687</v>
      </c>
      <c r="B726" s="268">
        <v>491</v>
      </c>
      <c r="C726" s="240" t="s">
        <v>1372</v>
      </c>
      <c r="D726" s="270" t="s">
        <v>1373</v>
      </c>
      <c r="E726" s="268" t="s">
        <v>5957</v>
      </c>
      <c r="F726" s="861" t="s">
        <v>5958</v>
      </c>
      <c r="G726" s="353" t="s">
        <v>5959</v>
      </c>
      <c r="H726" s="861" t="s">
        <v>5960</v>
      </c>
      <c r="I726" s="353" t="s">
        <v>5961</v>
      </c>
      <c r="J726" s="354" t="s">
        <v>140</v>
      </c>
      <c r="K726" s="355" t="s">
        <v>140</v>
      </c>
      <c r="L726" s="862" t="s">
        <v>5962</v>
      </c>
      <c r="M726" s="847" t="s">
        <v>973</v>
      </c>
      <c r="N726" s="270" t="s">
        <v>974</v>
      </c>
      <c r="O726" s="240" t="s">
        <v>548</v>
      </c>
      <c r="P726" s="240" t="s">
        <v>549</v>
      </c>
      <c r="Q726" s="845" t="s">
        <v>144</v>
      </c>
      <c r="R726" s="208" t="s">
        <v>144</v>
      </c>
      <c r="S726" s="864" t="s">
        <v>147</v>
      </c>
      <c r="T726" s="212" t="s">
        <v>144</v>
      </c>
      <c r="U726" s="213" t="s">
        <v>144</v>
      </c>
      <c r="V726" s="240">
        <v>2</v>
      </c>
      <c r="W726" s="206" t="s">
        <v>144</v>
      </c>
      <c r="X726" s="212">
        <v>43</v>
      </c>
      <c r="Y726" s="212" t="s">
        <v>144</v>
      </c>
      <c r="Z726" s="241" t="s">
        <v>144</v>
      </c>
      <c r="AA726" s="615" t="s">
        <v>733</v>
      </c>
      <c r="AB726" s="206" t="s">
        <v>140</v>
      </c>
      <c r="AC726" s="847" t="s">
        <v>265</v>
      </c>
      <c r="AD726" s="847" t="s">
        <v>5928</v>
      </c>
      <c r="AE726" s="847" t="s">
        <v>144</v>
      </c>
      <c r="AF726" s="848" t="s">
        <v>144</v>
      </c>
      <c r="AG726" s="838"/>
      <c r="AH726" s="291" t="s">
        <v>5963</v>
      </c>
      <c r="AI726" s="273" t="s">
        <v>5964</v>
      </c>
      <c r="AJ726" s="847">
        <v>6</v>
      </c>
      <c r="AK726" s="848" t="s">
        <v>5965</v>
      </c>
      <c r="AL726" s="875" t="s">
        <v>294</v>
      </c>
      <c r="AM726" s="301" t="s">
        <v>295</v>
      </c>
      <c r="AN726" s="847">
        <v>7</v>
      </c>
      <c r="AO726" s="187" t="s">
        <v>966</v>
      </c>
      <c r="AP726" s="867"/>
      <c r="AQ726" s="273"/>
      <c r="AR726" s="847"/>
      <c r="AS726" s="848"/>
      <c r="AT726" s="867"/>
      <c r="AU726" s="273"/>
      <c r="AV726" s="847"/>
      <c r="AW726" s="848"/>
      <c r="AX726" s="867"/>
      <c r="AY726" s="273"/>
      <c r="AZ726" s="847"/>
      <c r="BA726" s="848"/>
      <c r="BB726" s="866"/>
      <c r="BC726" s="273"/>
      <c r="BD726" s="847"/>
      <c r="BE726" s="848"/>
      <c r="BF726" s="838"/>
    </row>
    <row r="727" spans="1:58" s="90" customFormat="1" ht="54" hidden="1" customHeight="1" x14ac:dyDescent="0.25">
      <c r="A727" s="267" t="s">
        <v>1687</v>
      </c>
      <c r="B727" s="268">
        <v>492</v>
      </c>
      <c r="C727" s="240" t="s">
        <v>1372</v>
      </c>
      <c r="D727" s="270" t="s">
        <v>1373</v>
      </c>
      <c r="E727" s="298" t="s">
        <v>5966</v>
      </c>
      <c r="F727" s="861" t="s">
        <v>5967</v>
      </c>
      <c r="G727" s="269" t="s">
        <v>5968</v>
      </c>
      <c r="H727" s="845" t="s">
        <v>5969</v>
      </c>
      <c r="I727" s="353" t="s">
        <v>5970</v>
      </c>
      <c r="J727" s="354" t="s">
        <v>140</v>
      </c>
      <c r="K727" s="355" t="s">
        <v>140</v>
      </c>
      <c r="L727" s="862" t="s">
        <v>5971</v>
      </c>
      <c r="M727" s="847" t="s">
        <v>973</v>
      </c>
      <c r="N727" s="270" t="s">
        <v>974</v>
      </c>
      <c r="O727" s="240" t="s">
        <v>144</v>
      </c>
      <c r="P727" s="240" t="s">
        <v>144</v>
      </c>
      <c r="Q727" s="845" t="s">
        <v>144</v>
      </c>
      <c r="R727" s="208" t="s">
        <v>144</v>
      </c>
      <c r="S727" s="864" t="s">
        <v>746</v>
      </c>
      <c r="T727" s="212" t="s">
        <v>1104</v>
      </c>
      <c r="U727" s="213" t="s">
        <v>1105</v>
      </c>
      <c r="V727" s="847">
        <v>19</v>
      </c>
      <c r="W727" s="415" t="s">
        <v>144</v>
      </c>
      <c r="X727" s="212">
        <v>43</v>
      </c>
      <c r="Y727" s="212" t="s">
        <v>144</v>
      </c>
      <c r="Z727" s="241" t="s">
        <v>144</v>
      </c>
      <c r="AA727" s="615" t="s">
        <v>733</v>
      </c>
      <c r="AB727" s="206" t="s">
        <v>140</v>
      </c>
      <c r="AC727" s="847" t="s">
        <v>265</v>
      </c>
      <c r="AD727" s="847" t="s">
        <v>5928</v>
      </c>
      <c r="AE727" s="847" t="s">
        <v>144</v>
      </c>
      <c r="AF727" s="848" t="s">
        <v>144</v>
      </c>
      <c r="AG727" s="838"/>
      <c r="AH727" s="291" t="s">
        <v>2977</v>
      </c>
      <c r="AI727" s="273" t="s">
        <v>2978</v>
      </c>
      <c r="AJ727" s="847">
        <v>5</v>
      </c>
      <c r="AK727" s="848" t="s">
        <v>2979</v>
      </c>
      <c r="AL727" s="867"/>
      <c r="AM727" s="273"/>
      <c r="AN727" s="847"/>
      <c r="AO727" s="848"/>
      <c r="AP727" s="867" t="s">
        <v>1107</v>
      </c>
      <c r="AQ727" s="273" t="s">
        <v>1108</v>
      </c>
      <c r="AR727" s="847">
        <v>7</v>
      </c>
      <c r="AS727" s="286" t="s">
        <v>1109</v>
      </c>
      <c r="AT727" s="867"/>
      <c r="AU727" s="273"/>
      <c r="AV727" s="847"/>
      <c r="AW727" s="848"/>
      <c r="AX727" s="867"/>
      <c r="AY727" s="273"/>
      <c r="AZ727" s="847"/>
      <c r="BA727" s="848"/>
      <c r="BB727" s="866"/>
      <c r="BC727" s="273"/>
      <c r="BD727" s="847"/>
      <c r="BE727" s="848"/>
      <c r="BF727" s="838"/>
    </row>
    <row r="728" spans="1:58" s="88" customFormat="1" ht="54" hidden="1" customHeight="1" x14ac:dyDescent="0.25">
      <c r="A728" s="267" t="s">
        <v>1687</v>
      </c>
      <c r="B728" s="268">
        <v>493</v>
      </c>
      <c r="C728" s="240" t="s">
        <v>1372</v>
      </c>
      <c r="D728" s="270" t="s">
        <v>1373</v>
      </c>
      <c r="E728" s="298" t="s">
        <v>5972</v>
      </c>
      <c r="F728" s="861" t="s">
        <v>5973</v>
      </c>
      <c r="G728" s="269" t="s">
        <v>5974</v>
      </c>
      <c r="H728" s="845" t="s">
        <v>5975</v>
      </c>
      <c r="I728" s="269" t="s">
        <v>5976</v>
      </c>
      <c r="J728" s="296" t="s">
        <v>140</v>
      </c>
      <c r="K728" s="297" t="s">
        <v>140</v>
      </c>
      <c r="L728" s="862" t="s">
        <v>5977</v>
      </c>
      <c r="M728" s="847" t="s">
        <v>973</v>
      </c>
      <c r="N728" s="270" t="s">
        <v>974</v>
      </c>
      <c r="O728" s="240" t="s">
        <v>814</v>
      </c>
      <c r="P728" s="240" t="s">
        <v>815</v>
      </c>
      <c r="Q728" s="845" t="s">
        <v>144</v>
      </c>
      <c r="R728" s="208" t="s">
        <v>144</v>
      </c>
      <c r="S728" s="864" t="s">
        <v>147</v>
      </c>
      <c r="T728" s="212" t="s">
        <v>144</v>
      </c>
      <c r="U728" s="213" t="s">
        <v>144</v>
      </c>
      <c r="V728" s="847">
        <v>3</v>
      </c>
      <c r="W728" s="415" t="s">
        <v>144</v>
      </c>
      <c r="X728" s="212">
        <v>43</v>
      </c>
      <c r="Y728" s="212" t="s">
        <v>144</v>
      </c>
      <c r="Z728" s="241" t="s">
        <v>144</v>
      </c>
      <c r="AA728" s="615" t="s">
        <v>733</v>
      </c>
      <c r="AB728" s="206" t="s">
        <v>140</v>
      </c>
      <c r="AC728" s="847" t="s">
        <v>265</v>
      </c>
      <c r="AD728" s="847" t="s">
        <v>5928</v>
      </c>
      <c r="AE728" s="847" t="s">
        <v>144</v>
      </c>
      <c r="AF728" s="848" t="s">
        <v>144</v>
      </c>
      <c r="AG728" s="838"/>
      <c r="AH728" s="866" t="s">
        <v>5978</v>
      </c>
      <c r="AI728" s="273" t="s">
        <v>5979</v>
      </c>
      <c r="AJ728" s="847">
        <v>7</v>
      </c>
      <c r="AK728" s="848" t="s">
        <v>1280</v>
      </c>
      <c r="AL728" s="875" t="s">
        <v>294</v>
      </c>
      <c r="AM728" s="301" t="s">
        <v>295</v>
      </c>
      <c r="AN728" s="847">
        <v>7</v>
      </c>
      <c r="AO728" s="187" t="s">
        <v>966</v>
      </c>
      <c r="AP728" s="867"/>
      <c r="AQ728" s="273"/>
      <c r="AR728" s="847"/>
      <c r="AS728" s="848"/>
      <c r="AT728" s="867"/>
      <c r="AU728" s="273"/>
      <c r="AV728" s="847"/>
      <c r="AW728" s="848"/>
      <c r="AX728" s="867"/>
      <c r="AY728" s="273"/>
      <c r="AZ728" s="847"/>
      <c r="BA728" s="848"/>
      <c r="BB728" s="866"/>
      <c r="BC728" s="273"/>
      <c r="BD728" s="847"/>
      <c r="BE728" s="848"/>
      <c r="BF728" s="838"/>
    </row>
    <row r="729" spans="1:58" s="88" customFormat="1" ht="54" hidden="1" customHeight="1" x14ac:dyDescent="0.25">
      <c r="A729" s="267" t="s">
        <v>1687</v>
      </c>
      <c r="B729" s="268">
        <v>494</v>
      </c>
      <c r="C729" s="240" t="s">
        <v>2513</v>
      </c>
      <c r="D729" s="270" t="s">
        <v>2514</v>
      </c>
      <c r="E729" s="298" t="s">
        <v>5980</v>
      </c>
      <c r="F729" s="861" t="s">
        <v>5981</v>
      </c>
      <c r="G729" s="269" t="s">
        <v>5982</v>
      </c>
      <c r="H729" s="845" t="s">
        <v>5983</v>
      </c>
      <c r="I729" s="208" t="s">
        <v>5984</v>
      </c>
      <c r="J729" s="240" t="s">
        <v>140</v>
      </c>
      <c r="K729" s="270" t="s">
        <v>140</v>
      </c>
      <c r="L729" s="862" t="s">
        <v>5985</v>
      </c>
      <c r="M729" s="847" t="s">
        <v>973</v>
      </c>
      <c r="N729" s="270" t="s">
        <v>974</v>
      </c>
      <c r="O729" s="240" t="s">
        <v>144</v>
      </c>
      <c r="P729" s="240" t="s">
        <v>144</v>
      </c>
      <c r="Q729" s="845" t="s">
        <v>144</v>
      </c>
      <c r="R729" s="208" t="s">
        <v>144</v>
      </c>
      <c r="S729" s="864" t="s">
        <v>746</v>
      </c>
      <c r="T729" s="212" t="s">
        <v>1104</v>
      </c>
      <c r="U729" s="213" t="s">
        <v>1105</v>
      </c>
      <c r="V729" s="847">
        <v>19</v>
      </c>
      <c r="W729" s="415" t="s">
        <v>144</v>
      </c>
      <c r="X729" s="212">
        <v>43</v>
      </c>
      <c r="Y729" s="212" t="s">
        <v>144</v>
      </c>
      <c r="Z729" s="241" t="s">
        <v>144</v>
      </c>
      <c r="AA729" s="615" t="s">
        <v>733</v>
      </c>
      <c r="AB729" s="206" t="s">
        <v>140</v>
      </c>
      <c r="AC729" s="847" t="s">
        <v>265</v>
      </c>
      <c r="AD729" s="847" t="s">
        <v>5928</v>
      </c>
      <c r="AE729" s="847" t="s">
        <v>144</v>
      </c>
      <c r="AF729" s="848" t="s">
        <v>144</v>
      </c>
      <c r="AG729" s="838"/>
      <c r="AH729" s="291" t="s">
        <v>2977</v>
      </c>
      <c r="AI729" s="273" t="s">
        <v>2978</v>
      </c>
      <c r="AJ729" s="847">
        <v>5</v>
      </c>
      <c r="AK729" s="848" t="s">
        <v>2979</v>
      </c>
      <c r="AL729" s="867"/>
      <c r="AM729" s="273"/>
      <c r="AN729" s="847"/>
      <c r="AO729" s="848"/>
      <c r="AP729" s="867" t="s">
        <v>1107</v>
      </c>
      <c r="AQ729" s="273" t="s">
        <v>1108</v>
      </c>
      <c r="AR729" s="847">
        <v>7</v>
      </c>
      <c r="AS729" s="286" t="s">
        <v>1109</v>
      </c>
      <c r="AT729" s="867"/>
      <c r="AU729" s="273"/>
      <c r="AV729" s="847"/>
      <c r="AW729" s="848"/>
      <c r="AX729" s="867"/>
      <c r="AY729" s="273"/>
      <c r="AZ729" s="847"/>
      <c r="BA729" s="848"/>
      <c r="BB729" s="866"/>
      <c r="BC729" s="273"/>
      <c r="BD729" s="847"/>
      <c r="BE729" s="848"/>
      <c r="BF729" s="838"/>
    </row>
    <row r="730" spans="1:58" s="88" customFormat="1" ht="54" hidden="1" customHeight="1" x14ac:dyDescent="0.25">
      <c r="A730" s="267" t="s">
        <v>1687</v>
      </c>
      <c r="B730" s="268">
        <v>495</v>
      </c>
      <c r="C730" s="240" t="s">
        <v>2513</v>
      </c>
      <c r="D730" s="270" t="s">
        <v>2514</v>
      </c>
      <c r="E730" s="298" t="s">
        <v>5986</v>
      </c>
      <c r="F730" s="861" t="s">
        <v>5987</v>
      </c>
      <c r="G730" s="269" t="s">
        <v>5988</v>
      </c>
      <c r="H730" s="845" t="s">
        <v>5989</v>
      </c>
      <c r="I730" s="269" t="s">
        <v>5990</v>
      </c>
      <c r="J730" s="296" t="s">
        <v>140</v>
      </c>
      <c r="K730" s="297" t="s">
        <v>140</v>
      </c>
      <c r="L730" s="862" t="s">
        <v>5991</v>
      </c>
      <c r="M730" s="847" t="s">
        <v>973</v>
      </c>
      <c r="N730" s="270" t="s">
        <v>974</v>
      </c>
      <c r="O730" s="240" t="s">
        <v>814</v>
      </c>
      <c r="P730" s="240" t="s">
        <v>815</v>
      </c>
      <c r="Q730" s="845" t="s">
        <v>144</v>
      </c>
      <c r="R730" s="208" t="s">
        <v>144</v>
      </c>
      <c r="S730" s="864" t="s">
        <v>147</v>
      </c>
      <c r="T730" s="212" t="s">
        <v>144</v>
      </c>
      <c r="U730" s="213" t="s">
        <v>144</v>
      </c>
      <c r="V730" s="847">
        <v>3</v>
      </c>
      <c r="W730" s="415" t="s">
        <v>144</v>
      </c>
      <c r="X730" s="212">
        <v>43</v>
      </c>
      <c r="Y730" s="212" t="s">
        <v>144</v>
      </c>
      <c r="Z730" s="241" t="s">
        <v>144</v>
      </c>
      <c r="AA730" s="615" t="s">
        <v>733</v>
      </c>
      <c r="AB730" s="206" t="s">
        <v>140</v>
      </c>
      <c r="AC730" s="847" t="s">
        <v>265</v>
      </c>
      <c r="AD730" s="847" t="s">
        <v>5928</v>
      </c>
      <c r="AE730" s="847" t="s">
        <v>144</v>
      </c>
      <c r="AF730" s="848" t="s">
        <v>144</v>
      </c>
      <c r="AG730" s="838"/>
      <c r="AH730" s="866" t="s">
        <v>5992</v>
      </c>
      <c r="AI730" s="273" t="s">
        <v>5993</v>
      </c>
      <c r="AJ730" s="847">
        <v>7</v>
      </c>
      <c r="AK730" s="848" t="s">
        <v>1280</v>
      </c>
      <c r="AL730" s="875" t="s">
        <v>294</v>
      </c>
      <c r="AM730" s="301" t="s">
        <v>295</v>
      </c>
      <c r="AN730" s="847">
        <v>7</v>
      </c>
      <c r="AO730" s="187" t="s">
        <v>966</v>
      </c>
      <c r="AP730" s="867"/>
      <c r="AQ730" s="273"/>
      <c r="AR730" s="847"/>
      <c r="AS730" s="848"/>
      <c r="AT730" s="867"/>
      <c r="AU730" s="273"/>
      <c r="AV730" s="847"/>
      <c r="AW730" s="848"/>
      <c r="AX730" s="867"/>
      <c r="AY730" s="273"/>
      <c r="AZ730" s="847"/>
      <c r="BA730" s="848"/>
      <c r="BB730" s="866"/>
      <c r="BC730" s="273"/>
      <c r="BD730" s="847"/>
      <c r="BE730" s="848"/>
      <c r="BF730" s="838"/>
    </row>
    <row r="731" spans="1:58" s="88" customFormat="1" ht="54" hidden="1" customHeight="1" x14ac:dyDescent="0.25">
      <c r="A731" s="267" t="s">
        <v>1687</v>
      </c>
      <c r="B731" s="268">
        <v>496</v>
      </c>
      <c r="C731" s="240" t="s">
        <v>1372</v>
      </c>
      <c r="D731" s="270" t="s">
        <v>1373</v>
      </c>
      <c r="E731" s="298" t="s">
        <v>5994</v>
      </c>
      <c r="F731" s="861" t="s">
        <v>5995</v>
      </c>
      <c r="G731" s="269" t="s">
        <v>5996</v>
      </c>
      <c r="H731" s="845" t="s">
        <v>5997</v>
      </c>
      <c r="I731" s="208" t="s">
        <v>5998</v>
      </c>
      <c r="J731" s="240" t="s">
        <v>140</v>
      </c>
      <c r="K731" s="270" t="s">
        <v>140</v>
      </c>
      <c r="L731" s="862" t="s">
        <v>5999</v>
      </c>
      <c r="M731" s="847" t="s">
        <v>973</v>
      </c>
      <c r="N731" s="270" t="s">
        <v>974</v>
      </c>
      <c r="O731" s="240" t="s">
        <v>144</v>
      </c>
      <c r="P731" s="240" t="s">
        <v>144</v>
      </c>
      <c r="Q731" s="845" t="s">
        <v>144</v>
      </c>
      <c r="R731" s="208" t="s">
        <v>144</v>
      </c>
      <c r="S731" s="864" t="s">
        <v>746</v>
      </c>
      <c r="T731" s="212" t="s">
        <v>1104</v>
      </c>
      <c r="U731" s="213" t="s">
        <v>1105</v>
      </c>
      <c r="V731" s="847">
        <v>19</v>
      </c>
      <c r="W731" s="415" t="s">
        <v>144</v>
      </c>
      <c r="X731" s="212">
        <v>43</v>
      </c>
      <c r="Y731" s="212" t="s">
        <v>144</v>
      </c>
      <c r="Z731" s="241" t="s">
        <v>144</v>
      </c>
      <c r="AA731" s="615" t="s">
        <v>733</v>
      </c>
      <c r="AB731" s="206" t="s">
        <v>140</v>
      </c>
      <c r="AC731" s="847" t="s">
        <v>265</v>
      </c>
      <c r="AD731" s="847" t="s">
        <v>5928</v>
      </c>
      <c r="AE731" s="847" t="s">
        <v>144</v>
      </c>
      <c r="AF731" s="848" t="s">
        <v>144</v>
      </c>
      <c r="AG731" s="838"/>
      <c r="AH731" s="291" t="s">
        <v>2977</v>
      </c>
      <c r="AI731" s="273" t="s">
        <v>2978</v>
      </c>
      <c r="AJ731" s="847">
        <v>5</v>
      </c>
      <c r="AK731" s="848" t="s">
        <v>2979</v>
      </c>
      <c r="AL731" s="867"/>
      <c r="AM731" s="273"/>
      <c r="AN731" s="847"/>
      <c r="AO731" s="848"/>
      <c r="AP731" s="867" t="s">
        <v>1107</v>
      </c>
      <c r="AQ731" s="273" t="s">
        <v>1108</v>
      </c>
      <c r="AR731" s="847">
        <v>7</v>
      </c>
      <c r="AS731" s="286" t="s">
        <v>1109</v>
      </c>
      <c r="AT731" s="867"/>
      <c r="AU731" s="273"/>
      <c r="AV731" s="847"/>
      <c r="AW731" s="848"/>
      <c r="AX731" s="867"/>
      <c r="AY731" s="273"/>
      <c r="AZ731" s="847"/>
      <c r="BA731" s="848"/>
      <c r="BB731" s="866"/>
      <c r="BC731" s="273"/>
      <c r="BD731" s="847"/>
      <c r="BE731" s="848"/>
      <c r="BF731" s="838"/>
    </row>
    <row r="732" spans="1:58" s="90" customFormat="1" ht="54" hidden="1" customHeight="1" x14ac:dyDescent="0.25">
      <c r="A732" s="267" t="s">
        <v>1687</v>
      </c>
      <c r="B732" s="268">
        <v>497</v>
      </c>
      <c r="C732" s="240" t="s">
        <v>1372</v>
      </c>
      <c r="D732" s="270" t="s">
        <v>1373</v>
      </c>
      <c r="E732" s="298" t="s">
        <v>6000</v>
      </c>
      <c r="F732" s="861" t="s">
        <v>6001</v>
      </c>
      <c r="G732" s="353" t="s">
        <v>6002</v>
      </c>
      <c r="H732" s="845" t="s">
        <v>6003</v>
      </c>
      <c r="I732" s="208" t="s">
        <v>6004</v>
      </c>
      <c r="J732" s="240" t="s">
        <v>140</v>
      </c>
      <c r="K732" s="270" t="s">
        <v>140</v>
      </c>
      <c r="L732" s="862" t="s">
        <v>6005</v>
      </c>
      <c r="M732" s="847" t="s">
        <v>973</v>
      </c>
      <c r="N732" s="270" t="s">
        <v>974</v>
      </c>
      <c r="O732" s="240" t="s">
        <v>814</v>
      </c>
      <c r="P732" s="240" t="s">
        <v>815</v>
      </c>
      <c r="Q732" s="845" t="s">
        <v>144</v>
      </c>
      <c r="R732" s="208" t="s">
        <v>144</v>
      </c>
      <c r="S732" s="864" t="s">
        <v>147</v>
      </c>
      <c r="T732" s="212" t="s">
        <v>144</v>
      </c>
      <c r="U732" s="213" t="s">
        <v>144</v>
      </c>
      <c r="V732" s="847">
        <v>3</v>
      </c>
      <c r="W732" s="415" t="s">
        <v>144</v>
      </c>
      <c r="X732" s="212">
        <v>43</v>
      </c>
      <c r="Y732" s="212" t="s">
        <v>144</v>
      </c>
      <c r="Z732" s="241" t="s">
        <v>144</v>
      </c>
      <c r="AA732" s="615" t="s">
        <v>733</v>
      </c>
      <c r="AB732" s="206" t="s">
        <v>140</v>
      </c>
      <c r="AC732" s="847" t="s">
        <v>265</v>
      </c>
      <c r="AD732" s="847" t="s">
        <v>5928</v>
      </c>
      <c r="AE732" s="847" t="s">
        <v>144</v>
      </c>
      <c r="AF732" s="848" t="s">
        <v>144</v>
      </c>
      <c r="AG732" s="838"/>
      <c r="AH732" s="291" t="s">
        <v>6006</v>
      </c>
      <c r="AI732" s="273" t="s">
        <v>6007</v>
      </c>
      <c r="AJ732" s="240">
        <v>7</v>
      </c>
      <c r="AK732" s="848" t="s">
        <v>1280</v>
      </c>
      <c r="AL732" s="875" t="s">
        <v>294</v>
      </c>
      <c r="AM732" s="301" t="s">
        <v>295</v>
      </c>
      <c r="AN732" s="847">
        <v>7</v>
      </c>
      <c r="AO732" s="187" t="s">
        <v>966</v>
      </c>
      <c r="AP732" s="867"/>
      <c r="AQ732" s="273"/>
      <c r="AR732" s="847"/>
      <c r="AS732" s="848"/>
      <c r="AT732" s="867"/>
      <c r="AU732" s="273"/>
      <c r="AV732" s="847"/>
      <c r="AW732" s="848"/>
      <c r="AX732" s="867"/>
      <c r="AY732" s="273"/>
      <c r="AZ732" s="847"/>
      <c r="BA732" s="848"/>
      <c r="BB732" s="866"/>
      <c r="BC732" s="273"/>
      <c r="BD732" s="847"/>
      <c r="BE732" s="848"/>
      <c r="BF732" s="838"/>
    </row>
    <row r="733" spans="1:58" s="90" customFormat="1" ht="54" hidden="1" customHeight="1" x14ac:dyDescent="0.25">
      <c r="A733" s="267" t="s">
        <v>1687</v>
      </c>
      <c r="B733" s="268">
        <v>498</v>
      </c>
      <c r="C733" s="240" t="s">
        <v>1372</v>
      </c>
      <c r="D733" s="270" t="s">
        <v>1373</v>
      </c>
      <c r="E733" s="298" t="s">
        <v>6008</v>
      </c>
      <c r="F733" s="861" t="s">
        <v>6009</v>
      </c>
      <c r="G733" s="269" t="s">
        <v>6010</v>
      </c>
      <c r="H733" s="845" t="s">
        <v>6011</v>
      </c>
      <c r="I733" s="208" t="s">
        <v>6012</v>
      </c>
      <c r="J733" s="240" t="s">
        <v>140</v>
      </c>
      <c r="K733" s="270" t="s">
        <v>140</v>
      </c>
      <c r="L733" s="862" t="s">
        <v>6013</v>
      </c>
      <c r="M733" s="847" t="s">
        <v>973</v>
      </c>
      <c r="N733" s="270" t="s">
        <v>974</v>
      </c>
      <c r="O733" s="240" t="s">
        <v>144</v>
      </c>
      <c r="P733" s="240" t="s">
        <v>144</v>
      </c>
      <c r="Q733" s="845" t="s">
        <v>144</v>
      </c>
      <c r="R733" s="208" t="s">
        <v>144</v>
      </c>
      <c r="S733" s="864" t="s">
        <v>746</v>
      </c>
      <c r="T733" s="212" t="s">
        <v>1104</v>
      </c>
      <c r="U733" s="213" t="s">
        <v>1105</v>
      </c>
      <c r="V733" s="847">
        <v>19</v>
      </c>
      <c r="W733" s="415" t="s">
        <v>144</v>
      </c>
      <c r="X733" s="212">
        <v>43</v>
      </c>
      <c r="Y733" s="212" t="s">
        <v>144</v>
      </c>
      <c r="Z733" s="241" t="s">
        <v>144</v>
      </c>
      <c r="AA733" s="615" t="s">
        <v>733</v>
      </c>
      <c r="AB733" s="206" t="s">
        <v>140</v>
      </c>
      <c r="AC733" s="847" t="s">
        <v>265</v>
      </c>
      <c r="AD733" s="847" t="s">
        <v>5928</v>
      </c>
      <c r="AE733" s="847" t="s">
        <v>144</v>
      </c>
      <c r="AF733" s="848" t="s">
        <v>144</v>
      </c>
      <c r="AG733" s="838"/>
      <c r="AH733" s="291" t="s">
        <v>2977</v>
      </c>
      <c r="AI733" s="273" t="s">
        <v>2978</v>
      </c>
      <c r="AJ733" s="847">
        <v>5</v>
      </c>
      <c r="AK733" s="848" t="s">
        <v>2979</v>
      </c>
      <c r="AL733" s="867"/>
      <c r="AM733" s="273"/>
      <c r="AN733" s="847"/>
      <c r="AO733" s="848"/>
      <c r="AP733" s="867" t="s">
        <v>1107</v>
      </c>
      <c r="AQ733" s="273" t="s">
        <v>1108</v>
      </c>
      <c r="AR733" s="847">
        <v>7</v>
      </c>
      <c r="AS733" s="286" t="s">
        <v>1109</v>
      </c>
      <c r="AT733" s="867"/>
      <c r="AU733" s="273"/>
      <c r="AV733" s="847"/>
      <c r="AW733" s="848"/>
      <c r="AX733" s="867"/>
      <c r="AY733" s="273"/>
      <c r="AZ733" s="847"/>
      <c r="BA733" s="848"/>
      <c r="BB733" s="866"/>
      <c r="BC733" s="273"/>
      <c r="BD733" s="847"/>
      <c r="BE733" s="848"/>
      <c r="BF733" s="838"/>
    </row>
    <row r="734" spans="1:58" s="90" customFormat="1" ht="54" hidden="1" customHeight="1" x14ac:dyDescent="0.25">
      <c r="A734" s="267" t="s">
        <v>1687</v>
      </c>
      <c r="B734" s="268">
        <v>499</v>
      </c>
      <c r="C734" s="240" t="s">
        <v>1372</v>
      </c>
      <c r="D734" s="270" t="s">
        <v>1373</v>
      </c>
      <c r="E734" s="298" t="s">
        <v>6014</v>
      </c>
      <c r="F734" s="861" t="s">
        <v>6015</v>
      </c>
      <c r="G734" s="353" t="s">
        <v>6016</v>
      </c>
      <c r="H734" s="845" t="s">
        <v>6017</v>
      </c>
      <c r="I734" s="353" t="s">
        <v>6018</v>
      </c>
      <c r="J734" s="354" t="s">
        <v>140</v>
      </c>
      <c r="K734" s="355" t="s">
        <v>140</v>
      </c>
      <c r="L734" s="862" t="s">
        <v>6019</v>
      </c>
      <c r="M734" s="847" t="s">
        <v>973</v>
      </c>
      <c r="N734" s="270" t="s">
        <v>974</v>
      </c>
      <c r="O734" s="240" t="s">
        <v>814</v>
      </c>
      <c r="P734" s="240" t="s">
        <v>815</v>
      </c>
      <c r="Q734" s="845" t="s">
        <v>144</v>
      </c>
      <c r="R734" s="208" t="s">
        <v>144</v>
      </c>
      <c r="S734" s="864" t="s">
        <v>147</v>
      </c>
      <c r="T734" s="212" t="s">
        <v>144</v>
      </c>
      <c r="U734" s="213" t="s">
        <v>144</v>
      </c>
      <c r="V734" s="847">
        <v>3</v>
      </c>
      <c r="W734" s="415" t="s">
        <v>144</v>
      </c>
      <c r="X734" s="212">
        <v>43</v>
      </c>
      <c r="Y734" s="212" t="s">
        <v>144</v>
      </c>
      <c r="Z734" s="241" t="s">
        <v>144</v>
      </c>
      <c r="AA734" s="615" t="s">
        <v>733</v>
      </c>
      <c r="AB734" s="206" t="s">
        <v>140</v>
      </c>
      <c r="AC734" s="847" t="s">
        <v>265</v>
      </c>
      <c r="AD734" s="847" t="s">
        <v>5928</v>
      </c>
      <c r="AE734" s="847" t="s">
        <v>144</v>
      </c>
      <c r="AF734" s="848" t="s">
        <v>144</v>
      </c>
      <c r="AG734" s="838"/>
      <c r="AH734" s="291" t="s">
        <v>6020</v>
      </c>
      <c r="AI734" s="273" t="s">
        <v>6021</v>
      </c>
      <c r="AJ734" s="847">
        <v>7</v>
      </c>
      <c r="AK734" s="848" t="s">
        <v>1280</v>
      </c>
      <c r="AL734" s="875" t="s">
        <v>294</v>
      </c>
      <c r="AM734" s="301" t="s">
        <v>295</v>
      </c>
      <c r="AN734" s="847">
        <v>7</v>
      </c>
      <c r="AO734" s="187" t="s">
        <v>966</v>
      </c>
      <c r="AP734" s="867"/>
      <c r="AQ734" s="273"/>
      <c r="AR734" s="847"/>
      <c r="AS734" s="848"/>
      <c r="AT734" s="867"/>
      <c r="AU734" s="273"/>
      <c r="AV734" s="847"/>
      <c r="AW734" s="848"/>
      <c r="AX734" s="867"/>
      <c r="AY734" s="273"/>
      <c r="AZ734" s="847"/>
      <c r="BA734" s="848"/>
      <c r="BB734" s="866"/>
      <c r="BC734" s="273"/>
      <c r="BD734" s="847"/>
      <c r="BE734" s="848"/>
      <c r="BF734" s="838"/>
    </row>
    <row r="735" spans="1:58" s="88" customFormat="1" ht="54" hidden="1" customHeight="1" x14ac:dyDescent="0.25">
      <c r="A735" s="267" t="s">
        <v>1687</v>
      </c>
      <c r="B735" s="268">
        <v>500</v>
      </c>
      <c r="C735" s="240" t="s">
        <v>684</v>
      </c>
      <c r="D735" s="270" t="s">
        <v>685</v>
      </c>
      <c r="E735" s="298" t="s">
        <v>6022</v>
      </c>
      <c r="F735" s="861" t="s">
        <v>6023</v>
      </c>
      <c r="G735" s="269" t="s">
        <v>6024</v>
      </c>
      <c r="H735" s="845" t="s">
        <v>6025</v>
      </c>
      <c r="I735" s="208" t="s">
        <v>6026</v>
      </c>
      <c r="J735" s="240" t="s">
        <v>140</v>
      </c>
      <c r="K735" s="270" t="s">
        <v>140</v>
      </c>
      <c r="L735" s="862" t="s">
        <v>6027</v>
      </c>
      <c r="M735" s="847" t="s">
        <v>973</v>
      </c>
      <c r="N735" s="270" t="s">
        <v>974</v>
      </c>
      <c r="O735" s="240" t="s">
        <v>144</v>
      </c>
      <c r="P735" s="240" t="s">
        <v>144</v>
      </c>
      <c r="Q735" s="845" t="s">
        <v>144</v>
      </c>
      <c r="R735" s="208" t="s">
        <v>144</v>
      </c>
      <c r="S735" s="864" t="s">
        <v>746</v>
      </c>
      <c r="T735" s="212" t="s">
        <v>1104</v>
      </c>
      <c r="U735" s="213" t="s">
        <v>1105</v>
      </c>
      <c r="V735" s="847">
        <v>19</v>
      </c>
      <c r="W735" s="415" t="s">
        <v>144</v>
      </c>
      <c r="X735" s="212">
        <v>43</v>
      </c>
      <c r="Y735" s="212" t="s">
        <v>144</v>
      </c>
      <c r="Z735" s="241" t="s">
        <v>144</v>
      </c>
      <c r="AA735" s="615" t="s">
        <v>733</v>
      </c>
      <c r="AB735" s="206" t="s">
        <v>140</v>
      </c>
      <c r="AC735" s="847" t="s">
        <v>265</v>
      </c>
      <c r="AD735" s="847" t="s">
        <v>5928</v>
      </c>
      <c r="AE735" s="847" t="s">
        <v>144</v>
      </c>
      <c r="AF735" s="848" t="s">
        <v>144</v>
      </c>
      <c r="AG735" s="838"/>
      <c r="AH735" s="291" t="s">
        <v>2977</v>
      </c>
      <c r="AI735" s="273" t="s">
        <v>2978</v>
      </c>
      <c r="AJ735" s="847">
        <v>5</v>
      </c>
      <c r="AK735" s="848" t="s">
        <v>2979</v>
      </c>
      <c r="AL735" s="867"/>
      <c r="AM735" s="273"/>
      <c r="AN735" s="847"/>
      <c r="AO735" s="848"/>
      <c r="AP735" s="867" t="s">
        <v>1107</v>
      </c>
      <c r="AQ735" s="273" t="s">
        <v>1108</v>
      </c>
      <c r="AR735" s="847">
        <v>7</v>
      </c>
      <c r="AS735" s="286" t="s">
        <v>1109</v>
      </c>
      <c r="AT735" s="867"/>
      <c r="AU735" s="273"/>
      <c r="AV735" s="847"/>
      <c r="AW735" s="848"/>
      <c r="AX735" s="867"/>
      <c r="AY735" s="273"/>
      <c r="AZ735" s="847"/>
      <c r="BA735" s="848"/>
      <c r="BB735" s="866"/>
      <c r="BC735" s="273"/>
      <c r="BD735" s="847"/>
      <c r="BE735" s="848"/>
      <c r="BF735" s="838"/>
    </row>
    <row r="736" spans="1:58" s="88" customFormat="1" ht="54" hidden="1" customHeight="1" x14ac:dyDescent="0.25">
      <c r="A736" s="267" t="s">
        <v>1687</v>
      </c>
      <c r="B736" s="268">
        <v>501</v>
      </c>
      <c r="C736" s="240" t="s">
        <v>684</v>
      </c>
      <c r="D736" s="270" t="s">
        <v>685</v>
      </c>
      <c r="E736" s="298" t="s">
        <v>6028</v>
      </c>
      <c r="F736" s="861" t="s">
        <v>6029</v>
      </c>
      <c r="G736" s="269" t="s">
        <v>6030</v>
      </c>
      <c r="H736" s="845" t="s">
        <v>6031</v>
      </c>
      <c r="I736" s="269" t="s">
        <v>6030</v>
      </c>
      <c r="J736" s="296" t="s">
        <v>140</v>
      </c>
      <c r="K736" s="297" t="s">
        <v>140</v>
      </c>
      <c r="L736" s="862" t="s">
        <v>6032</v>
      </c>
      <c r="M736" s="847" t="s">
        <v>973</v>
      </c>
      <c r="N736" s="270" t="s">
        <v>974</v>
      </c>
      <c r="O736" s="240" t="s">
        <v>814</v>
      </c>
      <c r="P736" s="240" t="s">
        <v>815</v>
      </c>
      <c r="Q736" s="845" t="s">
        <v>144</v>
      </c>
      <c r="R736" s="208" t="s">
        <v>144</v>
      </c>
      <c r="S736" s="864" t="s">
        <v>147</v>
      </c>
      <c r="T736" s="212" t="s">
        <v>144</v>
      </c>
      <c r="U736" s="213" t="s">
        <v>144</v>
      </c>
      <c r="V736" s="847">
        <v>3</v>
      </c>
      <c r="W736" s="415" t="s">
        <v>144</v>
      </c>
      <c r="X736" s="212">
        <v>43</v>
      </c>
      <c r="Y736" s="212" t="s">
        <v>144</v>
      </c>
      <c r="Z736" s="241" t="s">
        <v>144</v>
      </c>
      <c r="AA736" s="615" t="s">
        <v>733</v>
      </c>
      <c r="AB736" s="206" t="s">
        <v>140</v>
      </c>
      <c r="AC736" s="847" t="s">
        <v>265</v>
      </c>
      <c r="AD736" s="847" t="s">
        <v>5928</v>
      </c>
      <c r="AE736" s="847" t="s">
        <v>144</v>
      </c>
      <c r="AF736" s="848" t="s">
        <v>144</v>
      </c>
      <c r="AG736" s="838"/>
      <c r="AH736" s="291" t="s">
        <v>6033</v>
      </c>
      <c r="AI736" s="273" t="s">
        <v>6034</v>
      </c>
      <c r="AJ736" s="847">
        <v>7</v>
      </c>
      <c r="AK736" s="848" t="s">
        <v>1280</v>
      </c>
      <c r="AL736" s="875" t="s">
        <v>294</v>
      </c>
      <c r="AM736" s="301" t="s">
        <v>295</v>
      </c>
      <c r="AN736" s="847">
        <v>7</v>
      </c>
      <c r="AO736" s="187" t="s">
        <v>966</v>
      </c>
      <c r="AP736" s="867"/>
      <c r="AQ736" s="273"/>
      <c r="AR736" s="847"/>
      <c r="AS736" s="848"/>
      <c r="AT736" s="867"/>
      <c r="AU736" s="273"/>
      <c r="AV736" s="847"/>
      <c r="AW736" s="848"/>
      <c r="AX736" s="867"/>
      <c r="AY736" s="273"/>
      <c r="AZ736" s="847"/>
      <c r="BA736" s="848"/>
      <c r="BB736" s="866"/>
      <c r="BC736" s="273"/>
      <c r="BD736" s="847"/>
      <c r="BE736" s="848"/>
      <c r="BF736" s="838"/>
    </row>
    <row r="737" spans="1:58" s="88" customFormat="1" ht="54" hidden="1" customHeight="1" x14ac:dyDescent="0.25">
      <c r="A737" s="267" t="s">
        <v>1687</v>
      </c>
      <c r="B737" s="268">
        <v>502</v>
      </c>
      <c r="C737" s="240" t="s">
        <v>684</v>
      </c>
      <c r="D737" s="270" t="s">
        <v>685</v>
      </c>
      <c r="E737" s="298" t="s">
        <v>6035</v>
      </c>
      <c r="F737" s="861" t="s">
        <v>6036</v>
      </c>
      <c r="G737" s="269" t="s">
        <v>6037</v>
      </c>
      <c r="H737" s="845" t="s">
        <v>6038</v>
      </c>
      <c r="I737" s="208" t="s">
        <v>6039</v>
      </c>
      <c r="J737" s="240" t="s">
        <v>140</v>
      </c>
      <c r="K737" s="270" t="s">
        <v>140</v>
      </c>
      <c r="L737" s="862" t="s">
        <v>6040</v>
      </c>
      <c r="M737" s="847" t="s">
        <v>973</v>
      </c>
      <c r="N737" s="270" t="s">
        <v>974</v>
      </c>
      <c r="O737" s="240" t="s">
        <v>144</v>
      </c>
      <c r="P737" s="240" t="s">
        <v>144</v>
      </c>
      <c r="Q737" s="845" t="s">
        <v>144</v>
      </c>
      <c r="R737" s="208" t="s">
        <v>144</v>
      </c>
      <c r="S737" s="864" t="s">
        <v>746</v>
      </c>
      <c r="T737" s="212" t="s">
        <v>1104</v>
      </c>
      <c r="U737" s="213" t="s">
        <v>1105</v>
      </c>
      <c r="V737" s="847">
        <v>19</v>
      </c>
      <c r="W737" s="415" t="s">
        <v>144</v>
      </c>
      <c r="X737" s="212">
        <v>43</v>
      </c>
      <c r="Y737" s="212" t="s">
        <v>144</v>
      </c>
      <c r="Z737" s="241" t="s">
        <v>144</v>
      </c>
      <c r="AA737" s="615" t="s">
        <v>733</v>
      </c>
      <c r="AB737" s="206" t="s">
        <v>140</v>
      </c>
      <c r="AC737" s="847" t="s">
        <v>265</v>
      </c>
      <c r="AD737" s="847" t="s">
        <v>5928</v>
      </c>
      <c r="AE737" s="847" t="s">
        <v>144</v>
      </c>
      <c r="AF737" s="848" t="s">
        <v>144</v>
      </c>
      <c r="AG737" s="838"/>
      <c r="AH737" s="291" t="s">
        <v>2977</v>
      </c>
      <c r="AI737" s="273" t="s">
        <v>2978</v>
      </c>
      <c r="AJ737" s="847">
        <v>5</v>
      </c>
      <c r="AK737" s="848" t="s">
        <v>2979</v>
      </c>
      <c r="AL737" s="867"/>
      <c r="AM737" s="273"/>
      <c r="AN737" s="847"/>
      <c r="AO737" s="848"/>
      <c r="AP737" s="867" t="s">
        <v>1107</v>
      </c>
      <c r="AQ737" s="273" t="s">
        <v>1108</v>
      </c>
      <c r="AR737" s="847">
        <v>7</v>
      </c>
      <c r="AS737" s="286" t="s">
        <v>1109</v>
      </c>
      <c r="AT737" s="867"/>
      <c r="AU737" s="273"/>
      <c r="AV737" s="847"/>
      <c r="AW737" s="848"/>
      <c r="AX737" s="867"/>
      <c r="AY737" s="273"/>
      <c r="AZ737" s="847"/>
      <c r="BA737" s="848"/>
      <c r="BB737" s="866"/>
      <c r="BC737" s="273"/>
      <c r="BD737" s="847"/>
      <c r="BE737" s="848"/>
      <c r="BF737" s="838"/>
    </row>
    <row r="738" spans="1:58" s="88" customFormat="1" ht="54" hidden="1" customHeight="1" x14ac:dyDescent="0.25">
      <c r="A738" s="267" t="s">
        <v>1687</v>
      </c>
      <c r="B738" s="268">
        <v>503</v>
      </c>
      <c r="C738" s="240" t="s">
        <v>684</v>
      </c>
      <c r="D738" s="270" t="s">
        <v>685</v>
      </c>
      <c r="E738" s="298" t="s">
        <v>6041</v>
      </c>
      <c r="F738" s="861" t="s">
        <v>6042</v>
      </c>
      <c r="G738" s="269" t="s">
        <v>6043</v>
      </c>
      <c r="H738" s="845" t="s">
        <v>6044</v>
      </c>
      <c r="I738" s="269" t="s">
        <v>6045</v>
      </c>
      <c r="J738" s="296" t="s">
        <v>140</v>
      </c>
      <c r="K738" s="297" t="s">
        <v>140</v>
      </c>
      <c r="L738" s="862" t="s">
        <v>6046</v>
      </c>
      <c r="M738" s="847" t="s">
        <v>973</v>
      </c>
      <c r="N738" s="270" t="s">
        <v>974</v>
      </c>
      <c r="O738" s="240" t="s">
        <v>814</v>
      </c>
      <c r="P738" s="240" t="s">
        <v>815</v>
      </c>
      <c r="Q738" s="845" t="s">
        <v>144</v>
      </c>
      <c r="R738" s="208" t="s">
        <v>144</v>
      </c>
      <c r="S738" s="864" t="s">
        <v>147</v>
      </c>
      <c r="T738" s="212" t="s">
        <v>144</v>
      </c>
      <c r="U738" s="213" t="s">
        <v>144</v>
      </c>
      <c r="V738" s="847">
        <v>3</v>
      </c>
      <c r="W738" s="415" t="s">
        <v>144</v>
      </c>
      <c r="X738" s="212">
        <v>43</v>
      </c>
      <c r="Y738" s="212" t="s">
        <v>144</v>
      </c>
      <c r="Z738" s="241" t="s">
        <v>144</v>
      </c>
      <c r="AA738" s="615" t="s">
        <v>733</v>
      </c>
      <c r="AB738" s="206" t="s">
        <v>140</v>
      </c>
      <c r="AC738" s="847" t="s">
        <v>265</v>
      </c>
      <c r="AD738" s="847" t="s">
        <v>5928</v>
      </c>
      <c r="AE738" s="847" t="s">
        <v>144</v>
      </c>
      <c r="AF738" s="848" t="s">
        <v>144</v>
      </c>
      <c r="AG738" s="838"/>
      <c r="AH738" s="291" t="s">
        <v>6047</v>
      </c>
      <c r="AI738" s="273" t="s">
        <v>6048</v>
      </c>
      <c r="AJ738" s="847">
        <v>7</v>
      </c>
      <c r="AK738" s="848" t="s">
        <v>1280</v>
      </c>
      <c r="AL738" s="875" t="s">
        <v>294</v>
      </c>
      <c r="AM738" s="301" t="s">
        <v>295</v>
      </c>
      <c r="AN738" s="847">
        <v>7</v>
      </c>
      <c r="AO738" s="187" t="s">
        <v>966</v>
      </c>
      <c r="AP738" s="867"/>
      <c r="AQ738" s="273"/>
      <c r="AR738" s="847"/>
      <c r="AS738" s="848"/>
      <c r="AT738" s="867"/>
      <c r="AU738" s="273"/>
      <c r="AV738" s="847"/>
      <c r="AW738" s="848"/>
      <c r="AX738" s="867"/>
      <c r="AY738" s="273"/>
      <c r="AZ738" s="847"/>
      <c r="BA738" s="848"/>
      <c r="BB738" s="866"/>
      <c r="BC738" s="273"/>
      <c r="BD738" s="847"/>
      <c r="BE738" s="848"/>
      <c r="BF738" s="838"/>
    </row>
    <row r="739" spans="1:58" s="90" customFormat="1" ht="54" hidden="1" customHeight="1" x14ac:dyDescent="0.25">
      <c r="A739" s="267" t="s">
        <v>1687</v>
      </c>
      <c r="B739" s="268">
        <v>504</v>
      </c>
      <c r="C739" s="240" t="s">
        <v>684</v>
      </c>
      <c r="D739" s="270" t="s">
        <v>685</v>
      </c>
      <c r="E739" s="298" t="s">
        <v>6049</v>
      </c>
      <c r="F739" s="861" t="s">
        <v>6050</v>
      </c>
      <c r="G739" s="269" t="s">
        <v>6051</v>
      </c>
      <c r="H739" s="845" t="s">
        <v>6052</v>
      </c>
      <c r="I739" s="208" t="s">
        <v>6053</v>
      </c>
      <c r="J739" s="240" t="s">
        <v>140</v>
      </c>
      <c r="K739" s="270" t="s">
        <v>140</v>
      </c>
      <c r="L739" s="862" t="s">
        <v>6054</v>
      </c>
      <c r="M739" s="847" t="s">
        <v>973</v>
      </c>
      <c r="N739" s="270" t="s">
        <v>974</v>
      </c>
      <c r="O739" s="240" t="s">
        <v>144</v>
      </c>
      <c r="P739" s="240" t="s">
        <v>144</v>
      </c>
      <c r="Q739" s="845" t="s">
        <v>144</v>
      </c>
      <c r="R739" s="208" t="s">
        <v>144</v>
      </c>
      <c r="S739" s="864" t="s">
        <v>746</v>
      </c>
      <c r="T739" s="212" t="s">
        <v>1104</v>
      </c>
      <c r="U739" s="213" t="s">
        <v>1105</v>
      </c>
      <c r="V739" s="847">
        <v>19</v>
      </c>
      <c r="W739" s="415" t="s">
        <v>144</v>
      </c>
      <c r="X739" s="212">
        <v>43</v>
      </c>
      <c r="Y739" s="212" t="s">
        <v>144</v>
      </c>
      <c r="Z739" s="241" t="s">
        <v>144</v>
      </c>
      <c r="AA739" s="615" t="s">
        <v>733</v>
      </c>
      <c r="AB739" s="206" t="s">
        <v>140</v>
      </c>
      <c r="AC739" s="847" t="s">
        <v>265</v>
      </c>
      <c r="AD739" s="847" t="s">
        <v>5928</v>
      </c>
      <c r="AE739" s="847" t="s">
        <v>144</v>
      </c>
      <c r="AF739" s="848" t="s">
        <v>144</v>
      </c>
      <c r="AG739" s="838"/>
      <c r="AH739" s="291" t="s">
        <v>2977</v>
      </c>
      <c r="AI739" s="273" t="s">
        <v>2978</v>
      </c>
      <c r="AJ739" s="847">
        <v>5</v>
      </c>
      <c r="AK739" s="848" t="s">
        <v>2979</v>
      </c>
      <c r="AL739" s="867"/>
      <c r="AM739" s="273"/>
      <c r="AN739" s="847"/>
      <c r="AO739" s="848"/>
      <c r="AP739" s="867" t="s">
        <v>1107</v>
      </c>
      <c r="AQ739" s="273" t="s">
        <v>1108</v>
      </c>
      <c r="AR739" s="847">
        <v>7</v>
      </c>
      <c r="AS739" s="286" t="s">
        <v>1109</v>
      </c>
      <c r="AT739" s="867"/>
      <c r="AU739" s="273"/>
      <c r="AV739" s="847"/>
      <c r="AW739" s="848"/>
      <c r="AX739" s="867"/>
      <c r="AY739" s="273"/>
      <c r="AZ739" s="847"/>
      <c r="BA739" s="848"/>
      <c r="BB739" s="866"/>
      <c r="BC739" s="273"/>
      <c r="BD739" s="847"/>
      <c r="BE739" s="848"/>
      <c r="BF739" s="838"/>
    </row>
    <row r="740" spans="1:58" s="88" customFormat="1" ht="54" hidden="1" customHeight="1" x14ac:dyDescent="0.25">
      <c r="A740" s="267" t="s">
        <v>1687</v>
      </c>
      <c r="B740" s="268">
        <v>505</v>
      </c>
      <c r="C740" s="240" t="s">
        <v>684</v>
      </c>
      <c r="D740" s="270" t="s">
        <v>685</v>
      </c>
      <c r="E740" s="298" t="s">
        <v>6055</v>
      </c>
      <c r="F740" s="861" t="s">
        <v>6056</v>
      </c>
      <c r="G740" s="269" t="s">
        <v>6057</v>
      </c>
      <c r="H740" s="845" t="s">
        <v>6058</v>
      </c>
      <c r="I740" s="269" t="s">
        <v>6059</v>
      </c>
      <c r="J740" s="296" t="s">
        <v>140</v>
      </c>
      <c r="K740" s="297" t="s">
        <v>140</v>
      </c>
      <c r="L740" s="862" t="s">
        <v>6060</v>
      </c>
      <c r="M740" s="847" t="s">
        <v>973</v>
      </c>
      <c r="N740" s="270" t="s">
        <v>974</v>
      </c>
      <c r="O740" s="240" t="s">
        <v>814</v>
      </c>
      <c r="P740" s="240" t="s">
        <v>815</v>
      </c>
      <c r="Q740" s="845" t="s">
        <v>144</v>
      </c>
      <c r="R740" s="208" t="s">
        <v>144</v>
      </c>
      <c r="S740" s="864" t="s">
        <v>147</v>
      </c>
      <c r="T740" s="212" t="s">
        <v>144</v>
      </c>
      <c r="U740" s="213" t="s">
        <v>144</v>
      </c>
      <c r="V740" s="847">
        <v>3</v>
      </c>
      <c r="W740" s="415" t="s">
        <v>144</v>
      </c>
      <c r="X740" s="212">
        <v>43</v>
      </c>
      <c r="Y740" s="212" t="s">
        <v>144</v>
      </c>
      <c r="Z740" s="241" t="s">
        <v>144</v>
      </c>
      <c r="AA740" s="615" t="s">
        <v>733</v>
      </c>
      <c r="AB740" s="206" t="s">
        <v>140</v>
      </c>
      <c r="AC740" s="847" t="s">
        <v>265</v>
      </c>
      <c r="AD740" s="847" t="s">
        <v>5928</v>
      </c>
      <c r="AE740" s="847" t="s">
        <v>144</v>
      </c>
      <c r="AF740" s="848" t="s">
        <v>144</v>
      </c>
      <c r="AG740" s="838"/>
      <c r="AH740" s="291" t="s">
        <v>6061</v>
      </c>
      <c r="AI740" s="273" t="s">
        <v>6062</v>
      </c>
      <c r="AJ740" s="847">
        <v>7</v>
      </c>
      <c r="AK740" s="848" t="s">
        <v>1280</v>
      </c>
      <c r="AL740" s="875" t="s">
        <v>294</v>
      </c>
      <c r="AM740" s="301" t="s">
        <v>295</v>
      </c>
      <c r="AN740" s="847">
        <v>7</v>
      </c>
      <c r="AO740" s="187" t="s">
        <v>966</v>
      </c>
      <c r="AP740" s="867"/>
      <c r="AQ740" s="273"/>
      <c r="AR740" s="847"/>
      <c r="AS740" s="848"/>
      <c r="AT740" s="867"/>
      <c r="AU740" s="273"/>
      <c r="AV740" s="847"/>
      <c r="AW740" s="848"/>
      <c r="AX740" s="867"/>
      <c r="AY740" s="273"/>
      <c r="AZ740" s="847"/>
      <c r="BA740" s="848"/>
      <c r="BB740" s="866"/>
      <c r="BC740" s="273"/>
      <c r="BD740" s="847"/>
      <c r="BE740" s="848"/>
      <c r="BF740" s="838"/>
    </row>
    <row r="741" spans="1:58" s="88" customFormat="1" ht="54" hidden="1" customHeight="1" x14ac:dyDescent="0.25">
      <c r="A741" s="267" t="s">
        <v>1687</v>
      </c>
      <c r="B741" s="268">
        <v>506</v>
      </c>
      <c r="C741" s="240" t="s">
        <v>5290</v>
      </c>
      <c r="D741" s="270" t="s">
        <v>5291</v>
      </c>
      <c r="E741" s="298" t="s">
        <v>6063</v>
      </c>
      <c r="F741" s="861" t="s">
        <v>6064</v>
      </c>
      <c r="G741" s="269" t="s">
        <v>6065</v>
      </c>
      <c r="H741" s="845" t="s">
        <v>6066</v>
      </c>
      <c r="I741" s="294" t="s">
        <v>6067</v>
      </c>
      <c r="J741" s="325" t="s">
        <v>140</v>
      </c>
      <c r="K741" s="326" t="s">
        <v>140</v>
      </c>
      <c r="L741" s="862" t="s">
        <v>6068</v>
      </c>
      <c r="M741" s="847" t="s">
        <v>973</v>
      </c>
      <c r="N741" s="270" t="s">
        <v>974</v>
      </c>
      <c r="O741" s="240" t="s">
        <v>6069</v>
      </c>
      <c r="P741" s="240" t="s">
        <v>6070</v>
      </c>
      <c r="Q741" s="845" t="s">
        <v>144</v>
      </c>
      <c r="R741" s="208" t="s">
        <v>144</v>
      </c>
      <c r="S741" s="864" t="s">
        <v>147</v>
      </c>
      <c r="T741" s="212" t="s">
        <v>144</v>
      </c>
      <c r="U741" s="213" t="s">
        <v>144</v>
      </c>
      <c r="V741" s="847">
        <v>2</v>
      </c>
      <c r="W741" s="415" t="s">
        <v>144</v>
      </c>
      <c r="X741" s="212">
        <v>43</v>
      </c>
      <c r="Y741" s="212" t="s">
        <v>144</v>
      </c>
      <c r="Z741" s="214" t="s">
        <v>144</v>
      </c>
      <c r="AA741" s="240" t="s">
        <v>441</v>
      </c>
      <c r="AB741" s="206" t="s">
        <v>140</v>
      </c>
      <c r="AC741" s="847" t="s">
        <v>265</v>
      </c>
      <c r="AD741" s="847" t="s">
        <v>6071</v>
      </c>
      <c r="AE741" s="847" t="s">
        <v>144</v>
      </c>
      <c r="AF741" s="848" t="s">
        <v>144</v>
      </c>
      <c r="AG741" s="838"/>
      <c r="AH741" s="866" t="s">
        <v>5313</v>
      </c>
      <c r="AI741" s="273" t="s">
        <v>5314</v>
      </c>
      <c r="AJ741" s="847">
        <v>6</v>
      </c>
      <c r="AK741" s="848" t="s">
        <v>5315</v>
      </c>
      <c r="AL741" s="875" t="s">
        <v>294</v>
      </c>
      <c r="AM741" s="301" t="s">
        <v>295</v>
      </c>
      <c r="AN741" s="847">
        <v>7</v>
      </c>
      <c r="AO741" s="187" t="s">
        <v>966</v>
      </c>
      <c r="AP741" s="867"/>
      <c r="AQ741" s="273"/>
      <c r="AR741" s="847"/>
      <c r="AS741" s="848"/>
      <c r="AT741" s="867"/>
      <c r="AU741" s="273"/>
      <c r="AV741" s="847"/>
      <c r="AW741" s="848"/>
      <c r="AX741" s="867"/>
      <c r="AY741" s="273"/>
      <c r="AZ741" s="847"/>
      <c r="BA741" s="848"/>
      <c r="BB741" s="866"/>
      <c r="BC741" s="273"/>
      <c r="BD741" s="847"/>
      <c r="BE741" s="848"/>
      <c r="BF741" s="838"/>
    </row>
    <row r="742" spans="1:58" s="88" customFormat="1" ht="54" hidden="1" customHeight="1" x14ac:dyDescent="0.25">
      <c r="A742" s="267" t="s">
        <v>1687</v>
      </c>
      <c r="B742" s="268">
        <v>507</v>
      </c>
      <c r="C742" s="240" t="s">
        <v>5290</v>
      </c>
      <c r="D742" s="270" t="s">
        <v>5291</v>
      </c>
      <c r="E742" s="298" t="s">
        <v>6072</v>
      </c>
      <c r="F742" s="861" t="s">
        <v>6073</v>
      </c>
      <c r="G742" s="269" t="s">
        <v>6074</v>
      </c>
      <c r="H742" s="845" t="s">
        <v>6075</v>
      </c>
      <c r="I742" s="294" t="s">
        <v>6074</v>
      </c>
      <c r="J742" s="325" t="s">
        <v>140</v>
      </c>
      <c r="K742" s="326" t="s">
        <v>140</v>
      </c>
      <c r="L742" s="862" t="s">
        <v>6076</v>
      </c>
      <c r="M742" s="847" t="s">
        <v>973</v>
      </c>
      <c r="N742" s="270" t="s">
        <v>974</v>
      </c>
      <c r="O742" s="240" t="s">
        <v>6077</v>
      </c>
      <c r="P742" s="240" t="s">
        <v>6078</v>
      </c>
      <c r="Q742" s="845" t="s">
        <v>144</v>
      </c>
      <c r="R742" s="208" t="s">
        <v>144</v>
      </c>
      <c r="S742" s="864" t="s">
        <v>147</v>
      </c>
      <c r="T742" s="212" t="s">
        <v>144</v>
      </c>
      <c r="U742" s="213" t="s">
        <v>144</v>
      </c>
      <c r="V742" s="847">
        <v>2</v>
      </c>
      <c r="W742" s="415" t="s">
        <v>144</v>
      </c>
      <c r="X742" s="212">
        <v>43</v>
      </c>
      <c r="Y742" s="212" t="s">
        <v>144</v>
      </c>
      <c r="Z742" s="214" t="s">
        <v>144</v>
      </c>
      <c r="AA742" s="240" t="s">
        <v>5300</v>
      </c>
      <c r="AB742" s="206" t="s">
        <v>140</v>
      </c>
      <c r="AC742" s="847" t="s">
        <v>265</v>
      </c>
      <c r="AD742" s="847" t="s">
        <v>6071</v>
      </c>
      <c r="AE742" s="847" t="s">
        <v>144</v>
      </c>
      <c r="AF742" s="848" t="s">
        <v>144</v>
      </c>
      <c r="AG742" s="838"/>
      <c r="AH742" s="866" t="s">
        <v>5313</v>
      </c>
      <c r="AI742" s="273" t="s">
        <v>5314</v>
      </c>
      <c r="AJ742" s="847">
        <v>6</v>
      </c>
      <c r="AK742" s="848" t="s">
        <v>5315</v>
      </c>
      <c r="AL742" s="875" t="s">
        <v>294</v>
      </c>
      <c r="AM742" s="301" t="s">
        <v>295</v>
      </c>
      <c r="AN742" s="847">
        <v>7</v>
      </c>
      <c r="AO742" s="187" t="s">
        <v>966</v>
      </c>
      <c r="AP742" s="867"/>
      <c r="AQ742" s="273"/>
      <c r="AR742" s="847"/>
      <c r="AS742" s="848"/>
      <c r="AT742" s="867"/>
      <c r="AU742" s="273"/>
      <c r="AV742" s="847"/>
      <c r="AW742" s="848"/>
      <c r="AX742" s="867"/>
      <c r="AY742" s="273"/>
      <c r="AZ742" s="847"/>
      <c r="BA742" s="848"/>
      <c r="BB742" s="866"/>
      <c r="BC742" s="273"/>
      <c r="BD742" s="847"/>
      <c r="BE742" s="848"/>
      <c r="BF742" s="838"/>
    </row>
    <row r="743" spans="1:58" s="88" customFormat="1" ht="54" hidden="1" customHeight="1" x14ac:dyDescent="0.25">
      <c r="A743" s="267" t="s">
        <v>1687</v>
      </c>
      <c r="B743" s="268">
        <v>508</v>
      </c>
      <c r="C743" s="240" t="s">
        <v>5290</v>
      </c>
      <c r="D743" s="270" t="s">
        <v>5291</v>
      </c>
      <c r="E743" s="298" t="s">
        <v>6079</v>
      </c>
      <c r="F743" s="861" t="s">
        <v>6080</v>
      </c>
      <c r="G743" s="269" t="s">
        <v>6081</v>
      </c>
      <c r="H743" s="845" t="s">
        <v>6082</v>
      </c>
      <c r="I743" s="294" t="s">
        <v>6083</v>
      </c>
      <c r="J743" s="325" t="s">
        <v>140</v>
      </c>
      <c r="K743" s="326" t="s">
        <v>140</v>
      </c>
      <c r="L743" s="862" t="s">
        <v>6084</v>
      </c>
      <c r="M743" s="847" t="s">
        <v>973</v>
      </c>
      <c r="N743" s="270" t="s">
        <v>974</v>
      </c>
      <c r="O743" s="240" t="s">
        <v>6085</v>
      </c>
      <c r="P743" s="240" t="s">
        <v>6086</v>
      </c>
      <c r="Q743" s="845" t="s">
        <v>144</v>
      </c>
      <c r="R743" s="208" t="s">
        <v>144</v>
      </c>
      <c r="S743" s="864" t="s">
        <v>147</v>
      </c>
      <c r="T743" s="212" t="s">
        <v>144</v>
      </c>
      <c r="U743" s="213" t="s">
        <v>144</v>
      </c>
      <c r="V743" s="847">
        <v>2</v>
      </c>
      <c r="W743" s="415" t="s">
        <v>144</v>
      </c>
      <c r="X743" s="212">
        <v>43</v>
      </c>
      <c r="Y743" s="212" t="s">
        <v>144</v>
      </c>
      <c r="Z743" s="214" t="s">
        <v>144</v>
      </c>
      <c r="AA743" s="240" t="s">
        <v>5300</v>
      </c>
      <c r="AB743" s="206" t="s">
        <v>140</v>
      </c>
      <c r="AC743" s="847" t="s">
        <v>265</v>
      </c>
      <c r="AD743" s="847" t="s">
        <v>6071</v>
      </c>
      <c r="AE743" s="847" t="s">
        <v>144</v>
      </c>
      <c r="AF743" s="848" t="s">
        <v>144</v>
      </c>
      <c r="AG743" s="838"/>
      <c r="AH743" s="866" t="s">
        <v>5313</v>
      </c>
      <c r="AI743" s="273" t="s">
        <v>5314</v>
      </c>
      <c r="AJ743" s="847">
        <v>6</v>
      </c>
      <c r="AK743" s="848" t="s">
        <v>5315</v>
      </c>
      <c r="AL743" s="875" t="s">
        <v>294</v>
      </c>
      <c r="AM743" s="301" t="s">
        <v>295</v>
      </c>
      <c r="AN743" s="847">
        <v>7</v>
      </c>
      <c r="AO743" s="187" t="s">
        <v>966</v>
      </c>
      <c r="AP743" s="867"/>
      <c r="AQ743" s="273"/>
      <c r="AR743" s="847"/>
      <c r="AS743" s="848"/>
      <c r="AT743" s="867"/>
      <c r="AU743" s="273"/>
      <c r="AV743" s="847"/>
      <c r="AW743" s="848"/>
      <c r="AX743" s="867"/>
      <c r="AY743" s="273"/>
      <c r="AZ743" s="847"/>
      <c r="BA743" s="848"/>
      <c r="BB743" s="866"/>
      <c r="BC743" s="273"/>
      <c r="BD743" s="847"/>
      <c r="BE743" s="848"/>
      <c r="BF743" s="838"/>
    </row>
    <row r="744" spans="1:58" s="88" customFormat="1" ht="54" hidden="1" customHeight="1" x14ac:dyDescent="0.25">
      <c r="A744" s="267" t="s">
        <v>1687</v>
      </c>
      <c r="B744" s="268">
        <v>509</v>
      </c>
      <c r="C744" s="240" t="s">
        <v>5290</v>
      </c>
      <c r="D744" s="270" t="s">
        <v>5291</v>
      </c>
      <c r="E744" s="298" t="s">
        <v>6087</v>
      </c>
      <c r="F744" s="861" t="s">
        <v>6088</v>
      </c>
      <c r="G744" s="269" t="s">
        <v>6089</v>
      </c>
      <c r="H744" s="845" t="s">
        <v>6090</v>
      </c>
      <c r="I744" s="208" t="s">
        <v>6091</v>
      </c>
      <c r="J744" s="240" t="s">
        <v>140</v>
      </c>
      <c r="K744" s="270" t="s">
        <v>140</v>
      </c>
      <c r="L744" s="862" t="s">
        <v>6092</v>
      </c>
      <c r="M744" s="847" t="s">
        <v>973</v>
      </c>
      <c r="N744" s="270" t="s">
        <v>974</v>
      </c>
      <c r="O744" s="240" t="s">
        <v>144</v>
      </c>
      <c r="P744" s="240" t="s">
        <v>144</v>
      </c>
      <c r="Q744" s="845" t="s">
        <v>144</v>
      </c>
      <c r="R744" s="208" t="s">
        <v>144</v>
      </c>
      <c r="S744" s="864" t="s">
        <v>147</v>
      </c>
      <c r="T744" s="212" t="s">
        <v>144</v>
      </c>
      <c r="U744" s="213" t="s">
        <v>144</v>
      </c>
      <c r="V744" s="847">
        <v>20</v>
      </c>
      <c r="W744" s="415" t="s">
        <v>144</v>
      </c>
      <c r="X744" s="212">
        <v>43</v>
      </c>
      <c r="Y744" s="212" t="s">
        <v>144</v>
      </c>
      <c r="Z744" s="252" t="s">
        <v>144</v>
      </c>
      <c r="AA744" s="240" t="s">
        <v>441</v>
      </c>
      <c r="AB744" s="206" t="s">
        <v>140</v>
      </c>
      <c r="AC744" s="847" t="s">
        <v>265</v>
      </c>
      <c r="AD744" s="847" t="s">
        <v>6071</v>
      </c>
      <c r="AE744" s="847" t="s">
        <v>144</v>
      </c>
      <c r="AF744" s="848" t="s">
        <v>144</v>
      </c>
      <c r="AG744" s="838"/>
      <c r="AH744" s="866" t="s">
        <v>6093</v>
      </c>
      <c r="AI744" s="273" t="s">
        <v>6094</v>
      </c>
      <c r="AJ744" s="847">
        <v>6</v>
      </c>
      <c r="AK744" s="286" t="s">
        <v>6095</v>
      </c>
      <c r="AL744" s="867"/>
      <c r="AM744" s="273"/>
      <c r="AN744" s="847"/>
      <c r="AO744" s="848"/>
      <c r="AP744" s="867"/>
      <c r="AQ744" s="273"/>
      <c r="AR744" s="847"/>
      <c r="AS744" s="848"/>
      <c r="AT744" s="867"/>
      <c r="AU744" s="273"/>
      <c r="AV744" s="847"/>
      <c r="AW744" s="848"/>
      <c r="AX744" s="867" t="s">
        <v>1047</v>
      </c>
      <c r="AY744" s="273" t="s">
        <v>1048</v>
      </c>
      <c r="AZ744" s="847">
        <v>7</v>
      </c>
      <c r="BA744" s="848" t="s">
        <v>1049</v>
      </c>
      <c r="BB744" s="866"/>
      <c r="BC744" s="273"/>
      <c r="BD744" s="847"/>
      <c r="BE744" s="848"/>
      <c r="BF744" s="838"/>
    </row>
    <row r="745" spans="1:58" s="88" customFormat="1" ht="54" hidden="1" customHeight="1" x14ac:dyDescent="0.25">
      <c r="A745" s="267" t="s">
        <v>1687</v>
      </c>
      <c r="B745" s="268">
        <v>510</v>
      </c>
      <c r="C745" s="240" t="s">
        <v>5290</v>
      </c>
      <c r="D745" s="270" t="s">
        <v>5291</v>
      </c>
      <c r="E745" s="298" t="s">
        <v>6096</v>
      </c>
      <c r="F745" s="861" t="s">
        <v>6097</v>
      </c>
      <c r="G745" s="269" t="s">
        <v>6098</v>
      </c>
      <c r="H745" s="845" t="s">
        <v>6099</v>
      </c>
      <c r="I745" s="269" t="s">
        <v>6100</v>
      </c>
      <c r="J745" s="296" t="s">
        <v>140</v>
      </c>
      <c r="K745" s="297" t="s">
        <v>140</v>
      </c>
      <c r="L745" s="862" t="s">
        <v>6101</v>
      </c>
      <c r="M745" s="847" t="s">
        <v>193</v>
      </c>
      <c r="N745" s="270" t="s">
        <v>194</v>
      </c>
      <c r="O745" s="240" t="s">
        <v>144</v>
      </c>
      <c r="P745" s="240" t="s">
        <v>144</v>
      </c>
      <c r="Q745" s="845" t="s">
        <v>6102</v>
      </c>
      <c r="R745" s="208" t="s">
        <v>6103</v>
      </c>
      <c r="S745" s="864" t="s">
        <v>147</v>
      </c>
      <c r="T745" s="212" t="s">
        <v>144</v>
      </c>
      <c r="U745" s="213" t="s">
        <v>144</v>
      </c>
      <c r="V745" s="847">
        <v>10</v>
      </c>
      <c r="W745" s="415" t="s">
        <v>144</v>
      </c>
      <c r="X745" s="212">
        <v>43</v>
      </c>
      <c r="Y745" s="212" t="s">
        <v>144</v>
      </c>
      <c r="Z745" s="212" t="s">
        <v>25</v>
      </c>
      <c r="AA745" s="240" t="s">
        <v>6104</v>
      </c>
      <c r="AB745" s="206" t="s">
        <v>140</v>
      </c>
      <c r="AC745" s="847" t="s">
        <v>265</v>
      </c>
      <c r="AD745" s="847" t="s">
        <v>6071</v>
      </c>
      <c r="AE745" s="847" t="s">
        <v>144</v>
      </c>
      <c r="AF745" s="848" t="s">
        <v>144</v>
      </c>
      <c r="AG745" s="838"/>
      <c r="AH745" s="866"/>
      <c r="AI745" s="273" t="s">
        <v>1228</v>
      </c>
      <c r="AJ745" s="847"/>
      <c r="AK745" s="848"/>
      <c r="AL745" s="867"/>
      <c r="AM745" s="273"/>
      <c r="AN745" s="847"/>
      <c r="AO745" s="848"/>
      <c r="AP745" s="867"/>
      <c r="AQ745" s="273"/>
      <c r="AR745" s="847"/>
      <c r="AS745" s="848"/>
      <c r="AT745" s="867"/>
      <c r="AU745" s="273"/>
      <c r="AV745" s="847"/>
      <c r="AW745" s="848"/>
      <c r="AX745" s="873" t="s">
        <v>6105</v>
      </c>
      <c r="AY745" s="406" t="s">
        <v>6106</v>
      </c>
      <c r="AZ745" s="872" t="s">
        <v>1061</v>
      </c>
      <c r="BA745" s="878" t="s">
        <v>1732</v>
      </c>
      <c r="BB745" s="866"/>
      <c r="BC745" s="273"/>
      <c r="BD745" s="847"/>
      <c r="BE745" s="848"/>
      <c r="BF745" s="838"/>
    </row>
    <row r="746" spans="1:58" s="88" customFormat="1" ht="54" hidden="1" customHeight="1" x14ac:dyDescent="0.25">
      <c r="A746" s="267" t="s">
        <v>1687</v>
      </c>
      <c r="B746" s="268">
        <v>511</v>
      </c>
      <c r="C746" s="240" t="s">
        <v>5290</v>
      </c>
      <c r="D746" s="270" t="s">
        <v>5291</v>
      </c>
      <c r="E746" s="298" t="s">
        <v>6107</v>
      </c>
      <c r="F746" s="861" t="s">
        <v>6108</v>
      </c>
      <c r="G746" s="269" t="s">
        <v>6109</v>
      </c>
      <c r="H746" s="913" t="s">
        <v>6110</v>
      </c>
      <c r="I746" s="294" t="s">
        <v>6111</v>
      </c>
      <c r="J746" s="296" t="s">
        <v>140</v>
      </c>
      <c r="K746" s="297" t="s">
        <v>140</v>
      </c>
      <c r="L746" s="862" t="s">
        <v>6112</v>
      </c>
      <c r="M746" s="847" t="s">
        <v>973</v>
      </c>
      <c r="N746" s="270" t="s">
        <v>974</v>
      </c>
      <c r="O746" s="240" t="s">
        <v>144</v>
      </c>
      <c r="P746" s="240" t="s">
        <v>144</v>
      </c>
      <c r="Q746" s="845" t="s">
        <v>144</v>
      </c>
      <c r="R746" s="208" t="s">
        <v>144</v>
      </c>
      <c r="S746" s="864" t="s">
        <v>746</v>
      </c>
      <c r="T746" s="212" t="s">
        <v>5660</v>
      </c>
      <c r="U746" s="213" t="s">
        <v>5661</v>
      </c>
      <c r="V746" s="847">
        <v>15</v>
      </c>
      <c r="W746" s="415" t="s">
        <v>144</v>
      </c>
      <c r="X746" s="212">
        <v>43</v>
      </c>
      <c r="Y746" s="212" t="s">
        <v>144</v>
      </c>
      <c r="Z746" s="214" t="s">
        <v>144</v>
      </c>
      <c r="AA746" s="240" t="s">
        <v>441</v>
      </c>
      <c r="AB746" s="206" t="s">
        <v>140</v>
      </c>
      <c r="AC746" s="847" t="s">
        <v>265</v>
      </c>
      <c r="AD746" s="847" t="s">
        <v>6071</v>
      </c>
      <c r="AE746" s="847" t="s">
        <v>144</v>
      </c>
      <c r="AF746" s="848" t="s">
        <v>144</v>
      </c>
      <c r="AG746" s="838"/>
      <c r="AH746" s="866" t="s">
        <v>5313</v>
      </c>
      <c r="AI746" s="273" t="s">
        <v>5314</v>
      </c>
      <c r="AJ746" s="847">
        <v>6</v>
      </c>
      <c r="AK746" s="848" t="s">
        <v>5315</v>
      </c>
      <c r="AL746" s="867"/>
      <c r="AM746" s="273"/>
      <c r="AN746" s="847"/>
      <c r="AO746" s="848"/>
      <c r="AP746" s="867"/>
      <c r="AQ746" s="273"/>
      <c r="AR746" s="847"/>
      <c r="AS746" s="848"/>
      <c r="AT746" s="867"/>
      <c r="AU746" s="273"/>
      <c r="AV746" s="847"/>
      <c r="AW746" s="848"/>
      <c r="AX746" s="867"/>
      <c r="AY746" s="273"/>
      <c r="AZ746" s="847"/>
      <c r="BA746" s="848"/>
      <c r="BB746" s="866"/>
      <c r="BC746" s="273"/>
      <c r="BD746" s="847"/>
      <c r="BE746" s="848"/>
      <c r="BF746" s="838"/>
    </row>
    <row r="747" spans="1:58" s="88" customFormat="1" ht="54" hidden="1" customHeight="1" x14ac:dyDescent="0.25">
      <c r="A747" s="267" t="s">
        <v>1687</v>
      </c>
      <c r="B747" s="268">
        <v>512</v>
      </c>
      <c r="C747" s="240" t="s">
        <v>5290</v>
      </c>
      <c r="D747" s="270" t="s">
        <v>5291</v>
      </c>
      <c r="E747" s="298" t="s">
        <v>6113</v>
      </c>
      <c r="F747" s="861" t="s">
        <v>6114</v>
      </c>
      <c r="G747" s="269" t="s">
        <v>6115</v>
      </c>
      <c r="H747" s="845" t="s">
        <v>6116</v>
      </c>
      <c r="I747" s="353" t="s">
        <v>6117</v>
      </c>
      <c r="J747" s="354" t="s">
        <v>140</v>
      </c>
      <c r="K747" s="355" t="s">
        <v>140</v>
      </c>
      <c r="L747" s="862" t="s">
        <v>6118</v>
      </c>
      <c r="M747" s="847" t="s">
        <v>973</v>
      </c>
      <c r="N747" s="270" t="s">
        <v>974</v>
      </c>
      <c r="O747" s="240" t="s">
        <v>144</v>
      </c>
      <c r="P747" s="240" t="s">
        <v>144</v>
      </c>
      <c r="Q747" s="845" t="s">
        <v>144</v>
      </c>
      <c r="R747" s="208" t="s">
        <v>144</v>
      </c>
      <c r="S747" s="864" t="s">
        <v>746</v>
      </c>
      <c r="T747" s="212" t="s">
        <v>1104</v>
      </c>
      <c r="U747" s="213" t="s">
        <v>1105</v>
      </c>
      <c r="V747" s="847">
        <v>19</v>
      </c>
      <c r="W747" s="415" t="s">
        <v>144</v>
      </c>
      <c r="X747" s="212">
        <v>43</v>
      </c>
      <c r="Y747" s="212" t="s">
        <v>144</v>
      </c>
      <c r="Z747" s="214" t="s">
        <v>144</v>
      </c>
      <c r="AA747" s="240" t="s">
        <v>5300</v>
      </c>
      <c r="AB747" s="206" t="s">
        <v>140</v>
      </c>
      <c r="AC747" s="847" t="s">
        <v>265</v>
      </c>
      <c r="AD747" s="847" t="s">
        <v>6071</v>
      </c>
      <c r="AE747" s="847" t="s">
        <v>144</v>
      </c>
      <c r="AF747" s="848" t="s">
        <v>144</v>
      </c>
      <c r="AG747" s="838"/>
      <c r="AH747" s="866" t="s">
        <v>5313</v>
      </c>
      <c r="AI747" s="273" t="s">
        <v>5314</v>
      </c>
      <c r="AJ747" s="847">
        <v>6</v>
      </c>
      <c r="AK747" s="848" t="s">
        <v>5315</v>
      </c>
      <c r="AL747" s="867"/>
      <c r="AM747" s="273"/>
      <c r="AN747" s="847"/>
      <c r="AO747" s="848"/>
      <c r="AP747" s="867" t="s">
        <v>6119</v>
      </c>
      <c r="AQ747" s="273" t="s">
        <v>6120</v>
      </c>
      <c r="AR747" s="847">
        <v>7</v>
      </c>
      <c r="AS747" s="848" t="s">
        <v>6121</v>
      </c>
      <c r="AT747" s="867"/>
      <c r="AU747" s="273"/>
      <c r="AV747" s="847"/>
      <c r="AW747" s="848"/>
      <c r="AX747" s="867"/>
      <c r="AY747" s="273"/>
      <c r="AZ747" s="847"/>
      <c r="BA747" s="848"/>
      <c r="BB747" s="866"/>
      <c r="BC747" s="273"/>
      <c r="BD747" s="847"/>
      <c r="BE747" s="848"/>
      <c r="BF747" s="838"/>
    </row>
    <row r="748" spans="1:58" s="88" customFormat="1" ht="54" hidden="1" customHeight="1" x14ac:dyDescent="0.25">
      <c r="A748" s="267" t="s">
        <v>1687</v>
      </c>
      <c r="B748" s="268">
        <v>513</v>
      </c>
      <c r="C748" s="240" t="s">
        <v>5290</v>
      </c>
      <c r="D748" s="270" t="s">
        <v>5291</v>
      </c>
      <c r="E748" s="298" t="s">
        <v>6122</v>
      </c>
      <c r="F748" s="861" t="s">
        <v>6123</v>
      </c>
      <c r="G748" s="269" t="s">
        <v>6124</v>
      </c>
      <c r="H748" s="845" t="s">
        <v>6125</v>
      </c>
      <c r="I748" s="269" t="s">
        <v>6124</v>
      </c>
      <c r="J748" s="296" t="s">
        <v>140</v>
      </c>
      <c r="K748" s="297" t="s">
        <v>140</v>
      </c>
      <c r="L748" s="862" t="s">
        <v>6126</v>
      </c>
      <c r="M748" s="847" t="s">
        <v>973</v>
      </c>
      <c r="N748" s="270" t="s">
        <v>974</v>
      </c>
      <c r="O748" s="240" t="s">
        <v>814</v>
      </c>
      <c r="P748" s="240" t="s">
        <v>815</v>
      </c>
      <c r="Q748" s="845" t="s">
        <v>144</v>
      </c>
      <c r="R748" s="208" t="s">
        <v>144</v>
      </c>
      <c r="S748" s="864" t="s">
        <v>147</v>
      </c>
      <c r="T748" s="212" t="s">
        <v>144</v>
      </c>
      <c r="U748" s="213" t="s">
        <v>144</v>
      </c>
      <c r="V748" s="847">
        <v>3</v>
      </c>
      <c r="W748" s="415" t="s">
        <v>144</v>
      </c>
      <c r="X748" s="212">
        <v>43</v>
      </c>
      <c r="Y748" s="212" t="s">
        <v>144</v>
      </c>
      <c r="Z748" s="214" t="s">
        <v>144</v>
      </c>
      <c r="AA748" s="240" t="s">
        <v>441</v>
      </c>
      <c r="AB748" s="206" t="s">
        <v>140</v>
      </c>
      <c r="AC748" s="847" t="s">
        <v>265</v>
      </c>
      <c r="AD748" s="847" t="s">
        <v>6071</v>
      </c>
      <c r="AE748" s="847" t="s">
        <v>144</v>
      </c>
      <c r="AF748" s="848" t="s">
        <v>144</v>
      </c>
      <c r="AG748" s="838"/>
      <c r="AH748" s="866" t="s">
        <v>6127</v>
      </c>
      <c r="AI748" s="273" t="s">
        <v>6128</v>
      </c>
      <c r="AJ748" s="847">
        <v>7</v>
      </c>
      <c r="AK748" s="848" t="s">
        <v>1280</v>
      </c>
      <c r="AL748" s="875" t="s">
        <v>294</v>
      </c>
      <c r="AM748" s="301" t="s">
        <v>295</v>
      </c>
      <c r="AN748" s="847">
        <v>7</v>
      </c>
      <c r="AO748" s="187" t="s">
        <v>966</v>
      </c>
      <c r="AP748" s="867"/>
      <c r="AQ748" s="273"/>
      <c r="AR748" s="847"/>
      <c r="AS748" s="848"/>
      <c r="AT748" s="867"/>
      <c r="AU748" s="273"/>
      <c r="AV748" s="847"/>
      <c r="AW748" s="848"/>
      <c r="AX748" s="867"/>
      <c r="AY748" s="273"/>
      <c r="AZ748" s="847"/>
      <c r="BA748" s="848"/>
      <c r="BB748" s="866"/>
      <c r="BC748" s="273"/>
      <c r="BD748" s="847"/>
      <c r="BE748" s="848"/>
      <c r="BF748" s="838"/>
    </row>
    <row r="749" spans="1:58" s="88" customFormat="1" ht="54" hidden="1" customHeight="1" x14ac:dyDescent="0.25">
      <c r="A749" s="267" t="s">
        <v>1687</v>
      </c>
      <c r="B749" s="268">
        <v>514</v>
      </c>
      <c r="C749" s="240" t="s">
        <v>5290</v>
      </c>
      <c r="D749" s="270" t="s">
        <v>5291</v>
      </c>
      <c r="E749" s="298" t="s">
        <v>6129</v>
      </c>
      <c r="F749" s="861" t="s">
        <v>6130</v>
      </c>
      <c r="G749" s="269" t="s">
        <v>6131</v>
      </c>
      <c r="H749" s="845" t="s">
        <v>6132</v>
      </c>
      <c r="I749" s="353" t="s">
        <v>6133</v>
      </c>
      <c r="J749" s="354" t="s">
        <v>140</v>
      </c>
      <c r="K749" s="355" t="s">
        <v>140</v>
      </c>
      <c r="L749" s="862" t="s">
        <v>6134</v>
      </c>
      <c r="M749" s="847" t="s">
        <v>973</v>
      </c>
      <c r="N749" s="270" t="s">
        <v>974</v>
      </c>
      <c r="O749" s="240" t="s">
        <v>144</v>
      </c>
      <c r="P749" s="240" t="s">
        <v>144</v>
      </c>
      <c r="Q749" s="845" t="s">
        <v>144</v>
      </c>
      <c r="R749" s="208" t="s">
        <v>144</v>
      </c>
      <c r="S749" s="864" t="s">
        <v>746</v>
      </c>
      <c r="T749" s="212" t="s">
        <v>1104</v>
      </c>
      <c r="U749" s="213" t="s">
        <v>1105</v>
      </c>
      <c r="V749" s="847">
        <v>19</v>
      </c>
      <c r="W749" s="415" t="s">
        <v>144</v>
      </c>
      <c r="X749" s="212">
        <v>43</v>
      </c>
      <c r="Y749" s="212" t="s">
        <v>144</v>
      </c>
      <c r="Z749" s="214" t="s">
        <v>144</v>
      </c>
      <c r="AA749" s="240" t="s">
        <v>441</v>
      </c>
      <c r="AB749" s="206" t="s">
        <v>140</v>
      </c>
      <c r="AC749" s="847" t="s">
        <v>265</v>
      </c>
      <c r="AD749" s="847" t="s">
        <v>6071</v>
      </c>
      <c r="AE749" s="847" t="s">
        <v>144</v>
      </c>
      <c r="AF749" s="848" t="s">
        <v>144</v>
      </c>
      <c r="AG749" s="838"/>
      <c r="AH749" s="866" t="s">
        <v>5313</v>
      </c>
      <c r="AI749" s="273" t="s">
        <v>5314</v>
      </c>
      <c r="AJ749" s="847">
        <v>6</v>
      </c>
      <c r="AK749" s="848" t="s">
        <v>5315</v>
      </c>
      <c r="AL749" s="867"/>
      <c r="AM749" s="273"/>
      <c r="AN749" s="847"/>
      <c r="AO749" s="848"/>
      <c r="AP749" s="867" t="s">
        <v>1107</v>
      </c>
      <c r="AQ749" s="273" t="s">
        <v>1108</v>
      </c>
      <c r="AR749" s="847">
        <v>7</v>
      </c>
      <c r="AS749" s="286" t="s">
        <v>1109</v>
      </c>
      <c r="AT749" s="867"/>
      <c r="AU749" s="273"/>
      <c r="AV749" s="847"/>
      <c r="AW749" s="848"/>
      <c r="AX749" s="867"/>
      <c r="AY749" s="273"/>
      <c r="AZ749" s="847"/>
      <c r="BA749" s="848"/>
      <c r="BB749" s="866"/>
      <c r="BC749" s="273"/>
      <c r="BD749" s="847"/>
      <c r="BE749" s="848"/>
      <c r="BF749" s="838"/>
    </row>
    <row r="750" spans="1:58" s="88" customFormat="1" ht="54" hidden="1" customHeight="1" x14ac:dyDescent="0.25">
      <c r="A750" s="267" t="s">
        <v>1687</v>
      </c>
      <c r="B750" s="268">
        <v>515</v>
      </c>
      <c r="C750" s="240" t="s">
        <v>5290</v>
      </c>
      <c r="D750" s="270" t="s">
        <v>5291</v>
      </c>
      <c r="E750" s="298" t="s">
        <v>6135</v>
      </c>
      <c r="F750" s="861" t="s">
        <v>6136</v>
      </c>
      <c r="G750" s="269" t="s">
        <v>6137</v>
      </c>
      <c r="H750" s="845" t="s">
        <v>6138</v>
      </c>
      <c r="I750" s="269" t="s">
        <v>6137</v>
      </c>
      <c r="J750" s="296" t="s">
        <v>140</v>
      </c>
      <c r="K750" s="297" t="s">
        <v>140</v>
      </c>
      <c r="L750" s="862" t="s">
        <v>6139</v>
      </c>
      <c r="M750" s="847" t="s">
        <v>973</v>
      </c>
      <c r="N750" s="270" t="s">
        <v>974</v>
      </c>
      <c r="O750" s="240" t="s">
        <v>814</v>
      </c>
      <c r="P750" s="240" t="s">
        <v>815</v>
      </c>
      <c r="Q750" s="845" t="s">
        <v>144</v>
      </c>
      <c r="R750" s="208" t="s">
        <v>144</v>
      </c>
      <c r="S750" s="864" t="s">
        <v>147</v>
      </c>
      <c r="T750" s="212" t="s">
        <v>144</v>
      </c>
      <c r="U750" s="213" t="s">
        <v>144</v>
      </c>
      <c r="V750" s="847">
        <v>3</v>
      </c>
      <c r="W750" s="415" t="s">
        <v>144</v>
      </c>
      <c r="X750" s="212">
        <v>43</v>
      </c>
      <c r="Y750" s="212" t="s">
        <v>144</v>
      </c>
      <c r="Z750" s="214" t="s">
        <v>144</v>
      </c>
      <c r="AA750" s="240" t="s">
        <v>441</v>
      </c>
      <c r="AB750" s="206" t="s">
        <v>140</v>
      </c>
      <c r="AC750" s="847" t="s">
        <v>265</v>
      </c>
      <c r="AD750" s="847" t="s">
        <v>6071</v>
      </c>
      <c r="AE750" s="847" t="s">
        <v>144</v>
      </c>
      <c r="AF750" s="848" t="s">
        <v>144</v>
      </c>
      <c r="AG750" s="838"/>
      <c r="AH750" s="866" t="s">
        <v>6140</v>
      </c>
      <c r="AI750" s="273" t="s">
        <v>6141</v>
      </c>
      <c r="AJ750" s="847">
        <v>7</v>
      </c>
      <c r="AK750" s="848" t="s">
        <v>1280</v>
      </c>
      <c r="AL750" s="875" t="s">
        <v>294</v>
      </c>
      <c r="AM750" s="301" t="s">
        <v>295</v>
      </c>
      <c r="AN750" s="847">
        <v>7</v>
      </c>
      <c r="AO750" s="187" t="s">
        <v>966</v>
      </c>
      <c r="AP750" s="867"/>
      <c r="AQ750" s="273"/>
      <c r="AR750" s="847"/>
      <c r="AS750" s="848"/>
      <c r="AT750" s="867"/>
      <c r="AU750" s="273"/>
      <c r="AV750" s="847"/>
      <c r="AW750" s="848"/>
      <c r="AX750" s="867"/>
      <c r="AY750" s="273"/>
      <c r="AZ750" s="847"/>
      <c r="BA750" s="848"/>
      <c r="BB750" s="866"/>
      <c r="BC750" s="273"/>
      <c r="BD750" s="847"/>
      <c r="BE750" s="848"/>
      <c r="BF750" s="838"/>
    </row>
    <row r="751" spans="1:58" s="88" customFormat="1" ht="54" hidden="1" customHeight="1" x14ac:dyDescent="0.25">
      <c r="A751" s="267" t="s">
        <v>1687</v>
      </c>
      <c r="B751" s="268">
        <v>516</v>
      </c>
      <c r="C751" s="240" t="s">
        <v>5290</v>
      </c>
      <c r="D751" s="270" t="s">
        <v>5291</v>
      </c>
      <c r="E751" s="298" t="s">
        <v>6142</v>
      </c>
      <c r="F751" s="861" t="s">
        <v>6143</v>
      </c>
      <c r="G751" s="269" t="s">
        <v>6144</v>
      </c>
      <c r="H751" s="845" t="s">
        <v>6145</v>
      </c>
      <c r="I751" s="353" t="s">
        <v>6146</v>
      </c>
      <c r="J751" s="354" t="s">
        <v>140</v>
      </c>
      <c r="K751" s="355" t="s">
        <v>140</v>
      </c>
      <c r="L751" s="862" t="s">
        <v>6147</v>
      </c>
      <c r="M751" s="847" t="s">
        <v>973</v>
      </c>
      <c r="N751" s="270" t="s">
        <v>974</v>
      </c>
      <c r="O751" s="240" t="s">
        <v>144</v>
      </c>
      <c r="P751" s="240" t="s">
        <v>144</v>
      </c>
      <c r="Q751" s="845" t="s">
        <v>144</v>
      </c>
      <c r="R751" s="208" t="s">
        <v>144</v>
      </c>
      <c r="S751" s="864" t="s">
        <v>746</v>
      </c>
      <c r="T751" s="212" t="s">
        <v>1104</v>
      </c>
      <c r="U751" s="213" t="s">
        <v>1105</v>
      </c>
      <c r="V751" s="847">
        <v>19</v>
      </c>
      <c r="W751" s="415" t="s">
        <v>144</v>
      </c>
      <c r="X751" s="212">
        <v>43</v>
      </c>
      <c r="Y751" s="212" t="s">
        <v>144</v>
      </c>
      <c r="Z751" s="214" t="s">
        <v>144</v>
      </c>
      <c r="AA751" s="240" t="s">
        <v>5300</v>
      </c>
      <c r="AB751" s="206" t="s">
        <v>140</v>
      </c>
      <c r="AC751" s="847" t="s">
        <v>265</v>
      </c>
      <c r="AD751" s="847" t="s">
        <v>6071</v>
      </c>
      <c r="AE751" s="847" t="s">
        <v>144</v>
      </c>
      <c r="AF751" s="848" t="s">
        <v>144</v>
      </c>
      <c r="AG751" s="838"/>
      <c r="AH751" s="866" t="s">
        <v>5313</v>
      </c>
      <c r="AI751" s="273" t="s">
        <v>5314</v>
      </c>
      <c r="AJ751" s="847">
        <v>6</v>
      </c>
      <c r="AK751" s="848" t="s">
        <v>5315</v>
      </c>
      <c r="AL751" s="867"/>
      <c r="AM751" s="273"/>
      <c r="AN751" s="847"/>
      <c r="AO751" s="848"/>
      <c r="AP751" s="867" t="s">
        <v>1107</v>
      </c>
      <c r="AQ751" s="273" t="s">
        <v>1108</v>
      </c>
      <c r="AR751" s="847">
        <v>6</v>
      </c>
      <c r="AS751" s="286" t="s">
        <v>1109</v>
      </c>
      <c r="AT751" s="867"/>
      <c r="AU751" s="273"/>
      <c r="AV751" s="847"/>
      <c r="AW751" s="848"/>
      <c r="AX751" s="867"/>
      <c r="AY751" s="273"/>
      <c r="AZ751" s="847"/>
      <c r="BA751" s="848"/>
      <c r="BB751" s="866"/>
      <c r="BC751" s="273"/>
      <c r="BD751" s="847"/>
      <c r="BE751" s="848"/>
      <c r="BF751" s="838"/>
    </row>
    <row r="752" spans="1:58" s="88" customFormat="1" ht="54" hidden="1" customHeight="1" x14ac:dyDescent="0.25">
      <c r="A752" s="267" t="s">
        <v>1687</v>
      </c>
      <c r="B752" s="268">
        <v>517</v>
      </c>
      <c r="C752" s="240" t="s">
        <v>5290</v>
      </c>
      <c r="D752" s="270" t="s">
        <v>5291</v>
      </c>
      <c r="E752" s="298" t="s">
        <v>6148</v>
      </c>
      <c r="F752" s="861" t="s">
        <v>6149</v>
      </c>
      <c r="G752" s="269" t="s">
        <v>6150</v>
      </c>
      <c r="H752" s="845" t="s">
        <v>6151</v>
      </c>
      <c r="I752" s="269" t="s">
        <v>6150</v>
      </c>
      <c r="J752" s="296" t="s">
        <v>140</v>
      </c>
      <c r="K752" s="297" t="s">
        <v>140</v>
      </c>
      <c r="L752" s="862" t="s">
        <v>6152</v>
      </c>
      <c r="M752" s="206" t="s">
        <v>973</v>
      </c>
      <c r="N752" s="270" t="s">
        <v>974</v>
      </c>
      <c r="O752" s="240" t="s">
        <v>814</v>
      </c>
      <c r="P752" s="240" t="s">
        <v>815</v>
      </c>
      <c r="Q752" s="845" t="s">
        <v>144</v>
      </c>
      <c r="R752" s="208" t="s">
        <v>144</v>
      </c>
      <c r="S752" s="864" t="s">
        <v>147</v>
      </c>
      <c r="T752" s="212" t="s">
        <v>144</v>
      </c>
      <c r="U752" s="213" t="s">
        <v>144</v>
      </c>
      <c r="V752" s="847">
        <v>3</v>
      </c>
      <c r="W752" s="415" t="s">
        <v>144</v>
      </c>
      <c r="X752" s="212">
        <v>43</v>
      </c>
      <c r="Y752" s="212" t="s">
        <v>144</v>
      </c>
      <c r="Z752" s="214" t="s">
        <v>144</v>
      </c>
      <c r="AA752" s="240" t="s">
        <v>441</v>
      </c>
      <c r="AB752" s="206" t="s">
        <v>140</v>
      </c>
      <c r="AC752" s="847" t="s">
        <v>265</v>
      </c>
      <c r="AD752" s="847" t="s">
        <v>6071</v>
      </c>
      <c r="AE752" s="847" t="s">
        <v>144</v>
      </c>
      <c r="AF752" s="848" t="s">
        <v>144</v>
      </c>
      <c r="AG752" s="838"/>
      <c r="AH752" s="866" t="s">
        <v>6153</v>
      </c>
      <c r="AI752" s="273" t="s">
        <v>6154</v>
      </c>
      <c r="AJ752" s="847">
        <v>7</v>
      </c>
      <c r="AK752" s="848" t="s">
        <v>1280</v>
      </c>
      <c r="AL752" s="875" t="s">
        <v>294</v>
      </c>
      <c r="AM752" s="301" t="s">
        <v>295</v>
      </c>
      <c r="AN752" s="847">
        <v>7</v>
      </c>
      <c r="AO752" s="187" t="s">
        <v>966</v>
      </c>
      <c r="AP752" s="867"/>
      <c r="AQ752" s="273"/>
      <c r="AR752" s="847"/>
      <c r="AS752" s="848"/>
      <c r="AT752" s="867"/>
      <c r="AU752" s="273"/>
      <c r="AV752" s="847"/>
      <c r="AW752" s="848"/>
      <c r="AX752" s="867"/>
      <c r="AY752" s="273"/>
      <c r="AZ752" s="847"/>
      <c r="BA752" s="848"/>
      <c r="BB752" s="866"/>
      <c r="BC752" s="273"/>
      <c r="BD752" s="847"/>
      <c r="BE752" s="848"/>
      <c r="BF752" s="838"/>
    </row>
    <row r="753" spans="1:58" s="88" customFormat="1" ht="54" hidden="1" customHeight="1" x14ac:dyDescent="0.25">
      <c r="A753" s="267" t="s">
        <v>1687</v>
      </c>
      <c r="B753" s="268">
        <v>518</v>
      </c>
      <c r="C753" s="240" t="s">
        <v>2135</v>
      </c>
      <c r="D753" s="211" t="s">
        <v>2136</v>
      </c>
      <c r="E753" s="268" t="s">
        <v>6155</v>
      </c>
      <c r="F753" s="861" t="s">
        <v>6156</v>
      </c>
      <c r="G753" s="269" t="s">
        <v>6157</v>
      </c>
      <c r="H753" s="861" t="s">
        <v>6158</v>
      </c>
      <c r="I753" s="269" t="s">
        <v>6159</v>
      </c>
      <c r="J753" s="296" t="s">
        <v>140</v>
      </c>
      <c r="K753" s="297" t="s">
        <v>140</v>
      </c>
      <c r="L753" s="862" t="s">
        <v>6160</v>
      </c>
      <c r="M753" s="847" t="s">
        <v>142</v>
      </c>
      <c r="N753" s="270" t="s">
        <v>143</v>
      </c>
      <c r="O753" s="240" t="s">
        <v>814</v>
      </c>
      <c r="P753" s="240" t="s">
        <v>815</v>
      </c>
      <c r="Q753" s="845" t="s">
        <v>144</v>
      </c>
      <c r="R753" s="208" t="s">
        <v>144</v>
      </c>
      <c r="S753" s="864" t="s">
        <v>147</v>
      </c>
      <c r="T753" s="212" t="s">
        <v>144</v>
      </c>
      <c r="U753" s="213" t="s">
        <v>144</v>
      </c>
      <c r="V753" s="847">
        <v>3</v>
      </c>
      <c r="W753" s="415" t="s">
        <v>144</v>
      </c>
      <c r="X753" s="212">
        <v>43</v>
      </c>
      <c r="Y753" s="212" t="s">
        <v>144</v>
      </c>
      <c r="Z753" s="214" t="s">
        <v>144</v>
      </c>
      <c r="AA753" s="240" t="s">
        <v>148</v>
      </c>
      <c r="AB753" s="206" t="s">
        <v>140</v>
      </c>
      <c r="AC753" s="847" t="s">
        <v>265</v>
      </c>
      <c r="AD753" s="847" t="s">
        <v>1690</v>
      </c>
      <c r="AE753" s="847" t="s">
        <v>144</v>
      </c>
      <c r="AF753" s="848" t="s">
        <v>144</v>
      </c>
      <c r="AG753" s="838"/>
      <c r="AH753" s="866" t="s">
        <v>266</v>
      </c>
      <c r="AI753" s="273" t="s">
        <v>267</v>
      </c>
      <c r="AJ753" s="847">
        <v>7</v>
      </c>
      <c r="AK753" s="848" t="s">
        <v>1046</v>
      </c>
      <c r="AL753" s="875" t="s">
        <v>294</v>
      </c>
      <c r="AM753" s="301" t="s">
        <v>295</v>
      </c>
      <c r="AN753" s="847">
        <v>7</v>
      </c>
      <c r="AO753" s="187" t="s">
        <v>966</v>
      </c>
      <c r="AP753" s="867"/>
      <c r="AQ753" s="273"/>
      <c r="AR753" s="847"/>
      <c r="AS753" s="848"/>
      <c r="AT753" s="867"/>
      <c r="AU753" s="273"/>
      <c r="AV753" s="847"/>
      <c r="AW753" s="848"/>
      <c r="AX753" s="867"/>
      <c r="AY753" s="273"/>
      <c r="AZ753" s="847"/>
      <c r="BA753" s="848"/>
      <c r="BB753" s="866"/>
      <c r="BC753" s="273"/>
      <c r="BD753" s="847"/>
      <c r="BE753" s="848"/>
      <c r="BF753" s="838"/>
    </row>
    <row r="754" spans="1:58" s="88" customFormat="1" ht="54" hidden="1" customHeight="1" x14ac:dyDescent="0.25">
      <c r="A754" s="267" t="s">
        <v>1687</v>
      </c>
      <c r="B754" s="268">
        <v>519</v>
      </c>
      <c r="C754" s="240" t="s">
        <v>2135</v>
      </c>
      <c r="D754" s="211" t="s">
        <v>2136</v>
      </c>
      <c r="E754" s="268" t="s">
        <v>6161</v>
      </c>
      <c r="F754" s="861" t="s">
        <v>6162</v>
      </c>
      <c r="G754" s="269" t="s">
        <v>6163</v>
      </c>
      <c r="H754" s="845" t="s">
        <v>6164</v>
      </c>
      <c r="I754" s="269" t="s">
        <v>6165</v>
      </c>
      <c r="J754" s="296" t="s">
        <v>140</v>
      </c>
      <c r="K754" s="297" t="s">
        <v>140</v>
      </c>
      <c r="L754" s="862" t="s">
        <v>6166</v>
      </c>
      <c r="M754" s="847" t="s">
        <v>973</v>
      </c>
      <c r="N754" s="270" t="s">
        <v>974</v>
      </c>
      <c r="O754" s="240" t="s">
        <v>6167</v>
      </c>
      <c r="P754" s="240" t="s">
        <v>6168</v>
      </c>
      <c r="Q754" s="845" t="s">
        <v>144</v>
      </c>
      <c r="R754" s="208" t="s">
        <v>144</v>
      </c>
      <c r="S754" s="864" t="s">
        <v>147</v>
      </c>
      <c r="T754" s="212" t="s">
        <v>144</v>
      </c>
      <c r="U754" s="213" t="s">
        <v>144</v>
      </c>
      <c r="V754" s="847">
        <v>12</v>
      </c>
      <c r="W754" s="415" t="s">
        <v>144</v>
      </c>
      <c r="X754" s="212">
        <v>43</v>
      </c>
      <c r="Y754" s="212" t="s">
        <v>144</v>
      </c>
      <c r="Z754" s="214" t="s">
        <v>25</v>
      </c>
      <c r="AA754" s="407" t="s">
        <v>6169</v>
      </c>
      <c r="AB754" s="206" t="s">
        <v>140</v>
      </c>
      <c r="AC754" s="847" t="s">
        <v>265</v>
      </c>
      <c r="AD754" s="847" t="s">
        <v>4688</v>
      </c>
      <c r="AE754" s="847" t="s">
        <v>144</v>
      </c>
      <c r="AF754" s="848" t="s">
        <v>144</v>
      </c>
      <c r="AG754" s="838"/>
      <c r="AH754" s="866" t="s">
        <v>6170</v>
      </c>
      <c r="AI754" s="273" t="s">
        <v>6171</v>
      </c>
      <c r="AJ754" s="847">
        <v>7</v>
      </c>
      <c r="AK754" s="286" t="s">
        <v>6172</v>
      </c>
      <c r="AL754" s="875" t="s">
        <v>294</v>
      </c>
      <c r="AM754" s="301" t="s">
        <v>295</v>
      </c>
      <c r="AN754" s="847">
        <v>7</v>
      </c>
      <c r="AO754" s="187" t="s">
        <v>966</v>
      </c>
      <c r="AP754" s="867"/>
      <c r="AQ754" s="273"/>
      <c r="AR754" s="847"/>
      <c r="AS754" s="848"/>
      <c r="AT754" s="867"/>
      <c r="AU754" s="273"/>
      <c r="AV754" s="847"/>
      <c r="AW754" s="848"/>
      <c r="AX754" s="867"/>
      <c r="AY754" s="273"/>
      <c r="AZ754" s="847"/>
      <c r="BA754" s="848"/>
      <c r="BB754" s="866"/>
      <c r="BC754" s="273"/>
      <c r="BD754" s="847"/>
      <c r="BE754" s="848"/>
      <c r="BF754" s="838"/>
    </row>
    <row r="755" spans="1:58" s="88" customFormat="1" ht="54" hidden="1" customHeight="1" x14ac:dyDescent="0.25">
      <c r="A755" s="267" t="s">
        <v>1687</v>
      </c>
      <c r="B755" s="268">
        <v>520</v>
      </c>
      <c r="C755" s="240" t="s">
        <v>2135</v>
      </c>
      <c r="D755" s="211" t="s">
        <v>2136</v>
      </c>
      <c r="E755" s="268" t="s">
        <v>6173</v>
      </c>
      <c r="F755" s="861" t="s">
        <v>6174</v>
      </c>
      <c r="G755" s="269" t="s">
        <v>6175</v>
      </c>
      <c r="H755" s="861" t="s">
        <v>6176</v>
      </c>
      <c r="I755" s="269" t="s">
        <v>6177</v>
      </c>
      <c r="J755" s="296" t="s">
        <v>140</v>
      </c>
      <c r="K755" s="297" t="s">
        <v>140</v>
      </c>
      <c r="L755" s="862" t="s">
        <v>6178</v>
      </c>
      <c r="M755" s="206" t="s">
        <v>973</v>
      </c>
      <c r="N755" s="270" t="s">
        <v>974</v>
      </c>
      <c r="O755" s="240" t="s">
        <v>144</v>
      </c>
      <c r="P755" s="240" t="s">
        <v>144</v>
      </c>
      <c r="Q755" s="845" t="s">
        <v>144</v>
      </c>
      <c r="R755" s="208" t="s">
        <v>144</v>
      </c>
      <c r="S755" s="864" t="s">
        <v>746</v>
      </c>
      <c r="T755" s="212" t="s">
        <v>1104</v>
      </c>
      <c r="U755" s="213" t="s">
        <v>1105</v>
      </c>
      <c r="V755" s="847">
        <v>19</v>
      </c>
      <c r="W755" s="415" t="s">
        <v>144</v>
      </c>
      <c r="X755" s="212">
        <v>43</v>
      </c>
      <c r="Y755" s="212" t="s">
        <v>144</v>
      </c>
      <c r="Z755" s="214" t="s">
        <v>25</v>
      </c>
      <c r="AA755" s="407" t="s">
        <v>6179</v>
      </c>
      <c r="AB755" s="206" t="s">
        <v>140</v>
      </c>
      <c r="AC755" s="847" t="s">
        <v>265</v>
      </c>
      <c r="AD755" s="847" t="s">
        <v>4688</v>
      </c>
      <c r="AE755" s="847" t="s">
        <v>144</v>
      </c>
      <c r="AF755" s="848" t="s">
        <v>144</v>
      </c>
      <c r="AG755" s="838"/>
      <c r="AH755" s="866" t="s">
        <v>6180</v>
      </c>
      <c r="AI755" s="273" t="s">
        <v>6181</v>
      </c>
      <c r="AJ755" s="847">
        <v>7</v>
      </c>
      <c r="AK755" s="286" t="s">
        <v>6182</v>
      </c>
      <c r="AL755" s="867"/>
      <c r="AM755" s="273"/>
      <c r="AN755" s="847"/>
      <c r="AO755" s="848"/>
      <c r="AP755" s="867"/>
      <c r="AQ755" s="273"/>
      <c r="AR755" s="847"/>
      <c r="AS755" s="848"/>
      <c r="AT755" s="867"/>
      <c r="AU755" s="273"/>
      <c r="AV755" s="847"/>
      <c r="AW755" s="848"/>
      <c r="AX755" s="867"/>
      <c r="AY755" s="273"/>
      <c r="AZ755" s="847"/>
      <c r="BA755" s="848"/>
      <c r="BB755" s="866"/>
      <c r="BC755" s="273"/>
      <c r="BD755" s="847"/>
      <c r="BE755" s="848"/>
      <c r="BF755" s="838"/>
    </row>
    <row r="756" spans="1:58" s="88" customFormat="1" ht="54" hidden="1" customHeight="1" x14ac:dyDescent="0.25">
      <c r="A756" s="267" t="s">
        <v>1687</v>
      </c>
      <c r="B756" s="268">
        <v>521</v>
      </c>
      <c r="C756" s="240" t="s">
        <v>2135</v>
      </c>
      <c r="D756" s="211" t="s">
        <v>2136</v>
      </c>
      <c r="E756" s="268" t="s">
        <v>6183</v>
      </c>
      <c r="F756" s="861" t="s">
        <v>6184</v>
      </c>
      <c r="G756" s="269" t="s">
        <v>6185</v>
      </c>
      <c r="H756" s="207" t="s">
        <v>6186</v>
      </c>
      <c r="I756" s="269" t="s">
        <v>6187</v>
      </c>
      <c r="J756" s="296" t="s">
        <v>140</v>
      </c>
      <c r="K756" s="297" t="s">
        <v>140</v>
      </c>
      <c r="L756" s="862" t="s">
        <v>6188</v>
      </c>
      <c r="M756" s="847" t="s">
        <v>973</v>
      </c>
      <c r="N756" s="270" t="s">
        <v>974</v>
      </c>
      <c r="O756" s="240" t="s">
        <v>6167</v>
      </c>
      <c r="P756" s="240" t="s">
        <v>6168</v>
      </c>
      <c r="Q756" s="845" t="s">
        <v>6189</v>
      </c>
      <c r="R756" s="208" t="s">
        <v>6190</v>
      </c>
      <c r="S756" s="864" t="s">
        <v>147</v>
      </c>
      <c r="T756" s="212" t="s">
        <v>144</v>
      </c>
      <c r="U756" s="213" t="s">
        <v>144</v>
      </c>
      <c r="V756" s="847">
        <v>12</v>
      </c>
      <c r="W756" s="415" t="s">
        <v>144</v>
      </c>
      <c r="X756" s="212">
        <v>43</v>
      </c>
      <c r="Y756" s="212" t="s">
        <v>144</v>
      </c>
      <c r="Z756" s="214" t="s">
        <v>25</v>
      </c>
      <c r="AA756" s="407" t="s">
        <v>6179</v>
      </c>
      <c r="AB756" s="206" t="s">
        <v>140</v>
      </c>
      <c r="AC756" s="847" t="s">
        <v>265</v>
      </c>
      <c r="AD756" s="847" t="s">
        <v>2541</v>
      </c>
      <c r="AE756" s="847" t="s">
        <v>144</v>
      </c>
      <c r="AF756" s="848" t="s">
        <v>144</v>
      </c>
      <c r="AG756" s="838"/>
      <c r="AH756" s="866" t="s">
        <v>2596</v>
      </c>
      <c r="AI756" s="273" t="s">
        <v>2597</v>
      </c>
      <c r="AJ756" s="847">
        <v>6</v>
      </c>
      <c r="AK756" s="848" t="s">
        <v>2598</v>
      </c>
      <c r="AL756" s="875" t="s">
        <v>294</v>
      </c>
      <c r="AM756" s="301" t="s">
        <v>295</v>
      </c>
      <c r="AN756" s="847">
        <v>7</v>
      </c>
      <c r="AO756" s="187" t="s">
        <v>966</v>
      </c>
      <c r="AP756" s="867"/>
      <c r="AQ756" s="273"/>
      <c r="AR756" s="847"/>
      <c r="AS756" s="848"/>
      <c r="AT756" s="867"/>
      <c r="AU756" s="273"/>
      <c r="AV756" s="847"/>
      <c r="AW756" s="848"/>
      <c r="AX756" s="867"/>
      <c r="AY756" s="273"/>
      <c r="AZ756" s="847"/>
      <c r="BA756" s="848"/>
      <c r="BB756" s="866"/>
      <c r="BC756" s="273"/>
      <c r="BD756" s="847"/>
      <c r="BE756" s="848"/>
      <c r="BF756" s="838"/>
    </row>
    <row r="757" spans="1:58" s="88" customFormat="1" ht="54" hidden="1" customHeight="1" x14ac:dyDescent="0.25">
      <c r="A757" s="267" t="s">
        <v>1687</v>
      </c>
      <c r="B757" s="268">
        <v>522</v>
      </c>
      <c r="C757" s="240" t="s">
        <v>2135</v>
      </c>
      <c r="D757" s="211" t="s">
        <v>2136</v>
      </c>
      <c r="E757" s="268" t="s">
        <v>6191</v>
      </c>
      <c r="F757" s="861" t="s">
        <v>6192</v>
      </c>
      <c r="G757" s="269" t="s">
        <v>6193</v>
      </c>
      <c r="H757" s="861" t="s">
        <v>6194</v>
      </c>
      <c r="I757" s="269" t="s">
        <v>6195</v>
      </c>
      <c r="J757" s="296" t="s">
        <v>140</v>
      </c>
      <c r="K757" s="297" t="s">
        <v>140</v>
      </c>
      <c r="L757" s="862" t="s">
        <v>6196</v>
      </c>
      <c r="M757" s="206" t="s">
        <v>973</v>
      </c>
      <c r="N757" s="270" t="s">
        <v>974</v>
      </c>
      <c r="O757" s="240" t="s">
        <v>144</v>
      </c>
      <c r="P757" s="240" t="s">
        <v>144</v>
      </c>
      <c r="Q757" s="845" t="s">
        <v>144</v>
      </c>
      <c r="R757" s="208" t="s">
        <v>144</v>
      </c>
      <c r="S757" s="864" t="s">
        <v>746</v>
      </c>
      <c r="T757" s="212" t="s">
        <v>1104</v>
      </c>
      <c r="U757" s="213" t="s">
        <v>1105</v>
      </c>
      <c r="V757" s="847">
        <v>19</v>
      </c>
      <c r="W757" s="415" t="s">
        <v>144</v>
      </c>
      <c r="X757" s="212">
        <v>43</v>
      </c>
      <c r="Y757" s="212" t="s">
        <v>144</v>
      </c>
      <c r="Z757" s="214" t="s">
        <v>25</v>
      </c>
      <c r="AA757" s="407" t="s">
        <v>6179</v>
      </c>
      <c r="AB757" s="206" t="s">
        <v>140</v>
      </c>
      <c r="AC757" s="847" t="s">
        <v>265</v>
      </c>
      <c r="AD757" s="847" t="s">
        <v>2541</v>
      </c>
      <c r="AE757" s="847" t="s">
        <v>144</v>
      </c>
      <c r="AF757" s="848" t="s">
        <v>144</v>
      </c>
      <c r="AG757" s="838"/>
      <c r="AH757" s="866" t="s">
        <v>6197</v>
      </c>
      <c r="AI757" s="273" t="s">
        <v>6198</v>
      </c>
      <c r="AJ757" s="847">
        <v>7</v>
      </c>
      <c r="AK757" s="286" t="s">
        <v>6199</v>
      </c>
      <c r="AL757" s="867"/>
      <c r="AM757" s="273"/>
      <c r="AN757" s="847"/>
      <c r="AO757" s="848"/>
      <c r="AP757" s="867"/>
      <c r="AQ757" s="273"/>
      <c r="AR757" s="847"/>
      <c r="AS757" s="848"/>
      <c r="AT757" s="867"/>
      <c r="AU757" s="273"/>
      <c r="AV757" s="847"/>
      <c r="AW757" s="848"/>
      <c r="AX757" s="867"/>
      <c r="AY757" s="273"/>
      <c r="AZ757" s="847"/>
      <c r="BA757" s="848"/>
      <c r="BB757" s="866"/>
      <c r="BC757" s="273"/>
      <c r="BD757" s="847"/>
      <c r="BE757" s="848"/>
      <c r="BF757" s="838"/>
    </row>
    <row r="758" spans="1:58" s="88" customFormat="1" ht="54" hidden="1" customHeight="1" x14ac:dyDescent="0.25">
      <c r="A758" s="267" t="s">
        <v>1687</v>
      </c>
      <c r="B758" s="268">
        <v>523</v>
      </c>
      <c r="C758" s="240" t="s">
        <v>2135</v>
      </c>
      <c r="D758" s="211" t="s">
        <v>2136</v>
      </c>
      <c r="E758" s="268" t="s">
        <v>6200</v>
      </c>
      <c r="F758" s="299" t="s">
        <v>6201</v>
      </c>
      <c r="G758" s="269" t="s">
        <v>6202</v>
      </c>
      <c r="H758" s="861" t="s">
        <v>6203</v>
      </c>
      <c r="I758" s="269" t="s">
        <v>6204</v>
      </c>
      <c r="J758" s="296" t="s">
        <v>140</v>
      </c>
      <c r="K758" s="297" t="s">
        <v>140</v>
      </c>
      <c r="L758" s="862" t="s">
        <v>6205</v>
      </c>
      <c r="M758" s="847" t="s">
        <v>973</v>
      </c>
      <c r="N758" s="253" t="s">
        <v>974</v>
      </c>
      <c r="O758" s="240" t="s">
        <v>6167</v>
      </c>
      <c r="P758" s="240" t="s">
        <v>6168</v>
      </c>
      <c r="Q758" s="845" t="s">
        <v>144</v>
      </c>
      <c r="R758" s="208" t="s">
        <v>144</v>
      </c>
      <c r="S758" s="864" t="s">
        <v>147</v>
      </c>
      <c r="T758" s="212" t="s">
        <v>144</v>
      </c>
      <c r="U758" s="213" t="s">
        <v>144</v>
      </c>
      <c r="V758" s="847">
        <v>12</v>
      </c>
      <c r="W758" s="415" t="s">
        <v>144</v>
      </c>
      <c r="X758" s="212">
        <v>43</v>
      </c>
      <c r="Y758" s="212" t="s">
        <v>144</v>
      </c>
      <c r="Z758" s="214" t="s">
        <v>25</v>
      </c>
      <c r="AA758" s="407" t="s">
        <v>6179</v>
      </c>
      <c r="AB758" s="206" t="s">
        <v>140</v>
      </c>
      <c r="AC758" s="847" t="s">
        <v>265</v>
      </c>
      <c r="AD758" s="847" t="s">
        <v>4688</v>
      </c>
      <c r="AE758" s="847" t="s">
        <v>144</v>
      </c>
      <c r="AF758" s="848" t="s">
        <v>144</v>
      </c>
      <c r="AG758" s="838"/>
      <c r="AH758" s="866" t="s">
        <v>6206</v>
      </c>
      <c r="AI758" s="273" t="s">
        <v>6207</v>
      </c>
      <c r="AJ758" s="847">
        <v>6</v>
      </c>
      <c r="AK758" s="848" t="s">
        <v>6208</v>
      </c>
      <c r="AL758" s="875" t="s">
        <v>294</v>
      </c>
      <c r="AM758" s="301" t="s">
        <v>295</v>
      </c>
      <c r="AN758" s="847">
        <v>7</v>
      </c>
      <c r="AO758" s="187" t="s">
        <v>966</v>
      </c>
      <c r="AP758" s="867"/>
      <c r="AQ758" s="273"/>
      <c r="AR758" s="847"/>
      <c r="AS758" s="848"/>
      <c r="AT758" s="867"/>
      <c r="AU758" s="273"/>
      <c r="AV758" s="847"/>
      <c r="AW758" s="848"/>
      <c r="AX758" s="867"/>
      <c r="AY758" s="273"/>
      <c r="AZ758" s="847"/>
      <c r="BA758" s="848"/>
      <c r="BB758" s="866"/>
      <c r="BC758" s="273"/>
      <c r="BD758" s="847"/>
      <c r="BE758" s="848"/>
      <c r="BF758" s="838"/>
    </row>
    <row r="759" spans="1:58" s="88" customFormat="1" ht="54" hidden="1" customHeight="1" x14ac:dyDescent="0.25">
      <c r="A759" s="267" t="s">
        <v>1687</v>
      </c>
      <c r="B759" s="268">
        <v>524</v>
      </c>
      <c r="C759" s="240" t="s">
        <v>2135</v>
      </c>
      <c r="D759" s="211" t="s">
        <v>2136</v>
      </c>
      <c r="E759" s="268" t="s">
        <v>6209</v>
      </c>
      <c r="F759" s="861" t="s">
        <v>6210</v>
      </c>
      <c r="G759" s="269" t="s">
        <v>6211</v>
      </c>
      <c r="H759" s="861" t="s">
        <v>6212</v>
      </c>
      <c r="I759" s="269" t="s">
        <v>6213</v>
      </c>
      <c r="J759" s="296" t="s">
        <v>140</v>
      </c>
      <c r="K759" s="297" t="s">
        <v>140</v>
      </c>
      <c r="L759" s="862" t="s">
        <v>6214</v>
      </c>
      <c r="M759" s="206" t="s">
        <v>973</v>
      </c>
      <c r="N759" s="270" t="s">
        <v>974</v>
      </c>
      <c r="O759" s="240" t="s">
        <v>144</v>
      </c>
      <c r="P759" s="240" t="s">
        <v>144</v>
      </c>
      <c r="Q759" s="845" t="s">
        <v>144</v>
      </c>
      <c r="R759" s="208" t="s">
        <v>144</v>
      </c>
      <c r="S759" s="864" t="s">
        <v>746</v>
      </c>
      <c r="T759" s="212" t="s">
        <v>1104</v>
      </c>
      <c r="U759" s="213" t="s">
        <v>1105</v>
      </c>
      <c r="V759" s="847">
        <v>19</v>
      </c>
      <c r="W759" s="415" t="s">
        <v>144</v>
      </c>
      <c r="X759" s="212">
        <v>43</v>
      </c>
      <c r="Y759" s="212" t="s">
        <v>144</v>
      </c>
      <c r="Z759" s="214" t="s">
        <v>25</v>
      </c>
      <c r="AA759" s="407" t="s">
        <v>6179</v>
      </c>
      <c r="AB759" s="206" t="s">
        <v>140</v>
      </c>
      <c r="AC759" s="847" t="s">
        <v>265</v>
      </c>
      <c r="AD759" s="847" t="s">
        <v>4688</v>
      </c>
      <c r="AE759" s="847" t="s">
        <v>144</v>
      </c>
      <c r="AF759" s="848" t="s">
        <v>144</v>
      </c>
      <c r="AG759" s="838"/>
      <c r="AH759" s="866" t="s">
        <v>6215</v>
      </c>
      <c r="AI759" s="273" t="s">
        <v>6216</v>
      </c>
      <c r="AJ759" s="847">
        <v>7</v>
      </c>
      <c r="AK759" s="286" t="s">
        <v>6217</v>
      </c>
      <c r="AL759" s="867"/>
      <c r="AM759" s="273"/>
      <c r="AN759" s="847"/>
      <c r="AO759" s="848"/>
      <c r="AP759" s="867"/>
      <c r="AQ759" s="273"/>
      <c r="AR759" s="847"/>
      <c r="AS759" s="848"/>
      <c r="AT759" s="867"/>
      <c r="AU759" s="273"/>
      <c r="AV759" s="847"/>
      <c r="AW759" s="848"/>
      <c r="AX759" s="867"/>
      <c r="AY759" s="273"/>
      <c r="AZ759" s="847"/>
      <c r="BA759" s="848"/>
      <c r="BB759" s="866"/>
      <c r="BC759" s="273"/>
      <c r="BD759" s="847"/>
      <c r="BE759" s="848"/>
      <c r="BF759" s="838"/>
    </row>
    <row r="760" spans="1:58" s="88" customFormat="1" ht="54" hidden="1" customHeight="1" x14ac:dyDescent="0.25">
      <c r="A760" s="267" t="s">
        <v>1687</v>
      </c>
      <c r="B760" s="268">
        <v>525</v>
      </c>
      <c r="C760" s="240" t="s">
        <v>2135</v>
      </c>
      <c r="D760" s="211" t="s">
        <v>2136</v>
      </c>
      <c r="E760" s="268" t="s">
        <v>6218</v>
      </c>
      <c r="F760" s="861" t="s">
        <v>6219</v>
      </c>
      <c r="G760" s="269" t="s">
        <v>6220</v>
      </c>
      <c r="H760" s="299" t="s">
        <v>6221</v>
      </c>
      <c r="I760" s="269" t="s">
        <v>6222</v>
      </c>
      <c r="J760" s="296" t="s">
        <v>140</v>
      </c>
      <c r="K760" s="297" t="s">
        <v>140</v>
      </c>
      <c r="L760" s="721" t="s">
        <v>6223</v>
      </c>
      <c r="M760" s="847" t="s">
        <v>973</v>
      </c>
      <c r="N760" s="270" t="s">
        <v>974</v>
      </c>
      <c r="O760" s="240" t="s">
        <v>6167</v>
      </c>
      <c r="P760" s="240" t="s">
        <v>6168</v>
      </c>
      <c r="Q760" s="845" t="s">
        <v>144</v>
      </c>
      <c r="R760" s="208" t="s">
        <v>144</v>
      </c>
      <c r="S760" s="864" t="s">
        <v>147</v>
      </c>
      <c r="T760" s="212" t="s">
        <v>144</v>
      </c>
      <c r="U760" s="213" t="s">
        <v>144</v>
      </c>
      <c r="V760" s="847">
        <v>12</v>
      </c>
      <c r="W760" s="415" t="s">
        <v>144</v>
      </c>
      <c r="X760" s="212">
        <v>43</v>
      </c>
      <c r="Y760" s="212" t="s">
        <v>144</v>
      </c>
      <c r="Z760" s="214" t="s">
        <v>144</v>
      </c>
      <c r="AA760" s="240" t="s">
        <v>148</v>
      </c>
      <c r="AB760" s="206" t="s">
        <v>140</v>
      </c>
      <c r="AC760" s="847" t="s">
        <v>265</v>
      </c>
      <c r="AD760" s="847" t="s">
        <v>6224</v>
      </c>
      <c r="AE760" s="847" t="s">
        <v>144</v>
      </c>
      <c r="AF760" s="848" t="s">
        <v>144</v>
      </c>
      <c r="AG760" s="838"/>
      <c r="AH760" s="866" t="s">
        <v>6225</v>
      </c>
      <c r="AI760" s="273" t="s">
        <v>6226</v>
      </c>
      <c r="AJ760" s="847">
        <v>6</v>
      </c>
      <c r="AK760" s="286" t="s">
        <v>6227</v>
      </c>
      <c r="AL760" s="875" t="s">
        <v>294</v>
      </c>
      <c r="AM760" s="301" t="s">
        <v>295</v>
      </c>
      <c r="AN760" s="847">
        <v>7</v>
      </c>
      <c r="AO760" s="187" t="s">
        <v>966</v>
      </c>
      <c r="AP760" s="867"/>
      <c r="AQ760" s="273"/>
      <c r="AR760" s="847"/>
      <c r="AS760" s="848"/>
      <c r="AT760" s="867"/>
      <c r="AU760" s="273"/>
      <c r="AV760" s="847"/>
      <c r="AW760" s="848"/>
      <c r="AX760" s="867"/>
      <c r="AY760" s="273"/>
      <c r="AZ760" s="847"/>
      <c r="BA760" s="848"/>
      <c r="BB760" s="866"/>
      <c r="BC760" s="273"/>
      <c r="BD760" s="847"/>
      <c r="BE760" s="848"/>
      <c r="BF760" s="838"/>
    </row>
    <row r="761" spans="1:58" s="88" customFormat="1" ht="54" hidden="1" customHeight="1" x14ac:dyDescent="0.25">
      <c r="A761" s="267" t="s">
        <v>1687</v>
      </c>
      <c r="B761" s="268">
        <v>526</v>
      </c>
      <c r="C761" s="240" t="s">
        <v>2135</v>
      </c>
      <c r="D761" s="211" t="s">
        <v>2136</v>
      </c>
      <c r="E761" s="268" t="s">
        <v>6228</v>
      </c>
      <c r="F761" s="861" t="s">
        <v>6229</v>
      </c>
      <c r="G761" s="269" t="s">
        <v>6230</v>
      </c>
      <c r="H761" s="861" t="s">
        <v>6231</v>
      </c>
      <c r="I761" s="269" t="s">
        <v>6232</v>
      </c>
      <c r="J761" s="296" t="s">
        <v>140</v>
      </c>
      <c r="K761" s="297" t="s">
        <v>140</v>
      </c>
      <c r="L761" s="721" t="s">
        <v>6233</v>
      </c>
      <c r="M761" s="847" t="s">
        <v>973</v>
      </c>
      <c r="N761" s="270" t="s">
        <v>974</v>
      </c>
      <c r="O761" s="240" t="s">
        <v>144</v>
      </c>
      <c r="P761" s="240" t="s">
        <v>144</v>
      </c>
      <c r="Q761" s="845" t="s">
        <v>144</v>
      </c>
      <c r="R761" s="208" t="s">
        <v>144</v>
      </c>
      <c r="S761" s="864" t="s">
        <v>746</v>
      </c>
      <c r="T761" s="212" t="s">
        <v>1104</v>
      </c>
      <c r="U761" s="213" t="s">
        <v>1105</v>
      </c>
      <c r="V761" s="847">
        <v>19</v>
      </c>
      <c r="W761" s="415" t="s">
        <v>144</v>
      </c>
      <c r="X761" s="212">
        <v>43</v>
      </c>
      <c r="Y761" s="212" t="s">
        <v>144</v>
      </c>
      <c r="Z761" s="214" t="s">
        <v>144</v>
      </c>
      <c r="AA761" s="240" t="s">
        <v>148</v>
      </c>
      <c r="AB761" s="206" t="s">
        <v>140</v>
      </c>
      <c r="AC761" s="847" t="s">
        <v>265</v>
      </c>
      <c r="AD761" s="847" t="s">
        <v>6224</v>
      </c>
      <c r="AE761" s="847" t="s">
        <v>144</v>
      </c>
      <c r="AF761" s="848" t="s">
        <v>144</v>
      </c>
      <c r="AG761" s="838"/>
      <c r="AH761" s="866" t="s">
        <v>6234</v>
      </c>
      <c r="AI761" s="273" t="s">
        <v>6235</v>
      </c>
      <c r="AJ761" s="847">
        <v>7</v>
      </c>
      <c r="AK761" s="848" t="s">
        <v>6236</v>
      </c>
      <c r="AL761" s="867"/>
      <c r="AM761" s="273"/>
      <c r="AN761" s="847"/>
      <c r="AO761" s="848"/>
      <c r="AP761" s="867"/>
      <c r="AQ761" s="273"/>
      <c r="AR761" s="847"/>
      <c r="AS761" s="848"/>
      <c r="AT761" s="867"/>
      <c r="AU761" s="273"/>
      <c r="AV761" s="847"/>
      <c r="AW761" s="848"/>
      <c r="AX761" s="867"/>
      <c r="AY761" s="273"/>
      <c r="AZ761" s="847"/>
      <c r="BA761" s="848"/>
      <c r="BB761" s="866"/>
      <c r="BC761" s="273"/>
      <c r="BD761" s="847"/>
      <c r="BE761" s="848"/>
      <c r="BF761" s="838"/>
    </row>
    <row r="762" spans="1:58" s="88" customFormat="1" ht="54" hidden="1" customHeight="1" x14ac:dyDescent="0.25">
      <c r="A762" s="267" t="s">
        <v>1687</v>
      </c>
      <c r="B762" s="268">
        <v>527</v>
      </c>
      <c r="C762" s="240" t="s">
        <v>2135</v>
      </c>
      <c r="D762" s="211" t="s">
        <v>2136</v>
      </c>
      <c r="E762" s="268" t="s">
        <v>6237</v>
      </c>
      <c r="F762" s="861" t="s">
        <v>6238</v>
      </c>
      <c r="G762" s="269" t="s">
        <v>6239</v>
      </c>
      <c r="H762" s="299" t="s">
        <v>6240</v>
      </c>
      <c r="I762" s="269" t="s">
        <v>6241</v>
      </c>
      <c r="J762" s="296" t="s">
        <v>140</v>
      </c>
      <c r="K762" s="297" t="s">
        <v>140</v>
      </c>
      <c r="L762" s="862" t="s">
        <v>6242</v>
      </c>
      <c r="M762" s="847" t="s">
        <v>973</v>
      </c>
      <c r="N762" s="270" t="s">
        <v>974</v>
      </c>
      <c r="O762" s="240" t="s">
        <v>6167</v>
      </c>
      <c r="P762" s="240" t="s">
        <v>6168</v>
      </c>
      <c r="Q762" s="845" t="s">
        <v>144</v>
      </c>
      <c r="R762" s="208" t="s">
        <v>144</v>
      </c>
      <c r="S762" s="864" t="s">
        <v>147</v>
      </c>
      <c r="T762" s="212" t="s">
        <v>144</v>
      </c>
      <c r="U762" s="213" t="s">
        <v>144</v>
      </c>
      <c r="V762" s="847">
        <v>12</v>
      </c>
      <c r="W762" s="415" t="s">
        <v>144</v>
      </c>
      <c r="X762" s="212">
        <v>43</v>
      </c>
      <c r="Y762" s="212" t="s">
        <v>144</v>
      </c>
      <c r="Z762" s="214" t="s">
        <v>144</v>
      </c>
      <c r="AA762" s="240" t="s">
        <v>148</v>
      </c>
      <c r="AB762" s="206" t="s">
        <v>140</v>
      </c>
      <c r="AC762" s="847" t="s">
        <v>265</v>
      </c>
      <c r="AD762" s="847" t="s">
        <v>3817</v>
      </c>
      <c r="AE762" s="847" t="s">
        <v>144</v>
      </c>
      <c r="AF762" s="848" t="s">
        <v>144</v>
      </c>
      <c r="AG762" s="838"/>
      <c r="AH762" s="866" t="s">
        <v>3818</v>
      </c>
      <c r="AI762" s="273" t="s">
        <v>3819</v>
      </c>
      <c r="AJ762" s="847">
        <v>6</v>
      </c>
      <c r="AK762" s="286" t="s">
        <v>3820</v>
      </c>
      <c r="AL762" s="875" t="s">
        <v>294</v>
      </c>
      <c r="AM762" s="301" t="s">
        <v>295</v>
      </c>
      <c r="AN762" s="847">
        <v>7</v>
      </c>
      <c r="AO762" s="187" t="s">
        <v>966</v>
      </c>
      <c r="AP762" s="867"/>
      <c r="AQ762" s="273"/>
      <c r="AR762" s="847"/>
      <c r="AS762" s="848"/>
      <c r="AT762" s="867"/>
      <c r="AU762" s="273"/>
      <c r="AV762" s="847"/>
      <c r="AW762" s="848"/>
      <c r="AX762" s="867"/>
      <c r="AY762" s="273"/>
      <c r="AZ762" s="847"/>
      <c r="BA762" s="848"/>
      <c r="BB762" s="866"/>
      <c r="BC762" s="273"/>
      <c r="BD762" s="847"/>
      <c r="BE762" s="848"/>
      <c r="BF762" s="838"/>
    </row>
    <row r="763" spans="1:58" s="88" customFormat="1" ht="54" hidden="1" customHeight="1" x14ac:dyDescent="0.25">
      <c r="A763" s="267" t="s">
        <v>1687</v>
      </c>
      <c r="B763" s="268">
        <v>528</v>
      </c>
      <c r="C763" s="240" t="s">
        <v>2135</v>
      </c>
      <c r="D763" s="211" t="s">
        <v>2136</v>
      </c>
      <c r="E763" s="268" t="s">
        <v>6243</v>
      </c>
      <c r="F763" s="861" t="s">
        <v>6244</v>
      </c>
      <c r="G763" s="269" t="s">
        <v>6245</v>
      </c>
      <c r="H763" s="861" t="s">
        <v>6246</v>
      </c>
      <c r="I763" s="269" t="s">
        <v>6247</v>
      </c>
      <c r="J763" s="296" t="s">
        <v>140</v>
      </c>
      <c r="K763" s="297" t="s">
        <v>140</v>
      </c>
      <c r="L763" s="862" t="s">
        <v>6248</v>
      </c>
      <c r="M763" s="847" t="s">
        <v>973</v>
      </c>
      <c r="N763" s="270" t="s">
        <v>974</v>
      </c>
      <c r="O763" s="240" t="s">
        <v>144</v>
      </c>
      <c r="P763" s="240" t="s">
        <v>144</v>
      </c>
      <c r="Q763" s="845" t="s">
        <v>144</v>
      </c>
      <c r="R763" s="208" t="s">
        <v>144</v>
      </c>
      <c r="S763" s="864" t="s">
        <v>746</v>
      </c>
      <c r="T763" s="212" t="s">
        <v>1104</v>
      </c>
      <c r="U763" s="213" t="s">
        <v>1105</v>
      </c>
      <c r="V763" s="847">
        <v>19</v>
      </c>
      <c r="W763" s="415" t="s">
        <v>144</v>
      </c>
      <c r="X763" s="212">
        <v>43</v>
      </c>
      <c r="Y763" s="212" t="s">
        <v>144</v>
      </c>
      <c r="Z763" s="214" t="s">
        <v>144</v>
      </c>
      <c r="AA763" s="240" t="s">
        <v>148</v>
      </c>
      <c r="AB763" s="206" t="s">
        <v>140</v>
      </c>
      <c r="AC763" s="847" t="s">
        <v>265</v>
      </c>
      <c r="AD763" s="847" t="s">
        <v>3817</v>
      </c>
      <c r="AE763" s="847" t="s">
        <v>144</v>
      </c>
      <c r="AF763" s="848" t="s">
        <v>144</v>
      </c>
      <c r="AG763" s="838"/>
      <c r="AH763" s="866" t="s">
        <v>6249</v>
      </c>
      <c r="AI763" s="273" t="s">
        <v>6250</v>
      </c>
      <c r="AJ763" s="847">
        <v>7</v>
      </c>
      <c r="AK763" s="848" t="s">
        <v>6251</v>
      </c>
      <c r="AL763" s="867"/>
      <c r="AM763" s="273"/>
      <c r="AN763" s="847"/>
      <c r="AO763" s="848"/>
      <c r="AP763" s="867"/>
      <c r="AQ763" s="273"/>
      <c r="AR763" s="847"/>
      <c r="AS763" s="848"/>
      <c r="AT763" s="867"/>
      <c r="AU763" s="273"/>
      <c r="AV763" s="847"/>
      <c r="AW763" s="848"/>
      <c r="AX763" s="867"/>
      <c r="AY763" s="273"/>
      <c r="AZ763" s="847"/>
      <c r="BA763" s="848"/>
      <c r="BB763" s="866"/>
      <c r="BC763" s="273"/>
      <c r="BD763" s="847"/>
      <c r="BE763" s="848"/>
      <c r="BF763" s="838"/>
    </row>
    <row r="764" spans="1:58" s="88" customFormat="1" ht="54" hidden="1" customHeight="1" x14ac:dyDescent="0.25">
      <c r="A764" s="267" t="s">
        <v>1687</v>
      </c>
      <c r="B764" s="268">
        <v>529</v>
      </c>
      <c r="C764" s="240" t="s">
        <v>2135</v>
      </c>
      <c r="D764" s="211" t="s">
        <v>2136</v>
      </c>
      <c r="E764" s="268" t="s">
        <v>6252</v>
      </c>
      <c r="F764" s="861" t="s">
        <v>6253</v>
      </c>
      <c r="G764" s="269" t="s">
        <v>6254</v>
      </c>
      <c r="H764" s="861" t="s">
        <v>6255</v>
      </c>
      <c r="I764" s="269" t="s">
        <v>6256</v>
      </c>
      <c r="J764" s="296" t="s">
        <v>140</v>
      </c>
      <c r="K764" s="297" t="s">
        <v>140</v>
      </c>
      <c r="L764" s="862" t="s">
        <v>6257</v>
      </c>
      <c r="M764" s="847" t="s">
        <v>193</v>
      </c>
      <c r="N764" s="270" t="s">
        <v>194</v>
      </c>
      <c r="O764" s="240" t="s">
        <v>6167</v>
      </c>
      <c r="P764" s="240" t="s">
        <v>6168</v>
      </c>
      <c r="Q764" s="845" t="s">
        <v>144</v>
      </c>
      <c r="R764" s="208" t="s">
        <v>144</v>
      </c>
      <c r="S764" s="864" t="s">
        <v>147</v>
      </c>
      <c r="T764" s="212" t="s">
        <v>144</v>
      </c>
      <c r="U764" s="213" t="s">
        <v>144</v>
      </c>
      <c r="V764" s="847">
        <v>12</v>
      </c>
      <c r="W764" s="415" t="s">
        <v>144</v>
      </c>
      <c r="X764" s="212">
        <v>43</v>
      </c>
      <c r="Y764" s="212" t="s">
        <v>144</v>
      </c>
      <c r="Z764" s="214" t="s">
        <v>144</v>
      </c>
      <c r="AA764" s="240" t="s">
        <v>148</v>
      </c>
      <c r="AB764" s="206" t="s">
        <v>140</v>
      </c>
      <c r="AC764" s="847" t="s">
        <v>265</v>
      </c>
      <c r="AD764" s="847" t="s">
        <v>6258</v>
      </c>
      <c r="AE764" s="847" t="s">
        <v>144</v>
      </c>
      <c r="AF764" s="848" t="s">
        <v>144</v>
      </c>
      <c r="AG764" s="838"/>
      <c r="AH764" s="339"/>
      <c r="AI764" s="313"/>
      <c r="AJ764" s="289"/>
      <c r="AK764" s="314"/>
      <c r="AL764" s="875" t="s">
        <v>294</v>
      </c>
      <c r="AM764" s="301" t="s">
        <v>295</v>
      </c>
      <c r="AN764" s="847">
        <v>7</v>
      </c>
      <c r="AO764" s="187" t="s">
        <v>966</v>
      </c>
      <c r="AP764" s="867"/>
      <c r="AQ764" s="273"/>
      <c r="AR764" s="847"/>
      <c r="AS764" s="848"/>
      <c r="AT764" s="867" t="s">
        <v>6259</v>
      </c>
      <c r="AU764" s="273" t="s">
        <v>6260</v>
      </c>
      <c r="AV764" s="847">
        <v>6</v>
      </c>
      <c r="AW764" s="848" t="s">
        <v>6261</v>
      </c>
      <c r="AX764" s="867"/>
      <c r="AY764" s="273"/>
      <c r="AZ764" s="847"/>
      <c r="BA764" s="848"/>
      <c r="BB764" s="866"/>
      <c r="BC764" s="273"/>
      <c r="BD764" s="847"/>
      <c r="BE764" s="848"/>
      <c r="BF764" s="838"/>
    </row>
    <row r="765" spans="1:58" s="88" customFormat="1" ht="54" hidden="1" customHeight="1" x14ac:dyDescent="0.25">
      <c r="A765" s="267" t="s">
        <v>1687</v>
      </c>
      <c r="B765" s="268">
        <v>530</v>
      </c>
      <c r="C765" s="240" t="s">
        <v>2135</v>
      </c>
      <c r="D765" s="211" t="s">
        <v>2136</v>
      </c>
      <c r="E765" s="268" t="s">
        <v>6262</v>
      </c>
      <c r="F765" s="861" t="s">
        <v>6263</v>
      </c>
      <c r="G765" s="269" t="s">
        <v>6264</v>
      </c>
      <c r="H765" s="861" t="s">
        <v>6265</v>
      </c>
      <c r="I765" s="269" t="s">
        <v>6266</v>
      </c>
      <c r="J765" s="296" t="s">
        <v>140</v>
      </c>
      <c r="K765" s="297" t="s">
        <v>140</v>
      </c>
      <c r="L765" s="862" t="s">
        <v>6267</v>
      </c>
      <c r="M765" s="847" t="s">
        <v>973</v>
      </c>
      <c r="N765" s="270" t="s">
        <v>974</v>
      </c>
      <c r="O765" s="240" t="s">
        <v>144</v>
      </c>
      <c r="P765" s="240" t="s">
        <v>144</v>
      </c>
      <c r="Q765" s="845" t="s">
        <v>144</v>
      </c>
      <c r="R765" s="208" t="s">
        <v>144</v>
      </c>
      <c r="S765" s="864" t="s">
        <v>746</v>
      </c>
      <c r="T765" s="212" t="s">
        <v>1104</v>
      </c>
      <c r="U765" s="213" t="s">
        <v>1105</v>
      </c>
      <c r="V765" s="847">
        <v>19</v>
      </c>
      <c r="W765" s="415" t="s">
        <v>144</v>
      </c>
      <c r="X765" s="212">
        <v>43</v>
      </c>
      <c r="Y765" s="212" t="s">
        <v>144</v>
      </c>
      <c r="Z765" s="214" t="s">
        <v>144</v>
      </c>
      <c r="AA765" s="240" t="s">
        <v>148</v>
      </c>
      <c r="AB765" s="206" t="s">
        <v>140</v>
      </c>
      <c r="AC765" s="847" t="s">
        <v>265</v>
      </c>
      <c r="AD765" s="847" t="s">
        <v>6258</v>
      </c>
      <c r="AE765" s="847" t="s">
        <v>144</v>
      </c>
      <c r="AF765" s="848" t="s">
        <v>144</v>
      </c>
      <c r="AG765" s="838"/>
      <c r="AH765" s="866" t="s">
        <v>6268</v>
      </c>
      <c r="AI765" s="273" t="s">
        <v>6269</v>
      </c>
      <c r="AJ765" s="847">
        <v>7</v>
      </c>
      <c r="AK765" s="286" t="s">
        <v>6270</v>
      </c>
      <c r="AL765" s="867"/>
      <c r="AM765" s="273"/>
      <c r="AN765" s="847"/>
      <c r="AO765" s="848"/>
      <c r="AP765" s="867"/>
      <c r="AQ765" s="273"/>
      <c r="AR765" s="847"/>
      <c r="AS765" s="848"/>
      <c r="AT765" s="867"/>
      <c r="AU765" s="273"/>
      <c r="AV765" s="847"/>
      <c r="AW765" s="848"/>
      <c r="AX765" s="867"/>
      <c r="AY765" s="273"/>
      <c r="AZ765" s="847"/>
      <c r="BA765" s="848"/>
      <c r="BB765" s="866"/>
      <c r="BC765" s="273"/>
      <c r="BD765" s="847"/>
      <c r="BE765" s="848"/>
      <c r="BF765" s="838"/>
    </row>
    <row r="766" spans="1:58" s="88" customFormat="1" ht="54" hidden="1" customHeight="1" x14ac:dyDescent="0.25">
      <c r="A766" s="267" t="s">
        <v>1687</v>
      </c>
      <c r="B766" s="268">
        <v>531</v>
      </c>
      <c r="C766" s="240" t="s">
        <v>6271</v>
      </c>
      <c r="D766" s="211" t="s">
        <v>6272</v>
      </c>
      <c r="E766" s="268" t="s">
        <v>6273</v>
      </c>
      <c r="F766" s="861" t="s">
        <v>6274</v>
      </c>
      <c r="G766" s="269" t="s">
        <v>6275</v>
      </c>
      <c r="H766" s="861" t="s">
        <v>6276</v>
      </c>
      <c r="I766" s="269" t="s">
        <v>6277</v>
      </c>
      <c r="J766" s="296" t="s">
        <v>140</v>
      </c>
      <c r="K766" s="297" t="s">
        <v>140</v>
      </c>
      <c r="L766" s="862" t="s">
        <v>6278</v>
      </c>
      <c r="M766" s="847" t="s">
        <v>973</v>
      </c>
      <c r="N766" s="270" t="s">
        <v>974</v>
      </c>
      <c r="O766" s="240" t="s">
        <v>6279</v>
      </c>
      <c r="P766" s="240" t="s">
        <v>6280</v>
      </c>
      <c r="Q766" s="845" t="s">
        <v>6281</v>
      </c>
      <c r="R766" s="208" t="s">
        <v>6282</v>
      </c>
      <c r="S766" s="864" t="s">
        <v>147</v>
      </c>
      <c r="T766" s="212" t="s">
        <v>144</v>
      </c>
      <c r="U766" s="213" t="s">
        <v>144</v>
      </c>
      <c r="V766" s="847">
        <v>2</v>
      </c>
      <c r="W766" s="415" t="s">
        <v>144</v>
      </c>
      <c r="X766" s="212">
        <v>44</v>
      </c>
      <c r="Y766" s="212" t="s">
        <v>144</v>
      </c>
      <c r="Z766" s="241" t="s">
        <v>144</v>
      </c>
      <c r="AA766" s="240" t="s">
        <v>6283</v>
      </c>
      <c r="AB766" s="206" t="s">
        <v>140</v>
      </c>
      <c r="AC766" s="847" t="s">
        <v>265</v>
      </c>
      <c r="AD766" s="847" t="s">
        <v>6284</v>
      </c>
      <c r="AE766" s="847" t="s">
        <v>144</v>
      </c>
      <c r="AF766" s="848" t="s">
        <v>144</v>
      </c>
      <c r="AG766" s="838"/>
      <c r="AH766" s="884" t="s">
        <v>6285</v>
      </c>
      <c r="AI766" s="315" t="s">
        <v>6286</v>
      </c>
      <c r="AJ766" s="903">
        <v>6</v>
      </c>
      <c r="AK766" s="848" t="s">
        <v>6287</v>
      </c>
      <c r="AL766" s="915" t="s">
        <v>294</v>
      </c>
      <c r="AM766" s="315" t="s">
        <v>295</v>
      </c>
      <c r="AN766" s="903">
        <v>7</v>
      </c>
      <c r="AO766" s="187" t="s">
        <v>966</v>
      </c>
      <c r="AP766" s="915"/>
      <c r="AQ766" s="315"/>
      <c r="AR766" s="903"/>
      <c r="AS766" s="916"/>
      <c r="AT766" s="915"/>
      <c r="AU766" s="315"/>
      <c r="AV766" s="903"/>
      <c r="AW766" s="916"/>
      <c r="AX766" s="915"/>
      <c r="AY766" s="315"/>
      <c r="AZ766" s="903"/>
      <c r="BA766" s="916"/>
      <c r="BB766" s="884"/>
      <c r="BC766" s="315"/>
      <c r="BD766" s="903"/>
      <c r="BE766" s="916"/>
      <c r="BF766" s="838"/>
    </row>
    <row r="767" spans="1:58" s="88" customFormat="1" ht="54" hidden="1" customHeight="1" x14ac:dyDescent="0.25">
      <c r="A767" s="267" t="s">
        <v>1687</v>
      </c>
      <c r="B767" s="268">
        <v>532</v>
      </c>
      <c r="C767" s="240" t="s">
        <v>6271</v>
      </c>
      <c r="D767" s="211" t="s">
        <v>6272</v>
      </c>
      <c r="E767" s="268" t="s">
        <v>6288</v>
      </c>
      <c r="F767" s="861" t="s">
        <v>6289</v>
      </c>
      <c r="G767" s="269" t="s">
        <v>6290</v>
      </c>
      <c r="H767" s="861" t="s">
        <v>6291</v>
      </c>
      <c r="I767" s="269" t="s">
        <v>6292</v>
      </c>
      <c r="J767" s="296" t="s">
        <v>140</v>
      </c>
      <c r="K767" s="297" t="s">
        <v>140</v>
      </c>
      <c r="L767" s="862" t="s">
        <v>6293</v>
      </c>
      <c r="M767" s="847" t="s">
        <v>973</v>
      </c>
      <c r="N767" s="270" t="s">
        <v>974</v>
      </c>
      <c r="O767" s="240" t="s">
        <v>144</v>
      </c>
      <c r="P767" s="240" t="s">
        <v>144</v>
      </c>
      <c r="Q767" s="845" t="s">
        <v>144</v>
      </c>
      <c r="R767" s="208" t="s">
        <v>144</v>
      </c>
      <c r="S767" s="864" t="s">
        <v>233</v>
      </c>
      <c r="T767" s="212" t="s">
        <v>234</v>
      </c>
      <c r="U767" s="213" t="s">
        <v>235</v>
      </c>
      <c r="V767" s="847">
        <v>8</v>
      </c>
      <c r="W767" s="415" t="s">
        <v>144</v>
      </c>
      <c r="X767" s="212">
        <v>44</v>
      </c>
      <c r="Y767" s="212" t="s">
        <v>144</v>
      </c>
      <c r="Z767" s="241" t="s">
        <v>144</v>
      </c>
      <c r="AA767" s="240" t="s">
        <v>6283</v>
      </c>
      <c r="AB767" s="206" t="s">
        <v>140</v>
      </c>
      <c r="AC767" s="847" t="s">
        <v>265</v>
      </c>
      <c r="AD767" s="847" t="s">
        <v>6284</v>
      </c>
      <c r="AE767" s="847" t="s">
        <v>144</v>
      </c>
      <c r="AF767" s="848" t="s">
        <v>144</v>
      </c>
      <c r="AG767" s="838"/>
      <c r="AH767" s="884" t="s">
        <v>6285</v>
      </c>
      <c r="AI767" s="315" t="s">
        <v>6286</v>
      </c>
      <c r="AJ767" s="903">
        <v>6</v>
      </c>
      <c r="AK767" s="848" t="s">
        <v>6287</v>
      </c>
      <c r="AL767" s="915"/>
      <c r="AM767" s="315"/>
      <c r="AN767" s="903"/>
      <c r="AO767" s="916"/>
      <c r="AP767" s="867" t="s">
        <v>1160</v>
      </c>
      <c r="AQ767" s="273" t="s">
        <v>1161</v>
      </c>
      <c r="AR767" s="847">
        <v>7</v>
      </c>
      <c r="AS767" s="848" t="s">
        <v>1162</v>
      </c>
      <c r="AT767" s="915"/>
      <c r="AU767" s="315"/>
      <c r="AV767" s="903"/>
      <c r="AW767" s="916"/>
      <c r="AX767" s="915"/>
      <c r="AY767" s="315"/>
      <c r="AZ767" s="903"/>
      <c r="BA767" s="916"/>
      <c r="BB767" s="884"/>
      <c r="BC767" s="315"/>
      <c r="BD767" s="903"/>
      <c r="BE767" s="916"/>
      <c r="BF767" s="838"/>
    </row>
    <row r="768" spans="1:58" s="88" customFormat="1" ht="54" hidden="1" customHeight="1" x14ac:dyDescent="0.25">
      <c r="A768" s="267" t="s">
        <v>1687</v>
      </c>
      <c r="B768" s="268">
        <v>533</v>
      </c>
      <c r="C768" s="240" t="s">
        <v>6271</v>
      </c>
      <c r="D768" s="211" t="s">
        <v>6272</v>
      </c>
      <c r="E768" s="268" t="s">
        <v>6294</v>
      </c>
      <c r="F768" s="861" t="s">
        <v>6295</v>
      </c>
      <c r="G768" s="269" t="s">
        <v>6296</v>
      </c>
      <c r="H768" s="861" t="s">
        <v>6297</v>
      </c>
      <c r="I768" s="269" t="s">
        <v>6298</v>
      </c>
      <c r="J768" s="296" t="s">
        <v>140</v>
      </c>
      <c r="K768" s="297" t="s">
        <v>140</v>
      </c>
      <c r="L768" s="862" t="s">
        <v>6299</v>
      </c>
      <c r="M768" s="847" t="s">
        <v>973</v>
      </c>
      <c r="N768" s="270" t="s">
        <v>974</v>
      </c>
      <c r="O768" s="240" t="s">
        <v>144</v>
      </c>
      <c r="P768" s="240" t="s">
        <v>144</v>
      </c>
      <c r="Q768" s="845" t="s">
        <v>144</v>
      </c>
      <c r="R768" s="208" t="s">
        <v>144</v>
      </c>
      <c r="S768" s="864" t="s">
        <v>746</v>
      </c>
      <c r="T768" s="212" t="s">
        <v>5682</v>
      </c>
      <c r="U768" s="213" t="s">
        <v>5683</v>
      </c>
      <c r="V768" s="847">
        <v>6</v>
      </c>
      <c r="W768" s="415" t="s">
        <v>144</v>
      </c>
      <c r="X768" s="212">
        <v>44</v>
      </c>
      <c r="Y768" s="212" t="s">
        <v>144</v>
      </c>
      <c r="Z768" s="241" t="s">
        <v>144</v>
      </c>
      <c r="AA768" s="240" t="s">
        <v>6283</v>
      </c>
      <c r="AB768" s="206" t="s">
        <v>140</v>
      </c>
      <c r="AC768" s="847" t="s">
        <v>265</v>
      </c>
      <c r="AD768" s="847" t="s">
        <v>6284</v>
      </c>
      <c r="AE768" s="847" t="s">
        <v>144</v>
      </c>
      <c r="AF768" s="848" t="s">
        <v>144</v>
      </c>
      <c r="AG768" s="838"/>
      <c r="AH768" s="884" t="s">
        <v>6285</v>
      </c>
      <c r="AI768" s="315" t="s">
        <v>6286</v>
      </c>
      <c r="AJ768" s="903">
        <v>6</v>
      </c>
      <c r="AK768" s="848" t="s">
        <v>6287</v>
      </c>
      <c r="AL768" s="915"/>
      <c r="AM768" s="315"/>
      <c r="AN768" s="903"/>
      <c r="AO768" s="916"/>
      <c r="AP768" s="915" t="s">
        <v>1107</v>
      </c>
      <c r="AQ768" s="315" t="s">
        <v>1108</v>
      </c>
      <c r="AR768" s="903">
        <v>7</v>
      </c>
      <c r="AS768" s="286" t="s">
        <v>1109</v>
      </c>
      <c r="AT768" s="915"/>
      <c r="AU768" s="315"/>
      <c r="AV768" s="903"/>
      <c r="AW768" s="916"/>
      <c r="AX768" s="915"/>
      <c r="AY768" s="315"/>
      <c r="AZ768" s="903"/>
      <c r="BA768" s="916"/>
      <c r="BB768" s="884"/>
      <c r="BC768" s="315"/>
      <c r="BD768" s="903"/>
      <c r="BE768" s="916"/>
      <c r="BF768" s="838"/>
    </row>
    <row r="769" spans="1:58" s="88" customFormat="1" ht="54" hidden="1" customHeight="1" x14ac:dyDescent="0.25">
      <c r="A769" s="267" t="s">
        <v>1687</v>
      </c>
      <c r="B769" s="268">
        <v>534</v>
      </c>
      <c r="C769" s="240" t="s">
        <v>6271</v>
      </c>
      <c r="D769" s="211" t="s">
        <v>6272</v>
      </c>
      <c r="E769" s="268" t="s">
        <v>6300</v>
      </c>
      <c r="F769" s="861" t="s">
        <v>6301</v>
      </c>
      <c r="G769" s="269" t="s">
        <v>6302</v>
      </c>
      <c r="H769" s="861" t="s">
        <v>6303</v>
      </c>
      <c r="I769" s="269" t="s">
        <v>6304</v>
      </c>
      <c r="J769" s="296" t="s">
        <v>140</v>
      </c>
      <c r="K769" s="297" t="s">
        <v>140</v>
      </c>
      <c r="L769" s="862" t="s">
        <v>6305</v>
      </c>
      <c r="M769" s="847" t="s">
        <v>193</v>
      </c>
      <c r="N769" s="270" t="s">
        <v>194</v>
      </c>
      <c r="O769" s="240" t="s">
        <v>6306</v>
      </c>
      <c r="P769" s="240" t="s">
        <v>6307</v>
      </c>
      <c r="Q769" s="845" t="s">
        <v>6308</v>
      </c>
      <c r="R769" s="208" t="s">
        <v>6309</v>
      </c>
      <c r="S769" s="864" t="s">
        <v>147</v>
      </c>
      <c r="T769" s="212" t="s">
        <v>144</v>
      </c>
      <c r="U769" s="213" t="s">
        <v>144</v>
      </c>
      <c r="V769" s="847">
        <v>2</v>
      </c>
      <c r="W769" s="415" t="s">
        <v>144</v>
      </c>
      <c r="X769" s="212">
        <v>44</v>
      </c>
      <c r="Y769" s="212" t="s">
        <v>144</v>
      </c>
      <c r="Z769" s="214" t="s">
        <v>144</v>
      </c>
      <c r="AA769" s="240" t="s">
        <v>6283</v>
      </c>
      <c r="AB769" s="206" t="s">
        <v>140</v>
      </c>
      <c r="AC769" s="847" t="s">
        <v>265</v>
      </c>
      <c r="AD769" s="847" t="s">
        <v>6284</v>
      </c>
      <c r="AE769" s="847" t="s">
        <v>144</v>
      </c>
      <c r="AF769" s="848" t="s">
        <v>144</v>
      </c>
      <c r="AG769" s="838"/>
      <c r="AH769" s="884"/>
      <c r="AI769" s="315"/>
      <c r="AJ769" s="903"/>
      <c r="AK769" s="916"/>
      <c r="AL769" s="915" t="s">
        <v>294</v>
      </c>
      <c r="AM769" s="315" t="s">
        <v>295</v>
      </c>
      <c r="AN769" s="903">
        <v>7</v>
      </c>
      <c r="AO769" s="187" t="s">
        <v>966</v>
      </c>
      <c r="AP769" s="915"/>
      <c r="AQ769" s="315"/>
      <c r="AR769" s="903"/>
      <c r="AS769" s="916"/>
      <c r="AT769" s="915"/>
      <c r="AU769" s="315"/>
      <c r="AV769" s="903"/>
      <c r="AW769" s="916"/>
      <c r="AX769" s="915"/>
      <c r="AY769" s="315"/>
      <c r="AZ769" s="903"/>
      <c r="BA769" s="916"/>
      <c r="BB769" s="884"/>
      <c r="BC769" s="315"/>
      <c r="BD769" s="903"/>
      <c r="BE769" s="916"/>
      <c r="BF769" s="838"/>
    </row>
    <row r="770" spans="1:58" s="88" customFormat="1" ht="54" hidden="1" customHeight="1" x14ac:dyDescent="0.25">
      <c r="A770" s="267" t="s">
        <v>1687</v>
      </c>
      <c r="B770" s="268">
        <v>535</v>
      </c>
      <c r="C770" s="240" t="s">
        <v>6271</v>
      </c>
      <c r="D770" s="211" t="s">
        <v>6272</v>
      </c>
      <c r="E770" s="268" t="s">
        <v>6310</v>
      </c>
      <c r="F770" s="861" t="s">
        <v>6311</v>
      </c>
      <c r="G770" s="269" t="s">
        <v>6312</v>
      </c>
      <c r="H770" s="861" t="s">
        <v>6313</v>
      </c>
      <c r="I770" s="269" t="s">
        <v>6314</v>
      </c>
      <c r="J770" s="296" t="s">
        <v>140</v>
      </c>
      <c r="K770" s="297" t="s">
        <v>140</v>
      </c>
      <c r="L770" s="862" t="s">
        <v>6315</v>
      </c>
      <c r="M770" s="847" t="s">
        <v>973</v>
      </c>
      <c r="N770" s="270" t="s">
        <v>974</v>
      </c>
      <c r="O770" s="240" t="s">
        <v>6316</v>
      </c>
      <c r="P770" s="240" t="s">
        <v>6317</v>
      </c>
      <c r="Q770" s="845" t="s">
        <v>144</v>
      </c>
      <c r="R770" s="208" t="s">
        <v>144</v>
      </c>
      <c r="S770" s="864" t="s">
        <v>147</v>
      </c>
      <c r="T770" s="212" t="s">
        <v>144</v>
      </c>
      <c r="U770" s="213" t="s">
        <v>144</v>
      </c>
      <c r="V770" s="847">
        <v>1</v>
      </c>
      <c r="W770" s="415" t="s">
        <v>144</v>
      </c>
      <c r="X770" s="212">
        <v>44</v>
      </c>
      <c r="Y770" s="212" t="s">
        <v>144</v>
      </c>
      <c r="Z770" s="241" t="s">
        <v>144</v>
      </c>
      <c r="AA770" s="240" t="s">
        <v>6283</v>
      </c>
      <c r="AB770" s="206" t="s">
        <v>140</v>
      </c>
      <c r="AC770" s="847" t="s">
        <v>265</v>
      </c>
      <c r="AD770" s="847" t="s">
        <v>6284</v>
      </c>
      <c r="AE770" s="847" t="s">
        <v>144</v>
      </c>
      <c r="AF770" s="848" t="s">
        <v>144</v>
      </c>
      <c r="AG770" s="838"/>
      <c r="AH770" s="884" t="s">
        <v>6285</v>
      </c>
      <c r="AI770" s="315" t="s">
        <v>6286</v>
      </c>
      <c r="AJ770" s="903">
        <v>6</v>
      </c>
      <c r="AK770" s="848" t="s">
        <v>6287</v>
      </c>
      <c r="AL770" s="915" t="s">
        <v>294</v>
      </c>
      <c r="AM770" s="315" t="s">
        <v>295</v>
      </c>
      <c r="AN770" s="903">
        <v>7</v>
      </c>
      <c r="AO770" s="187" t="s">
        <v>966</v>
      </c>
      <c r="AP770" s="915"/>
      <c r="AQ770" s="315"/>
      <c r="AR770" s="903"/>
      <c r="AS770" s="916"/>
      <c r="AT770" s="915"/>
      <c r="AU770" s="315"/>
      <c r="AV770" s="903"/>
      <c r="AW770" s="916"/>
      <c r="AX770" s="915"/>
      <c r="AY770" s="315"/>
      <c r="AZ770" s="903"/>
      <c r="BA770" s="916"/>
      <c r="BB770" s="884"/>
      <c r="BC770" s="315"/>
      <c r="BD770" s="903"/>
      <c r="BE770" s="916"/>
      <c r="BF770" s="838"/>
    </row>
    <row r="771" spans="1:58" s="88" customFormat="1" ht="54" hidden="1" customHeight="1" x14ac:dyDescent="0.25">
      <c r="A771" s="267" t="s">
        <v>1687</v>
      </c>
      <c r="B771" s="268">
        <v>536</v>
      </c>
      <c r="C771" s="240" t="s">
        <v>6271</v>
      </c>
      <c r="D771" s="211" t="s">
        <v>6272</v>
      </c>
      <c r="E771" s="268" t="s">
        <v>6318</v>
      </c>
      <c r="F771" s="861" t="s">
        <v>6319</v>
      </c>
      <c r="G771" s="269" t="s">
        <v>6320</v>
      </c>
      <c r="H771" s="861" t="s">
        <v>6321</v>
      </c>
      <c r="I771" s="269" t="s">
        <v>6322</v>
      </c>
      <c r="J771" s="296" t="s">
        <v>140</v>
      </c>
      <c r="K771" s="297" t="s">
        <v>140</v>
      </c>
      <c r="L771" s="862" t="s">
        <v>6323</v>
      </c>
      <c r="M771" s="847" t="s">
        <v>973</v>
      </c>
      <c r="N771" s="270" t="s">
        <v>974</v>
      </c>
      <c r="O771" s="240" t="s">
        <v>6324</v>
      </c>
      <c r="P771" s="240" t="s">
        <v>6325</v>
      </c>
      <c r="Q771" s="845" t="s">
        <v>144</v>
      </c>
      <c r="R771" s="208" t="s">
        <v>144</v>
      </c>
      <c r="S771" s="864" t="s">
        <v>147</v>
      </c>
      <c r="T771" s="212" t="s">
        <v>144</v>
      </c>
      <c r="U771" s="213" t="s">
        <v>144</v>
      </c>
      <c r="V771" s="847">
        <v>1</v>
      </c>
      <c r="W771" s="415" t="s">
        <v>144</v>
      </c>
      <c r="X771" s="212">
        <v>44</v>
      </c>
      <c r="Y771" s="212" t="s">
        <v>144</v>
      </c>
      <c r="Z771" s="241" t="s">
        <v>144</v>
      </c>
      <c r="AA771" s="240" t="s">
        <v>6283</v>
      </c>
      <c r="AB771" s="206" t="s">
        <v>140</v>
      </c>
      <c r="AC771" s="847" t="s">
        <v>265</v>
      </c>
      <c r="AD771" s="847" t="s">
        <v>6284</v>
      </c>
      <c r="AE771" s="847" t="s">
        <v>144</v>
      </c>
      <c r="AF771" s="848" t="s">
        <v>144</v>
      </c>
      <c r="AG771" s="838"/>
      <c r="AH771" s="884" t="s">
        <v>6285</v>
      </c>
      <c r="AI771" s="315" t="s">
        <v>6286</v>
      </c>
      <c r="AJ771" s="903">
        <v>6</v>
      </c>
      <c r="AK771" s="848" t="s">
        <v>6287</v>
      </c>
      <c r="AL771" s="915" t="s">
        <v>294</v>
      </c>
      <c r="AM771" s="315" t="s">
        <v>295</v>
      </c>
      <c r="AN771" s="903">
        <v>7</v>
      </c>
      <c r="AO771" s="187" t="s">
        <v>966</v>
      </c>
      <c r="AP771" s="915"/>
      <c r="AQ771" s="315"/>
      <c r="AR771" s="903"/>
      <c r="AS771" s="916"/>
      <c r="AT771" s="915"/>
      <c r="AU771" s="315"/>
      <c r="AV771" s="903"/>
      <c r="AW771" s="916"/>
      <c r="AX771" s="915"/>
      <c r="AY771" s="315"/>
      <c r="AZ771" s="903"/>
      <c r="BA771" s="916"/>
      <c r="BB771" s="884"/>
      <c r="BC771" s="315"/>
      <c r="BD771" s="903"/>
      <c r="BE771" s="916"/>
      <c r="BF771" s="838"/>
    </row>
    <row r="772" spans="1:58" s="88" customFormat="1" ht="54" hidden="1" customHeight="1" x14ac:dyDescent="0.25">
      <c r="A772" s="267" t="s">
        <v>1687</v>
      </c>
      <c r="B772" s="268">
        <v>537</v>
      </c>
      <c r="C772" s="240" t="s">
        <v>6271</v>
      </c>
      <c r="D772" s="211" t="s">
        <v>6272</v>
      </c>
      <c r="E772" s="268" t="s">
        <v>6326</v>
      </c>
      <c r="F772" s="861" t="s">
        <v>6327</v>
      </c>
      <c r="G772" s="269" t="s">
        <v>6328</v>
      </c>
      <c r="H772" s="861" t="s">
        <v>6329</v>
      </c>
      <c r="I772" s="269" t="s">
        <v>6330</v>
      </c>
      <c r="J772" s="296" t="s">
        <v>140</v>
      </c>
      <c r="K772" s="297" t="s">
        <v>140</v>
      </c>
      <c r="L772" s="862" t="s">
        <v>6331</v>
      </c>
      <c r="M772" s="847" t="s">
        <v>973</v>
      </c>
      <c r="N772" s="270" t="s">
        <v>974</v>
      </c>
      <c r="O772" s="240" t="s">
        <v>6332</v>
      </c>
      <c r="P772" s="240" t="s">
        <v>6333</v>
      </c>
      <c r="Q772" s="845" t="s">
        <v>144</v>
      </c>
      <c r="R772" s="208" t="s">
        <v>144</v>
      </c>
      <c r="S772" s="864" t="s">
        <v>147</v>
      </c>
      <c r="T772" s="212" t="s">
        <v>144</v>
      </c>
      <c r="U772" s="213" t="s">
        <v>144</v>
      </c>
      <c r="V772" s="847">
        <v>2</v>
      </c>
      <c r="W772" s="415" t="s">
        <v>144</v>
      </c>
      <c r="X772" s="212">
        <v>44</v>
      </c>
      <c r="Y772" s="212" t="s">
        <v>144</v>
      </c>
      <c r="Z772" s="241" t="s">
        <v>144</v>
      </c>
      <c r="AA772" s="240" t="s">
        <v>6283</v>
      </c>
      <c r="AB772" s="206" t="s">
        <v>140</v>
      </c>
      <c r="AC772" s="847" t="s">
        <v>265</v>
      </c>
      <c r="AD772" s="847" t="s">
        <v>6284</v>
      </c>
      <c r="AE772" s="847" t="s">
        <v>144</v>
      </c>
      <c r="AF772" s="848" t="s">
        <v>144</v>
      </c>
      <c r="AG772" s="838"/>
      <c r="AH772" s="884" t="s">
        <v>6285</v>
      </c>
      <c r="AI772" s="315" t="s">
        <v>6286</v>
      </c>
      <c r="AJ772" s="903">
        <v>6</v>
      </c>
      <c r="AK772" s="848" t="s">
        <v>6287</v>
      </c>
      <c r="AL772" s="915" t="s">
        <v>294</v>
      </c>
      <c r="AM772" s="315" t="s">
        <v>295</v>
      </c>
      <c r="AN772" s="903">
        <v>7</v>
      </c>
      <c r="AO772" s="187" t="s">
        <v>966</v>
      </c>
      <c r="AP772" s="915"/>
      <c r="AQ772" s="315"/>
      <c r="AR772" s="903"/>
      <c r="AS772" s="916"/>
      <c r="AT772" s="915"/>
      <c r="AU772" s="315"/>
      <c r="AV772" s="903"/>
      <c r="AW772" s="916"/>
      <c r="AX772" s="915"/>
      <c r="AY772" s="315"/>
      <c r="AZ772" s="903"/>
      <c r="BA772" s="916"/>
      <c r="BB772" s="884"/>
      <c r="BC772" s="315"/>
      <c r="BD772" s="903"/>
      <c r="BE772" s="916"/>
      <c r="BF772" s="838"/>
    </row>
    <row r="773" spans="1:58" s="88" customFormat="1" ht="54" hidden="1" customHeight="1" x14ac:dyDescent="0.25">
      <c r="A773" s="267" t="s">
        <v>1687</v>
      </c>
      <c r="B773" s="268">
        <v>538</v>
      </c>
      <c r="C773" s="240" t="s">
        <v>6271</v>
      </c>
      <c r="D773" s="211" t="s">
        <v>6272</v>
      </c>
      <c r="E773" s="268" t="s">
        <v>6334</v>
      </c>
      <c r="F773" s="861" t="s">
        <v>6335</v>
      </c>
      <c r="G773" s="269" t="s">
        <v>6336</v>
      </c>
      <c r="H773" s="861" t="s">
        <v>6335</v>
      </c>
      <c r="I773" s="269" t="s">
        <v>6336</v>
      </c>
      <c r="J773" s="296" t="s">
        <v>140</v>
      </c>
      <c r="K773" s="297" t="s">
        <v>140</v>
      </c>
      <c r="L773" s="862" t="s">
        <v>6337</v>
      </c>
      <c r="M773" s="847" t="s">
        <v>973</v>
      </c>
      <c r="N773" s="270" t="s">
        <v>974</v>
      </c>
      <c r="O773" s="240" t="s">
        <v>144</v>
      </c>
      <c r="P773" s="240" t="s">
        <v>144</v>
      </c>
      <c r="Q773" s="845" t="s">
        <v>144</v>
      </c>
      <c r="R773" s="208" t="s">
        <v>144</v>
      </c>
      <c r="S773" s="864" t="s">
        <v>746</v>
      </c>
      <c r="T773" s="212" t="s">
        <v>1104</v>
      </c>
      <c r="U773" s="213" t="s">
        <v>1105</v>
      </c>
      <c r="V773" s="847">
        <v>19</v>
      </c>
      <c r="W773" s="415" t="s">
        <v>144</v>
      </c>
      <c r="X773" s="212">
        <v>44</v>
      </c>
      <c r="Y773" s="212" t="s">
        <v>144</v>
      </c>
      <c r="Z773" s="241" t="s">
        <v>144</v>
      </c>
      <c r="AA773" s="240" t="s">
        <v>6283</v>
      </c>
      <c r="AB773" s="206" t="s">
        <v>140</v>
      </c>
      <c r="AC773" s="847" t="s">
        <v>265</v>
      </c>
      <c r="AD773" s="847" t="s">
        <v>6284</v>
      </c>
      <c r="AE773" s="847" t="s">
        <v>144</v>
      </c>
      <c r="AF773" s="848" t="s">
        <v>144</v>
      </c>
      <c r="AG773" s="838"/>
      <c r="AH773" s="884" t="s">
        <v>6285</v>
      </c>
      <c r="AI773" s="315" t="s">
        <v>6286</v>
      </c>
      <c r="AJ773" s="903">
        <v>6</v>
      </c>
      <c r="AK773" s="848" t="s">
        <v>6287</v>
      </c>
      <c r="AL773" s="915"/>
      <c r="AM773" s="315"/>
      <c r="AN773" s="903"/>
      <c r="AO773" s="916"/>
      <c r="AP773" s="915"/>
      <c r="AQ773" s="315"/>
      <c r="AR773" s="903"/>
      <c r="AS773" s="916"/>
      <c r="AT773" s="915"/>
      <c r="AU773" s="315"/>
      <c r="AV773" s="903"/>
      <c r="AW773" s="916"/>
      <c r="AX773" s="915"/>
      <c r="AY773" s="315"/>
      <c r="AZ773" s="903"/>
      <c r="BA773" s="916"/>
      <c r="BB773" s="884"/>
      <c r="BC773" s="315"/>
      <c r="BD773" s="903"/>
      <c r="BE773" s="916"/>
      <c r="BF773" s="838"/>
    </row>
    <row r="774" spans="1:58" s="88" customFormat="1" ht="54" hidden="1" customHeight="1" x14ac:dyDescent="0.25">
      <c r="A774" s="267" t="s">
        <v>1687</v>
      </c>
      <c r="B774" s="268">
        <v>539</v>
      </c>
      <c r="C774" s="240" t="s">
        <v>6271</v>
      </c>
      <c r="D774" s="211" t="s">
        <v>6272</v>
      </c>
      <c r="E774" s="268" t="s">
        <v>6338</v>
      </c>
      <c r="F774" s="861" t="s">
        <v>6339</v>
      </c>
      <c r="G774" s="269" t="s">
        <v>6340</v>
      </c>
      <c r="H774" s="861" t="s">
        <v>6339</v>
      </c>
      <c r="I774" s="269" t="s">
        <v>6340</v>
      </c>
      <c r="J774" s="296" t="s">
        <v>140</v>
      </c>
      <c r="K774" s="297" t="s">
        <v>140</v>
      </c>
      <c r="L774" s="862" t="s">
        <v>6341</v>
      </c>
      <c r="M774" s="847" t="s">
        <v>973</v>
      </c>
      <c r="N774" s="270" t="s">
        <v>974</v>
      </c>
      <c r="O774" s="240" t="s">
        <v>814</v>
      </c>
      <c r="P774" s="240" t="s">
        <v>815</v>
      </c>
      <c r="Q774" s="845" t="s">
        <v>144</v>
      </c>
      <c r="R774" s="208" t="s">
        <v>144</v>
      </c>
      <c r="S774" s="864" t="s">
        <v>147</v>
      </c>
      <c r="T774" s="212" t="s">
        <v>144</v>
      </c>
      <c r="U774" s="213" t="s">
        <v>144</v>
      </c>
      <c r="V774" s="847">
        <v>3</v>
      </c>
      <c r="W774" s="415" t="s">
        <v>144</v>
      </c>
      <c r="X774" s="212">
        <v>44</v>
      </c>
      <c r="Y774" s="212" t="s">
        <v>144</v>
      </c>
      <c r="Z774" s="241" t="s">
        <v>144</v>
      </c>
      <c r="AA774" s="240" t="s">
        <v>6283</v>
      </c>
      <c r="AB774" s="206" t="s">
        <v>140</v>
      </c>
      <c r="AC774" s="847" t="s">
        <v>265</v>
      </c>
      <c r="AD774" s="847" t="s">
        <v>6284</v>
      </c>
      <c r="AE774" s="847" t="s">
        <v>144</v>
      </c>
      <c r="AF774" s="848" t="s">
        <v>144</v>
      </c>
      <c r="AG774" s="838"/>
      <c r="AH774" s="884" t="s">
        <v>6342</v>
      </c>
      <c r="AI774" s="315" t="s">
        <v>6343</v>
      </c>
      <c r="AJ774" s="903">
        <v>7</v>
      </c>
      <c r="AK774" s="848" t="s">
        <v>1280</v>
      </c>
      <c r="AL774" s="915" t="s">
        <v>294</v>
      </c>
      <c r="AM774" s="315" t="s">
        <v>295</v>
      </c>
      <c r="AN774" s="903">
        <v>7</v>
      </c>
      <c r="AO774" s="187" t="s">
        <v>966</v>
      </c>
      <c r="AP774" s="915"/>
      <c r="AQ774" s="315"/>
      <c r="AR774" s="903"/>
      <c r="AS774" s="916"/>
      <c r="AT774" s="915"/>
      <c r="AU774" s="315"/>
      <c r="AV774" s="903"/>
      <c r="AW774" s="916"/>
      <c r="AX774" s="915"/>
      <c r="AY774" s="315"/>
      <c r="AZ774" s="903"/>
      <c r="BA774" s="916"/>
      <c r="BB774" s="884"/>
      <c r="BC774" s="315"/>
      <c r="BD774" s="903"/>
      <c r="BE774" s="916"/>
      <c r="BF774" s="838"/>
    </row>
    <row r="775" spans="1:58" s="88" customFormat="1" ht="54" hidden="1" customHeight="1" x14ac:dyDescent="0.25">
      <c r="A775" s="267" t="s">
        <v>1687</v>
      </c>
      <c r="B775" s="268">
        <v>540</v>
      </c>
      <c r="C775" s="240" t="s">
        <v>2170</v>
      </c>
      <c r="D775" s="211" t="s">
        <v>2171</v>
      </c>
      <c r="E775" s="268" t="s">
        <v>6344</v>
      </c>
      <c r="F775" s="861" t="s">
        <v>6345</v>
      </c>
      <c r="G775" s="269" t="s">
        <v>6346</v>
      </c>
      <c r="H775" s="861" t="s">
        <v>6347</v>
      </c>
      <c r="I775" s="269" t="s">
        <v>6348</v>
      </c>
      <c r="J775" s="296" t="s">
        <v>140</v>
      </c>
      <c r="K775" s="297" t="s">
        <v>140</v>
      </c>
      <c r="L775" s="862" t="s">
        <v>6349</v>
      </c>
      <c r="M775" s="847" t="s">
        <v>193</v>
      </c>
      <c r="N775" s="270" t="s">
        <v>194</v>
      </c>
      <c r="O775" s="240" t="s">
        <v>6350</v>
      </c>
      <c r="P775" s="240" t="s">
        <v>6351</v>
      </c>
      <c r="Q775" s="845" t="s">
        <v>144</v>
      </c>
      <c r="R775" s="208" t="s">
        <v>144</v>
      </c>
      <c r="S775" s="864" t="s">
        <v>147</v>
      </c>
      <c r="T775" s="212" t="s">
        <v>144</v>
      </c>
      <c r="U775" s="213" t="s">
        <v>144</v>
      </c>
      <c r="V775" s="847">
        <v>15</v>
      </c>
      <c r="W775" s="415" t="s">
        <v>144</v>
      </c>
      <c r="X775" s="212">
        <v>44</v>
      </c>
      <c r="Y775" s="212" t="s">
        <v>144</v>
      </c>
      <c r="Z775" s="214" t="s">
        <v>144</v>
      </c>
      <c r="AA775" s="240" t="s">
        <v>1058</v>
      </c>
      <c r="AB775" s="206" t="s">
        <v>140</v>
      </c>
      <c r="AC775" s="847" t="s">
        <v>265</v>
      </c>
      <c r="AD775" s="847" t="s">
        <v>144</v>
      </c>
      <c r="AE775" s="847" t="s">
        <v>144</v>
      </c>
      <c r="AF775" s="848" t="s">
        <v>144</v>
      </c>
      <c r="AG775" s="838"/>
      <c r="AH775" s="884"/>
      <c r="AI775" s="315"/>
      <c r="AJ775" s="903"/>
      <c r="AK775" s="916"/>
      <c r="AL775" s="915" t="s">
        <v>294</v>
      </c>
      <c r="AM775" s="315" t="s">
        <v>295</v>
      </c>
      <c r="AN775" s="903">
        <v>7</v>
      </c>
      <c r="AO775" s="187" t="s">
        <v>966</v>
      </c>
      <c r="AP775" s="915"/>
      <c r="AQ775" s="315"/>
      <c r="AR775" s="903"/>
      <c r="AS775" s="916"/>
      <c r="AT775" s="915"/>
      <c r="AU775" s="315"/>
      <c r="AV775" s="903"/>
      <c r="AW775" s="916"/>
      <c r="AX775" s="915"/>
      <c r="AY775" s="315"/>
      <c r="AZ775" s="903"/>
      <c r="BA775" s="916"/>
      <c r="BB775" s="884"/>
      <c r="BC775" s="315"/>
      <c r="BD775" s="903"/>
      <c r="BE775" s="916"/>
      <c r="BF775" s="838"/>
    </row>
    <row r="776" spans="1:58" s="88" customFormat="1" ht="54" hidden="1" customHeight="1" x14ac:dyDescent="0.25">
      <c r="A776" s="267" t="s">
        <v>1687</v>
      </c>
      <c r="B776" s="268">
        <v>541</v>
      </c>
      <c r="C776" s="240" t="s">
        <v>2170</v>
      </c>
      <c r="D776" s="211" t="s">
        <v>2171</v>
      </c>
      <c r="E776" s="268" t="s">
        <v>6352</v>
      </c>
      <c r="F776" s="861" t="s">
        <v>6353</v>
      </c>
      <c r="G776" s="269" t="s">
        <v>6354</v>
      </c>
      <c r="H776" s="861" t="s">
        <v>6355</v>
      </c>
      <c r="I776" s="269" t="s">
        <v>6356</v>
      </c>
      <c r="J776" s="296" t="s">
        <v>140</v>
      </c>
      <c r="K776" s="297" t="s">
        <v>140</v>
      </c>
      <c r="L776" s="862" t="s">
        <v>6357</v>
      </c>
      <c r="M776" s="847" t="s">
        <v>193</v>
      </c>
      <c r="N776" s="270" t="s">
        <v>194</v>
      </c>
      <c r="O776" s="240" t="s">
        <v>6358</v>
      </c>
      <c r="P776" s="240" t="s">
        <v>6359</v>
      </c>
      <c r="Q776" s="845" t="s">
        <v>144</v>
      </c>
      <c r="R776" s="208" t="s">
        <v>144</v>
      </c>
      <c r="S776" s="864" t="s">
        <v>147</v>
      </c>
      <c r="T776" s="212" t="s">
        <v>144</v>
      </c>
      <c r="U776" s="213" t="s">
        <v>144</v>
      </c>
      <c r="V776" s="847">
        <v>3</v>
      </c>
      <c r="W776" s="415" t="s">
        <v>144</v>
      </c>
      <c r="X776" s="212">
        <v>44</v>
      </c>
      <c r="Y776" s="212" t="s">
        <v>144</v>
      </c>
      <c r="Z776" s="214" t="s">
        <v>144</v>
      </c>
      <c r="AA776" s="240" t="s">
        <v>1058</v>
      </c>
      <c r="AB776" s="206" t="s">
        <v>140</v>
      </c>
      <c r="AC776" s="847" t="s">
        <v>265</v>
      </c>
      <c r="AD776" s="847" t="s">
        <v>144</v>
      </c>
      <c r="AE776" s="847" t="s">
        <v>144</v>
      </c>
      <c r="AF776" s="848" t="s">
        <v>144</v>
      </c>
      <c r="AG776" s="838"/>
      <c r="AH776" s="884"/>
      <c r="AI776" s="315"/>
      <c r="AJ776" s="903"/>
      <c r="AK776" s="916"/>
      <c r="AL776" s="915" t="s">
        <v>294</v>
      </c>
      <c r="AM776" s="315" t="s">
        <v>295</v>
      </c>
      <c r="AN776" s="903">
        <v>7</v>
      </c>
      <c r="AO776" s="187" t="s">
        <v>966</v>
      </c>
      <c r="AP776" s="915"/>
      <c r="AQ776" s="315"/>
      <c r="AR776" s="903"/>
      <c r="AS776" s="916"/>
      <c r="AT776" s="915"/>
      <c r="AU776" s="315"/>
      <c r="AV776" s="903"/>
      <c r="AW776" s="916"/>
      <c r="AX776" s="915"/>
      <c r="AY776" s="315"/>
      <c r="AZ776" s="903"/>
      <c r="BA776" s="916"/>
      <c r="BB776" s="884"/>
      <c r="BC776" s="315"/>
      <c r="BD776" s="903"/>
      <c r="BE776" s="916"/>
      <c r="BF776" s="838"/>
    </row>
    <row r="777" spans="1:58" s="57" customFormat="1" ht="54" hidden="1" customHeight="1" x14ac:dyDescent="0.25">
      <c r="A777" s="275" t="s">
        <v>1687</v>
      </c>
      <c r="B777" s="276">
        <v>542</v>
      </c>
      <c r="C777" s="253" t="s">
        <v>2135</v>
      </c>
      <c r="D777" s="253" t="s">
        <v>2136</v>
      </c>
      <c r="E777" s="276" t="s">
        <v>6360</v>
      </c>
      <c r="F777" s="277" t="s">
        <v>6361</v>
      </c>
      <c r="G777" s="277" t="s">
        <v>6362</v>
      </c>
      <c r="H777" s="218" t="s">
        <v>6363</v>
      </c>
      <c r="I777" s="277" t="s">
        <v>6362</v>
      </c>
      <c r="J777" s="253" t="s">
        <v>144</v>
      </c>
      <c r="K777" s="302" t="s">
        <v>144</v>
      </c>
      <c r="L777" s="718" t="s">
        <v>6364</v>
      </c>
      <c r="M777" s="253" t="s">
        <v>144</v>
      </c>
      <c r="N777" s="302" t="s">
        <v>144</v>
      </c>
      <c r="O777" s="253" t="s">
        <v>144</v>
      </c>
      <c r="P777" s="253" t="s">
        <v>144</v>
      </c>
      <c r="Q777" s="218" t="s">
        <v>6365</v>
      </c>
      <c r="R777" s="218" t="s">
        <v>6366</v>
      </c>
      <c r="S777" s="276" t="s">
        <v>147</v>
      </c>
      <c r="T777" s="221" t="s">
        <v>144</v>
      </c>
      <c r="U777" s="221" t="s">
        <v>144</v>
      </c>
      <c r="V777" s="253">
        <v>12</v>
      </c>
      <c r="W777" s="217" t="s">
        <v>144</v>
      </c>
      <c r="X777" s="221">
        <v>44</v>
      </c>
      <c r="Y777" s="374" t="s">
        <v>2285</v>
      </c>
      <c r="Z777" s="374" t="s">
        <v>25</v>
      </c>
      <c r="AA777" s="253" t="s">
        <v>148</v>
      </c>
      <c r="AB777" s="217" t="s">
        <v>144</v>
      </c>
      <c r="AC777" s="253" t="s">
        <v>265</v>
      </c>
      <c r="AD777" s="253" t="s">
        <v>1690</v>
      </c>
      <c r="AE777" s="253" t="s">
        <v>144</v>
      </c>
      <c r="AF777" s="254" t="s">
        <v>144</v>
      </c>
      <c r="AG777" s="681"/>
      <c r="AH777" s="453"/>
      <c r="AI777" s="454"/>
      <c r="AJ777" s="432"/>
      <c r="AK777" s="455"/>
      <c r="AL777" s="454"/>
      <c r="AM777" s="454"/>
      <c r="AN777" s="432"/>
      <c r="AO777" s="456"/>
      <c r="AP777" s="454"/>
      <c r="AQ777" s="454"/>
      <c r="AR777" s="432"/>
      <c r="AS777" s="455"/>
      <c r="AT777" s="454"/>
      <c r="AU777" s="454"/>
      <c r="AV777" s="432"/>
      <c r="AW777" s="455"/>
      <c r="AX777" s="281"/>
      <c r="AY777" s="281"/>
      <c r="AZ777" s="253"/>
      <c r="BA777" s="254"/>
      <c r="BB777" s="280"/>
      <c r="BC777" s="281"/>
      <c r="BD777" s="253"/>
      <c r="BE777" s="254"/>
      <c r="BF777" s="838"/>
    </row>
    <row r="778" spans="1:58" s="88" customFormat="1" ht="54" hidden="1" customHeight="1" x14ac:dyDescent="0.25">
      <c r="A778" s="275" t="s">
        <v>1687</v>
      </c>
      <c r="B778" s="276">
        <v>543</v>
      </c>
      <c r="C778" s="253" t="s">
        <v>2135</v>
      </c>
      <c r="D778" s="217" t="s">
        <v>2136</v>
      </c>
      <c r="E778" s="276" t="s">
        <v>6367</v>
      </c>
      <c r="F778" s="277" t="s">
        <v>6368</v>
      </c>
      <c r="G778" s="277" t="s">
        <v>6369</v>
      </c>
      <c r="H778" s="277" t="s">
        <v>6368</v>
      </c>
      <c r="I778" s="277" t="s">
        <v>6369</v>
      </c>
      <c r="J778" s="302" t="s">
        <v>144</v>
      </c>
      <c r="K778" s="302" t="s">
        <v>144</v>
      </c>
      <c r="L778" s="718" t="s">
        <v>6370</v>
      </c>
      <c r="M778" s="217" t="s">
        <v>144</v>
      </c>
      <c r="N778" s="253" t="s">
        <v>144</v>
      </c>
      <c r="O778" s="253" t="s">
        <v>144</v>
      </c>
      <c r="P778" s="253" t="s">
        <v>144</v>
      </c>
      <c r="Q778" s="218" t="s">
        <v>144</v>
      </c>
      <c r="R778" s="218" t="s">
        <v>144</v>
      </c>
      <c r="S778" s="276" t="s">
        <v>147</v>
      </c>
      <c r="T778" s="221" t="s">
        <v>144</v>
      </c>
      <c r="U778" s="221" t="s">
        <v>144</v>
      </c>
      <c r="V778" s="253">
        <v>12</v>
      </c>
      <c r="W778" s="253" t="s">
        <v>144</v>
      </c>
      <c r="X778" s="221">
        <v>44</v>
      </c>
      <c r="Y778" s="221">
        <v>44</v>
      </c>
      <c r="Z778" s="222" t="s">
        <v>144</v>
      </c>
      <c r="AA778" s="253" t="s">
        <v>148</v>
      </c>
      <c r="AB778" s="217" t="s">
        <v>144</v>
      </c>
      <c r="AC778" s="253" t="s">
        <v>265</v>
      </c>
      <c r="AD778" s="253" t="s">
        <v>144</v>
      </c>
      <c r="AE778" s="253" t="s">
        <v>144</v>
      </c>
      <c r="AF778" s="254" t="s">
        <v>144</v>
      </c>
      <c r="AG778" s="681"/>
      <c r="AH778" s="356"/>
      <c r="AI778" s="357"/>
      <c r="AJ778" s="358"/>
      <c r="AK778" s="359"/>
      <c r="AL778" s="357"/>
      <c r="AM778" s="357"/>
      <c r="AN778" s="358"/>
      <c r="AO778" s="359"/>
      <c r="AP778" s="357"/>
      <c r="AQ778" s="357"/>
      <c r="AR778" s="358"/>
      <c r="AS778" s="359"/>
      <c r="AT778" s="357"/>
      <c r="AU778" s="357"/>
      <c r="AV778" s="358"/>
      <c r="AW778" s="359"/>
      <c r="AX778" s="357"/>
      <c r="AY778" s="357"/>
      <c r="AZ778" s="358"/>
      <c r="BA778" s="359"/>
      <c r="BB778" s="356"/>
      <c r="BC778" s="357"/>
      <c r="BD778" s="358"/>
      <c r="BE778" s="359"/>
      <c r="BF778" s="838"/>
    </row>
    <row r="779" spans="1:58" s="57" customFormat="1" ht="54" hidden="1" customHeight="1" x14ac:dyDescent="0.25">
      <c r="A779" s="275" t="s">
        <v>1687</v>
      </c>
      <c r="B779" s="276">
        <v>544</v>
      </c>
      <c r="C779" s="253" t="s">
        <v>2135</v>
      </c>
      <c r="D779" s="253" t="s">
        <v>2136</v>
      </c>
      <c r="E779" s="276" t="s">
        <v>6371</v>
      </c>
      <c r="F779" s="277" t="s">
        <v>6372</v>
      </c>
      <c r="G779" s="277" t="s">
        <v>6373</v>
      </c>
      <c r="H779" s="218" t="s">
        <v>6372</v>
      </c>
      <c r="I779" s="277" t="s">
        <v>6374</v>
      </c>
      <c r="J779" s="253" t="s">
        <v>144</v>
      </c>
      <c r="K779" s="302" t="s">
        <v>144</v>
      </c>
      <c r="L779" s="718" t="s">
        <v>6375</v>
      </c>
      <c r="M779" s="253" t="s">
        <v>144</v>
      </c>
      <c r="N779" s="302" t="s">
        <v>144</v>
      </c>
      <c r="O779" s="253" t="s">
        <v>144</v>
      </c>
      <c r="P779" s="253" t="s">
        <v>144</v>
      </c>
      <c r="Q779" s="218" t="s">
        <v>6376</v>
      </c>
      <c r="R779" s="218" t="s">
        <v>6377</v>
      </c>
      <c r="S779" s="276" t="s">
        <v>147</v>
      </c>
      <c r="T779" s="221" t="s">
        <v>144</v>
      </c>
      <c r="U779" s="221" t="s">
        <v>144</v>
      </c>
      <c r="V779" s="253">
        <v>12</v>
      </c>
      <c r="W779" s="217" t="s">
        <v>144</v>
      </c>
      <c r="X779" s="221">
        <v>44</v>
      </c>
      <c r="Y779" s="374" t="s">
        <v>2285</v>
      </c>
      <c r="Z779" s="374" t="s">
        <v>25</v>
      </c>
      <c r="AA779" s="253" t="s">
        <v>6378</v>
      </c>
      <c r="AB779" s="217" t="s">
        <v>144</v>
      </c>
      <c r="AC779" s="253" t="s">
        <v>265</v>
      </c>
      <c r="AD779" s="253" t="s">
        <v>1690</v>
      </c>
      <c r="AE779" s="253" t="s">
        <v>144</v>
      </c>
      <c r="AF779" s="254" t="s">
        <v>144</v>
      </c>
      <c r="AG779" s="681"/>
      <c r="AH779" s="420"/>
      <c r="AI779" s="421"/>
      <c r="AJ779" s="422"/>
      <c r="AK779" s="423"/>
      <c r="AL779" s="454"/>
      <c r="AM779" s="454"/>
      <c r="AN779" s="432"/>
      <c r="AO779" s="456"/>
      <c r="AP779" s="454"/>
      <c r="AQ779" s="454"/>
      <c r="AR779" s="432"/>
      <c r="AS779" s="455"/>
      <c r="AT779" s="454"/>
      <c r="AU779" s="454"/>
      <c r="AV779" s="432"/>
      <c r="AW779" s="455"/>
      <c r="AX779" s="281"/>
      <c r="AY779" s="281"/>
      <c r="AZ779" s="253"/>
      <c r="BA779" s="254"/>
      <c r="BB779" s="280"/>
      <c r="BC779" s="281"/>
      <c r="BD779" s="253"/>
      <c r="BE779" s="254"/>
      <c r="BF779" s="838"/>
    </row>
    <row r="780" spans="1:58" s="88" customFormat="1" ht="54" hidden="1" customHeight="1" x14ac:dyDescent="0.25">
      <c r="A780" s="267" t="s">
        <v>1687</v>
      </c>
      <c r="B780" s="268">
        <v>545</v>
      </c>
      <c r="C780" s="240" t="s">
        <v>2135</v>
      </c>
      <c r="D780" s="211" t="s">
        <v>2136</v>
      </c>
      <c r="E780" s="268" t="s">
        <v>6379</v>
      </c>
      <c r="F780" s="861" t="s">
        <v>6380</v>
      </c>
      <c r="G780" s="269" t="s">
        <v>6381</v>
      </c>
      <c r="H780" s="861" t="s">
        <v>6382</v>
      </c>
      <c r="I780" s="269" t="s">
        <v>6383</v>
      </c>
      <c r="J780" s="296" t="s">
        <v>140</v>
      </c>
      <c r="K780" s="297" t="s">
        <v>140</v>
      </c>
      <c r="L780" s="862" t="s">
        <v>6384</v>
      </c>
      <c r="M780" s="847" t="s">
        <v>193</v>
      </c>
      <c r="N780" s="270" t="s">
        <v>194</v>
      </c>
      <c r="O780" s="240" t="s">
        <v>6167</v>
      </c>
      <c r="P780" s="240" t="s">
        <v>6168</v>
      </c>
      <c r="Q780" s="845" t="s">
        <v>6385</v>
      </c>
      <c r="R780" s="208" t="s">
        <v>6386</v>
      </c>
      <c r="S780" s="864" t="s">
        <v>147</v>
      </c>
      <c r="T780" s="212" t="s">
        <v>144</v>
      </c>
      <c r="U780" s="213" t="s">
        <v>144</v>
      </c>
      <c r="V780" s="847">
        <v>12</v>
      </c>
      <c r="W780" s="415" t="s">
        <v>144</v>
      </c>
      <c r="X780" s="212">
        <v>44</v>
      </c>
      <c r="Y780" s="212" t="s">
        <v>144</v>
      </c>
      <c r="Z780" s="214" t="s">
        <v>144</v>
      </c>
      <c r="AA780" s="240" t="s">
        <v>148</v>
      </c>
      <c r="AB780" s="206" t="s">
        <v>140</v>
      </c>
      <c r="AC780" s="847" t="s">
        <v>265</v>
      </c>
      <c r="AD780" s="847" t="s">
        <v>2541</v>
      </c>
      <c r="AE780" s="847" t="s">
        <v>144</v>
      </c>
      <c r="AF780" s="848" t="s">
        <v>144</v>
      </c>
      <c r="AG780" s="838"/>
      <c r="AH780" s="884"/>
      <c r="AI780" s="315"/>
      <c r="AJ780" s="903"/>
      <c r="AK780" s="916"/>
      <c r="AL780" s="915" t="s">
        <v>294</v>
      </c>
      <c r="AM780" s="315" t="s">
        <v>295</v>
      </c>
      <c r="AN780" s="903">
        <v>7</v>
      </c>
      <c r="AO780" s="187" t="s">
        <v>966</v>
      </c>
      <c r="AP780" s="915"/>
      <c r="AQ780" s="315"/>
      <c r="AR780" s="903"/>
      <c r="AS780" s="916"/>
      <c r="AT780" s="915"/>
      <c r="AU780" s="315"/>
      <c r="AV780" s="903"/>
      <c r="AW780" s="916"/>
      <c r="AX780" s="915"/>
      <c r="AY780" s="315"/>
      <c r="AZ780" s="903"/>
      <c r="BA780" s="916"/>
      <c r="BB780" s="884"/>
      <c r="BC780" s="315"/>
      <c r="BD780" s="903"/>
      <c r="BE780" s="916"/>
      <c r="BF780" s="838"/>
    </row>
    <row r="781" spans="1:58" s="88" customFormat="1" ht="54" hidden="1" customHeight="1" x14ac:dyDescent="0.25">
      <c r="A781" s="267" t="s">
        <v>1687</v>
      </c>
      <c r="B781" s="268">
        <v>546</v>
      </c>
      <c r="C781" s="240" t="s">
        <v>2135</v>
      </c>
      <c r="D781" s="211" t="s">
        <v>2136</v>
      </c>
      <c r="E781" s="268" t="s">
        <v>6387</v>
      </c>
      <c r="F781" s="861" t="s">
        <v>6388</v>
      </c>
      <c r="G781" s="269" t="s">
        <v>6389</v>
      </c>
      <c r="H781" s="861" t="s">
        <v>6390</v>
      </c>
      <c r="I781" s="269" t="s">
        <v>6391</v>
      </c>
      <c r="J781" s="296" t="s">
        <v>140</v>
      </c>
      <c r="K781" s="297" t="s">
        <v>140</v>
      </c>
      <c r="L781" s="862" t="s">
        <v>6392</v>
      </c>
      <c r="M781" s="847" t="s">
        <v>973</v>
      </c>
      <c r="N781" s="270" t="s">
        <v>974</v>
      </c>
      <c r="O781" s="240" t="s">
        <v>144</v>
      </c>
      <c r="P781" s="240" t="s">
        <v>144</v>
      </c>
      <c r="Q781" s="845" t="s">
        <v>144</v>
      </c>
      <c r="R781" s="208" t="s">
        <v>144</v>
      </c>
      <c r="S781" s="864" t="s">
        <v>746</v>
      </c>
      <c r="T781" s="212" t="s">
        <v>1104</v>
      </c>
      <c r="U781" s="213" t="s">
        <v>1105</v>
      </c>
      <c r="V781" s="847">
        <v>19</v>
      </c>
      <c r="W781" s="415" t="s">
        <v>144</v>
      </c>
      <c r="X781" s="212">
        <v>44</v>
      </c>
      <c r="Y781" s="212" t="s">
        <v>144</v>
      </c>
      <c r="Z781" s="214" t="s">
        <v>144</v>
      </c>
      <c r="AA781" s="240" t="s">
        <v>148</v>
      </c>
      <c r="AB781" s="206" t="s">
        <v>140</v>
      </c>
      <c r="AC781" s="847" t="s">
        <v>265</v>
      </c>
      <c r="AD781" s="847" t="s">
        <v>2541</v>
      </c>
      <c r="AE781" s="847" t="s">
        <v>144</v>
      </c>
      <c r="AF781" s="848" t="s">
        <v>144</v>
      </c>
      <c r="AG781" s="838"/>
      <c r="AH781" s="884" t="s">
        <v>6393</v>
      </c>
      <c r="AI781" s="315" t="s">
        <v>6394</v>
      </c>
      <c r="AJ781" s="903">
        <v>7</v>
      </c>
      <c r="AK781" s="286" t="s">
        <v>6395</v>
      </c>
      <c r="AL781" s="915"/>
      <c r="AM781" s="315"/>
      <c r="AN781" s="903"/>
      <c r="AO781" s="916"/>
      <c r="AP781" s="915"/>
      <c r="AQ781" s="315"/>
      <c r="AR781" s="903"/>
      <c r="AS781" s="916"/>
      <c r="AT781" s="915"/>
      <c r="AU781" s="315"/>
      <c r="AV781" s="903"/>
      <c r="AW781" s="916"/>
      <c r="AX781" s="915"/>
      <c r="AY781" s="315"/>
      <c r="AZ781" s="903"/>
      <c r="BA781" s="916"/>
      <c r="BB781" s="884"/>
      <c r="BC781" s="315"/>
      <c r="BD781" s="903"/>
      <c r="BE781" s="916"/>
      <c r="BF781" s="838"/>
    </row>
    <row r="782" spans="1:58" s="88" customFormat="1" ht="54" hidden="1" customHeight="1" x14ac:dyDescent="0.25">
      <c r="A782" s="267" t="s">
        <v>1687</v>
      </c>
      <c r="B782" s="268">
        <v>547</v>
      </c>
      <c r="C782" s="240" t="s">
        <v>1372</v>
      </c>
      <c r="D782" s="211" t="s">
        <v>1373</v>
      </c>
      <c r="E782" s="268" t="s">
        <v>6396</v>
      </c>
      <c r="F782" s="861" t="s">
        <v>6397</v>
      </c>
      <c r="G782" s="269" t="s">
        <v>6398</v>
      </c>
      <c r="H782" s="861" t="s">
        <v>6399</v>
      </c>
      <c r="I782" s="269" t="s">
        <v>6400</v>
      </c>
      <c r="J782" s="296" t="s">
        <v>140</v>
      </c>
      <c r="K782" s="297" t="s">
        <v>140</v>
      </c>
      <c r="L782" s="862" t="s">
        <v>6401</v>
      </c>
      <c r="M782" s="847" t="s">
        <v>193</v>
      </c>
      <c r="N782" s="270" t="s">
        <v>194</v>
      </c>
      <c r="O782" s="240" t="s">
        <v>6402</v>
      </c>
      <c r="P782" s="240" t="s">
        <v>6403</v>
      </c>
      <c r="Q782" s="845" t="s">
        <v>144</v>
      </c>
      <c r="R782" s="208" t="s">
        <v>144</v>
      </c>
      <c r="S782" s="864" t="s">
        <v>147</v>
      </c>
      <c r="T782" s="212" t="s">
        <v>144</v>
      </c>
      <c r="U782" s="213" t="s">
        <v>144</v>
      </c>
      <c r="V782" s="847">
        <v>1</v>
      </c>
      <c r="W782" s="415" t="s">
        <v>144</v>
      </c>
      <c r="X782" s="212">
        <v>44</v>
      </c>
      <c r="Y782" s="212" t="s">
        <v>144</v>
      </c>
      <c r="Z782" s="214" t="s">
        <v>144</v>
      </c>
      <c r="AA782" s="240" t="s">
        <v>5211</v>
      </c>
      <c r="AB782" s="206" t="s">
        <v>140</v>
      </c>
      <c r="AC782" s="847" t="s">
        <v>265</v>
      </c>
      <c r="AD782" s="847" t="s">
        <v>2190</v>
      </c>
      <c r="AE782" s="847" t="s">
        <v>144</v>
      </c>
      <c r="AF782" s="848" t="s">
        <v>144</v>
      </c>
      <c r="AG782" s="838"/>
      <c r="AH782" s="884"/>
      <c r="AI782" s="315"/>
      <c r="AJ782" s="903"/>
      <c r="AK782" s="916"/>
      <c r="AL782" s="915" t="s">
        <v>294</v>
      </c>
      <c r="AM782" s="315" t="s">
        <v>295</v>
      </c>
      <c r="AN782" s="903">
        <v>7</v>
      </c>
      <c r="AO782" s="187" t="s">
        <v>966</v>
      </c>
      <c r="AP782" s="915"/>
      <c r="AQ782" s="315"/>
      <c r="AR782" s="903"/>
      <c r="AS782" s="916"/>
      <c r="AT782" s="915"/>
      <c r="AU782" s="315"/>
      <c r="AV782" s="903"/>
      <c r="AW782" s="916"/>
      <c r="AX782" s="915"/>
      <c r="AY782" s="315"/>
      <c r="AZ782" s="903"/>
      <c r="BA782" s="916"/>
      <c r="BB782" s="884"/>
      <c r="BC782" s="315"/>
      <c r="BD782" s="903"/>
      <c r="BE782" s="916"/>
      <c r="BF782" s="838"/>
    </row>
    <row r="783" spans="1:58" s="88" customFormat="1" ht="54" hidden="1" customHeight="1" x14ac:dyDescent="0.25">
      <c r="A783" s="267" t="s">
        <v>1687</v>
      </c>
      <c r="B783" s="268">
        <v>548</v>
      </c>
      <c r="C783" s="240" t="s">
        <v>6404</v>
      </c>
      <c r="D783" s="211" t="s">
        <v>6405</v>
      </c>
      <c r="E783" s="268" t="s">
        <v>6406</v>
      </c>
      <c r="F783" s="861" t="s">
        <v>6407</v>
      </c>
      <c r="G783" s="269" t="s">
        <v>6408</v>
      </c>
      <c r="H783" s="861" t="s">
        <v>6409</v>
      </c>
      <c r="I783" s="269" t="s">
        <v>6410</v>
      </c>
      <c r="J783" s="296" t="s">
        <v>140</v>
      </c>
      <c r="K783" s="297" t="s">
        <v>140</v>
      </c>
      <c r="L783" s="862" t="s">
        <v>6411</v>
      </c>
      <c r="M783" s="847" t="s">
        <v>193</v>
      </c>
      <c r="N783" s="270" t="s">
        <v>194</v>
      </c>
      <c r="O783" s="240" t="s">
        <v>6412</v>
      </c>
      <c r="P783" s="240" t="s">
        <v>6413</v>
      </c>
      <c r="Q783" s="845" t="s">
        <v>144</v>
      </c>
      <c r="R783" s="208" t="s">
        <v>144</v>
      </c>
      <c r="S783" s="864" t="s">
        <v>147</v>
      </c>
      <c r="T783" s="212" t="s">
        <v>144</v>
      </c>
      <c r="U783" s="213" t="s">
        <v>144</v>
      </c>
      <c r="V783" s="847">
        <v>1</v>
      </c>
      <c r="W783" s="415" t="s">
        <v>144</v>
      </c>
      <c r="X783" s="212">
        <v>44</v>
      </c>
      <c r="Y783" s="212" t="s">
        <v>144</v>
      </c>
      <c r="Z783" s="214" t="s">
        <v>144</v>
      </c>
      <c r="AA783" s="240" t="s">
        <v>5211</v>
      </c>
      <c r="AB783" s="206" t="s">
        <v>140</v>
      </c>
      <c r="AC783" s="847" t="s">
        <v>265</v>
      </c>
      <c r="AD783" s="847" t="s">
        <v>2190</v>
      </c>
      <c r="AE783" s="847" t="s">
        <v>144</v>
      </c>
      <c r="AF783" s="848" t="s">
        <v>144</v>
      </c>
      <c r="AG783" s="838"/>
      <c r="AH783" s="884"/>
      <c r="AI783" s="315"/>
      <c r="AJ783" s="903"/>
      <c r="AK783" s="916"/>
      <c r="AL783" s="915" t="s">
        <v>294</v>
      </c>
      <c r="AM783" s="315" t="s">
        <v>295</v>
      </c>
      <c r="AN783" s="903">
        <v>7</v>
      </c>
      <c r="AO783" s="187" t="s">
        <v>966</v>
      </c>
      <c r="AP783" s="915"/>
      <c r="AQ783" s="315"/>
      <c r="AR783" s="903"/>
      <c r="AS783" s="916"/>
      <c r="AT783" s="915"/>
      <c r="AU783" s="315"/>
      <c r="AV783" s="903"/>
      <c r="AW783" s="916"/>
      <c r="AX783" s="915"/>
      <c r="AY783" s="315"/>
      <c r="AZ783" s="903"/>
      <c r="BA783" s="916"/>
      <c r="BB783" s="884"/>
      <c r="BC783" s="315"/>
      <c r="BD783" s="903"/>
      <c r="BE783" s="916"/>
      <c r="BF783" s="838"/>
    </row>
    <row r="784" spans="1:58" s="88" customFormat="1" ht="54" hidden="1" customHeight="1" x14ac:dyDescent="0.25">
      <c r="A784" s="267" t="s">
        <v>1687</v>
      </c>
      <c r="B784" s="268">
        <v>549</v>
      </c>
      <c r="C784" s="240" t="s">
        <v>1955</v>
      </c>
      <c r="D784" s="211" t="s">
        <v>1956</v>
      </c>
      <c r="E784" s="268" t="s">
        <v>6414</v>
      </c>
      <c r="F784" s="861" t="s">
        <v>6415</v>
      </c>
      <c r="G784" s="269" t="s">
        <v>6416</v>
      </c>
      <c r="H784" s="861" t="s">
        <v>6417</v>
      </c>
      <c r="I784" s="269" t="s">
        <v>6418</v>
      </c>
      <c r="J784" s="296" t="s">
        <v>140</v>
      </c>
      <c r="K784" s="297" t="s">
        <v>140</v>
      </c>
      <c r="L784" s="862" t="s">
        <v>6419</v>
      </c>
      <c r="M784" s="847" t="s">
        <v>193</v>
      </c>
      <c r="N784" s="270" t="s">
        <v>194</v>
      </c>
      <c r="O784" s="240" t="s">
        <v>144</v>
      </c>
      <c r="P784" s="240" t="s">
        <v>144</v>
      </c>
      <c r="Q784" s="845" t="s">
        <v>6420</v>
      </c>
      <c r="R784" s="210" t="s">
        <v>6421</v>
      </c>
      <c r="S784" s="864" t="s">
        <v>746</v>
      </c>
      <c r="T784" s="212" t="s">
        <v>1104</v>
      </c>
      <c r="U784" s="213" t="s">
        <v>1105</v>
      </c>
      <c r="V784" s="847">
        <v>19</v>
      </c>
      <c r="W784" s="415" t="s">
        <v>144</v>
      </c>
      <c r="X784" s="212">
        <v>44</v>
      </c>
      <c r="Y784" s="212" t="s">
        <v>144</v>
      </c>
      <c r="Z784" s="214" t="s">
        <v>144</v>
      </c>
      <c r="AA784" s="240" t="s">
        <v>5336</v>
      </c>
      <c r="AB784" s="206" t="s">
        <v>140</v>
      </c>
      <c r="AC784" s="847" t="s">
        <v>265</v>
      </c>
      <c r="AD784" s="847" t="s">
        <v>3579</v>
      </c>
      <c r="AE784" s="847" t="s">
        <v>144</v>
      </c>
      <c r="AF784" s="848" t="s">
        <v>144</v>
      </c>
      <c r="AG784" s="838"/>
      <c r="AH784" s="884"/>
      <c r="AI784" s="315"/>
      <c r="AJ784" s="903"/>
      <c r="AK784" s="916"/>
      <c r="AL784" s="915"/>
      <c r="AM784" s="315"/>
      <c r="AN784" s="903"/>
      <c r="AO784" s="916"/>
      <c r="AP784" s="915"/>
      <c r="AQ784" s="315"/>
      <c r="AR784" s="903"/>
      <c r="AS784" s="916"/>
      <c r="AT784" s="915"/>
      <c r="AU784" s="315"/>
      <c r="AV784" s="903"/>
      <c r="AW784" s="916"/>
      <c r="AX784" s="915"/>
      <c r="AY784" s="315"/>
      <c r="AZ784" s="903"/>
      <c r="BA784" s="916"/>
      <c r="BB784" s="884"/>
      <c r="BC784" s="315"/>
      <c r="BD784" s="903"/>
      <c r="BE784" s="916"/>
      <c r="BF784" s="838"/>
    </row>
    <row r="785" spans="1:58" s="88" customFormat="1" ht="54" hidden="1" customHeight="1" x14ac:dyDescent="0.25">
      <c r="A785" s="267" t="s">
        <v>1687</v>
      </c>
      <c r="B785" s="268">
        <v>550</v>
      </c>
      <c r="C785" s="240" t="s">
        <v>1955</v>
      </c>
      <c r="D785" s="211" t="s">
        <v>1956</v>
      </c>
      <c r="E785" s="268" t="s">
        <v>6422</v>
      </c>
      <c r="F785" s="861" t="s">
        <v>6423</v>
      </c>
      <c r="G785" s="269" t="s">
        <v>6424</v>
      </c>
      <c r="H785" s="861" t="s">
        <v>6423</v>
      </c>
      <c r="I785" s="269" t="s">
        <v>6424</v>
      </c>
      <c r="J785" s="296" t="s">
        <v>140</v>
      </c>
      <c r="K785" s="297" t="s">
        <v>140</v>
      </c>
      <c r="L785" s="862" t="s">
        <v>6425</v>
      </c>
      <c r="M785" s="847" t="s">
        <v>973</v>
      </c>
      <c r="N785" s="270" t="s">
        <v>974</v>
      </c>
      <c r="O785" s="240" t="s">
        <v>814</v>
      </c>
      <c r="P785" s="240" t="s">
        <v>815</v>
      </c>
      <c r="Q785" s="845" t="s">
        <v>144</v>
      </c>
      <c r="R785" s="208" t="s">
        <v>144</v>
      </c>
      <c r="S785" s="864" t="s">
        <v>147</v>
      </c>
      <c r="T785" s="212" t="s">
        <v>144</v>
      </c>
      <c r="U785" s="213" t="s">
        <v>144</v>
      </c>
      <c r="V785" s="847">
        <v>3</v>
      </c>
      <c r="W785" s="415" t="s">
        <v>144</v>
      </c>
      <c r="X785" s="212">
        <v>44</v>
      </c>
      <c r="Y785" s="212" t="s">
        <v>144</v>
      </c>
      <c r="Z785" s="214" t="s">
        <v>144</v>
      </c>
      <c r="AA785" s="240" t="s">
        <v>5336</v>
      </c>
      <c r="AB785" s="206" t="s">
        <v>140</v>
      </c>
      <c r="AC785" s="847" t="s">
        <v>265</v>
      </c>
      <c r="AD785" s="847" t="s">
        <v>3579</v>
      </c>
      <c r="AE785" s="847" t="s">
        <v>144</v>
      </c>
      <c r="AF785" s="848" t="s">
        <v>144</v>
      </c>
      <c r="AG785" s="838"/>
      <c r="AH785" s="884" t="s">
        <v>6426</v>
      </c>
      <c r="AI785" s="315" t="s">
        <v>6427</v>
      </c>
      <c r="AJ785" s="903">
        <v>7</v>
      </c>
      <c r="AK785" s="848" t="s">
        <v>1280</v>
      </c>
      <c r="AL785" s="915" t="s">
        <v>294</v>
      </c>
      <c r="AM785" s="315" t="s">
        <v>295</v>
      </c>
      <c r="AN785" s="903">
        <v>7</v>
      </c>
      <c r="AO785" s="187" t="s">
        <v>966</v>
      </c>
      <c r="AP785" s="915"/>
      <c r="AQ785" s="315"/>
      <c r="AR785" s="903"/>
      <c r="AS785" s="916"/>
      <c r="AT785" s="915"/>
      <c r="AU785" s="315"/>
      <c r="AV785" s="903"/>
      <c r="AW785" s="916"/>
      <c r="AX785" s="915"/>
      <c r="AY785" s="315"/>
      <c r="AZ785" s="903"/>
      <c r="BA785" s="916"/>
      <c r="BB785" s="884"/>
      <c r="BC785" s="315"/>
      <c r="BD785" s="903"/>
      <c r="BE785" s="916"/>
      <c r="BF785" s="838"/>
    </row>
    <row r="786" spans="1:58" s="88" customFormat="1" ht="54" hidden="1" customHeight="1" x14ac:dyDescent="0.25">
      <c r="A786" s="267" t="s">
        <v>1687</v>
      </c>
      <c r="B786" s="268">
        <v>551</v>
      </c>
      <c r="C786" s="240" t="s">
        <v>684</v>
      </c>
      <c r="D786" s="211" t="s">
        <v>685</v>
      </c>
      <c r="E786" s="268" t="s">
        <v>6428</v>
      </c>
      <c r="F786" s="861" t="s">
        <v>6429</v>
      </c>
      <c r="G786" s="269" t="s">
        <v>6430</v>
      </c>
      <c r="H786" s="861" t="s">
        <v>6431</v>
      </c>
      <c r="I786" s="269" t="s">
        <v>6432</v>
      </c>
      <c r="J786" s="296" t="s">
        <v>140</v>
      </c>
      <c r="K786" s="297" t="s">
        <v>140</v>
      </c>
      <c r="L786" s="862" t="s">
        <v>6433</v>
      </c>
      <c r="M786" s="847" t="s">
        <v>973</v>
      </c>
      <c r="N786" s="270" t="s">
        <v>974</v>
      </c>
      <c r="O786" s="240" t="s">
        <v>144</v>
      </c>
      <c r="P786" s="240" t="s">
        <v>144</v>
      </c>
      <c r="Q786" s="845" t="s">
        <v>6434</v>
      </c>
      <c r="R786" s="208" t="s">
        <v>6435</v>
      </c>
      <c r="S786" s="864" t="s">
        <v>746</v>
      </c>
      <c r="T786" s="212" t="s">
        <v>1307</v>
      </c>
      <c r="U786" s="213" t="s">
        <v>1308</v>
      </c>
      <c r="V786" s="847">
        <v>10</v>
      </c>
      <c r="W786" s="415" t="s">
        <v>144</v>
      </c>
      <c r="X786" s="212">
        <v>44</v>
      </c>
      <c r="Y786" s="212" t="s">
        <v>144</v>
      </c>
      <c r="Z786" s="241" t="s">
        <v>144</v>
      </c>
      <c r="AA786" s="615" t="s">
        <v>733</v>
      </c>
      <c r="AB786" s="206" t="s">
        <v>140</v>
      </c>
      <c r="AC786" s="847" t="s">
        <v>265</v>
      </c>
      <c r="AD786" s="847" t="s">
        <v>1895</v>
      </c>
      <c r="AE786" s="847" t="s">
        <v>144</v>
      </c>
      <c r="AF786" s="848" t="s">
        <v>144</v>
      </c>
      <c r="AG786" s="838"/>
      <c r="AH786" s="884" t="s">
        <v>1896</v>
      </c>
      <c r="AI786" s="315" t="s">
        <v>1897</v>
      </c>
      <c r="AJ786" s="903">
        <v>6</v>
      </c>
      <c r="AK786" s="848" t="s">
        <v>1898</v>
      </c>
      <c r="AL786" s="915"/>
      <c r="AM786" s="315"/>
      <c r="AN786" s="903"/>
      <c r="AO786" s="916"/>
      <c r="AP786" s="915"/>
      <c r="AQ786" s="315"/>
      <c r="AR786" s="903"/>
      <c r="AS786" s="916"/>
      <c r="AT786" s="915"/>
      <c r="AU786" s="315"/>
      <c r="AV786" s="903"/>
      <c r="AW786" s="916"/>
      <c r="AX786" s="915"/>
      <c r="AY786" s="315"/>
      <c r="AZ786" s="903"/>
      <c r="BA786" s="916"/>
      <c r="BB786" s="884"/>
      <c r="BC786" s="315"/>
      <c r="BD786" s="903"/>
      <c r="BE786" s="916"/>
      <c r="BF786" s="838"/>
    </row>
    <row r="787" spans="1:58" s="88" customFormat="1" ht="54" hidden="1" customHeight="1" x14ac:dyDescent="0.25">
      <c r="A787" s="267" t="s">
        <v>1687</v>
      </c>
      <c r="B787" s="268">
        <v>552</v>
      </c>
      <c r="C787" s="240" t="s">
        <v>1372</v>
      </c>
      <c r="D787" s="211" t="s">
        <v>1373</v>
      </c>
      <c r="E787" s="268" t="s">
        <v>6436</v>
      </c>
      <c r="F787" s="861" t="s">
        <v>6437</v>
      </c>
      <c r="G787" s="269" t="s">
        <v>6438</v>
      </c>
      <c r="H787" s="861" t="s">
        <v>6439</v>
      </c>
      <c r="I787" s="269" t="s">
        <v>6440</v>
      </c>
      <c r="J787" s="296" t="s">
        <v>140</v>
      </c>
      <c r="K787" s="297" t="s">
        <v>140</v>
      </c>
      <c r="L787" s="862" t="s">
        <v>6441</v>
      </c>
      <c r="M787" s="847" t="s">
        <v>973</v>
      </c>
      <c r="N787" s="270" t="s">
        <v>974</v>
      </c>
      <c r="O787" s="240" t="s">
        <v>5926</v>
      </c>
      <c r="P787" s="240" t="s">
        <v>5927</v>
      </c>
      <c r="Q787" s="845" t="s">
        <v>6434</v>
      </c>
      <c r="R787" s="208" t="s">
        <v>6435</v>
      </c>
      <c r="S787" s="864" t="s">
        <v>147</v>
      </c>
      <c r="T787" s="212" t="s">
        <v>144</v>
      </c>
      <c r="U787" s="213" t="s">
        <v>144</v>
      </c>
      <c r="V787" s="847">
        <v>7</v>
      </c>
      <c r="W787" s="415" t="s">
        <v>144</v>
      </c>
      <c r="X787" s="212">
        <v>44</v>
      </c>
      <c r="Y787" s="212" t="s">
        <v>144</v>
      </c>
      <c r="Z787" s="241" t="s">
        <v>144</v>
      </c>
      <c r="AA787" s="615" t="s">
        <v>733</v>
      </c>
      <c r="AB787" s="206" t="s">
        <v>140</v>
      </c>
      <c r="AC787" s="847" t="s">
        <v>265</v>
      </c>
      <c r="AD787" s="847" t="s">
        <v>1895</v>
      </c>
      <c r="AE787" s="847" t="s">
        <v>144</v>
      </c>
      <c r="AF787" s="848" t="s">
        <v>144</v>
      </c>
      <c r="AG787" s="838"/>
      <c r="AH787" s="884" t="s">
        <v>1896</v>
      </c>
      <c r="AI787" s="315" t="s">
        <v>1897</v>
      </c>
      <c r="AJ787" s="903">
        <v>6</v>
      </c>
      <c r="AK787" s="848" t="s">
        <v>1898</v>
      </c>
      <c r="AL787" s="915" t="s">
        <v>294</v>
      </c>
      <c r="AM787" s="315" t="s">
        <v>295</v>
      </c>
      <c r="AN787" s="903">
        <v>7</v>
      </c>
      <c r="AO787" s="187" t="s">
        <v>966</v>
      </c>
      <c r="AP787" s="915"/>
      <c r="AQ787" s="315"/>
      <c r="AR787" s="903"/>
      <c r="AS787" s="916"/>
      <c r="AT787" s="915"/>
      <c r="AU787" s="315"/>
      <c r="AV787" s="903"/>
      <c r="AW787" s="916"/>
      <c r="AX787" s="915"/>
      <c r="AY787" s="315"/>
      <c r="AZ787" s="903"/>
      <c r="BA787" s="916"/>
      <c r="BB787" s="884"/>
      <c r="BC787" s="315"/>
      <c r="BD787" s="903"/>
      <c r="BE787" s="916"/>
      <c r="BF787" s="838"/>
    </row>
    <row r="788" spans="1:58" s="88" customFormat="1" ht="54" hidden="1" customHeight="1" x14ac:dyDescent="0.25">
      <c r="A788" s="267" t="s">
        <v>1687</v>
      </c>
      <c r="B788" s="268">
        <v>553</v>
      </c>
      <c r="C788" s="240" t="s">
        <v>684</v>
      </c>
      <c r="D788" s="211" t="s">
        <v>685</v>
      </c>
      <c r="E788" s="268" t="s">
        <v>6442</v>
      </c>
      <c r="F788" s="861" t="s">
        <v>6443</v>
      </c>
      <c r="G788" s="269" t="s">
        <v>6444</v>
      </c>
      <c r="H788" s="861" t="s">
        <v>6445</v>
      </c>
      <c r="I788" s="269" t="s">
        <v>6446</v>
      </c>
      <c r="J788" s="296" t="s">
        <v>140</v>
      </c>
      <c r="K788" s="297" t="s">
        <v>140</v>
      </c>
      <c r="L788" s="862" t="s">
        <v>6447</v>
      </c>
      <c r="M788" s="847" t="s">
        <v>973</v>
      </c>
      <c r="N788" s="270" t="s">
        <v>974</v>
      </c>
      <c r="O788" s="240" t="s">
        <v>144</v>
      </c>
      <c r="P788" s="240" t="s">
        <v>144</v>
      </c>
      <c r="Q788" s="845" t="s">
        <v>6434</v>
      </c>
      <c r="R788" s="208" t="s">
        <v>6435</v>
      </c>
      <c r="S788" s="864" t="s">
        <v>746</v>
      </c>
      <c r="T788" s="212" t="s">
        <v>1104</v>
      </c>
      <c r="U788" s="213" t="s">
        <v>1105</v>
      </c>
      <c r="V788" s="847">
        <v>19</v>
      </c>
      <c r="W788" s="415" t="s">
        <v>144</v>
      </c>
      <c r="X788" s="212">
        <v>44</v>
      </c>
      <c r="Y788" s="212" t="s">
        <v>144</v>
      </c>
      <c r="Z788" s="241" t="s">
        <v>144</v>
      </c>
      <c r="AA788" s="615" t="s">
        <v>733</v>
      </c>
      <c r="AB788" s="206" t="s">
        <v>140</v>
      </c>
      <c r="AC788" s="847" t="s">
        <v>265</v>
      </c>
      <c r="AD788" s="847" t="s">
        <v>1895</v>
      </c>
      <c r="AE788" s="847" t="s">
        <v>144</v>
      </c>
      <c r="AF788" s="848" t="s">
        <v>144</v>
      </c>
      <c r="AG788" s="838"/>
      <c r="AH788" s="884" t="s">
        <v>1896</v>
      </c>
      <c r="AI788" s="315" t="s">
        <v>1897</v>
      </c>
      <c r="AJ788" s="903">
        <v>6</v>
      </c>
      <c r="AK788" s="848" t="s">
        <v>1898</v>
      </c>
      <c r="AL788" s="915"/>
      <c r="AM788" s="315"/>
      <c r="AN788" s="903"/>
      <c r="AO788" s="916"/>
      <c r="AP788" s="915"/>
      <c r="AQ788" s="315"/>
      <c r="AR788" s="903"/>
      <c r="AS788" s="916"/>
      <c r="AT788" s="915"/>
      <c r="AU788" s="315"/>
      <c r="AV788" s="903"/>
      <c r="AW788" s="916"/>
      <c r="AX788" s="915"/>
      <c r="AY788" s="315"/>
      <c r="AZ788" s="903"/>
      <c r="BA788" s="916"/>
      <c r="BB788" s="884"/>
      <c r="BC788" s="315"/>
      <c r="BD788" s="903"/>
      <c r="BE788" s="916"/>
      <c r="BF788" s="838"/>
    </row>
    <row r="789" spans="1:58" s="88" customFormat="1" ht="54" hidden="1" customHeight="1" x14ac:dyDescent="0.25">
      <c r="A789" s="267" t="s">
        <v>1687</v>
      </c>
      <c r="B789" s="268">
        <v>554</v>
      </c>
      <c r="C789" s="240" t="s">
        <v>684</v>
      </c>
      <c r="D789" s="211" t="s">
        <v>685</v>
      </c>
      <c r="E789" s="268" t="s">
        <v>6448</v>
      </c>
      <c r="F789" s="861" t="s">
        <v>6449</v>
      </c>
      <c r="G789" s="269" t="s">
        <v>6450</v>
      </c>
      <c r="H789" s="861" t="s">
        <v>6451</v>
      </c>
      <c r="I789" s="269" t="s">
        <v>6452</v>
      </c>
      <c r="J789" s="296" t="s">
        <v>140</v>
      </c>
      <c r="K789" s="297" t="s">
        <v>140</v>
      </c>
      <c r="L789" s="862" t="s">
        <v>6453</v>
      </c>
      <c r="M789" s="847" t="s">
        <v>973</v>
      </c>
      <c r="N789" s="270" t="s">
        <v>974</v>
      </c>
      <c r="O789" s="240" t="s">
        <v>814</v>
      </c>
      <c r="P789" s="240" t="s">
        <v>815</v>
      </c>
      <c r="Q789" s="845" t="s">
        <v>6434</v>
      </c>
      <c r="R789" s="208" t="s">
        <v>6435</v>
      </c>
      <c r="S789" s="864" t="s">
        <v>147</v>
      </c>
      <c r="T789" s="212" t="s">
        <v>144</v>
      </c>
      <c r="U789" s="213" t="s">
        <v>144</v>
      </c>
      <c r="V789" s="847">
        <v>3</v>
      </c>
      <c r="W789" s="415" t="s">
        <v>144</v>
      </c>
      <c r="X789" s="212">
        <v>44</v>
      </c>
      <c r="Y789" s="212" t="s">
        <v>144</v>
      </c>
      <c r="Z789" s="241" t="s">
        <v>144</v>
      </c>
      <c r="AA789" s="615" t="s">
        <v>733</v>
      </c>
      <c r="AB789" s="206" t="s">
        <v>140</v>
      </c>
      <c r="AC789" s="847" t="s">
        <v>265</v>
      </c>
      <c r="AD789" s="847" t="s">
        <v>1895</v>
      </c>
      <c r="AE789" s="847" t="s">
        <v>144</v>
      </c>
      <c r="AF789" s="848" t="s">
        <v>144</v>
      </c>
      <c r="AG789" s="838"/>
      <c r="AH789" s="884" t="s">
        <v>6454</v>
      </c>
      <c r="AI789" s="315" t="s">
        <v>6455</v>
      </c>
      <c r="AJ789" s="903">
        <v>7</v>
      </c>
      <c r="AK789" s="848" t="s">
        <v>1280</v>
      </c>
      <c r="AL789" s="915" t="s">
        <v>294</v>
      </c>
      <c r="AM789" s="315" t="s">
        <v>295</v>
      </c>
      <c r="AN789" s="903">
        <v>7</v>
      </c>
      <c r="AO789" s="187" t="s">
        <v>966</v>
      </c>
      <c r="AP789" s="915"/>
      <c r="AQ789" s="315"/>
      <c r="AR789" s="903"/>
      <c r="AS789" s="916"/>
      <c r="AT789" s="915"/>
      <c r="AU789" s="315"/>
      <c r="AV789" s="903"/>
      <c r="AW789" s="916"/>
      <c r="AX789" s="915"/>
      <c r="AY789" s="315"/>
      <c r="AZ789" s="903"/>
      <c r="BA789" s="916"/>
      <c r="BB789" s="884"/>
      <c r="BC789" s="315"/>
      <c r="BD789" s="903"/>
      <c r="BE789" s="916"/>
      <c r="BF789" s="838"/>
    </row>
    <row r="790" spans="1:58" s="88" customFormat="1" ht="54" hidden="1" customHeight="1" x14ac:dyDescent="0.25">
      <c r="A790" s="267" t="s">
        <v>1687</v>
      </c>
      <c r="B790" s="268">
        <v>555</v>
      </c>
      <c r="C790" s="240" t="s">
        <v>684</v>
      </c>
      <c r="D790" s="211" t="s">
        <v>685</v>
      </c>
      <c r="E790" s="268" t="s">
        <v>6456</v>
      </c>
      <c r="F790" s="861" t="s">
        <v>6457</v>
      </c>
      <c r="G790" s="269" t="s">
        <v>6458</v>
      </c>
      <c r="H790" s="861" t="s">
        <v>6459</v>
      </c>
      <c r="I790" s="269" t="s">
        <v>6460</v>
      </c>
      <c r="J790" s="296" t="s">
        <v>140</v>
      </c>
      <c r="K790" s="297" t="s">
        <v>140</v>
      </c>
      <c r="L790" s="862" t="s">
        <v>6461</v>
      </c>
      <c r="M790" s="847" t="s">
        <v>973</v>
      </c>
      <c r="N790" s="270" t="s">
        <v>974</v>
      </c>
      <c r="O790" s="240" t="s">
        <v>144</v>
      </c>
      <c r="P790" s="240" t="s">
        <v>144</v>
      </c>
      <c r="Q790" s="845" t="s">
        <v>6434</v>
      </c>
      <c r="R790" s="208" t="s">
        <v>6435</v>
      </c>
      <c r="S790" s="864" t="s">
        <v>746</v>
      </c>
      <c r="T790" s="212" t="s">
        <v>1104</v>
      </c>
      <c r="U790" s="213" t="s">
        <v>1105</v>
      </c>
      <c r="V790" s="847">
        <v>19</v>
      </c>
      <c r="W790" s="415" t="s">
        <v>144</v>
      </c>
      <c r="X790" s="212">
        <v>44</v>
      </c>
      <c r="Y790" s="212" t="s">
        <v>144</v>
      </c>
      <c r="Z790" s="241" t="s">
        <v>144</v>
      </c>
      <c r="AA790" s="615" t="s">
        <v>733</v>
      </c>
      <c r="AB790" s="206" t="s">
        <v>140</v>
      </c>
      <c r="AC790" s="847" t="s">
        <v>265</v>
      </c>
      <c r="AD790" s="847" t="s">
        <v>1895</v>
      </c>
      <c r="AE790" s="847" t="s">
        <v>144</v>
      </c>
      <c r="AF790" s="848" t="s">
        <v>144</v>
      </c>
      <c r="AG790" s="838"/>
      <c r="AH790" s="884" t="s">
        <v>1896</v>
      </c>
      <c r="AI790" s="315" t="s">
        <v>1897</v>
      </c>
      <c r="AJ790" s="903">
        <v>6</v>
      </c>
      <c r="AK790" s="848" t="s">
        <v>1898</v>
      </c>
      <c r="AL790" s="915"/>
      <c r="AM790" s="315"/>
      <c r="AN790" s="903"/>
      <c r="AO790" s="916"/>
      <c r="AP790" s="915"/>
      <c r="AQ790" s="315"/>
      <c r="AR790" s="903"/>
      <c r="AS790" s="916"/>
      <c r="AT790" s="915"/>
      <c r="AU790" s="315"/>
      <c r="AV790" s="903"/>
      <c r="AW790" s="916"/>
      <c r="AX790" s="915"/>
      <c r="AY790" s="315"/>
      <c r="AZ790" s="903"/>
      <c r="BA790" s="916"/>
      <c r="BB790" s="884"/>
      <c r="BC790" s="315"/>
      <c r="BD790" s="903"/>
      <c r="BE790" s="916"/>
      <c r="BF790" s="838"/>
    </row>
    <row r="791" spans="1:58" s="88" customFormat="1" ht="54" hidden="1" customHeight="1" x14ac:dyDescent="0.25">
      <c r="A791" s="267" t="s">
        <v>1687</v>
      </c>
      <c r="B791" s="268">
        <v>556</v>
      </c>
      <c r="C791" s="240" t="s">
        <v>684</v>
      </c>
      <c r="D791" s="211" t="s">
        <v>685</v>
      </c>
      <c r="E791" s="268" t="s">
        <v>6462</v>
      </c>
      <c r="F791" s="861" t="s">
        <v>6463</v>
      </c>
      <c r="G791" s="269" t="s">
        <v>6464</v>
      </c>
      <c r="H791" s="861" t="s">
        <v>6465</v>
      </c>
      <c r="I791" s="269" t="s">
        <v>6466</v>
      </c>
      <c r="J791" s="296" t="s">
        <v>140</v>
      </c>
      <c r="K791" s="297" t="s">
        <v>140</v>
      </c>
      <c r="L791" s="862" t="s">
        <v>6467</v>
      </c>
      <c r="M791" s="847" t="s">
        <v>973</v>
      </c>
      <c r="N791" s="270" t="s">
        <v>974</v>
      </c>
      <c r="O791" s="240" t="s">
        <v>814</v>
      </c>
      <c r="P791" s="240" t="s">
        <v>815</v>
      </c>
      <c r="Q791" s="845" t="s">
        <v>6434</v>
      </c>
      <c r="R791" s="208" t="s">
        <v>6435</v>
      </c>
      <c r="S791" s="864" t="s">
        <v>147</v>
      </c>
      <c r="T791" s="212" t="s">
        <v>144</v>
      </c>
      <c r="U791" s="213" t="s">
        <v>144</v>
      </c>
      <c r="V791" s="847">
        <v>3</v>
      </c>
      <c r="W791" s="415" t="s">
        <v>144</v>
      </c>
      <c r="X791" s="212">
        <v>44</v>
      </c>
      <c r="Y791" s="212" t="s">
        <v>144</v>
      </c>
      <c r="Z791" s="241" t="s">
        <v>144</v>
      </c>
      <c r="AA791" s="615" t="s">
        <v>733</v>
      </c>
      <c r="AB791" s="206" t="s">
        <v>140</v>
      </c>
      <c r="AC791" s="847" t="s">
        <v>265</v>
      </c>
      <c r="AD791" s="847" t="s">
        <v>1895</v>
      </c>
      <c r="AE791" s="847" t="s">
        <v>144</v>
      </c>
      <c r="AF791" s="848" t="s">
        <v>144</v>
      </c>
      <c r="AG791" s="838"/>
      <c r="AH791" s="884" t="s">
        <v>6468</v>
      </c>
      <c r="AI791" s="315" t="s">
        <v>6469</v>
      </c>
      <c r="AJ791" s="903">
        <v>7</v>
      </c>
      <c r="AK791" s="848" t="s">
        <v>1280</v>
      </c>
      <c r="AL791" s="915" t="s">
        <v>294</v>
      </c>
      <c r="AM791" s="315" t="s">
        <v>295</v>
      </c>
      <c r="AN791" s="903">
        <v>7</v>
      </c>
      <c r="AO791" s="187" t="s">
        <v>966</v>
      </c>
      <c r="AP791" s="915"/>
      <c r="AQ791" s="315"/>
      <c r="AR791" s="903"/>
      <c r="AS791" s="916"/>
      <c r="AT791" s="915"/>
      <c r="AU791" s="315"/>
      <c r="AV791" s="903"/>
      <c r="AW791" s="916"/>
      <c r="AX791" s="915"/>
      <c r="AY791" s="315"/>
      <c r="AZ791" s="903"/>
      <c r="BA791" s="916"/>
      <c r="BB791" s="884"/>
      <c r="BC791" s="315"/>
      <c r="BD791" s="903"/>
      <c r="BE791" s="916"/>
      <c r="BF791" s="838"/>
    </row>
    <row r="792" spans="1:58" s="88" customFormat="1" ht="54" hidden="1" customHeight="1" x14ac:dyDescent="0.25">
      <c r="A792" s="267" t="s">
        <v>1687</v>
      </c>
      <c r="B792" s="268">
        <v>557</v>
      </c>
      <c r="C792" s="240" t="s">
        <v>684</v>
      </c>
      <c r="D792" s="211" t="s">
        <v>685</v>
      </c>
      <c r="E792" s="268" t="s">
        <v>6470</v>
      </c>
      <c r="F792" s="861" t="s">
        <v>6471</v>
      </c>
      <c r="G792" s="269" t="s">
        <v>6472</v>
      </c>
      <c r="H792" s="861" t="s">
        <v>6473</v>
      </c>
      <c r="I792" s="269" t="s">
        <v>6474</v>
      </c>
      <c r="J792" s="296" t="s">
        <v>140</v>
      </c>
      <c r="K792" s="297" t="s">
        <v>140</v>
      </c>
      <c r="L792" s="862" t="s">
        <v>6475</v>
      </c>
      <c r="M792" s="847" t="s">
        <v>973</v>
      </c>
      <c r="N792" s="270" t="s">
        <v>974</v>
      </c>
      <c r="O792" s="240" t="s">
        <v>144</v>
      </c>
      <c r="P792" s="240" t="s">
        <v>144</v>
      </c>
      <c r="Q792" s="845" t="s">
        <v>6434</v>
      </c>
      <c r="R792" s="208" t="s">
        <v>6435</v>
      </c>
      <c r="S792" s="864" t="s">
        <v>746</v>
      </c>
      <c r="T792" s="212" t="s">
        <v>1104</v>
      </c>
      <c r="U792" s="213" t="s">
        <v>1105</v>
      </c>
      <c r="V792" s="847">
        <v>19</v>
      </c>
      <c r="W792" s="415" t="s">
        <v>144</v>
      </c>
      <c r="X792" s="212">
        <v>44</v>
      </c>
      <c r="Y792" s="212" t="s">
        <v>144</v>
      </c>
      <c r="Z792" s="241" t="s">
        <v>144</v>
      </c>
      <c r="AA792" s="615" t="s">
        <v>733</v>
      </c>
      <c r="AB792" s="206" t="s">
        <v>140</v>
      </c>
      <c r="AC792" s="847" t="s">
        <v>265</v>
      </c>
      <c r="AD792" s="847" t="s">
        <v>5928</v>
      </c>
      <c r="AE792" s="847" t="s">
        <v>144</v>
      </c>
      <c r="AF792" s="848" t="s">
        <v>144</v>
      </c>
      <c r="AG792" s="838"/>
      <c r="AH792" s="291" t="s">
        <v>2977</v>
      </c>
      <c r="AI792" s="273" t="s">
        <v>2978</v>
      </c>
      <c r="AJ792" s="903">
        <v>6</v>
      </c>
      <c r="AK792" s="848" t="s">
        <v>2979</v>
      </c>
      <c r="AL792" s="915"/>
      <c r="AM792" s="315"/>
      <c r="AN792" s="903"/>
      <c r="AO792" s="916"/>
      <c r="AP792" s="915"/>
      <c r="AQ792" s="315"/>
      <c r="AR792" s="903"/>
      <c r="AS792" s="916"/>
      <c r="AT792" s="915"/>
      <c r="AU792" s="315"/>
      <c r="AV792" s="903"/>
      <c r="AW792" s="916"/>
      <c r="AX792" s="915"/>
      <c r="AY792" s="315"/>
      <c r="AZ792" s="903"/>
      <c r="BA792" s="916"/>
      <c r="BB792" s="884"/>
      <c r="BC792" s="315"/>
      <c r="BD792" s="903"/>
      <c r="BE792" s="916"/>
      <c r="BF792" s="838"/>
    </row>
    <row r="793" spans="1:58" s="88" customFormat="1" ht="54" hidden="1" customHeight="1" x14ac:dyDescent="0.25">
      <c r="A793" s="267" t="s">
        <v>1687</v>
      </c>
      <c r="B793" s="268">
        <v>558</v>
      </c>
      <c r="C793" s="240" t="s">
        <v>684</v>
      </c>
      <c r="D793" s="211" t="s">
        <v>685</v>
      </c>
      <c r="E793" s="268" t="s">
        <v>6476</v>
      </c>
      <c r="F793" s="861" t="s">
        <v>6477</v>
      </c>
      <c r="G793" s="269" t="s">
        <v>6478</v>
      </c>
      <c r="H793" s="861" t="s">
        <v>6477</v>
      </c>
      <c r="I793" s="269" t="s">
        <v>6478</v>
      </c>
      <c r="J793" s="296" t="s">
        <v>140</v>
      </c>
      <c r="K793" s="297" t="s">
        <v>140</v>
      </c>
      <c r="L793" s="862" t="s">
        <v>6479</v>
      </c>
      <c r="M793" s="847" t="s">
        <v>973</v>
      </c>
      <c r="N793" s="270" t="s">
        <v>974</v>
      </c>
      <c r="O793" s="240" t="s">
        <v>814</v>
      </c>
      <c r="P793" s="240" t="s">
        <v>815</v>
      </c>
      <c r="Q793" s="845" t="s">
        <v>6434</v>
      </c>
      <c r="R793" s="208" t="s">
        <v>6435</v>
      </c>
      <c r="S793" s="864" t="s">
        <v>147</v>
      </c>
      <c r="T793" s="212" t="s">
        <v>144</v>
      </c>
      <c r="U793" s="213" t="s">
        <v>144</v>
      </c>
      <c r="V793" s="847">
        <v>3</v>
      </c>
      <c r="W793" s="415" t="s">
        <v>144</v>
      </c>
      <c r="X793" s="212">
        <v>44</v>
      </c>
      <c r="Y793" s="212" t="s">
        <v>144</v>
      </c>
      <c r="Z793" s="241" t="s">
        <v>144</v>
      </c>
      <c r="AA793" s="615" t="s">
        <v>733</v>
      </c>
      <c r="AB793" s="206" t="s">
        <v>140</v>
      </c>
      <c r="AC793" s="847" t="s">
        <v>265</v>
      </c>
      <c r="AD793" s="847" t="s">
        <v>5928</v>
      </c>
      <c r="AE793" s="847" t="s">
        <v>144</v>
      </c>
      <c r="AF793" s="848" t="s">
        <v>144</v>
      </c>
      <c r="AG793" s="838"/>
      <c r="AH793" s="884" t="s">
        <v>6480</v>
      </c>
      <c r="AI793" s="315" t="s">
        <v>6481</v>
      </c>
      <c r="AJ793" s="903">
        <v>7</v>
      </c>
      <c r="AK793" s="848" t="s">
        <v>1280</v>
      </c>
      <c r="AL793" s="915" t="s">
        <v>294</v>
      </c>
      <c r="AM793" s="315" t="s">
        <v>295</v>
      </c>
      <c r="AN793" s="903">
        <v>7</v>
      </c>
      <c r="AO793" s="187" t="s">
        <v>966</v>
      </c>
      <c r="AP793" s="915"/>
      <c r="AQ793" s="315"/>
      <c r="AR793" s="903"/>
      <c r="AS793" s="916"/>
      <c r="AT793" s="915"/>
      <c r="AU793" s="315"/>
      <c r="AV793" s="903"/>
      <c r="AW793" s="916"/>
      <c r="AX793" s="915"/>
      <c r="AY793" s="315"/>
      <c r="AZ793" s="903"/>
      <c r="BA793" s="916"/>
      <c r="BB793" s="884"/>
      <c r="BC793" s="315"/>
      <c r="BD793" s="903"/>
      <c r="BE793" s="916"/>
      <c r="BF793" s="838"/>
    </row>
    <row r="794" spans="1:58" s="88" customFormat="1" ht="54" hidden="1" customHeight="1" x14ac:dyDescent="0.25">
      <c r="A794" s="267" t="s">
        <v>1687</v>
      </c>
      <c r="B794" s="268">
        <v>559</v>
      </c>
      <c r="C794" s="240" t="s">
        <v>6482</v>
      </c>
      <c r="D794" s="211" t="s">
        <v>6483</v>
      </c>
      <c r="E794" s="268" t="s">
        <v>6484</v>
      </c>
      <c r="F794" s="861" t="s">
        <v>6485</v>
      </c>
      <c r="G794" s="269" t="s">
        <v>6486</v>
      </c>
      <c r="H794" s="861" t="s">
        <v>6487</v>
      </c>
      <c r="I794" s="269" t="s">
        <v>6488</v>
      </c>
      <c r="J794" s="296" t="s">
        <v>140</v>
      </c>
      <c r="K794" s="297" t="s">
        <v>140</v>
      </c>
      <c r="L794" s="862" t="s">
        <v>6489</v>
      </c>
      <c r="M794" s="847" t="s">
        <v>973</v>
      </c>
      <c r="N794" s="270" t="s">
        <v>974</v>
      </c>
      <c r="O794" s="240" t="s">
        <v>6490</v>
      </c>
      <c r="P794" s="240" t="s">
        <v>6491</v>
      </c>
      <c r="Q794" s="845" t="s">
        <v>6492</v>
      </c>
      <c r="R794" s="208" t="s">
        <v>6493</v>
      </c>
      <c r="S794" s="864" t="s">
        <v>147</v>
      </c>
      <c r="T794" s="212" t="s">
        <v>144</v>
      </c>
      <c r="U794" s="213" t="s">
        <v>144</v>
      </c>
      <c r="V794" s="847">
        <v>1</v>
      </c>
      <c r="W794" s="415" t="s">
        <v>144</v>
      </c>
      <c r="X794" s="212">
        <v>44</v>
      </c>
      <c r="Y794" s="212" t="s">
        <v>144</v>
      </c>
      <c r="Z794" s="241" t="s">
        <v>144</v>
      </c>
      <c r="AA794" s="615" t="s">
        <v>733</v>
      </c>
      <c r="AB794" s="206" t="s">
        <v>140</v>
      </c>
      <c r="AC794" s="847" t="s">
        <v>265</v>
      </c>
      <c r="AD794" s="847" t="s">
        <v>2190</v>
      </c>
      <c r="AE794" s="847" t="s">
        <v>144</v>
      </c>
      <c r="AF794" s="848" t="s">
        <v>144</v>
      </c>
      <c r="AG794" s="838"/>
      <c r="AH794" s="884" t="s">
        <v>6494</v>
      </c>
      <c r="AI794" s="315" t="s">
        <v>6495</v>
      </c>
      <c r="AJ794" s="903">
        <v>6</v>
      </c>
      <c r="AK794" s="916" t="s">
        <v>6496</v>
      </c>
      <c r="AL794" s="915" t="s">
        <v>294</v>
      </c>
      <c r="AM794" s="315" t="s">
        <v>295</v>
      </c>
      <c r="AN794" s="903">
        <v>7</v>
      </c>
      <c r="AO794" s="187" t="s">
        <v>966</v>
      </c>
      <c r="AP794" s="915"/>
      <c r="AQ794" s="315"/>
      <c r="AR794" s="903"/>
      <c r="AS794" s="916"/>
      <c r="AT794" s="915"/>
      <c r="AU794" s="315"/>
      <c r="AV794" s="903"/>
      <c r="AW794" s="916"/>
      <c r="AX794" s="915"/>
      <c r="AY794" s="315"/>
      <c r="AZ794" s="903"/>
      <c r="BA794" s="916"/>
      <c r="BB794" s="884"/>
      <c r="BC794" s="315"/>
      <c r="BD794" s="903"/>
      <c r="BE794" s="916"/>
      <c r="BF794" s="838"/>
    </row>
    <row r="795" spans="1:58" s="88" customFormat="1" ht="54" hidden="1" customHeight="1" x14ac:dyDescent="0.25">
      <c r="A795" s="267" t="s">
        <v>1687</v>
      </c>
      <c r="B795" s="268">
        <v>560</v>
      </c>
      <c r="C795" s="240" t="s">
        <v>6482</v>
      </c>
      <c r="D795" s="211" t="s">
        <v>6483</v>
      </c>
      <c r="E795" s="268" t="s">
        <v>6497</v>
      </c>
      <c r="F795" s="861" t="s">
        <v>6498</v>
      </c>
      <c r="G795" s="269" t="s">
        <v>6499</v>
      </c>
      <c r="H795" s="861" t="s">
        <v>6500</v>
      </c>
      <c r="I795" s="269" t="s">
        <v>6501</v>
      </c>
      <c r="J795" s="296" t="s">
        <v>140</v>
      </c>
      <c r="K795" s="297" t="s">
        <v>140</v>
      </c>
      <c r="L795" s="862" t="s">
        <v>6502</v>
      </c>
      <c r="M795" s="847" t="s">
        <v>973</v>
      </c>
      <c r="N795" s="270" t="s">
        <v>974</v>
      </c>
      <c r="O795" s="240" t="s">
        <v>6503</v>
      </c>
      <c r="P795" s="240" t="s">
        <v>6504</v>
      </c>
      <c r="Q795" s="845" t="s">
        <v>6505</v>
      </c>
      <c r="R795" s="210" t="s">
        <v>6506</v>
      </c>
      <c r="S795" s="864" t="s">
        <v>147</v>
      </c>
      <c r="T795" s="212" t="s">
        <v>144</v>
      </c>
      <c r="U795" s="213" t="s">
        <v>144</v>
      </c>
      <c r="V795" s="847">
        <v>1</v>
      </c>
      <c r="W795" s="415" t="s">
        <v>144</v>
      </c>
      <c r="X795" s="212">
        <v>44</v>
      </c>
      <c r="Y795" s="212" t="s">
        <v>144</v>
      </c>
      <c r="Z795" s="241" t="s">
        <v>25</v>
      </c>
      <c r="AA795" s="615" t="s">
        <v>733</v>
      </c>
      <c r="AB795" s="206" t="s">
        <v>140</v>
      </c>
      <c r="AC795" s="847" t="s">
        <v>265</v>
      </c>
      <c r="AD795" s="872" t="s">
        <v>6507</v>
      </c>
      <c r="AE795" s="847" t="s">
        <v>144</v>
      </c>
      <c r="AF795" s="848" t="s">
        <v>144</v>
      </c>
      <c r="AG795" s="838"/>
      <c r="AH795" s="884" t="s">
        <v>6508</v>
      </c>
      <c r="AI795" s="315" t="s">
        <v>6509</v>
      </c>
      <c r="AJ795" s="903">
        <v>6</v>
      </c>
      <c r="AK795" s="916" t="s">
        <v>6510</v>
      </c>
      <c r="AL795" s="915" t="s">
        <v>294</v>
      </c>
      <c r="AM795" s="315" t="s">
        <v>295</v>
      </c>
      <c r="AN795" s="903">
        <v>7</v>
      </c>
      <c r="AO795" s="187" t="s">
        <v>966</v>
      </c>
      <c r="AP795" s="915"/>
      <c r="AQ795" s="315"/>
      <c r="AR795" s="903"/>
      <c r="AS795" s="916"/>
      <c r="AT795" s="915"/>
      <c r="AU795" s="315"/>
      <c r="AV795" s="903"/>
      <c r="AW795" s="916"/>
      <c r="AX795" s="915"/>
      <c r="AY795" s="315"/>
      <c r="AZ795" s="903"/>
      <c r="BA795" s="916"/>
      <c r="BB795" s="884"/>
      <c r="BC795" s="315"/>
      <c r="BD795" s="903"/>
      <c r="BE795" s="916"/>
      <c r="BF795" s="838"/>
    </row>
    <row r="796" spans="1:58" s="88" customFormat="1" ht="54" hidden="1" customHeight="1" x14ac:dyDescent="0.25">
      <c r="A796" s="267" t="s">
        <v>1687</v>
      </c>
      <c r="B796" s="268">
        <v>561</v>
      </c>
      <c r="C796" s="240" t="s">
        <v>6482</v>
      </c>
      <c r="D796" s="211" t="s">
        <v>6483</v>
      </c>
      <c r="E796" s="268" t="s">
        <v>6511</v>
      </c>
      <c r="F796" s="861" t="s">
        <v>6512</v>
      </c>
      <c r="G796" s="269" t="s">
        <v>6513</v>
      </c>
      <c r="H796" s="861" t="s">
        <v>6514</v>
      </c>
      <c r="I796" s="269" t="s">
        <v>6515</v>
      </c>
      <c r="J796" s="296" t="s">
        <v>140</v>
      </c>
      <c r="K796" s="297" t="s">
        <v>140</v>
      </c>
      <c r="L796" s="862" t="s">
        <v>6516</v>
      </c>
      <c r="M796" s="847" t="s">
        <v>973</v>
      </c>
      <c r="N796" s="270" t="s">
        <v>974</v>
      </c>
      <c r="O796" s="240" t="s">
        <v>6517</v>
      </c>
      <c r="P796" s="240" t="s">
        <v>6518</v>
      </c>
      <c r="Q796" s="845" t="s">
        <v>6492</v>
      </c>
      <c r="R796" s="208" t="s">
        <v>6493</v>
      </c>
      <c r="S796" s="864" t="s">
        <v>147</v>
      </c>
      <c r="T796" s="212" t="s">
        <v>144</v>
      </c>
      <c r="U796" s="213" t="s">
        <v>144</v>
      </c>
      <c r="V796" s="847">
        <v>1</v>
      </c>
      <c r="W796" s="415" t="s">
        <v>144</v>
      </c>
      <c r="X796" s="212">
        <v>44</v>
      </c>
      <c r="Y796" s="212" t="s">
        <v>144</v>
      </c>
      <c r="Z796" s="241" t="s">
        <v>25</v>
      </c>
      <c r="AA796" s="615" t="s">
        <v>733</v>
      </c>
      <c r="AB796" s="206" t="s">
        <v>140</v>
      </c>
      <c r="AC796" s="847" t="s">
        <v>265</v>
      </c>
      <c r="AD796" s="872" t="s">
        <v>6507</v>
      </c>
      <c r="AE796" s="847" t="s">
        <v>144</v>
      </c>
      <c r="AF796" s="848" t="s">
        <v>144</v>
      </c>
      <c r="AG796" s="838"/>
      <c r="AH796" s="884" t="s">
        <v>6508</v>
      </c>
      <c r="AI796" s="315" t="s">
        <v>6509</v>
      </c>
      <c r="AJ796" s="903">
        <v>6</v>
      </c>
      <c r="AK796" s="916" t="s">
        <v>6510</v>
      </c>
      <c r="AL796" s="915" t="s">
        <v>294</v>
      </c>
      <c r="AM796" s="315" t="s">
        <v>295</v>
      </c>
      <c r="AN796" s="903">
        <v>7</v>
      </c>
      <c r="AO796" s="187" t="s">
        <v>966</v>
      </c>
      <c r="AP796" s="915"/>
      <c r="AQ796" s="315"/>
      <c r="AR796" s="903"/>
      <c r="AS796" s="916"/>
      <c r="AT796" s="915"/>
      <c r="AU796" s="315"/>
      <c r="AV796" s="903"/>
      <c r="AW796" s="916"/>
      <c r="AX796" s="915"/>
      <c r="AY796" s="315"/>
      <c r="AZ796" s="903"/>
      <c r="BA796" s="916"/>
      <c r="BB796" s="884"/>
      <c r="BC796" s="315"/>
      <c r="BD796" s="903"/>
      <c r="BE796" s="916"/>
      <c r="BF796" s="838"/>
    </row>
    <row r="797" spans="1:58" s="88" customFormat="1" ht="54" hidden="1" customHeight="1" x14ac:dyDescent="0.25">
      <c r="A797" s="267" t="s">
        <v>1687</v>
      </c>
      <c r="B797" s="268">
        <v>562</v>
      </c>
      <c r="C797" s="240" t="s">
        <v>6404</v>
      </c>
      <c r="D797" s="211" t="s">
        <v>6405</v>
      </c>
      <c r="E797" s="268" t="s">
        <v>6519</v>
      </c>
      <c r="F797" s="861" t="s">
        <v>6520</v>
      </c>
      <c r="G797" s="269" t="s">
        <v>6521</v>
      </c>
      <c r="H797" s="861" t="s">
        <v>6522</v>
      </c>
      <c r="I797" s="269" t="s">
        <v>6523</v>
      </c>
      <c r="J797" s="296" t="s">
        <v>140</v>
      </c>
      <c r="K797" s="297" t="s">
        <v>140</v>
      </c>
      <c r="L797" s="862" t="s">
        <v>6524</v>
      </c>
      <c r="M797" s="847" t="s">
        <v>973</v>
      </c>
      <c r="N797" s="270" t="s">
        <v>974</v>
      </c>
      <c r="O797" s="240" t="s">
        <v>6525</v>
      </c>
      <c r="P797" s="240" t="s">
        <v>6526</v>
      </c>
      <c r="Q797" s="845" t="s">
        <v>6527</v>
      </c>
      <c r="R797" s="210" t="s">
        <v>6528</v>
      </c>
      <c r="S797" s="864" t="s">
        <v>147</v>
      </c>
      <c r="T797" s="212" t="s">
        <v>144</v>
      </c>
      <c r="U797" s="213" t="s">
        <v>144</v>
      </c>
      <c r="V797" s="847">
        <v>1</v>
      </c>
      <c r="W797" s="415" t="s">
        <v>144</v>
      </c>
      <c r="X797" s="212">
        <v>44</v>
      </c>
      <c r="Y797" s="212" t="s">
        <v>144</v>
      </c>
      <c r="Z797" s="241" t="s">
        <v>144</v>
      </c>
      <c r="AA797" s="615" t="s">
        <v>733</v>
      </c>
      <c r="AB797" s="206" t="s">
        <v>140</v>
      </c>
      <c r="AC797" s="847" t="s">
        <v>265</v>
      </c>
      <c r="AD797" s="847" t="s">
        <v>6529</v>
      </c>
      <c r="AE797" s="847" t="s">
        <v>144</v>
      </c>
      <c r="AF797" s="848" t="s">
        <v>144</v>
      </c>
      <c r="AG797" s="838"/>
      <c r="AH797" s="884" t="s">
        <v>6530</v>
      </c>
      <c r="AI797" s="315" t="s">
        <v>6531</v>
      </c>
      <c r="AJ797" s="903">
        <v>6</v>
      </c>
      <c r="AK797" s="848" t="s">
        <v>6532</v>
      </c>
      <c r="AL797" s="915" t="s">
        <v>294</v>
      </c>
      <c r="AM797" s="315" t="s">
        <v>295</v>
      </c>
      <c r="AN797" s="903">
        <v>7</v>
      </c>
      <c r="AO797" s="187" t="s">
        <v>966</v>
      </c>
      <c r="AP797" s="915"/>
      <c r="AQ797" s="315"/>
      <c r="AR797" s="903"/>
      <c r="AS797" s="916"/>
      <c r="AT797" s="915"/>
      <c r="AU797" s="315"/>
      <c r="AV797" s="903"/>
      <c r="AW797" s="916"/>
      <c r="AX797" s="915"/>
      <c r="AY797" s="315"/>
      <c r="AZ797" s="903"/>
      <c r="BA797" s="916"/>
      <c r="BB797" s="884"/>
      <c r="BC797" s="315"/>
      <c r="BD797" s="903"/>
      <c r="BE797" s="916"/>
      <c r="BF797" s="838"/>
    </row>
    <row r="798" spans="1:58" s="88" customFormat="1" ht="54" hidden="1" customHeight="1" x14ac:dyDescent="0.25">
      <c r="A798" s="267" t="s">
        <v>1687</v>
      </c>
      <c r="B798" s="268">
        <v>563</v>
      </c>
      <c r="C798" s="240" t="s">
        <v>6404</v>
      </c>
      <c r="D798" s="211" t="s">
        <v>6405</v>
      </c>
      <c r="E798" s="268" t="s">
        <v>6533</v>
      </c>
      <c r="F798" s="861" t="s">
        <v>6534</v>
      </c>
      <c r="G798" s="269" t="s">
        <v>6535</v>
      </c>
      <c r="H798" s="861" t="s">
        <v>6536</v>
      </c>
      <c r="I798" s="269" t="s">
        <v>6537</v>
      </c>
      <c r="J798" s="296" t="s">
        <v>140</v>
      </c>
      <c r="K798" s="297" t="s">
        <v>140</v>
      </c>
      <c r="L798" s="862" t="s">
        <v>6538</v>
      </c>
      <c r="M798" s="847" t="s">
        <v>973</v>
      </c>
      <c r="N798" s="270" t="s">
        <v>974</v>
      </c>
      <c r="O798" s="240" t="s">
        <v>6539</v>
      </c>
      <c r="P798" s="240" t="s">
        <v>6540</v>
      </c>
      <c r="Q798" s="845" t="s">
        <v>6527</v>
      </c>
      <c r="R798" s="210" t="s">
        <v>6528</v>
      </c>
      <c r="S798" s="864" t="s">
        <v>147</v>
      </c>
      <c r="T798" s="212" t="s">
        <v>144</v>
      </c>
      <c r="U798" s="213" t="s">
        <v>144</v>
      </c>
      <c r="V798" s="847">
        <v>1</v>
      </c>
      <c r="W798" s="415" t="s">
        <v>144</v>
      </c>
      <c r="X798" s="212">
        <v>44</v>
      </c>
      <c r="Y798" s="212" t="s">
        <v>144</v>
      </c>
      <c r="Z798" s="241" t="s">
        <v>29</v>
      </c>
      <c r="AA798" s="615" t="s">
        <v>733</v>
      </c>
      <c r="AB798" s="206" t="s">
        <v>140</v>
      </c>
      <c r="AC798" s="847" t="s">
        <v>265</v>
      </c>
      <c r="AD798" s="847" t="s">
        <v>6529</v>
      </c>
      <c r="AE798" s="847" t="s">
        <v>144</v>
      </c>
      <c r="AF798" s="848" t="s">
        <v>144</v>
      </c>
      <c r="AG798" s="838"/>
      <c r="AH798" s="884" t="s">
        <v>6541</v>
      </c>
      <c r="AI798" s="315" t="s">
        <v>6542</v>
      </c>
      <c r="AJ798" s="903">
        <v>6</v>
      </c>
      <c r="AK798" s="286" t="s">
        <v>6543</v>
      </c>
      <c r="AL798" s="915" t="s">
        <v>294</v>
      </c>
      <c r="AM798" s="315" t="s">
        <v>295</v>
      </c>
      <c r="AN798" s="903">
        <v>7</v>
      </c>
      <c r="AO798" s="187" t="s">
        <v>966</v>
      </c>
      <c r="AP798" s="915"/>
      <c r="AQ798" s="315"/>
      <c r="AR798" s="903"/>
      <c r="AS798" s="916"/>
      <c r="AT798" s="917" t="s">
        <v>6544</v>
      </c>
      <c r="AU798" s="440" t="s">
        <v>6545</v>
      </c>
      <c r="AV798" s="918">
        <v>6</v>
      </c>
      <c r="AW798" s="919" t="s">
        <v>6546</v>
      </c>
      <c r="AX798" s="915"/>
      <c r="AY798" s="315"/>
      <c r="AZ798" s="903"/>
      <c r="BA798" s="916"/>
      <c r="BB798" s="884"/>
      <c r="BC798" s="315"/>
      <c r="BD798" s="903"/>
      <c r="BE798" s="916"/>
      <c r="BF798" s="838"/>
    </row>
    <row r="799" spans="1:58" s="88" customFormat="1" ht="54" hidden="1" customHeight="1" x14ac:dyDescent="0.25">
      <c r="A799" s="267" t="s">
        <v>1687</v>
      </c>
      <c r="B799" s="268">
        <v>564</v>
      </c>
      <c r="C799" s="240" t="s">
        <v>6404</v>
      </c>
      <c r="D799" s="211" t="s">
        <v>6405</v>
      </c>
      <c r="E799" s="268" t="s">
        <v>6547</v>
      </c>
      <c r="F799" s="861" t="s">
        <v>6548</v>
      </c>
      <c r="G799" s="269" t="s">
        <v>6549</v>
      </c>
      <c r="H799" s="612" t="s">
        <v>6550</v>
      </c>
      <c r="I799" s="371" t="s">
        <v>6551</v>
      </c>
      <c r="J799" s="296" t="s">
        <v>140</v>
      </c>
      <c r="K799" s="297" t="s">
        <v>140</v>
      </c>
      <c r="L799" s="862" t="s">
        <v>6552</v>
      </c>
      <c r="M799" s="847" t="s">
        <v>973</v>
      </c>
      <c r="N799" s="270" t="s">
        <v>974</v>
      </c>
      <c r="O799" s="240" t="s">
        <v>6553</v>
      </c>
      <c r="P799" s="240" t="s">
        <v>6554</v>
      </c>
      <c r="Q799" s="845" t="s">
        <v>6527</v>
      </c>
      <c r="R799" s="210" t="s">
        <v>6528</v>
      </c>
      <c r="S799" s="864" t="s">
        <v>147</v>
      </c>
      <c r="T799" s="212" t="s">
        <v>144</v>
      </c>
      <c r="U799" s="213" t="s">
        <v>144</v>
      </c>
      <c r="V799" s="847">
        <v>1</v>
      </c>
      <c r="W799" s="415" t="s">
        <v>144</v>
      </c>
      <c r="X799" s="212">
        <v>44</v>
      </c>
      <c r="Y799" s="212" t="s">
        <v>144</v>
      </c>
      <c r="Z799" s="241" t="s">
        <v>144</v>
      </c>
      <c r="AA799" s="615" t="s">
        <v>733</v>
      </c>
      <c r="AB799" s="206" t="s">
        <v>140</v>
      </c>
      <c r="AC799" s="847" t="s">
        <v>265</v>
      </c>
      <c r="AD799" s="847" t="s">
        <v>6529</v>
      </c>
      <c r="AE799" s="847" t="s">
        <v>144</v>
      </c>
      <c r="AF799" s="848" t="s">
        <v>144</v>
      </c>
      <c r="AG799" s="838"/>
      <c r="AH799" s="884" t="s">
        <v>6530</v>
      </c>
      <c r="AI799" s="315" t="s">
        <v>6531</v>
      </c>
      <c r="AJ799" s="903">
        <v>6</v>
      </c>
      <c r="AK799" s="848" t="s">
        <v>6532</v>
      </c>
      <c r="AL799" s="915" t="s">
        <v>294</v>
      </c>
      <c r="AM799" s="315" t="s">
        <v>295</v>
      </c>
      <c r="AN799" s="903">
        <v>7</v>
      </c>
      <c r="AO799" s="187" t="s">
        <v>966</v>
      </c>
      <c r="AP799" s="915"/>
      <c r="AQ799" s="315"/>
      <c r="AR799" s="903"/>
      <c r="AS799" s="916"/>
      <c r="AT799" s="915"/>
      <c r="AU799" s="315"/>
      <c r="AV799" s="903"/>
      <c r="AW799" s="916"/>
      <c r="AX799" s="915"/>
      <c r="AY799" s="315"/>
      <c r="AZ799" s="903"/>
      <c r="BA799" s="916"/>
      <c r="BB799" s="884"/>
      <c r="BC799" s="315"/>
      <c r="BD799" s="903"/>
      <c r="BE799" s="916"/>
      <c r="BF799" s="838"/>
    </row>
    <row r="800" spans="1:58" s="88" customFormat="1" ht="54" hidden="1" customHeight="1" x14ac:dyDescent="0.25">
      <c r="A800" s="267" t="s">
        <v>1687</v>
      </c>
      <c r="B800" s="268">
        <v>565</v>
      </c>
      <c r="C800" s="240" t="s">
        <v>6404</v>
      </c>
      <c r="D800" s="211" t="s">
        <v>6405</v>
      </c>
      <c r="E800" s="268" t="s">
        <v>6555</v>
      </c>
      <c r="F800" s="861" t="s">
        <v>6556</v>
      </c>
      <c r="G800" s="269" t="s">
        <v>6557</v>
      </c>
      <c r="H800" s="861" t="s">
        <v>6558</v>
      </c>
      <c r="I800" s="269" t="s">
        <v>6559</v>
      </c>
      <c r="J800" s="296" t="s">
        <v>140</v>
      </c>
      <c r="K800" s="297" t="s">
        <v>140</v>
      </c>
      <c r="L800" s="862" t="s">
        <v>6560</v>
      </c>
      <c r="M800" s="847" t="s">
        <v>973</v>
      </c>
      <c r="N800" s="270" t="s">
        <v>974</v>
      </c>
      <c r="O800" s="240" t="s">
        <v>6561</v>
      </c>
      <c r="P800" s="240" t="s">
        <v>6562</v>
      </c>
      <c r="Q800" s="845" t="s">
        <v>6563</v>
      </c>
      <c r="R800" s="210" t="s">
        <v>6564</v>
      </c>
      <c r="S800" s="864" t="s">
        <v>147</v>
      </c>
      <c r="T800" s="212" t="s">
        <v>144</v>
      </c>
      <c r="U800" s="213" t="s">
        <v>144</v>
      </c>
      <c r="V800" s="847">
        <v>1</v>
      </c>
      <c r="W800" s="415" t="s">
        <v>144</v>
      </c>
      <c r="X800" s="212">
        <v>44</v>
      </c>
      <c r="Y800" s="212" t="s">
        <v>144</v>
      </c>
      <c r="Z800" s="241" t="s">
        <v>144</v>
      </c>
      <c r="AA800" s="615" t="s">
        <v>733</v>
      </c>
      <c r="AB800" s="206" t="s">
        <v>140</v>
      </c>
      <c r="AC800" s="847" t="s">
        <v>265</v>
      </c>
      <c r="AD800" s="847" t="s">
        <v>6565</v>
      </c>
      <c r="AE800" s="847" t="s">
        <v>144</v>
      </c>
      <c r="AF800" s="848" t="s">
        <v>144</v>
      </c>
      <c r="AG800" s="838"/>
      <c r="AH800" s="884" t="s">
        <v>6566</v>
      </c>
      <c r="AI800" s="315" t="s">
        <v>6567</v>
      </c>
      <c r="AJ800" s="903">
        <v>6</v>
      </c>
      <c r="AK800" s="848" t="s">
        <v>6568</v>
      </c>
      <c r="AL800" s="915" t="s">
        <v>294</v>
      </c>
      <c r="AM800" s="315" t="s">
        <v>295</v>
      </c>
      <c r="AN800" s="903">
        <v>7</v>
      </c>
      <c r="AO800" s="187" t="s">
        <v>966</v>
      </c>
      <c r="AP800" s="915"/>
      <c r="AQ800" s="315"/>
      <c r="AR800" s="903"/>
      <c r="AS800" s="916"/>
      <c r="AT800" s="915"/>
      <c r="AU800" s="315"/>
      <c r="AV800" s="903"/>
      <c r="AW800" s="916"/>
      <c r="AX800" s="915"/>
      <c r="AY800" s="315"/>
      <c r="AZ800" s="903"/>
      <c r="BA800" s="916"/>
      <c r="BB800" s="884"/>
      <c r="BC800" s="315"/>
      <c r="BD800" s="903"/>
      <c r="BE800" s="916"/>
      <c r="BF800" s="838"/>
    </row>
    <row r="801" spans="1:58" s="88" customFormat="1" ht="54" hidden="1" customHeight="1" x14ac:dyDescent="0.25">
      <c r="A801" s="267" t="s">
        <v>1687</v>
      </c>
      <c r="B801" s="268">
        <v>566</v>
      </c>
      <c r="C801" s="240" t="s">
        <v>6404</v>
      </c>
      <c r="D801" s="211" t="s">
        <v>6405</v>
      </c>
      <c r="E801" s="268" t="s">
        <v>6569</v>
      </c>
      <c r="F801" s="861" t="s">
        <v>6570</v>
      </c>
      <c r="G801" s="269" t="s">
        <v>6571</v>
      </c>
      <c r="H801" s="861" t="s">
        <v>6572</v>
      </c>
      <c r="I801" s="269" t="s">
        <v>6573</v>
      </c>
      <c r="J801" s="296" t="s">
        <v>140</v>
      </c>
      <c r="K801" s="297" t="s">
        <v>140</v>
      </c>
      <c r="L801" s="862" t="s">
        <v>6574</v>
      </c>
      <c r="M801" s="847" t="s">
        <v>973</v>
      </c>
      <c r="N801" s="270" t="s">
        <v>974</v>
      </c>
      <c r="O801" s="240" t="s">
        <v>6575</v>
      </c>
      <c r="P801" s="240" t="s">
        <v>6576</v>
      </c>
      <c r="Q801" s="845" t="s">
        <v>6577</v>
      </c>
      <c r="R801" s="210" t="s">
        <v>6578</v>
      </c>
      <c r="S801" s="864" t="s">
        <v>147</v>
      </c>
      <c r="T801" s="212" t="s">
        <v>144</v>
      </c>
      <c r="U801" s="213" t="s">
        <v>144</v>
      </c>
      <c r="V801" s="847">
        <v>1</v>
      </c>
      <c r="W801" s="415" t="s">
        <v>144</v>
      </c>
      <c r="X801" s="212">
        <v>44</v>
      </c>
      <c r="Y801" s="212" t="s">
        <v>144</v>
      </c>
      <c r="Z801" s="241" t="s">
        <v>144</v>
      </c>
      <c r="AA801" s="615" t="s">
        <v>733</v>
      </c>
      <c r="AB801" s="206" t="s">
        <v>140</v>
      </c>
      <c r="AC801" s="847" t="s">
        <v>265</v>
      </c>
      <c r="AD801" s="847" t="s">
        <v>6565</v>
      </c>
      <c r="AE801" s="847" t="s">
        <v>144</v>
      </c>
      <c r="AF801" s="848" t="s">
        <v>144</v>
      </c>
      <c r="AG801" s="838"/>
      <c r="AH801" s="884" t="s">
        <v>6566</v>
      </c>
      <c r="AI801" s="315" t="s">
        <v>6567</v>
      </c>
      <c r="AJ801" s="903">
        <v>6</v>
      </c>
      <c r="AK801" s="848" t="s">
        <v>6568</v>
      </c>
      <c r="AL801" s="915" t="s">
        <v>294</v>
      </c>
      <c r="AM801" s="315" t="s">
        <v>295</v>
      </c>
      <c r="AN801" s="903">
        <v>7</v>
      </c>
      <c r="AO801" s="187" t="s">
        <v>966</v>
      </c>
      <c r="AP801" s="915"/>
      <c r="AQ801" s="315"/>
      <c r="AR801" s="903"/>
      <c r="AS801" s="916"/>
      <c r="AT801" s="915"/>
      <c r="AU801" s="315"/>
      <c r="AV801" s="903"/>
      <c r="AW801" s="916"/>
      <c r="AX801" s="915"/>
      <c r="AY801" s="315"/>
      <c r="AZ801" s="903"/>
      <c r="BA801" s="916"/>
      <c r="BB801" s="884"/>
      <c r="BC801" s="315"/>
      <c r="BD801" s="903"/>
      <c r="BE801" s="916"/>
      <c r="BF801" s="838"/>
    </row>
    <row r="802" spans="1:58" s="88" customFormat="1" ht="54" hidden="1" customHeight="1" x14ac:dyDescent="0.25">
      <c r="A802" s="267" t="s">
        <v>1687</v>
      </c>
      <c r="B802" s="268">
        <v>567</v>
      </c>
      <c r="C802" s="240" t="s">
        <v>723</v>
      </c>
      <c r="D802" s="211" t="s">
        <v>723</v>
      </c>
      <c r="E802" s="268" t="s">
        <v>6579</v>
      </c>
      <c r="F802" s="861" t="s">
        <v>6580</v>
      </c>
      <c r="G802" s="269" t="s">
        <v>6581</v>
      </c>
      <c r="H802" s="861" t="s">
        <v>6582</v>
      </c>
      <c r="I802" s="269" t="s">
        <v>6583</v>
      </c>
      <c r="J802" s="296" t="s">
        <v>140</v>
      </c>
      <c r="K802" s="297" t="s">
        <v>140</v>
      </c>
      <c r="L802" s="862" t="s">
        <v>6584</v>
      </c>
      <c r="M802" s="847" t="s">
        <v>973</v>
      </c>
      <c r="N802" s="270" t="s">
        <v>974</v>
      </c>
      <c r="O802" s="240" t="s">
        <v>144</v>
      </c>
      <c r="P802" s="240" t="s">
        <v>144</v>
      </c>
      <c r="Q802" s="845" t="s">
        <v>6585</v>
      </c>
      <c r="R802" s="210" t="s">
        <v>6586</v>
      </c>
      <c r="S802" s="864" t="s">
        <v>746</v>
      </c>
      <c r="T802" s="212" t="s">
        <v>5660</v>
      </c>
      <c r="U802" s="213" t="s">
        <v>5661</v>
      </c>
      <c r="V802" s="847">
        <v>15</v>
      </c>
      <c r="W802" s="415" t="s">
        <v>144</v>
      </c>
      <c r="X802" s="212">
        <v>44</v>
      </c>
      <c r="Y802" s="212" t="s">
        <v>144</v>
      </c>
      <c r="Z802" s="241" t="s">
        <v>144</v>
      </c>
      <c r="AA802" s="615" t="s">
        <v>733</v>
      </c>
      <c r="AB802" s="206" t="s">
        <v>140</v>
      </c>
      <c r="AC802" s="847" t="s">
        <v>265</v>
      </c>
      <c r="AD802" s="847" t="s">
        <v>6529</v>
      </c>
      <c r="AE802" s="847" t="s">
        <v>144</v>
      </c>
      <c r="AF802" s="848" t="s">
        <v>144</v>
      </c>
      <c r="AG802" s="838"/>
      <c r="AH802" s="884" t="s">
        <v>6530</v>
      </c>
      <c r="AI802" s="315" t="s">
        <v>6531</v>
      </c>
      <c r="AJ802" s="903">
        <v>6</v>
      </c>
      <c r="AK802" s="848" t="s">
        <v>6532</v>
      </c>
      <c r="AL802" s="915"/>
      <c r="AM802" s="315"/>
      <c r="AN802" s="903"/>
      <c r="AO802" s="916"/>
      <c r="AP802" s="915"/>
      <c r="AQ802" s="315"/>
      <c r="AR802" s="903"/>
      <c r="AS802" s="916"/>
      <c r="AT802" s="915"/>
      <c r="AU802" s="315"/>
      <c r="AV802" s="903"/>
      <c r="AW802" s="916"/>
      <c r="AX802" s="915"/>
      <c r="AY802" s="315"/>
      <c r="AZ802" s="903"/>
      <c r="BA802" s="916"/>
      <c r="BB802" s="884"/>
      <c r="BC802" s="315"/>
      <c r="BD802" s="903"/>
      <c r="BE802" s="916"/>
      <c r="BF802" s="838"/>
    </row>
    <row r="803" spans="1:58" s="88" customFormat="1" ht="54" hidden="1" customHeight="1" x14ac:dyDescent="0.25">
      <c r="A803" s="267" t="s">
        <v>1687</v>
      </c>
      <c r="B803" s="268">
        <v>568</v>
      </c>
      <c r="C803" s="240" t="s">
        <v>2378</v>
      </c>
      <c r="D803" s="211" t="s">
        <v>2379</v>
      </c>
      <c r="E803" s="268" t="s">
        <v>6587</v>
      </c>
      <c r="F803" s="861" t="s">
        <v>6588</v>
      </c>
      <c r="G803" s="269" t="s">
        <v>6589</v>
      </c>
      <c r="H803" s="861" t="s">
        <v>6590</v>
      </c>
      <c r="I803" s="269" t="s">
        <v>6591</v>
      </c>
      <c r="J803" s="296" t="s">
        <v>140</v>
      </c>
      <c r="K803" s="297" t="s">
        <v>140</v>
      </c>
      <c r="L803" s="862" t="s">
        <v>6592</v>
      </c>
      <c r="M803" s="847" t="s">
        <v>973</v>
      </c>
      <c r="N803" s="270" t="s">
        <v>974</v>
      </c>
      <c r="O803" s="240" t="s">
        <v>6593</v>
      </c>
      <c r="P803" s="240" t="s">
        <v>6594</v>
      </c>
      <c r="Q803" s="845" t="s">
        <v>144</v>
      </c>
      <c r="R803" s="208" t="s">
        <v>144</v>
      </c>
      <c r="S803" s="864" t="s">
        <v>147</v>
      </c>
      <c r="T803" s="212" t="s">
        <v>144</v>
      </c>
      <c r="U803" s="213" t="s">
        <v>144</v>
      </c>
      <c r="V803" s="847">
        <v>1</v>
      </c>
      <c r="W803" s="415" t="s">
        <v>144</v>
      </c>
      <c r="X803" s="212">
        <v>44</v>
      </c>
      <c r="Y803" s="212" t="s">
        <v>144</v>
      </c>
      <c r="Z803" s="241" t="s">
        <v>144</v>
      </c>
      <c r="AA803" s="615" t="s">
        <v>733</v>
      </c>
      <c r="AB803" s="206" t="s">
        <v>140</v>
      </c>
      <c r="AC803" s="847" t="s">
        <v>265</v>
      </c>
      <c r="AD803" s="847" t="s">
        <v>6595</v>
      </c>
      <c r="AE803" s="847" t="s">
        <v>144</v>
      </c>
      <c r="AF803" s="848" t="s">
        <v>144</v>
      </c>
      <c r="AG803" s="838"/>
      <c r="AH803" s="360" t="s">
        <v>6596</v>
      </c>
      <c r="AI803" s="315" t="s">
        <v>6597</v>
      </c>
      <c r="AJ803" s="903">
        <v>6</v>
      </c>
      <c r="AK803" s="848" t="s">
        <v>6598</v>
      </c>
      <c r="AL803" s="915" t="s">
        <v>294</v>
      </c>
      <c r="AM803" s="315" t="s">
        <v>295</v>
      </c>
      <c r="AN803" s="903">
        <v>7</v>
      </c>
      <c r="AO803" s="187" t="s">
        <v>966</v>
      </c>
      <c r="AP803" s="915"/>
      <c r="AQ803" s="315"/>
      <c r="AR803" s="903"/>
      <c r="AS803" s="916"/>
      <c r="AT803" s="915"/>
      <c r="AU803" s="315"/>
      <c r="AV803" s="903"/>
      <c r="AW803" s="916"/>
      <c r="AX803" s="915"/>
      <c r="AY803" s="315"/>
      <c r="AZ803" s="903"/>
      <c r="BA803" s="916"/>
      <c r="BB803" s="884"/>
      <c r="BC803" s="315"/>
      <c r="BD803" s="903"/>
      <c r="BE803" s="916"/>
      <c r="BF803" s="838"/>
    </row>
    <row r="804" spans="1:58" s="88" customFormat="1" ht="54" hidden="1" customHeight="1" x14ac:dyDescent="0.25">
      <c r="A804" s="267" t="s">
        <v>1687</v>
      </c>
      <c r="B804" s="268">
        <v>569</v>
      </c>
      <c r="C804" s="240" t="s">
        <v>2378</v>
      </c>
      <c r="D804" s="211" t="s">
        <v>2379</v>
      </c>
      <c r="E804" s="268" t="s">
        <v>6599</v>
      </c>
      <c r="F804" s="861" t="s">
        <v>6600</v>
      </c>
      <c r="G804" s="269" t="s">
        <v>6601</v>
      </c>
      <c r="H804" s="861" t="s">
        <v>6602</v>
      </c>
      <c r="I804" s="269" t="s">
        <v>6603</v>
      </c>
      <c r="J804" s="296" t="s">
        <v>140</v>
      </c>
      <c r="K804" s="297" t="s">
        <v>140</v>
      </c>
      <c r="L804" s="862" t="s">
        <v>6604</v>
      </c>
      <c r="M804" s="847" t="s">
        <v>973</v>
      </c>
      <c r="N804" s="270" t="s">
        <v>974</v>
      </c>
      <c r="O804" s="240" t="s">
        <v>6605</v>
      </c>
      <c r="P804" s="240" t="s">
        <v>6606</v>
      </c>
      <c r="Q804" s="845" t="s">
        <v>6607</v>
      </c>
      <c r="R804" s="208" t="s">
        <v>6608</v>
      </c>
      <c r="S804" s="864" t="s">
        <v>147</v>
      </c>
      <c r="T804" s="212" t="s">
        <v>144</v>
      </c>
      <c r="U804" s="213" t="s">
        <v>144</v>
      </c>
      <c r="V804" s="847">
        <v>1</v>
      </c>
      <c r="W804" s="415" t="s">
        <v>144</v>
      </c>
      <c r="X804" s="212">
        <v>44</v>
      </c>
      <c r="Y804" s="212" t="s">
        <v>144</v>
      </c>
      <c r="Z804" s="241" t="s">
        <v>144</v>
      </c>
      <c r="AA804" s="615" t="s">
        <v>733</v>
      </c>
      <c r="AB804" s="206" t="s">
        <v>140</v>
      </c>
      <c r="AC804" s="847" t="s">
        <v>265</v>
      </c>
      <c r="AD804" s="847" t="s">
        <v>6595</v>
      </c>
      <c r="AE804" s="847" t="s">
        <v>144</v>
      </c>
      <c r="AF804" s="848" t="s">
        <v>144</v>
      </c>
      <c r="AG804" s="838"/>
      <c r="AH804" s="360" t="s">
        <v>6596</v>
      </c>
      <c r="AI804" s="315" t="s">
        <v>6597</v>
      </c>
      <c r="AJ804" s="903">
        <v>6</v>
      </c>
      <c r="AK804" s="848" t="s">
        <v>6598</v>
      </c>
      <c r="AL804" s="915" t="s">
        <v>294</v>
      </c>
      <c r="AM804" s="315" t="s">
        <v>295</v>
      </c>
      <c r="AN804" s="903">
        <v>7</v>
      </c>
      <c r="AO804" s="187" t="s">
        <v>966</v>
      </c>
      <c r="AP804" s="915"/>
      <c r="AQ804" s="315"/>
      <c r="AR804" s="903"/>
      <c r="AS804" s="916"/>
      <c r="AT804" s="915"/>
      <c r="AU804" s="315"/>
      <c r="AV804" s="903"/>
      <c r="AW804" s="916"/>
      <c r="AX804" s="915"/>
      <c r="AY804" s="315"/>
      <c r="AZ804" s="903"/>
      <c r="BA804" s="916"/>
      <c r="BB804" s="884"/>
      <c r="BC804" s="315"/>
      <c r="BD804" s="903"/>
      <c r="BE804" s="916"/>
      <c r="BF804" s="838"/>
    </row>
    <row r="805" spans="1:58" s="88" customFormat="1" ht="54" hidden="1" customHeight="1" x14ac:dyDescent="0.25">
      <c r="A805" s="267" t="s">
        <v>1687</v>
      </c>
      <c r="B805" s="268">
        <v>570</v>
      </c>
      <c r="C805" s="240" t="s">
        <v>2378</v>
      </c>
      <c r="D805" s="211" t="s">
        <v>2379</v>
      </c>
      <c r="E805" s="268" t="s">
        <v>6609</v>
      </c>
      <c r="F805" s="861" t="s">
        <v>6610</v>
      </c>
      <c r="G805" s="269" t="s">
        <v>6611</v>
      </c>
      <c r="H805" s="861" t="s">
        <v>6612</v>
      </c>
      <c r="I805" s="269" t="s">
        <v>6613</v>
      </c>
      <c r="J805" s="296" t="s">
        <v>140</v>
      </c>
      <c r="K805" s="297" t="s">
        <v>140</v>
      </c>
      <c r="L805" s="862" t="s">
        <v>6614</v>
      </c>
      <c r="M805" s="847" t="s">
        <v>973</v>
      </c>
      <c r="N805" s="270" t="s">
        <v>974</v>
      </c>
      <c r="O805" s="240" t="s">
        <v>6615</v>
      </c>
      <c r="P805" s="240" t="s">
        <v>6616</v>
      </c>
      <c r="Q805" s="845" t="s">
        <v>6617</v>
      </c>
      <c r="R805" s="208" t="s">
        <v>6618</v>
      </c>
      <c r="S805" s="864" t="s">
        <v>147</v>
      </c>
      <c r="T805" s="212" t="s">
        <v>144</v>
      </c>
      <c r="U805" s="213" t="s">
        <v>144</v>
      </c>
      <c r="V805" s="847">
        <v>1</v>
      </c>
      <c r="W805" s="415" t="s">
        <v>144</v>
      </c>
      <c r="X805" s="212">
        <v>44</v>
      </c>
      <c r="Y805" s="212" t="s">
        <v>144</v>
      </c>
      <c r="Z805" s="241" t="s">
        <v>144</v>
      </c>
      <c r="AA805" s="615" t="s">
        <v>733</v>
      </c>
      <c r="AB805" s="206" t="s">
        <v>140</v>
      </c>
      <c r="AC805" s="847" t="s">
        <v>265</v>
      </c>
      <c r="AD805" s="847" t="s">
        <v>6595</v>
      </c>
      <c r="AE805" s="847" t="s">
        <v>144</v>
      </c>
      <c r="AF805" s="848" t="s">
        <v>144</v>
      </c>
      <c r="AG805" s="838"/>
      <c r="AH805" s="360" t="s">
        <v>6596</v>
      </c>
      <c r="AI805" s="315" t="s">
        <v>6597</v>
      </c>
      <c r="AJ805" s="903">
        <v>6</v>
      </c>
      <c r="AK805" s="848" t="s">
        <v>6598</v>
      </c>
      <c r="AL805" s="915" t="s">
        <v>294</v>
      </c>
      <c r="AM805" s="315" t="s">
        <v>295</v>
      </c>
      <c r="AN805" s="903">
        <v>7</v>
      </c>
      <c r="AO805" s="187" t="s">
        <v>966</v>
      </c>
      <c r="AP805" s="915"/>
      <c r="AQ805" s="315"/>
      <c r="AR805" s="903"/>
      <c r="AS805" s="916"/>
      <c r="AT805" s="915"/>
      <c r="AU805" s="315"/>
      <c r="AV805" s="903"/>
      <c r="AW805" s="916"/>
      <c r="AX805" s="915"/>
      <c r="AY805" s="315"/>
      <c r="AZ805" s="903"/>
      <c r="BA805" s="916"/>
      <c r="BB805" s="884"/>
      <c r="BC805" s="315"/>
      <c r="BD805" s="903"/>
      <c r="BE805" s="916"/>
      <c r="BF805" s="838"/>
    </row>
    <row r="806" spans="1:58" s="88" customFormat="1" ht="54" hidden="1" customHeight="1" x14ac:dyDescent="0.25">
      <c r="A806" s="267" t="s">
        <v>1687</v>
      </c>
      <c r="B806" s="268">
        <v>571</v>
      </c>
      <c r="C806" s="240" t="s">
        <v>2378</v>
      </c>
      <c r="D806" s="211" t="s">
        <v>2379</v>
      </c>
      <c r="E806" s="268" t="s">
        <v>6619</v>
      </c>
      <c r="F806" s="861" t="s">
        <v>6620</v>
      </c>
      <c r="G806" s="269" t="s">
        <v>6621</v>
      </c>
      <c r="H806" s="861" t="s">
        <v>6622</v>
      </c>
      <c r="I806" s="269" t="s">
        <v>6623</v>
      </c>
      <c r="J806" s="296" t="s">
        <v>140</v>
      </c>
      <c r="K806" s="297" t="s">
        <v>140</v>
      </c>
      <c r="L806" s="862" t="s">
        <v>6624</v>
      </c>
      <c r="M806" s="847" t="s">
        <v>973</v>
      </c>
      <c r="N806" s="270" t="s">
        <v>974</v>
      </c>
      <c r="O806" s="240" t="s">
        <v>6625</v>
      </c>
      <c r="P806" s="240" t="s">
        <v>6626</v>
      </c>
      <c r="Q806" s="845" t="s">
        <v>144</v>
      </c>
      <c r="R806" s="208" t="s">
        <v>144</v>
      </c>
      <c r="S806" s="864" t="s">
        <v>147</v>
      </c>
      <c r="T806" s="212" t="s">
        <v>144</v>
      </c>
      <c r="U806" s="213" t="s">
        <v>144</v>
      </c>
      <c r="V806" s="847">
        <v>1</v>
      </c>
      <c r="W806" s="415" t="s">
        <v>144</v>
      </c>
      <c r="X806" s="212">
        <v>44</v>
      </c>
      <c r="Y806" s="212" t="s">
        <v>144</v>
      </c>
      <c r="Z806" s="241" t="s">
        <v>144</v>
      </c>
      <c r="AA806" s="615" t="s">
        <v>733</v>
      </c>
      <c r="AB806" s="206" t="s">
        <v>140</v>
      </c>
      <c r="AC806" s="847" t="s">
        <v>265</v>
      </c>
      <c r="AD806" s="847" t="s">
        <v>6595</v>
      </c>
      <c r="AE806" s="847" t="s">
        <v>144</v>
      </c>
      <c r="AF806" s="848" t="s">
        <v>144</v>
      </c>
      <c r="AG806" s="838"/>
      <c r="AH806" s="360" t="s">
        <v>6596</v>
      </c>
      <c r="AI806" s="315" t="s">
        <v>6597</v>
      </c>
      <c r="AJ806" s="903">
        <v>6</v>
      </c>
      <c r="AK806" s="848" t="s">
        <v>6598</v>
      </c>
      <c r="AL806" s="915" t="s">
        <v>294</v>
      </c>
      <c r="AM806" s="315" t="s">
        <v>295</v>
      </c>
      <c r="AN806" s="903">
        <v>7</v>
      </c>
      <c r="AO806" s="187" t="s">
        <v>966</v>
      </c>
      <c r="AP806" s="915"/>
      <c r="AQ806" s="315"/>
      <c r="AR806" s="903"/>
      <c r="AS806" s="916"/>
      <c r="AT806" s="915"/>
      <c r="AU806" s="315"/>
      <c r="AV806" s="903"/>
      <c r="AW806" s="916"/>
      <c r="AX806" s="915"/>
      <c r="AY806" s="315"/>
      <c r="AZ806" s="903"/>
      <c r="BA806" s="916"/>
      <c r="BB806" s="884"/>
      <c r="BC806" s="315"/>
      <c r="BD806" s="903"/>
      <c r="BE806" s="916"/>
      <c r="BF806" s="838"/>
    </row>
    <row r="807" spans="1:58" s="88" customFormat="1" ht="54" hidden="1" customHeight="1" x14ac:dyDescent="0.25">
      <c r="A807" s="267" t="s">
        <v>1687</v>
      </c>
      <c r="B807" s="268">
        <v>572</v>
      </c>
      <c r="C807" s="240" t="s">
        <v>2378</v>
      </c>
      <c r="D807" s="211" t="s">
        <v>2379</v>
      </c>
      <c r="E807" s="268" t="s">
        <v>6627</v>
      </c>
      <c r="F807" s="861" t="s">
        <v>6628</v>
      </c>
      <c r="G807" s="269" t="s">
        <v>6629</v>
      </c>
      <c r="H807" s="861" t="s">
        <v>6630</v>
      </c>
      <c r="I807" s="269" t="s">
        <v>6631</v>
      </c>
      <c r="J807" s="296" t="s">
        <v>140</v>
      </c>
      <c r="K807" s="297" t="s">
        <v>140</v>
      </c>
      <c r="L807" s="862" t="s">
        <v>6632</v>
      </c>
      <c r="M807" s="847" t="s">
        <v>973</v>
      </c>
      <c r="N807" s="270" t="s">
        <v>974</v>
      </c>
      <c r="O807" s="240" t="s">
        <v>144</v>
      </c>
      <c r="P807" s="240" t="s">
        <v>144</v>
      </c>
      <c r="Q807" s="845" t="s">
        <v>6633</v>
      </c>
      <c r="R807" s="208" t="s">
        <v>6634</v>
      </c>
      <c r="S807" s="864" t="s">
        <v>746</v>
      </c>
      <c r="T807" s="212" t="s">
        <v>5660</v>
      </c>
      <c r="U807" s="213" t="s">
        <v>5661</v>
      </c>
      <c r="V807" s="847">
        <v>15</v>
      </c>
      <c r="W807" s="415" t="s">
        <v>144</v>
      </c>
      <c r="X807" s="212">
        <v>44</v>
      </c>
      <c r="Y807" s="212" t="s">
        <v>144</v>
      </c>
      <c r="Z807" s="241" t="s">
        <v>144</v>
      </c>
      <c r="AA807" s="615" t="s">
        <v>733</v>
      </c>
      <c r="AB807" s="206" t="s">
        <v>140</v>
      </c>
      <c r="AC807" s="847" t="s">
        <v>265</v>
      </c>
      <c r="AD807" s="847" t="s">
        <v>6595</v>
      </c>
      <c r="AE807" s="847" t="s">
        <v>144</v>
      </c>
      <c r="AF807" s="848" t="s">
        <v>144</v>
      </c>
      <c r="AG807" s="838"/>
      <c r="AH807" s="360" t="s">
        <v>6635</v>
      </c>
      <c r="AI807" s="315" t="s">
        <v>6636</v>
      </c>
      <c r="AJ807" s="903">
        <v>6</v>
      </c>
      <c r="AK807" s="916" t="s">
        <v>6637</v>
      </c>
      <c r="AL807" s="915"/>
      <c r="AM807" s="315"/>
      <c r="AN807" s="903"/>
      <c r="AO807" s="916"/>
      <c r="AP807" s="915"/>
      <c r="AQ807" s="315"/>
      <c r="AR807" s="903"/>
      <c r="AS807" s="916"/>
      <c r="AT807" s="915"/>
      <c r="AU807" s="315"/>
      <c r="AV807" s="903"/>
      <c r="AW807" s="916"/>
      <c r="AX807" s="915"/>
      <c r="AY807" s="315"/>
      <c r="AZ807" s="903"/>
      <c r="BA807" s="916"/>
      <c r="BB807" s="884"/>
      <c r="BC807" s="315"/>
      <c r="BD807" s="903"/>
      <c r="BE807" s="916"/>
      <c r="BF807" s="838"/>
    </row>
    <row r="808" spans="1:58" s="88" customFormat="1" ht="54" hidden="1" customHeight="1" x14ac:dyDescent="0.25">
      <c r="A808" s="267" t="s">
        <v>1687</v>
      </c>
      <c r="B808" s="268">
        <v>573</v>
      </c>
      <c r="C808" s="240" t="s">
        <v>684</v>
      </c>
      <c r="D808" s="211" t="s">
        <v>685</v>
      </c>
      <c r="E808" s="268" t="s">
        <v>6638</v>
      </c>
      <c r="F808" s="861" t="s">
        <v>6639</v>
      </c>
      <c r="G808" s="269" t="s">
        <v>6640</v>
      </c>
      <c r="H808" s="861" t="s">
        <v>6641</v>
      </c>
      <c r="I808" s="269" t="s">
        <v>6642</v>
      </c>
      <c r="J808" s="296" t="s">
        <v>140</v>
      </c>
      <c r="K808" s="297" t="s">
        <v>140</v>
      </c>
      <c r="L808" s="862" t="s">
        <v>6643</v>
      </c>
      <c r="M808" s="847" t="s">
        <v>973</v>
      </c>
      <c r="N808" s="270" t="s">
        <v>974</v>
      </c>
      <c r="O808" s="240" t="s">
        <v>144</v>
      </c>
      <c r="P808" s="240" t="s">
        <v>144</v>
      </c>
      <c r="Q808" s="845" t="s">
        <v>6644</v>
      </c>
      <c r="R808" s="210" t="s">
        <v>6645</v>
      </c>
      <c r="S808" s="864" t="s">
        <v>746</v>
      </c>
      <c r="T808" s="212" t="s">
        <v>1307</v>
      </c>
      <c r="U808" s="213" t="s">
        <v>1308</v>
      </c>
      <c r="V808" s="847">
        <v>10</v>
      </c>
      <c r="W808" s="415" t="s">
        <v>144</v>
      </c>
      <c r="X808" s="212">
        <v>44</v>
      </c>
      <c r="Y808" s="212" t="s">
        <v>144</v>
      </c>
      <c r="Z808" s="241" t="s">
        <v>144</v>
      </c>
      <c r="AA808" s="615" t="s">
        <v>733</v>
      </c>
      <c r="AB808" s="206" t="s">
        <v>140</v>
      </c>
      <c r="AC808" s="847" t="s">
        <v>265</v>
      </c>
      <c r="AD808" s="847" t="s">
        <v>1690</v>
      </c>
      <c r="AE808" s="847" t="s">
        <v>144</v>
      </c>
      <c r="AF808" s="848" t="s">
        <v>144</v>
      </c>
      <c r="AG808" s="838"/>
      <c r="AH808" s="884" t="s">
        <v>6646</v>
      </c>
      <c r="AI808" s="315" t="s">
        <v>6647</v>
      </c>
      <c r="AJ808" s="903">
        <v>6</v>
      </c>
      <c r="AK808" s="286" t="s">
        <v>6648</v>
      </c>
      <c r="AL808" s="915"/>
      <c r="AM808" s="315"/>
      <c r="AN808" s="903"/>
      <c r="AO808" s="916"/>
      <c r="AP808" s="915"/>
      <c r="AQ808" s="315"/>
      <c r="AR808" s="903"/>
      <c r="AS808" s="916"/>
      <c r="AT808" s="915"/>
      <c r="AU808" s="315"/>
      <c r="AV808" s="903"/>
      <c r="AW808" s="916"/>
      <c r="AX808" s="915"/>
      <c r="AY808" s="315"/>
      <c r="AZ808" s="903"/>
      <c r="BA808" s="916"/>
      <c r="BB808" s="884"/>
      <c r="BC808" s="315"/>
      <c r="BD808" s="903"/>
      <c r="BE808" s="916"/>
      <c r="BF808" s="838"/>
    </row>
    <row r="809" spans="1:58" s="88" customFormat="1" ht="54" hidden="1" customHeight="1" x14ac:dyDescent="0.25">
      <c r="A809" s="267" t="s">
        <v>1687</v>
      </c>
      <c r="B809" s="268">
        <v>574</v>
      </c>
      <c r="C809" s="240" t="s">
        <v>684</v>
      </c>
      <c r="D809" s="211" t="s">
        <v>685</v>
      </c>
      <c r="E809" s="268" t="s">
        <v>6649</v>
      </c>
      <c r="F809" s="861" t="s">
        <v>6650</v>
      </c>
      <c r="G809" s="269" t="s">
        <v>6651</v>
      </c>
      <c r="H809" s="861" t="s">
        <v>6652</v>
      </c>
      <c r="I809" s="269" t="s">
        <v>6653</v>
      </c>
      <c r="J809" s="296" t="s">
        <v>140</v>
      </c>
      <c r="K809" s="297" t="s">
        <v>140</v>
      </c>
      <c r="L809" s="862" t="s">
        <v>6654</v>
      </c>
      <c r="M809" s="847" t="s">
        <v>973</v>
      </c>
      <c r="N809" s="270" t="s">
        <v>974</v>
      </c>
      <c r="O809" s="240" t="s">
        <v>144</v>
      </c>
      <c r="P809" s="240" t="s">
        <v>144</v>
      </c>
      <c r="Q809" s="845" t="s">
        <v>6655</v>
      </c>
      <c r="R809" s="210" t="s">
        <v>6656</v>
      </c>
      <c r="S809" s="864" t="s">
        <v>746</v>
      </c>
      <c r="T809" s="212" t="s">
        <v>1307</v>
      </c>
      <c r="U809" s="213" t="s">
        <v>1308</v>
      </c>
      <c r="V809" s="847">
        <v>10</v>
      </c>
      <c r="W809" s="415" t="s">
        <v>144</v>
      </c>
      <c r="X809" s="212">
        <v>44</v>
      </c>
      <c r="Y809" s="212" t="s">
        <v>144</v>
      </c>
      <c r="Z809" s="241" t="s">
        <v>144</v>
      </c>
      <c r="AA809" s="615" t="s">
        <v>733</v>
      </c>
      <c r="AB809" s="206" t="s">
        <v>140</v>
      </c>
      <c r="AC809" s="847" t="s">
        <v>265</v>
      </c>
      <c r="AD809" s="847" t="s">
        <v>1690</v>
      </c>
      <c r="AE809" s="847" t="s">
        <v>144</v>
      </c>
      <c r="AF809" s="848" t="s">
        <v>144</v>
      </c>
      <c r="AG809" s="838"/>
      <c r="AH809" s="884" t="s">
        <v>6657</v>
      </c>
      <c r="AI809" s="315" t="s">
        <v>6658</v>
      </c>
      <c r="AJ809" s="903">
        <v>6</v>
      </c>
      <c r="AK809" s="286" t="s">
        <v>6659</v>
      </c>
      <c r="AL809" s="915"/>
      <c r="AM809" s="315"/>
      <c r="AN809" s="903"/>
      <c r="AO809" s="916"/>
      <c r="AP809" s="915"/>
      <c r="AQ809" s="315"/>
      <c r="AR809" s="903"/>
      <c r="AS809" s="916"/>
      <c r="AT809" s="915"/>
      <c r="AU809" s="315"/>
      <c r="AV809" s="903"/>
      <c r="AW809" s="916"/>
      <c r="AX809" s="915"/>
      <c r="AY809" s="315"/>
      <c r="AZ809" s="903"/>
      <c r="BA809" s="916"/>
      <c r="BB809" s="884"/>
      <c r="BC809" s="315"/>
      <c r="BD809" s="903"/>
      <c r="BE809" s="916"/>
      <c r="BF809" s="838"/>
    </row>
    <row r="810" spans="1:58" s="88" customFormat="1" ht="54" hidden="1" customHeight="1" x14ac:dyDescent="0.25">
      <c r="A810" s="267" t="s">
        <v>1687</v>
      </c>
      <c r="B810" s="268">
        <v>575</v>
      </c>
      <c r="C810" s="240" t="s">
        <v>1744</v>
      </c>
      <c r="D810" s="211" t="s">
        <v>1745</v>
      </c>
      <c r="E810" s="268" t="s">
        <v>6660</v>
      </c>
      <c r="F810" s="861" t="s">
        <v>6661</v>
      </c>
      <c r="G810" s="269" t="s">
        <v>6662</v>
      </c>
      <c r="H810" s="861" t="s">
        <v>6663</v>
      </c>
      <c r="I810" s="269" t="s">
        <v>6664</v>
      </c>
      <c r="J810" s="296" t="s">
        <v>140</v>
      </c>
      <c r="K810" s="297" t="s">
        <v>140</v>
      </c>
      <c r="L810" s="862" t="s">
        <v>6665</v>
      </c>
      <c r="M810" s="847" t="s">
        <v>1821</v>
      </c>
      <c r="N810" s="270" t="s">
        <v>1822</v>
      </c>
      <c r="O810" s="240" t="s">
        <v>144</v>
      </c>
      <c r="P810" s="240" t="s">
        <v>144</v>
      </c>
      <c r="Q810" s="845" t="s">
        <v>6666</v>
      </c>
      <c r="R810" s="210" t="s">
        <v>6667</v>
      </c>
      <c r="S810" s="864" t="s">
        <v>746</v>
      </c>
      <c r="T810" s="212" t="s">
        <v>1104</v>
      </c>
      <c r="U810" s="213" t="s">
        <v>1105</v>
      </c>
      <c r="V810" s="847">
        <v>19</v>
      </c>
      <c r="W810" s="415" t="s">
        <v>144</v>
      </c>
      <c r="X810" s="212">
        <v>44</v>
      </c>
      <c r="Y810" s="212" t="s">
        <v>144</v>
      </c>
      <c r="Z810" s="241" t="s">
        <v>144</v>
      </c>
      <c r="AA810" s="615" t="s">
        <v>733</v>
      </c>
      <c r="AB810" s="206" t="s">
        <v>140</v>
      </c>
      <c r="AC810" s="847" t="s">
        <v>265</v>
      </c>
      <c r="AD810" s="847" t="s">
        <v>6668</v>
      </c>
      <c r="AE810" s="847" t="s">
        <v>144</v>
      </c>
      <c r="AF810" s="848" t="s">
        <v>144</v>
      </c>
      <c r="AG810" s="838"/>
      <c r="AH810" s="866"/>
      <c r="AI810" s="315"/>
      <c r="AJ810" s="903"/>
      <c r="AK810" s="916"/>
      <c r="AL810" s="915"/>
      <c r="AM810" s="315"/>
      <c r="AN810" s="903"/>
      <c r="AO810" s="916"/>
      <c r="AP810" s="915"/>
      <c r="AQ810" s="315"/>
      <c r="AR810" s="903"/>
      <c r="AS810" s="916"/>
      <c r="AT810" s="915" t="s">
        <v>6669</v>
      </c>
      <c r="AU810" s="315" t="s">
        <v>6670</v>
      </c>
      <c r="AV810" s="903">
        <v>6</v>
      </c>
      <c r="AW810" s="848" t="s">
        <v>6671</v>
      </c>
      <c r="AX810" s="915"/>
      <c r="AY810" s="315"/>
      <c r="AZ810" s="903"/>
      <c r="BA810" s="916"/>
      <c r="BB810" s="884"/>
      <c r="BC810" s="315"/>
      <c r="BD810" s="903"/>
      <c r="BE810" s="916"/>
      <c r="BF810" s="838"/>
    </row>
    <row r="811" spans="1:58" s="88" customFormat="1" ht="54" hidden="1" customHeight="1" x14ac:dyDescent="0.25">
      <c r="A811" s="267" t="s">
        <v>1687</v>
      </c>
      <c r="B811" s="268">
        <v>576</v>
      </c>
      <c r="C811" s="240" t="s">
        <v>1744</v>
      </c>
      <c r="D811" s="211" t="s">
        <v>1745</v>
      </c>
      <c r="E811" s="268" t="s">
        <v>6672</v>
      </c>
      <c r="F811" s="861" t="s">
        <v>6673</v>
      </c>
      <c r="G811" s="269" t="s">
        <v>6674</v>
      </c>
      <c r="H811" s="861" t="s">
        <v>6675</v>
      </c>
      <c r="I811" s="269" t="s">
        <v>6674</v>
      </c>
      <c r="J811" s="296" t="s">
        <v>140</v>
      </c>
      <c r="K811" s="297" t="s">
        <v>140</v>
      </c>
      <c r="L811" s="862" t="s">
        <v>6676</v>
      </c>
      <c r="M811" s="847" t="s">
        <v>973</v>
      </c>
      <c r="N811" s="270" t="s">
        <v>974</v>
      </c>
      <c r="O811" s="240" t="s">
        <v>814</v>
      </c>
      <c r="P811" s="240" t="s">
        <v>815</v>
      </c>
      <c r="Q811" s="845" t="s">
        <v>144</v>
      </c>
      <c r="R811" s="208" t="s">
        <v>144</v>
      </c>
      <c r="S811" s="864" t="s">
        <v>147</v>
      </c>
      <c r="T811" s="212" t="s">
        <v>144</v>
      </c>
      <c r="U811" s="213" t="s">
        <v>144</v>
      </c>
      <c r="V811" s="847">
        <v>3</v>
      </c>
      <c r="W811" s="415" t="s">
        <v>144</v>
      </c>
      <c r="X811" s="212">
        <v>44</v>
      </c>
      <c r="Y811" s="212" t="s">
        <v>144</v>
      </c>
      <c r="Z811" s="241" t="s">
        <v>144</v>
      </c>
      <c r="AA811" s="615" t="s">
        <v>733</v>
      </c>
      <c r="AB811" s="206" t="s">
        <v>140</v>
      </c>
      <c r="AC811" s="847" t="s">
        <v>265</v>
      </c>
      <c r="AD811" s="847" t="s">
        <v>6668</v>
      </c>
      <c r="AE811" s="847" t="s">
        <v>144</v>
      </c>
      <c r="AF811" s="848" t="s">
        <v>144</v>
      </c>
      <c r="AG811" s="838"/>
      <c r="AH811" s="884" t="s">
        <v>6677</v>
      </c>
      <c r="AI811" s="315" t="s">
        <v>6678</v>
      </c>
      <c r="AJ811" s="903">
        <v>7</v>
      </c>
      <c r="AK811" s="848" t="s">
        <v>1280</v>
      </c>
      <c r="AL811" s="915" t="s">
        <v>294</v>
      </c>
      <c r="AM811" s="315" t="s">
        <v>295</v>
      </c>
      <c r="AN811" s="903">
        <v>7</v>
      </c>
      <c r="AO811" s="187" t="s">
        <v>966</v>
      </c>
      <c r="AP811" s="915"/>
      <c r="AQ811" s="315"/>
      <c r="AR811" s="903"/>
      <c r="AS811" s="916"/>
      <c r="AT811" s="915"/>
      <c r="AU811" s="315"/>
      <c r="AV811" s="903"/>
      <c r="AW811" s="916"/>
      <c r="AX811" s="915"/>
      <c r="AY811" s="315"/>
      <c r="AZ811" s="903"/>
      <c r="BA811" s="916"/>
      <c r="BB811" s="884"/>
      <c r="BC811" s="315"/>
      <c r="BD811" s="903"/>
      <c r="BE811" s="916"/>
      <c r="BF811" s="838"/>
    </row>
    <row r="812" spans="1:58" s="88" customFormat="1" ht="54" hidden="1" customHeight="1" x14ac:dyDescent="0.25">
      <c r="A812" s="267" t="s">
        <v>1687</v>
      </c>
      <c r="B812" s="268">
        <v>577</v>
      </c>
      <c r="C812" s="240" t="s">
        <v>2530</v>
      </c>
      <c r="D812" s="211" t="s">
        <v>2531</v>
      </c>
      <c r="E812" s="268" t="s">
        <v>6679</v>
      </c>
      <c r="F812" s="861" t="s">
        <v>6680</v>
      </c>
      <c r="G812" s="269" t="s">
        <v>6681</v>
      </c>
      <c r="H812" s="249" t="s">
        <v>6682</v>
      </c>
      <c r="I812" s="135" t="s">
        <v>6683</v>
      </c>
      <c r="J812" s="296" t="s">
        <v>140</v>
      </c>
      <c r="K812" s="297" t="s">
        <v>140</v>
      </c>
      <c r="L812" s="862" t="s">
        <v>6684</v>
      </c>
      <c r="M812" s="847" t="s">
        <v>973</v>
      </c>
      <c r="N812" s="270" t="s">
        <v>974</v>
      </c>
      <c r="O812" s="407" t="s">
        <v>144</v>
      </c>
      <c r="P812" s="407" t="s">
        <v>144</v>
      </c>
      <c r="Q812" s="887" t="s">
        <v>6685</v>
      </c>
      <c r="R812" s="445" t="s">
        <v>6686</v>
      </c>
      <c r="S812" s="864" t="s">
        <v>147</v>
      </c>
      <c r="T812" s="212" t="s">
        <v>144</v>
      </c>
      <c r="U812" s="213" t="s">
        <v>144</v>
      </c>
      <c r="V812" s="872">
        <v>50</v>
      </c>
      <c r="W812" s="415" t="s">
        <v>144</v>
      </c>
      <c r="X812" s="212">
        <v>44</v>
      </c>
      <c r="Y812" s="212" t="s">
        <v>144</v>
      </c>
      <c r="Z812" s="241" t="s">
        <v>25</v>
      </c>
      <c r="AA812" s="615" t="s">
        <v>733</v>
      </c>
      <c r="AB812" s="206" t="s">
        <v>140</v>
      </c>
      <c r="AC812" s="847" t="s">
        <v>265</v>
      </c>
      <c r="AD812" s="847" t="s">
        <v>6687</v>
      </c>
      <c r="AE812" s="847" t="s">
        <v>144</v>
      </c>
      <c r="AF812" s="848" t="s">
        <v>144</v>
      </c>
      <c r="AG812" s="838"/>
      <c r="AH812" s="884" t="s">
        <v>6688</v>
      </c>
      <c r="AI812" s="315" t="s">
        <v>6689</v>
      </c>
      <c r="AJ812" s="903">
        <v>6</v>
      </c>
      <c r="AK812" s="848" t="s">
        <v>6690</v>
      </c>
      <c r="AL812" s="917"/>
      <c r="AM812" s="440"/>
      <c r="AN812" s="918"/>
      <c r="AO812" s="441"/>
      <c r="AP812" s="915"/>
      <c r="AQ812" s="315"/>
      <c r="AR812" s="903"/>
      <c r="AS812" s="916"/>
      <c r="AT812" s="915"/>
      <c r="AU812" s="315"/>
      <c r="AV812" s="903"/>
      <c r="AW812" s="916"/>
      <c r="AX812" s="915"/>
      <c r="AY812" s="315"/>
      <c r="AZ812" s="903"/>
      <c r="BA812" s="916"/>
      <c r="BB812" s="884"/>
      <c r="BC812" s="315"/>
      <c r="BD812" s="903"/>
      <c r="BE812" s="916"/>
      <c r="BF812" s="838"/>
    </row>
    <row r="813" spans="1:58" s="88" customFormat="1" ht="54" hidden="1" customHeight="1" x14ac:dyDescent="0.25">
      <c r="A813" s="267" t="s">
        <v>1687</v>
      </c>
      <c r="B813" s="268">
        <v>578</v>
      </c>
      <c r="C813" s="240" t="s">
        <v>1022</v>
      </c>
      <c r="D813" s="211" t="s">
        <v>1023</v>
      </c>
      <c r="E813" s="268" t="s">
        <v>6691</v>
      </c>
      <c r="F813" s="861" t="s">
        <v>6692</v>
      </c>
      <c r="G813" s="269" t="s">
        <v>6693</v>
      </c>
      <c r="H813" s="850" t="s">
        <v>6694</v>
      </c>
      <c r="I813" s="269" t="s">
        <v>6695</v>
      </c>
      <c r="J813" s="296" t="s">
        <v>140</v>
      </c>
      <c r="K813" s="297" t="s">
        <v>140</v>
      </c>
      <c r="L813" s="862" t="s">
        <v>6696</v>
      </c>
      <c r="M813" s="847" t="s">
        <v>193</v>
      </c>
      <c r="N813" s="270" t="s">
        <v>194</v>
      </c>
      <c r="O813" s="240" t="s">
        <v>6697</v>
      </c>
      <c r="P813" s="240" t="s">
        <v>6698</v>
      </c>
      <c r="Q813" s="845" t="s">
        <v>6699</v>
      </c>
      <c r="R813" s="208" t="s">
        <v>6700</v>
      </c>
      <c r="S813" s="864" t="s">
        <v>147</v>
      </c>
      <c r="T813" s="212" t="s">
        <v>144</v>
      </c>
      <c r="U813" s="213" t="s">
        <v>144</v>
      </c>
      <c r="V813" s="847">
        <v>1</v>
      </c>
      <c r="W813" s="415" t="s">
        <v>144</v>
      </c>
      <c r="X813" s="212">
        <v>44</v>
      </c>
      <c r="Y813" s="212" t="s">
        <v>144</v>
      </c>
      <c r="Z813" s="241" t="s">
        <v>144</v>
      </c>
      <c r="AA813" s="615" t="s">
        <v>733</v>
      </c>
      <c r="AB813" s="206" t="s">
        <v>140</v>
      </c>
      <c r="AC813" s="847" t="s">
        <v>265</v>
      </c>
      <c r="AD813" s="847" t="s">
        <v>6565</v>
      </c>
      <c r="AE813" s="847" t="s">
        <v>144</v>
      </c>
      <c r="AF813" s="848" t="s">
        <v>144</v>
      </c>
      <c r="AG813" s="838"/>
      <c r="AH813" s="884"/>
      <c r="AI813" s="315"/>
      <c r="AJ813" s="903"/>
      <c r="AK813" s="916"/>
      <c r="AL813" s="915" t="s">
        <v>294</v>
      </c>
      <c r="AM813" s="315" t="s">
        <v>295</v>
      </c>
      <c r="AN813" s="903">
        <v>7</v>
      </c>
      <c r="AO813" s="187" t="s">
        <v>966</v>
      </c>
      <c r="AP813" s="915"/>
      <c r="AQ813" s="315"/>
      <c r="AR813" s="903"/>
      <c r="AS813" s="916"/>
      <c r="AT813" s="915"/>
      <c r="AU813" s="315"/>
      <c r="AV813" s="903"/>
      <c r="AW813" s="916"/>
      <c r="AX813" s="915"/>
      <c r="AY813" s="315"/>
      <c r="AZ813" s="903"/>
      <c r="BA813" s="916"/>
      <c r="BB813" s="884"/>
      <c r="BC813" s="315"/>
      <c r="BD813" s="903"/>
      <c r="BE813" s="916"/>
      <c r="BF813" s="838"/>
    </row>
    <row r="814" spans="1:58" s="88" customFormat="1" ht="54" hidden="1" customHeight="1" x14ac:dyDescent="0.25">
      <c r="A814" s="267" t="s">
        <v>1687</v>
      </c>
      <c r="B814" s="268">
        <v>579</v>
      </c>
      <c r="C814" s="240" t="s">
        <v>684</v>
      </c>
      <c r="D814" s="211" t="s">
        <v>685</v>
      </c>
      <c r="E814" s="268" t="s">
        <v>6701</v>
      </c>
      <c r="F814" s="861" t="s">
        <v>6702</v>
      </c>
      <c r="G814" s="269" t="s">
        <v>6703</v>
      </c>
      <c r="H814" s="861" t="s">
        <v>6704</v>
      </c>
      <c r="I814" s="269" t="s">
        <v>6705</v>
      </c>
      <c r="J814" s="296" t="s">
        <v>140</v>
      </c>
      <c r="K814" s="297" t="s">
        <v>140</v>
      </c>
      <c r="L814" s="862" t="s">
        <v>6706</v>
      </c>
      <c r="M814" s="847" t="s">
        <v>1821</v>
      </c>
      <c r="N814" s="270" t="s">
        <v>1822</v>
      </c>
      <c r="O814" s="240" t="s">
        <v>6707</v>
      </c>
      <c r="P814" s="240" t="s">
        <v>6708</v>
      </c>
      <c r="Q814" s="845" t="s">
        <v>6709</v>
      </c>
      <c r="R814" s="210" t="s">
        <v>6710</v>
      </c>
      <c r="S814" s="864" t="s">
        <v>147</v>
      </c>
      <c r="T814" s="212" t="s">
        <v>144</v>
      </c>
      <c r="U814" s="213" t="s">
        <v>144</v>
      </c>
      <c r="V814" s="847">
        <v>1</v>
      </c>
      <c r="W814" s="415" t="s">
        <v>144</v>
      </c>
      <c r="X814" s="212">
        <v>44</v>
      </c>
      <c r="Y814" s="212" t="s">
        <v>144</v>
      </c>
      <c r="Z814" s="241" t="s">
        <v>144</v>
      </c>
      <c r="AA814" s="615" t="s">
        <v>733</v>
      </c>
      <c r="AB814" s="206" t="s">
        <v>140</v>
      </c>
      <c r="AC814" s="847" t="s">
        <v>265</v>
      </c>
      <c r="AD814" s="847" t="s">
        <v>6711</v>
      </c>
      <c r="AE814" s="847" t="s">
        <v>144</v>
      </c>
      <c r="AF814" s="848" t="s">
        <v>144</v>
      </c>
      <c r="AG814" s="838"/>
      <c r="AH814" s="884"/>
      <c r="AI814" s="315"/>
      <c r="AJ814" s="903"/>
      <c r="AK814" s="916"/>
      <c r="AL814" s="915" t="s">
        <v>294</v>
      </c>
      <c r="AM814" s="315" t="s">
        <v>295</v>
      </c>
      <c r="AN814" s="903">
        <v>7</v>
      </c>
      <c r="AO814" s="187" t="s">
        <v>966</v>
      </c>
      <c r="AP814" s="915"/>
      <c r="AQ814" s="315"/>
      <c r="AR814" s="903"/>
      <c r="AS814" s="916"/>
      <c r="AT814" s="915"/>
      <c r="AU814" s="315"/>
      <c r="AV814" s="903"/>
      <c r="AW814" s="916"/>
      <c r="AX814" s="915"/>
      <c r="AY814" s="315"/>
      <c r="AZ814" s="903"/>
      <c r="BA814" s="916"/>
      <c r="BB814" s="884"/>
      <c r="BC814" s="315"/>
      <c r="BD814" s="903"/>
      <c r="BE814" s="916"/>
      <c r="BF814" s="838"/>
    </row>
    <row r="815" spans="1:58" s="88" customFormat="1" ht="54" hidden="1" customHeight="1" x14ac:dyDescent="0.25">
      <c r="A815" s="267" t="s">
        <v>1687</v>
      </c>
      <c r="B815" s="268">
        <v>580</v>
      </c>
      <c r="C815" s="240" t="s">
        <v>684</v>
      </c>
      <c r="D815" s="211" t="s">
        <v>685</v>
      </c>
      <c r="E815" s="268" t="s">
        <v>6712</v>
      </c>
      <c r="F815" s="861" t="s">
        <v>6713</v>
      </c>
      <c r="G815" s="269" t="s">
        <v>6714</v>
      </c>
      <c r="H815" s="861" t="s">
        <v>6715</v>
      </c>
      <c r="I815" s="269" t="s">
        <v>6716</v>
      </c>
      <c r="J815" s="296" t="s">
        <v>140</v>
      </c>
      <c r="K815" s="297" t="s">
        <v>140</v>
      </c>
      <c r="L815" s="862" t="s">
        <v>6717</v>
      </c>
      <c r="M815" s="847" t="s">
        <v>193</v>
      </c>
      <c r="N815" s="270" t="s">
        <v>194</v>
      </c>
      <c r="O815" s="240" t="s">
        <v>6718</v>
      </c>
      <c r="P815" s="240" t="s">
        <v>6719</v>
      </c>
      <c r="Q815" s="845" t="s">
        <v>6720</v>
      </c>
      <c r="R815" s="210" t="s">
        <v>6721</v>
      </c>
      <c r="S815" s="864" t="s">
        <v>147</v>
      </c>
      <c r="T815" s="212" t="s">
        <v>144</v>
      </c>
      <c r="U815" s="213" t="s">
        <v>144</v>
      </c>
      <c r="V815" s="847">
        <v>1</v>
      </c>
      <c r="W815" s="415" t="s">
        <v>144</v>
      </c>
      <c r="X815" s="212">
        <v>44</v>
      </c>
      <c r="Y815" s="212" t="s">
        <v>144</v>
      </c>
      <c r="Z815" s="241" t="s">
        <v>144</v>
      </c>
      <c r="AA815" s="615" t="s">
        <v>733</v>
      </c>
      <c r="AB815" s="206" t="s">
        <v>140</v>
      </c>
      <c r="AC815" s="847" t="s">
        <v>265</v>
      </c>
      <c r="AD815" s="847" t="s">
        <v>1690</v>
      </c>
      <c r="AE815" s="847" t="s">
        <v>144</v>
      </c>
      <c r="AF815" s="848" t="s">
        <v>144</v>
      </c>
      <c r="AG815" s="838"/>
      <c r="AH815" s="884"/>
      <c r="AI815" s="315"/>
      <c r="AJ815" s="903"/>
      <c r="AK815" s="916"/>
      <c r="AL815" s="915" t="s">
        <v>294</v>
      </c>
      <c r="AM815" s="315" t="s">
        <v>295</v>
      </c>
      <c r="AN815" s="903">
        <v>7</v>
      </c>
      <c r="AO815" s="187" t="s">
        <v>966</v>
      </c>
      <c r="AP815" s="915"/>
      <c r="AQ815" s="315"/>
      <c r="AR815" s="903"/>
      <c r="AS815" s="916"/>
      <c r="AT815" s="915"/>
      <c r="AU815" s="315"/>
      <c r="AV815" s="903"/>
      <c r="AW815" s="916"/>
      <c r="AX815" s="915"/>
      <c r="AY815" s="315"/>
      <c r="AZ815" s="903"/>
      <c r="BA815" s="916"/>
      <c r="BB815" s="884"/>
      <c r="BC815" s="315"/>
      <c r="BD815" s="903"/>
      <c r="BE815" s="916"/>
      <c r="BF815" s="838"/>
    </row>
    <row r="816" spans="1:58" s="88" customFormat="1" ht="54" hidden="1" customHeight="1" x14ac:dyDescent="0.25">
      <c r="A816" s="267" t="s">
        <v>1687</v>
      </c>
      <c r="B816" s="268">
        <v>581</v>
      </c>
      <c r="C816" s="240" t="s">
        <v>684</v>
      </c>
      <c r="D816" s="211" t="s">
        <v>685</v>
      </c>
      <c r="E816" s="268" t="s">
        <v>6722</v>
      </c>
      <c r="F816" s="861" t="s">
        <v>6723</v>
      </c>
      <c r="G816" s="269" t="s">
        <v>6724</v>
      </c>
      <c r="H816" s="861" t="s">
        <v>6725</v>
      </c>
      <c r="I816" s="269" t="s">
        <v>6726</v>
      </c>
      <c r="J816" s="296" t="s">
        <v>140</v>
      </c>
      <c r="K816" s="297" t="s">
        <v>140</v>
      </c>
      <c r="L816" s="862" t="s">
        <v>6727</v>
      </c>
      <c r="M816" s="847" t="s">
        <v>142</v>
      </c>
      <c r="N816" s="270" t="s">
        <v>143</v>
      </c>
      <c r="O816" s="240" t="s">
        <v>1853</v>
      </c>
      <c r="P816" s="240" t="s">
        <v>6728</v>
      </c>
      <c r="Q816" s="845" t="s">
        <v>6729</v>
      </c>
      <c r="R816" s="210" t="s">
        <v>6730</v>
      </c>
      <c r="S816" s="864" t="s">
        <v>147</v>
      </c>
      <c r="T816" s="212" t="s">
        <v>144</v>
      </c>
      <c r="U816" s="213" t="s">
        <v>144</v>
      </c>
      <c r="V816" s="847">
        <v>12</v>
      </c>
      <c r="W816" s="415" t="s">
        <v>144</v>
      </c>
      <c r="X816" s="212">
        <v>44</v>
      </c>
      <c r="Y816" s="212" t="s">
        <v>144</v>
      </c>
      <c r="Z816" s="241" t="s">
        <v>144</v>
      </c>
      <c r="AA816" s="615" t="s">
        <v>733</v>
      </c>
      <c r="AB816" s="206" t="s">
        <v>140</v>
      </c>
      <c r="AC816" s="847" t="s">
        <v>265</v>
      </c>
      <c r="AD816" s="847" t="s">
        <v>1690</v>
      </c>
      <c r="AE816" s="847" t="s">
        <v>144</v>
      </c>
      <c r="AF816" s="848" t="s">
        <v>144</v>
      </c>
      <c r="AG816" s="838"/>
      <c r="AH816" s="884" t="s">
        <v>266</v>
      </c>
      <c r="AI816" s="315" t="s">
        <v>267</v>
      </c>
      <c r="AJ816" s="903">
        <v>7</v>
      </c>
      <c r="AK816" s="848" t="s">
        <v>1046</v>
      </c>
      <c r="AL816" s="915" t="s">
        <v>294</v>
      </c>
      <c r="AM816" s="315" t="s">
        <v>295</v>
      </c>
      <c r="AN816" s="903">
        <v>7</v>
      </c>
      <c r="AO816" s="187" t="s">
        <v>966</v>
      </c>
      <c r="AP816" s="915"/>
      <c r="AQ816" s="315"/>
      <c r="AR816" s="903"/>
      <c r="AS816" s="916"/>
      <c r="AT816" s="915"/>
      <c r="AU816" s="315"/>
      <c r="AV816" s="903"/>
      <c r="AW816" s="916"/>
      <c r="AX816" s="915"/>
      <c r="AY816" s="315"/>
      <c r="AZ816" s="903"/>
      <c r="BA816" s="916"/>
      <c r="BB816" s="884"/>
      <c r="BC816" s="315"/>
      <c r="BD816" s="903"/>
      <c r="BE816" s="916"/>
      <c r="BF816" s="838"/>
    </row>
    <row r="817" spans="1:58" s="88" customFormat="1" ht="54" hidden="1" customHeight="1" x14ac:dyDescent="0.25">
      <c r="A817" s="267" t="s">
        <v>1687</v>
      </c>
      <c r="B817" s="268">
        <v>582</v>
      </c>
      <c r="C817" s="240" t="s">
        <v>2530</v>
      </c>
      <c r="D817" s="211" t="s">
        <v>2531</v>
      </c>
      <c r="E817" s="268" t="s">
        <v>6731</v>
      </c>
      <c r="F817" s="861" t="s">
        <v>6732</v>
      </c>
      <c r="G817" s="269" t="s">
        <v>6733</v>
      </c>
      <c r="H817" s="861" t="s">
        <v>6734</v>
      </c>
      <c r="I817" s="269" t="s">
        <v>6735</v>
      </c>
      <c r="J817" s="296" t="s">
        <v>140</v>
      </c>
      <c r="K817" s="297" t="s">
        <v>140</v>
      </c>
      <c r="L817" s="862" t="s">
        <v>6736</v>
      </c>
      <c r="M817" s="847" t="s">
        <v>973</v>
      </c>
      <c r="N817" s="270" t="s">
        <v>974</v>
      </c>
      <c r="O817" s="240" t="s">
        <v>6737</v>
      </c>
      <c r="P817" s="240" t="s">
        <v>6738</v>
      </c>
      <c r="Q817" s="845" t="s">
        <v>144</v>
      </c>
      <c r="R817" s="208" t="s">
        <v>144</v>
      </c>
      <c r="S817" s="864" t="s">
        <v>147</v>
      </c>
      <c r="T817" s="212" t="s">
        <v>144</v>
      </c>
      <c r="U817" s="213" t="s">
        <v>144</v>
      </c>
      <c r="V817" s="847">
        <v>1</v>
      </c>
      <c r="W817" s="415" t="s">
        <v>144</v>
      </c>
      <c r="X817" s="212">
        <v>44</v>
      </c>
      <c r="Y817" s="212" t="s">
        <v>144</v>
      </c>
      <c r="Z817" s="241" t="s">
        <v>144</v>
      </c>
      <c r="AA817" s="615" t="s">
        <v>733</v>
      </c>
      <c r="AB817" s="206" t="s">
        <v>140</v>
      </c>
      <c r="AC817" s="847" t="s">
        <v>265</v>
      </c>
      <c r="AD817" s="847" t="s">
        <v>3503</v>
      </c>
      <c r="AE817" s="847" t="s">
        <v>144</v>
      </c>
      <c r="AF817" s="848" t="s">
        <v>144</v>
      </c>
      <c r="AG817" s="838"/>
      <c r="AH817" s="884" t="s">
        <v>3409</v>
      </c>
      <c r="AI817" s="315" t="s">
        <v>3410</v>
      </c>
      <c r="AJ817" s="903">
        <v>6</v>
      </c>
      <c r="AK817" s="848" t="s">
        <v>3411</v>
      </c>
      <c r="AL817" s="915" t="s">
        <v>294</v>
      </c>
      <c r="AM817" s="315" t="s">
        <v>295</v>
      </c>
      <c r="AN817" s="903">
        <v>7</v>
      </c>
      <c r="AO817" s="187" t="s">
        <v>966</v>
      </c>
      <c r="AP817" s="915"/>
      <c r="AQ817" s="315"/>
      <c r="AR817" s="903"/>
      <c r="AS817" s="916"/>
      <c r="AT817" s="915"/>
      <c r="AU817" s="315"/>
      <c r="AV817" s="903"/>
      <c r="AW817" s="916"/>
      <c r="AX817" s="915"/>
      <c r="AY817" s="315"/>
      <c r="AZ817" s="903"/>
      <c r="BA817" s="916"/>
      <c r="BB817" s="884"/>
      <c r="BC817" s="315"/>
      <c r="BD817" s="903"/>
      <c r="BE817" s="916"/>
      <c r="BF817" s="838"/>
    </row>
    <row r="818" spans="1:58" s="88" customFormat="1" ht="54" hidden="1" customHeight="1" x14ac:dyDescent="0.25">
      <c r="A818" s="267" t="s">
        <v>1687</v>
      </c>
      <c r="B818" s="268">
        <v>583</v>
      </c>
      <c r="C818" s="240" t="s">
        <v>340</v>
      </c>
      <c r="D818" s="211" t="s">
        <v>341</v>
      </c>
      <c r="E818" s="268" t="s">
        <v>6739</v>
      </c>
      <c r="F818" s="861" t="s">
        <v>6740</v>
      </c>
      <c r="G818" s="269" t="s">
        <v>6741</v>
      </c>
      <c r="H818" s="861" t="s">
        <v>6742</v>
      </c>
      <c r="I818" s="269" t="s">
        <v>6743</v>
      </c>
      <c r="J818" s="296" t="s">
        <v>140</v>
      </c>
      <c r="K818" s="297" t="s">
        <v>140</v>
      </c>
      <c r="L818" s="862" t="s">
        <v>6744</v>
      </c>
      <c r="M818" s="847" t="s">
        <v>193</v>
      </c>
      <c r="N818" s="270" t="s">
        <v>194</v>
      </c>
      <c r="O818" s="240" t="s">
        <v>144</v>
      </c>
      <c r="P818" s="240" t="s">
        <v>144</v>
      </c>
      <c r="Q818" s="845" t="s">
        <v>6745</v>
      </c>
      <c r="R818" s="210" t="s">
        <v>6746</v>
      </c>
      <c r="S818" s="864" t="s">
        <v>147</v>
      </c>
      <c r="T818" s="212" t="s">
        <v>144</v>
      </c>
      <c r="U818" s="213" t="s">
        <v>144</v>
      </c>
      <c r="V818" s="847">
        <v>20</v>
      </c>
      <c r="W818" s="415" t="s">
        <v>144</v>
      </c>
      <c r="X818" s="212">
        <v>44</v>
      </c>
      <c r="Y818" s="212" t="s">
        <v>144</v>
      </c>
      <c r="Z818" s="241" t="s">
        <v>144</v>
      </c>
      <c r="AA818" s="615" t="s">
        <v>733</v>
      </c>
      <c r="AB818" s="206" t="s">
        <v>140</v>
      </c>
      <c r="AC818" s="847" t="s">
        <v>265</v>
      </c>
      <c r="AD818" s="847" t="s">
        <v>6687</v>
      </c>
      <c r="AE818" s="847" t="s">
        <v>144</v>
      </c>
      <c r="AF818" s="848" t="s">
        <v>144</v>
      </c>
      <c r="AG818" s="838"/>
      <c r="AH818" s="884"/>
      <c r="AI818" s="315"/>
      <c r="AJ818" s="903"/>
      <c r="AK818" s="916"/>
      <c r="AL818" s="915"/>
      <c r="AM818" s="315"/>
      <c r="AN818" s="903"/>
      <c r="AO818" s="916"/>
      <c r="AP818" s="915"/>
      <c r="AQ818" s="315"/>
      <c r="AR818" s="903"/>
      <c r="AS818" s="916"/>
      <c r="AT818" s="915"/>
      <c r="AU818" s="315"/>
      <c r="AV818" s="903"/>
      <c r="AW818" s="916"/>
      <c r="AX818" s="867" t="s">
        <v>1047</v>
      </c>
      <c r="AY818" s="273" t="s">
        <v>1048</v>
      </c>
      <c r="AZ818" s="903">
        <v>7</v>
      </c>
      <c r="BA818" s="848" t="s">
        <v>1049</v>
      </c>
      <c r="BB818" s="884"/>
      <c r="BC818" s="315"/>
      <c r="BD818" s="903"/>
      <c r="BE818" s="916"/>
      <c r="BF818" s="838"/>
    </row>
    <row r="819" spans="1:58" s="88" customFormat="1" ht="54" hidden="1" customHeight="1" x14ac:dyDescent="0.25">
      <c r="A819" s="267" t="s">
        <v>1687</v>
      </c>
      <c r="B819" s="268">
        <v>584</v>
      </c>
      <c r="C819" s="240" t="s">
        <v>340</v>
      </c>
      <c r="D819" s="211" t="s">
        <v>341</v>
      </c>
      <c r="E819" s="268" t="s">
        <v>6747</v>
      </c>
      <c r="F819" s="861" t="s">
        <v>6748</v>
      </c>
      <c r="G819" s="269" t="s">
        <v>6749</v>
      </c>
      <c r="H819" s="861" t="s">
        <v>6750</v>
      </c>
      <c r="I819" s="269" t="s">
        <v>6751</v>
      </c>
      <c r="J819" s="296" t="s">
        <v>140</v>
      </c>
      <c r="K819" s="297" t="s">
        <v>140</v>
      </c>
      <c r="L819" s="862" t="s">
        <v>6752</v>
      </c>
      <c r="M819" s="847" t="s">
        <v>193</v>
      </c>
      <c r="N819" s="270" t="s">
        <v>194</v>
      </c>
      <c r="O819" s="240" t="s">
        <v>144</v>
      </c>
      <c r="P819" s="240" t="s">
        <v>144</v>
      </c>
      <c r="Q819" s="845" t="s">
        <v>6745</v>
      </c>
      <c r="R819" s="210" t="s">
        <v>6746</v>
      </c>
      <c r="S819" s="864" t="s">
        <v>147</v>
      </c>
      <c r="T819" s="212" t="s">
        <v>144</v>
      </c>
      <c r="U819" s="213" t="s">
        <v>144</v>
      </c>
      <c r="V819" s="847">
        <v>10</v>
      </c>
      <c r="W819" s="415" t="s">
        <v>144</v>
      </c>
      <c r="X819" s="212">
        <v>44</v>
      </c>
      <c r="Y819" s="212" t="s">
        <v>144</v>
      </c>
      <c r="Z819" s="241" t="s">
        <v>25</v>
      </c>
      <c r="AA819" s="616" t="s">
        <v>1001</v>
      </c>
      <c r="AB819" s="206" t="s">
        <v>140</v>
      </c>
      <c r="AC819" s="847" t="s">
        <v>265</v>
      </c>
      <c r="AD819" s="847" t="s">
        <v>6687</v>
      </c>
      <c r="AE819" s="847" t="s">
        <v>144</v>
      </c>
      <c r="AF819" s="848" t="s">
        <v>144</v>
      </c>
      <c r="AG819" s="838"/>
      <c r="AH819" s="884"/>
      <c r="AI819" s="315"/>
      <c r="AJ819" s="903"/>
      <c r="AK819" s="916"/>
      <c r="AL819" s="915"/>
      <c r="AM819" s="315"/>
      <c r="AN819" s="903"/>
      <c r="AO819" s="916"/>
      <c r="AP819" s="915"/>
      <c r="AQ819" s="315"/>
      <c r="AR819" s="903"/>
      <c r="AS819" s="916"/>
      <c r="AT819" s="915"/>
      <c r="AU819" s="315"/>
      <c r="AV819" s="903"/>
      <c r="AW819" s="916"/>
      <c r="AX819" s="917" t="s">
        <v>6753</v>
      </c>
      <c r="AY819" s="440" t="s">
        <v>6754</v>
      </c>
      <c r="AZ819" s="872" t="s">
        <v>1061</v>
      </c>
      <c r="BA819" s="878" t="s">
        <v>1732</v>
      </c>
      <c r="BB819" s="884"/>
      <c r="BC819" s="315"/>
      <c r="BD819" s="903"/>
      <c r="BE819" s="916"/>
      <c r="BF819" s="838"/>
    </row>
    <row r="820" spans="1:58" s="88" customFormat="1" ht="54" hidden="1" customHeight="1" x14ac:dyDescent="0.25">
      <c r="A820" s="267" t="s">
        <v>1687</v>
      </c>
      <c r="B820" s="268">
        <v>585</v>
      </c>
      <c r="C820" s="240" t="s">
        <v>6404</v>
      </c>
      <c r="D820" s="211" t="s">
        <v>6405</v>
      </c>
      <c r="E820" s="268" t="s">
        <v>6755</v>
      </c>
      <c r="F820" s="861" t="s">
        <v>6756</v>
      </c>
      <c r="G820" s="269" t="s">
        <v>6757</v>
      </c>
      <c r="H820" s="861" t="s">
        <v>6758</v>
      </c>
      <c r="I820" s="269" t="s">
        <v>6759</v>
      </c>
      <c r="J820" s="296" t="s">
        <v>140</v>
      </c>
      <c r="K820" s="297" t="s">
        <v>140</v>
      </c>
      <c r="L820" s="862" t="s">
        <v>6760</v>
      </c>
      <c r="M820" s="847" t="s">
        <v>973</v>
      </c>
      <c r="N820" s="270" t="s">
        <v>974</v>
      </c>
      <c r="O820" s="240" t="s">
        <v>2273</v>
      </c>
      <c r="P820" s="240" t="s">
        <v>2274</v>
      </c>
      <c r="Q820" s="845" t="s">
        <v>6761</v>
      </c>
      <c r="R820" s="208" t="s">
        <v>6762</v>
      </c>
      <c r="S820" s="864" t="s">
        <v>147</v>
      </c>
      <c r="T820" s="212" t="s">
        <v>144</v>
      </c>
      <c r="U820" s="213" t="s">
        <v>144</v>
      </c>
      <c r="V820" s="847">
        <v>1</v>
      </c>
      <c r="W820" s="415" t="s">
        <v>144</v>
      </c>
      <c r="X820" s="212">
        <v>44</v>
      </c>
      <c r="Y820" s="212" t="s">
        <v>144</v>
      </c>
      <c r="Z820" s="241" t="s">
        <v>144</v>
      </c>
      <c r="AA820" s="240" t="s">
        <v>6763</v>
      </c>
      <c r="AB820" s="206" t="s">
        <v>140</v>
      </c>
      <c r="AC820" s="847" t="s">
        <v>265</v>
      </c>
      <c r="AD820" s="847" t="s">
        <v>6764</v>
      </c>
      <c r="AE820" s="847" t="s">
        <v>144</v>
      </c>
      <c r="AF820" s="848" t="s">
        <v>144</v>
      </c>
      <c r="AG820" s="838"/>
      <c r="AH820" s="884" t="s">
        <v>3227</v>
      </c>
      <c r="AI820" s="315" t="s">
        <v>3228</v>
      </c>
      <c r="AJ820" s="903">
        <v>6</v>
      </c>
      <c r="AK820" s="848" t="s">
        <v>3229</v>
      </c>
      <c r="AL820" s="915" t="s">
        <v>294</v>
      </c>
      <c r="AM820" s="315" t="s">
        <v>295</v>
      </c>
      <c r="AN820" s="903">
        <v>7</v>
      </c>
      <c r="AO820" s="187" t="s">
        <v>966</v>
      </c>
      <c r="AP820" s="915"/>
      <c r="AQ820" s="315"/>
      <c r="AR820" s="903"/>
      <c r="AS820" s="916"/>
      <c r="AT820" s="915"/>
      <c r="AU820" s="315"/>
      <c r="AV820" s="903"/>
      <c r="AW820" s="916"/>
      <c r="AX820" s="915"/>
      <c r="AY820" s="315"/>
      <c r="AZ820" s="903"/>
      <c r="BA820" s="916"/>
      <c r="BB820" s="884"/>
      <c r="BC820" s="315"/>
      <c r="BD820" s="903"/>
      <c r="BE820" s="916"/>
      <c r="BF820" s="838"/>
    </row>
    <row r="821" spans="1:58" s="88" customFormat="1" ht="54" hidden="1" customHeight="1" x14ac:dyDescent="0.25">
      <c r="A821" s="267" t="s">
        <v>1687</v>
      </c>
      <c r="B821" s="268">
        <v>586</v>
      </c>
      <c r="C821" s="240" t="s">
        <v>5602</v>
      </c>
      <c r="D821" s="211" t="s">
        <v>5603</v>
      </c>
      <c r="E821" s="268" t="s">
        <v>6765</v>
      </c>
      <c r="F821" s="861" t="s">
        <v>6766</v>
      </c>
      <c r="G821" s="269" t="s">
        <v>6767</v>
      </c>
      <c r="H821" s="861" t="s">
        <v>6768</v>
      </c>
      <c r="I821" s="269" t="s">
        <v>6769</v>
      </c>
      <c r="J821" s="296" t="s">
        <v>140</v>
      </c>
      <c r="K821" s="297" t="s">
        <v>140</v>
      </c>
      <c r="L821" s="862" t="s">
        <v>6770</v>
      </c>
      <c r="M821" s="847" t="s">
        <v>193</v>
      </c>
      <c r="N821" s="270" t="s">
        <v>194</v>
      </c>
      <c r="O821" s="240" t="s">
        <v>5610</v>
      </c>
      <c r="P821" s="240" t="s">
        <v>5611</v>
      </c>
      <c r="Q821" s="845" t="s">
        <v>144</v>
      </c>
      <c r="R821" s="208" t="s">
        <v>144</v>
      </c>
      <c r="S821" s="864" t="s">
        <v>147</v>
      </c>
      <c r="T821" s="212" t="s">
        <v>144</v>
      </c>
      <c r="U821" s="213" t="s">
        <v>144</v>
      </c>
      <c r="V821" s="847">
        <v>40</v>
      </c>
      <c r="W821" s="415" t="s">
        <v>144</v>
      </c>
      <c r="X821" s="212">
        <v>44</v>
      </c>
      <c r="Y821" s="212" t="s">
        <v>144</v>
      </c>
      <c r="Z821" s="214" t="s">
        <v>144</v>
      </c>
      <c r="AA821" s="240" t="s">
        <v>6771</v>
      </c>
      <c r="AB821" s="206" t="s">
        <v>140</v>
      </c>
      <c r="AC821" s="847" t="s">
        <v>265</v>
      </c>
      <c r="AD821" s="847" t="s">
        <v>6772</v>
      </c>
      <c r="AE821" s="847" t="s">
        <v>144</v>
      </c>
      <c r="AF821" s="848" t="s">
        <v>144</v>
      </c>
      <c r="AG821" s="838"/>
      <c r="AH821" s="884"/>
      <c r="AI821" s="315"/>
      <c r="AJ821" s="903"/>
      <c r="AK821" s="848"/>
      <c r="AL821" s="915"/>
      <c r="AM821" s="315"/>
      <c r="AN821" s="903"/>
      <c r="AO821" s="916"/>
      <c r="AP821" s="915"/>
      <c r="AQ821" s="315"/>
      <c r="AR821" s="903"/>
      <c r="AS821" s="916"/>
      <c r="AT821" s="915"/>
      <c r="AU821" s="315"/>
      <c r="AV821" s="903"/>
      <c r="AW821" s="916"/>
      <c r="AX821" s="915"/>
      <c r="AY821" s="315"/>
      <c r="AZ821" s="903"/>
      <c r="BA821" s="916"/>
      <c r="BB821" s="884"/>
      <c r="BC821" s="315"/>
      <c r="BD821" s="903"/>
      <c r="BE821" s="916"/>
      <c r="BF821" s="838"/>
    </row>
    <row r="822" spans="1:58" s="88" customFormat="1" ht="54" hidden="1" customHeight="1" x14ac:dyDescent="0.25">
      <c r="A822" s="267" t="s">
        <v>1687</v>
      </c>
      <c r="B822" s="268">
        <v>587</v>
      </c>
      <c r="C822" s="240" t="s">
        <v>5602</v>
      </c>
      <c r="D822" s="211" t="s">
        <v>5603</v>
      </c>
      <c r="E822" s="268" t="s">
        <v>6773</v>
      </c>
      <c r="F822" s="861" t="s">
        <v>6774</v>
      </c>
      <c r="G822" s="269" t="s">
        <v>6775</v>
      </c>
      <c r="H822" s="861" t="s">
        <v>6776</v>
      </c>
      <c r="I822" s="269" t="s">
        <v>6777</v>
      </c>
      <c r="J822" s="296" t="s">
        <v>140</v>
      </c>
      <c r="K822" s="297" t="s">
        <v>140</v>
      </c>
      <c r="L822" s="862" t="s">
        <v>6778</v>
      </c>
      <c r="M822" s="847" t="s">
        <v>193</v>
      </c>
      <c r="N822" s="270" t="s">
        <v>194</v>
      </c>
      <c r="O822" s="240" t="s">
        <v>144</v>
      </c>
      <c r="P822" s="240" t="s">
        <v>144</v>
      </c>
      <c r="Q822" s="845" t="s">
        <v>144</v>
      </c>
      <c r="R822" s="208" t="s">
        <v>144</v>
      </c>
      <c r="S822" s="864" t="s">
        <v>147</v>
      </c>
      <c r="T822" s="212" t="s">
        <v>144</v>
      </c>
      <c r="U822" s="213" t="s">
        <v>144</v>
      </c>
      <c r="V822" s="847">
        <v>40</v>
      </c>
      <c r="W822" s="415" t="s">
        <v>144</v>
      </c>
      <c r="X822" s="212">
        <v>44</v>
      </c>
      <c r="Y822" s="212" t="s">
        <v>144</v>
      </c>
      <c r="Z822" s="214" t="s">
        <v>144</v>
      </c>
      <c r="AA822" s="240" t="s">
        <v>6771</v>
      </c>
      <c r="AB822" s="206" t="s">
        <v>140</v>
      </c>
      <c r="AC822" s="847" t="s">
        <v>265</v>
      </c>
      <c r="AD822" s="847" t="s">
        <v>6772</v>
      </c>
      <c r="AE822" s="847" t="s">
        <v>144</v>
      </c>
      <c r="AF822" s="848" t="s">
        <v>144</v>
      </c>
      <c r="AG822" s="838"/>
      <c r="AH822" s="884"/>
      <c r="AI822" s="315"/>
      <c r="AJ822" s="903"/>
      <c r="AK822" s="848"/>
      <c r="AL822" s="915"/>
      <c r="AM822" s="315"/>
      <c r="AN822" s="903"/>
      <c r="AO822" s="916"/>
      <c r="AP822" s="915"/>
      <c r="AQ822" s="315"/>
      <c r="AR822" s="903"/>
      <c r="AS822" s="916"/>
      <c r="AT822" s="915"/>
      <c r="AU822" s="315"/>
      <c r="AV822" s="903"/>
      <c r="AW822" s="916"/>
      <c r="AX822" s="915"/>
      <c r="AY822" s="315"/>
      <c r="AZ822" s="903"/>
      <c r="BA822" s="916"/>
      <c r="BB822" s="884"/>
      <c r="BC822" s="315"/>
      <c r="BD822" s="903"/>
      <c r="BE822" s="916"/>
      <c r="BF822" s="838"/>
    </row>
    <row r="823" spans="1:58" s="88" customFormat="1" ht="54" hidden="1" customHeight="1" x14ac:dyDescent="0.25">
      <c r="A823" s="267" t="s">
        <v>1687</v>
      </c>
      <c r="B823" s="268">
        <v>588</v>
      </c>
      <c r="C823" s="240" t="s">
        <v>5602</v>
      </c>
      <c r="D823" s="211" t="s">
        <v>5603</v>
      </c>
      <c r="E823" s="268" t="s">
        <v>6779</v>
      </c>
      <c r="F823" s="861" t="s">
        <v>6780</v>
      </c>
      <c r="G823" s="269" t="s">
        <v>6781</v>
      </c>
      <c r="H823" s="861" t="s">
        <v>6782</v>
      </c>
      <c r="I823" s="269" t="s">
        <v>6783</v>
      </c>
      <c r="J823" s="296" t="s">
        <v>140</v>
      </c>
      <c r="K823" s="297" t="s">
        <v>140</v>
      </c>
      <c r="L823" s="862" t="s">
        <v>6784</v>
      </c>
      <c r="M823" s="847" t="s">
        <v>193</v>
      </c>
      <c r="N823" s="270" t="s">
        <v>194</v>
      </c>
      <c r="O823" s="240" t="s">
        <v>144</v>
      </c>
      <c r="P823" s="240" t="s">
        <v>144</v>
      </c>
      <c r="Q823" s="845" t="s">
        <v>144</v>
      </c>
      <c r="R823" s="208" t="s">
        <v>144</v>
      </c>
      <c r="S823" s="864" t="s">
        <v>147</v>
      </c>
      <c r="T823" s="212" t="s">
        <v>144</v>
      </c>
      <c r="U823" s="213" t="s">
        <v>144</v>
      </c>
      <c r="V823" s="847">
        <v>40</v>
      </c>
      <c r="W823" s="415" t="s">
        <v>144</v>
      </c>
      <c r="X823" s="212">
        <v>44</v>
      </c>
      <c r="Y823" s="212" t="s">
        <v>144</v>
      </c>
      <c r="Z823" s="214" t="s">
        <v>144</v>
      </c>
      <c r="AA823" s="240" t="s">
        <v>6785</v>
      </c>
      <c r="AB823" s="206" t="s">
        <v>140</v>
      </c>
      <c r="AC823" s="847" t="s">
        <v>265</v>
      </c>
      <c r="AD823" s="847" t="s">
        <v>6772</v>
      </c>
      <c r="AE823" s="847" t="s">
        <v>144</v>
      </c>
      <c r="AF823" s="848" t="s">
        <v>144</v>
      </c>
      <c r="AG823" s="838"/>
      <c r="AH823" s="884"/>
      <c r="AI823" s="315"/>
      <c r="AJ823" s="903"/>
      <c r="AK823" s="916"/>
      <c r="AL823" s="915"/>
      <c r="AM823" s="315"/>
      <c r="AN823" s="903"/>
      <c r="AO823" s="916"/>
      <c r="AP823" s="915"/>
      <c r="AQ823" s="315"/>
      <c r="AR823" s="903"/>
      <c r="AS823" s="916"/>
      <c r="AT823" s="915"/>
      <c r="AU823" s="315"/>
      <c r="AV823" s="903"/>
      <c r="AW823" s="916"/>
      <c r="AX823" s="915"/>
      <c r="AY823" s="315"/>
      <c r="AZ823" s="903"/>
      <c r="BA823" s="916"/>
      <c r="BB823" s="884"/>
      <c r="BC823" s="315"/>
      <c r="BD823" s="903"/>
      <c r="BE823" s="916"/>
      <c r="BF823" s="838"/>
    </row>
    <row r="824" spans="1:58" s="88" customFormat="1" ht="54" hidden="1" customHeight="1" x14ac:dyDescent="0.25">
      <c r="A824" s="267" t="s">
        <v>1687</v>
      </c>
      <c r="B824" s="268">
        <v>589</v>
      </c>
      <c r="C824" s="240" t="s">
        <v>5602</v>
      </c>
      <c r="D824" s="211" t="s">
        <v>5603</v>
      </c>
      <c r="E824" s="268" t="s">
        <v>6786</v>
      </c>
      <c r="F824" s="861" t="s">
        <v>6787</v>
      </c>
      <c r="G824" s="269" t="s">
        <v>6788</v>
      </c>
      <c r="H824" s="861" t="s">
        <v>6789</v>
      </c>
      <c r="I824" s="269" t="s">
        <v>6790</v>
      </c>
      <c r="J824" s="296" t="s">
        <v>140</v>
      </c>
      <c r="K824" s="297" t="s">
        <v>140</v>
      </c>
      <c r="L824" s="862" t="s">
        <v>6791</v>
      </c>
      <c r="M824" s="847" t="s">
        <v>193</v>
      </c>
      <c r="N824" s="270" t="s">
        <v>194</v>
      </c>
      <c r="O824" s="240" t="s">
        <v>144</v>
      </c>
      <c r="P824" s="240" t="s">
        <v>144</v>
      </c>
      <c r="Q824" s="845" t="s">
        <v>144</v>
      </c>
      <c r="R824" s="208" t="s">
        <v>144</v>
      </c>
      <c r="S824" s="864" t="s">
        <v>147</v>
      </c>
      <c r="T824" s="212" t="s">
        <v>144</v>
      </c>
      <c r="U824" s="213" t="s">
        <v>144</v>
      </c>
      <c r="V824" s="847">
        <v>40</v>
      </c>
      <c r="W824" s="415" t="s">
        <v>144</v>
      </c>
      <c r="X824" s="212">
        <v>44</v>
      </c>
      <c r="Y824" s="212" t="s">
        <v>144</v>
      </c>
      <c r="Z824" s="214" t="s">
        <v>144</v>
      </c>
      <c r="AA824" s="240" t="s">
        <v>6771</v>
      </c>
      <c r="AB824" s="206" t="s">
        <v>140</v>
      </c>
      <c r="AC824" s="847" t="s">
        <v>265</v>
      </c>
      <c r="AD824" s="847" t="s">
        <v>6772</v>
      </c>
      <c r="AE824" s="847" t="s">
        <v>144</v>
      </c>
      <c r="AF824" s="848" t="s">
        <v>144</v>
      </c>
      <c r="AG824" s="838"/>
      <c r="AH824" s="884"/>
      <c r="AI824" s="315"/>
      <c r="AJ824" s="903"/>
      <c r="AK824" s="848"/>
      <c r="AL824" s="915"/>
      <c r="AM824" s="315"/>
      <c r="AN824" s="903"/>
      <c r="AO824" s="916"/>
      <c r="AP824" s="915"/>
      <c r="AQ824" s="315"/>
      <c r="AR824" s="903"/>
      <c r="AS824" s="916"/>
      <c r="AT824" s="915"/>
      <c r="AU824" s="315"/>
      <c r="AV824" s="903"/>
      <c r="AW824" s="916"/>
      <c r="AX824" s="915"/>
      <c r="AY824" s="315"/>
      <c r="AZ824" s="903"/>
      <c r="BA824" s="916"/>
      <c r="BB824" s="884"/>
      <c r="BC824" s="315"/>
      <c r="BD824" s="903"/>
      <c r="BE824" s="916"/>
      <c r="BF824" s="838"/>
    </row>
    <row r="825" spans="1:58" s="88" customFormat="1" ht="54" hidden="1" customHeight="1" x14ac:dyDescent="0.25">
      <c r="A825" s="267" t="s">
        <v>1687</v>
      </c>
      <c r="B825" s="268">
        <v>590</v>
      </c>
      <c r="C825" s="240" t="s">
        <v>5602</v>
      </c>
      <c r="D825" s="211" t="s">
        <v>5603</v>
      </c>
      <c r="E825" s="268" t="s">
        <v>6792</v>
      </c>
      <c r="F825" s="861" t="s">
        <v>6793</v>
      </c>
      <c r="G825" s="269" t="s">
        <v>6794</v>
      </c>
      <c r="H825" s="861" t="s">
        <v>6795</v>
      </c>
      <c r="I825" s="269" t="s">
        <v>6796</v>
      </c>
      <c r="J825" s="296" t="s">
        <v>140</v>
      </c>
      <c r="K825" s="297" t="s">
        <v>140</v>
      </c>
      <c r="L825" s="862" t="s">
        <v>6797</v>
      </c>
      <c r="M825" s="847" t="s">
        <v>193</v>
      </c>
      <c r="N825" s="270" t="s">
        <v>194</v>
      </c>
      <c r="O825" s="240" t="s">
        <v>144</v>
      </c>
      <c r="P825" s="240" t="s">
        <v>144</v>
      </c>
      <c r="Q825" s="845" t="s">
        <v>144</v>
      </c>
      <c r="R825" s="208" t="s">
        <v>144</v>
      </c>
      <c r="S825" s="864" t="s">
        <v>147</v>
      </c>
      <c r="T825" s="212" t="s">
        <v>144</v>
      </c>
      <c r="U825" s="213" t="s">
        <v>144</v>
      </c>
      <c r="V825" s="847">
        <v>40</v>
      </c>
      <c r="W825" s="415" t="s">
        <v>144</v>
      </c>
      <c r="X825" s="212">
        <v>44</v>
      </c>
      <c r="Y825" s="212" t="s">
        <v>144</v>
      </c>
      <c r="Z825" s="214" t="s">
        <v>144</v>
      </c>
      <c r="AA825" s="240" t="s">
        <v>6771</v>
      </c>
      <c r="AB825" s="206" t="s">
        <v>140</v>
      </c>
      <c r="AC825" s="847" t="s">
        <v>265</v>
      </c>
      <c r="AD825" s="847" t="s">
        <v>6772</v>
      </c>
      <c r="AE825" s="847" t="s">
        <v>144</v>
      </c>
      <c r="AF825" s="848" t="s">
        <v>144</v>
      </c>
      <c r="AG825" s="838"/>
      <c r="AH825" s="884"/>
      <c r="AI825" s="315"/>
      <c r="AJ825" s="903"/>
      <c r="AK825" s="848"/>
      <c r="AL825" s="915"/>
      <c r="AM825" s="315"/>
      <c r="AN825" s="903"/>
      <c r="AO825" s="916"/>
      <c r="AP825" s="915"/>
      <c r="AQ825" s="315"/>
      <c r="AR825" s="903"/>
      <c r="AS825" s="916"/>
      <c r="AT825" s="915"/>
      <c r="AU825" s="315"/>
      <c r="AV825" s="903"/>
      <c r="AW825" s="916"/>
      <c r="AX825" s="915"/>
      <c r="AY825" s="315"/>
      <c r="AZ825" s="903"/>
      <c r="BA825" s="916"/>
      <c r="BB825" s="884"/>
      <c r="BC825" s="315"/>
      <c r="BD825" s="903"/>
      <c r="BE825" s="916"/>
      <c r="BF825" s="838"/>
    </row>
    <row r="826" spans="1:58" s="88" customFormat="1" ht="54" hidden="1" customHeight="1" x14ac:dyDescent="0.25">
      <c r="A826" s="267" t="s">
        <v>1687</v>
      </c>
      <c r="B826" s="268">
        <v>591</v>
      </c>
      <c r="C826" s="240" t="s">
        <v>5602</v>
      </c>
      <c r="D826" s="211" t="s">
        <v>5603</v>
      </c>
      <c r="E826" s="268" t="s">
        <v>6798</v>
      </c>
      <c r="F826" s="861" t="s">
        <v>6799</v>
      </c>
      <c r="G826" s="269" t="s">
        <v>6800</v>
      </c>
      <c r="H826" s="861" t="s">
        <v>6801</v>
      </c>
      <c r="I826" s="269" t="s">
        <v>6802</v>
      </c>
      <c r="J826" s="296" t="s">
        <v>140</v>
      </c>
      <c r="K826" s="297" t="s">
        <v>140</v>
      </c>
      <c r="L826" s="862" t="s">
        <v>6803</v>
      </c>
      <c r="M826" s="847" t="s">
        <v>193</v>
      </c>
      <c r="N826" s="270" t="s">
        <v>194</v>
      </c>
      <c r="O826" s="240" t="s">
        <v>144</v>
      </c>
      <c r="P826" s="240" t="s">
        <v>144</v>
      </c>
      <c r="Q826" s="845" t="s">
        <v>144</v>
      </c>
      <c r="R826" s="208" t="s">
        <v>144</v>
      </c>
      <c r="S826" s="864" t="s">
        <v>147</v>
      </c>
      <c r="T826" s="212" t="s">
        <v>144</v>
      </c>
      <c r="U826" s="213" t="s">
        <v>144</v>
      </c>
      <c r="V826" s="847">
        <v>40</v>
      </c>
      <c r="W826" s="415" t="s">
        <v>144</v>
      </c>
      <c r="X826" s="212">
        <v>44</v>
      </c>
      <c r="Y826" s="212" t="s">
        <v>144</v>
      </c>
      <c r="Z826" s="214" t="s">
        <v>144</v>
      </c>
      <c r="AA826" s="240" t="s">
        <v>6785</v>
      </c>
      <c r="AB826" s="206" t="s">
        <v>140</v>
      </c>
      <c r="AC826" s="847" t="s">
        <v>265</v>
      </c>
      <c r="AD826" s="847" t="s">
        <v>6772</v>
      </c>
      <c r="AE826" s="847" t="s">
        <v>144</v>
      </c>
      <c r="AF826" s="848" t="s">
        <v>144</v>
      </c>
      <c r="AG826" s="838"/>
      <c r="AH826" s="884"/>
      <c r="AI826" s="315"/>
      <c r="AJ826" s="903"/>
      <c r="AK826" s="916"/>
      <c r="AL826" s="915"/>
      <c r="AM826" s="315"/>
      <c r="AN826" s="903"/>
      <c r="AO826" s="916"/>
      <c r="AP826" s="915"/>
      <c r="AQ826" s="315"/>
      <c r="AR826" s="903"/>
      <c r="AS826" s="916"/>
      <c r="AT826" s="915"/>
      <c r="AU826" s="315"/>
      <c r="AV826" s="903"/>
      <c r="AW826" s="916"/>
      <c r="AX826" s="915"/>
      <c r="AY826" s="315"/>
      <c r="AZ826" s="903"/>
      <c r="BA826" s="916"/>
      <c r="BB826" s="884"/>
      <c r="BC826" s="315"/>
      <c r="BD826" s="903"/>
      <c r="BE826" s="916"/>
      <c r="BF826" s="838"/>
    </row>
    <row r="827" spans="1:58" s="88" customFormat="1" ht="54" hidden="1" customHeight="1" x14ac:dyDescent="0.25">
      <c r="A827" s="267" t="s">
        <v>1687</v>
      </c>
      <c r="B827" s="268">
        <v>592</v>
      </c>
      <c r="C827" s="240" t="s">
        <v>5602</v>
      </c>
      <c r="D827" s="211" t="s">
        <v>5603</v>
      </c>
      <c r="E827" s="268" t="s">
        <v>6804</v>
      </c>
      <c r="F827" s="861" t="s">
        <v>6805</v>
      </c>
      <c r="G827" s="269" t="s">
        <v>6806</v>
      </c>
      <c r="H827" s="861" t="s">
        <v>6807</v>
      </c>
      <c r="I827" s="269" t="s">
        <v>6808</v>
      </c>
      <c r="J827" s="296" t="s">
        <v>140</v>
      </c>
      <c r="K827" s="297" t="s">
        <v>140</v>
      </c>
      <c r="L827" s="862" t="s">
        <v>6809</v>
      </c>
      <c r="M827" s="847" t="s">
        <v>193</v>
      </c>
      <c r="N827" s="270" t="s">
        <v>194</v>
      </c>
      <c r="O827" s="240" t="s">
        <v>144</v>
      </c>
      <c r="P827" s="240" t="s">
        <v>144</v>
      </c>
      <c r="Q827" s="845" t="s">
        <v>6810</v>
      </c>
      <c r="R827" s="208" t="s">
        <v>6811</v>
      </c>
      <c r="S827" s="864" t="s">
        <v>746</v>
      </c>
      <c r="T827" s="212" t="s">
        <v>6812</v>
      </c>
      <c r="U827" s="213" t="s">
        <v>6813</v>
      </c>
      <c r="V827" s="847">
        <v>11</v>
      </c>
      <c r="W827" s="415" t="s">
        <v>144</v>
      </c>
      <c r="X827" s="212">
        <v>44</v>
      </c>
      <c r="Y827" s="212" t="s">
        <v>144</v>
      </c>
      <c r="Z827" s="241" t="s">
        <v>144</v>
      </c>
      <c r="AA827" s="240" t="s">
        <v>6785</v>
      </c>
      <c r="AB827" s="206" t="s">
        <v>140</v>
      </c>
      <c r="AC827" s="847" t="s">
        <v>265</v>
      </c>
      <c r="AD827" s="847" t="s">
        <v>6772</v>
      </c>
      <c r="AE827" s="847" t="s">
        <v>144</v>
      </c>
      <c r="AF827" s="848" t="s">
        <v>144</v>
      </c>
      <c r="AG827" s="838"/>
      <c r="AH827" s="866"/>
      <c r="AI827" s="273"/>
      <c r="AJ827" s="903"/>
      <c r="AK827" s="848"/>
      <c r="AL827" s="915"/>
      <c r="AM827" s="315"/>
      <c r="AN827" s="903"/>
      <c r="AO827" s="916"/>
      <c r="AP827" s="915"/>
      <c r="AQ827" s="315"/>
      <c r="AR827" s="903"/>
      <c r="AS827" s="916"/>
      <c r="AT827" s="915"/>
      <c r="AU827" s="315"/>
      <c r="AV827" s="903"/>
      <c r="AW827" s="916"/>
      <c r="AX827" s="915"/>
      <c r="AY827" s="315"/>
      <c r="AZ827" s="903"/>
      <c r="BA827" s="916"/>
      <c r="BB827" s="884"/>
      <c r="BC827" s="315"/>
      <c r="BD827" s="903"/>
      <c r="BE827" s="916"/>
      <c r="BF827" s="838"/>
    </row>
    <row r="828" spans="1:58" s="88" customFormat="1" ht="54" hidden="1" customHeight="1" x14ac:dyDescent="0.25">
      <c r="A828" s="267" t="s">
        <v>1687</v>
      </c>
      <c r="B828" s="268">
        <v>593</v>
      </c>
      <c r="C828" s="240" t="s">
        <v>5602</v>
      </c>
      <c r="D828" s="211" t="s">
        <v>5603</v>
      </c>
      <c r="E828" s="268" t="s">
        <v>6814</v>
      </c>
      <c r="F828" s="861" t="s">
        <v>6815</v>
      </c>
      <c r="G828" s="269" t="s">
        <v>6816</v>
      </c>
      <c r="H828" s="861" t="s">
        <v>6817</v>
      </c>
      <c r="I828" s="269" t="s">
        <v>6818</v>
      </c>
      <c r="J828" s="296" t="s">
        <v>140</v>
      </c>
      <c r="K828" s="297" t="s">
        <v>140</v>
      </c>
      <c r="L828" s="862" t="s">
        <v>6819</v>
      </c>
      <c r="M828" s="847" t="s">
        <v>193</v>
      </c>
      <c r="N828" s="270" t="s">
        <v>194</v>
      </c>
      <c r="O828" s="240" t="s">
        <v>144</v>
      </c>
      <c r="P828" s="240" t="s">
        <v>144</v>
      </c>
      <c r="Q828" s="845" t="s">
        <v>6820</v>
      </c>
      <c r="R828" s="208" t="s">
        <v>6821</v>
      </c>
      <c r="S828" s="864" t="s">
        <v>746</v>
      </c>
      <c r="T828" s="212" t="s">
        <v>6822</v>
      </c>
      <c r="U828" s="213" t="s">
        <v>6823</v>
      </c>
      <c r="V828" s="847">
        <v>12</v>
      </c>
      <c r="W828" s="415" t="s">
        <v>144</v>
      </c>
      <c r="X828" s="212">
        <v>44</v>
      </c>
      <c r="Y828" s="212" t="s">
        <v>144</v>
      </c>
      <c r="Z828" s="241" t="s">
        <v>144</v>
      </c>
      <c r="AA828" s="240" t="s">
        <v>6785</v>
      </c>
      <c r="AB828" s="206" t="s">
        <v>140</v>
      </c>
      <c r="AC828" s="847" t="s">
        <v>265</v>
      </c>
      <c r="AD828" s="847" t="s">
        <v>6772</v>
      </c>
      <c r="AE828" s="847" t="s">
        <v>144</v>
      </c>
      <c r="AF828" s="848" t="s">
        <v>144</v>
      </c>
      <c r="AG828" s="838"/>
      <c r="AH828" s="866"/>
      <c r="AI828" s="273"/>
      <c r="AJ828" s="903"/>
      <c r="AK828" s="848"/>
      <c r="AL828" s="915"/>
      <c r="AM828" s="315"/>
      <c r="AN828" s="903"/>
      <c r="AO828" s="916"/>
      <c r="AP828" s="915"/>
      <c r="AQ828" s="315"/>
      <c r="AR828" s="903"/>
      <c r="AS828" s="916"/>
      <c r="AT828" s="915"/>
      <c r="AU828" s="315"/>
      <c r="AV828" s="903"/>
      <c r="AW828" s="916"/>
      <c r="AX828" s="915"/>
      <c r="AY828" s="315"/>
      <c r="AZ828" s="903"/>
      <c r="BA828" s="916"/>
      <c r="BB828" s="884"/>
      <c r="BC828" s="315"/>
      <c r="BD828" s="903"/>
      <c r="BE828" s="916"/>
      <c r="BF828" s="838"/>
    </row>
    <row r="829" spans="1:58" s="88" customFormat="1" ht="54" hidden="1" customHeight="1" x14ac:dyDescent="0.25">
      <c r="A829" s="267" t="s">
        <v>1687</v>
      </c>
      <c r="B829" s="268">
        <v>594</v>
      </c>
      <c r="C829" s="240" t="s">
        <v>2378</v>
      </c>
      <c r="D829" s="211" t="s">
        <v>2379</v>
      </c>
      <c r="E829" s="268" t="s">
        <v>6824</v>
      </c>
      <c r="F829" s="861" t="s">
        <v>6825</v>
      </c>
      <c r="G829" s="269" t="s">
        <v>6826</v>
      </c>
      <c r="H829" s="861" t="s">
        <v>6827</v>
      </c>
      <c r="I829" s="269" t="s">
        <v>6828</v>
      </c>
      <c r="J829" s="296" t="s">
        <v>140</v>
      </c>
      <c r="K829" s="297" t="s">
        <v>140</v>
      </c>
      <c r="L829" s="862" t="s">
        <v>6829</v>
      </c>
      <c r="M829" s="847" t="s">
        <v>973</v>
      </c>
      <c r="N829" s="270" t="s">
        <v>974</v>
      </c>
      <c r="O829" s="240" t="s">
        <v>6830</v>
      </c>
      <c r="P829" s="240" t="s">
        <v>6831</v>
      </c>
      <c r="Q829" s="845" t="s">
        <v>144</v>
      </c>
      <c r="R829" s="208" t="s">
        <v>144</v>
      </c>
      <c r="S829" s="864" t="s">
        <v>147</v>
      </c>
      <c r="T829" s="212" t="s">
        <v>144</v>
      </c>
      <c r="U829" s="213" t="s">
        <v>144</v>
      </c>
      <c r="V829" s="847">
        <v>1</v>
      </c>
      <c r="W829" s="415" t="s">
        <v>144</v>
      </c>
      <c r="X829" s="212">
        <v>44</v>
      </c>
      <c r="Y829" s="212" t="s">
        <v>144</v>
      </c>
      <c r="Z829" s="252" t="s">
        <v>144</v>
      </c>
      <c r="AA829" s="240" t="s">
        <v>6832</v>
      </c>
      <c r="AB829" s="206" t="s">
        <v>140</v>
      </c>
      <c r="AC829" s="847" t="s">
        <v>265</v>
      </c>
      <c r="AD829" s="847" t="s">
        <v>6833</v>
      </c>
      <c r="AE829" s="847" t="s">
        <v>144</v>
      </c>
      <c r="AF829" s="848" t="s">
        <v>144</v>
      </c>
      <c r="AG829" s="838"/>
      <c r="AH829" s="884" t="s">
        <v>6834</v>
      </c>
      <c r="AI829" s="315" t="s">
        <v>6835</v>
      </c>
      <c r="AJ829" s="903">
        <v>6</v>
      </c>
      <c r="AK829" s="916" t="s">
        <v>6836</v>
      </c>
      <c r="AL829" s="915" t="s">
        <v>294</v>
      </c>
      <c r="AM829" s="315" t="s">
        <v>295</v>
      </c>
      <c r="AN829" s="903">
        <v>7</v>
      </c>
      <c r="AO829" s="187" t="s">
        <v>966</v>
      </c>
      <c r="AP829" s="915"/>
      <c r="AQ829" s="315"/>
      <c r="AR829" s="903"/>
      <c r="AS829" s="916"/>
      <c r="AT829" s="915"/>
      <c r="AU829" s="315"/>
      <c r="AV829" s="903"/>
      <c r="AW829" s="916"/>
      <c r="AX829" s="915"/>
      <c r="AY829" s="315"/>
      <c r="AZ829" s="903"/>
      <c r="BA829" s="916"/>
      <c r="BB829" s="884"/>
      <c r="BC829" s="315"/>
      <c r="BD829" s="903"/>
      <c r="BE829" s="916"/>
      <c r="BF829" s="838"/>
    </row>
    <row r="830" spans="1:58" s="88" customFormat="1" ht="54" hidden="1" customHeight="1" x14ac:dyDescent="0.25">
      <c r="A830" s="267" t="s">
        <v>1687</v>
      </c>
      <c r="B830" s="268">
        <v>595</v>
      </c>
      <c r="C830" s="240" t="s">
        <v>2378</v>
      </c>
      <c r="D830" s="211" t="s">
        <v>2379</v>
      </c>
      <c r="E830" s="268" t="s">
        <v>6837</v>
      </c>
      <c r="F830" s="861" t="s">
        <v>6838</v>
      </c>
      <c r="G830" s="269" t="s">
        <v>6839</v>
      </c>
      <c r="H830" s="861" t="s">
        <v>6840</v>
      </c>
      <c r="I830" s="269" t="s">
        <v>6841</v>
      </c>
      <c r="J830" s="296" t="s">
        <v>140</v>
      </c>
      <c r="K830" s="297" t="s">
        <v>140</v>
      </c>
      <c r="L830" s="862" t="s">
        <v>6842</v>
      </c>
      <c r="M830" s="872" t="s">
        <v>973</v>
      </c>
      <c r="N830" s="439" t="s">
        <v>974</v>
      </c>
      <c r="O830" s="240" t="s">
        <v>6843</v>
      </c>
      <c r="P830" s="240" t="s">
        <v>6844</v>
      </c>
      <c r="Q830" s="845" t="s">
        <v>144</v>
      </c>
      <c r="R830" s="208" t="s">
        <v>144</v>
      </c>
      <c r="S830" s="864" t="s">
        <v>147</v>
      </c>
      <c r="T830" s="212" t="s">
        <v>144</v>
      </c>
      <c r="U830" s="213" t="s">
        <v>144</v>
      </c>
      <c r="V830" s="847">
        <v>2</v>
      </c>
      <c r="W830" s="415" t="s">
        <v>144</v>
      </c>
      <c r="X830" s="212">
        <v>44</v>
      </c>
      <c r="Y830" s="212" t="s">
        <v>144</v>
      </c>
      <c r="Z830" s="241" t="s">
        <v>29</v>
      </c>
      <c r="AA830" s="240" t="s">
        <v>6832</v>
      </c>
      <c r="AB830" s="206" t="s">
        <v>140</v>
      </c>
      <c r="AC830" s="847" t="s">
        <v>265</v>
      </c>
      <c r="AD830" s="847" t="s">
        <v>6833</v>
      </c>
      <c r="AE830" s="847" t="s">
        <v>144</v>
      </c>
      <c r="AF830" s="848" t="s">
        <v>144</v>
      </c>
      <c r="AG830" s="838"/>
      <c r="AH830" s="920" t="s">
        <v>6845</v>
      </c>
      <c r="AI830" s="440" t="s">
        <v>6846</v>
      </c>
      <c r="AJ830" s="918">
        <v>6</v>
      </c>
      <c r="AK830" s="919" t="s">
        <v>6847</v>
      </c>
      <c r="AL830" s="915" t="s">
        <v>294</v>
      </c>
      <c r="AM830" s="315" t="s">
        <v>295</v>
      </c>
      <c r="AN830" s="903">
        <v>7</v>
      </c>
      <c r="AO830" s="187" t="s">
        <v>966</v>
      </c>
      <c r="AP830" s="915"/>
      <c r="AQ830" s="315"/>
      <c r="AR830" s="903"/>
      <c r="AS830" s="916"/>
      <c r="AT830" s="915"/>
      <c r="AU830" s="315"/>
      <c r="AV830" s="903"/>
      <c r="AW830" s="916"/>
      <c r="AX830" s="915"/>
      <c r="AY830" s="315"/>
      <c r="AZ830" s="903"/>
      <c r="BA830" s="916"/>
      <c r="BB830" s="884"/>
      <c r="BC830" s="315"/>
      <c r="BD830" s="903"/>
      <c r="BE830" s="916"/>
      <c r="BF830" s="838"/>
    </row>
    <row r="831" spans="1:58" s="88" customFormat="1" ht="54" hidden="1" customHeight="1" x14ac:dyDescent="0.25">
      <c r="A831" s="267" t="s">
        <v>1687</v>
      </c>
      <c r="B831" s="268">
        <v>596</v>
      </c>
      <c r="C831" s="240" t="s">
        <v>2378</v>
      </c>
      <c r="D831" s="211" t="s">
        <v>2379</v>
      </c>
      <c r="E831" s="268" t="s">
        <v>6848</v>
      </c>
      <c r="F831" s="861" t="s">
        <v>6849</v>
      </c>
      <c r="G831" s="269" t="s">
        <v>6850</v>
      </c>
      <c r="H831" s="861" t="s">
        <v>6851</v>
      </c>
      <c r="I831" s="269" t="s">
        <v>6852</v>
      </c>
      <c r="J831" s="296" t="s">
        <v>140</v>
      </c>
      <c r="K831" s="297" t="s">
        <v>140</v>
      </c>
      <c r="L831" s="862" t="s">
        <v>6853</v>
      </c>
      <c r="M831" s="847" t="s">
        <v>973</v>
      </c>
      <c r="N831" s="270" t="s">
        <v>974</v>
      </c>
      <c r="O831" s="240" t="s">
        <v>6854</v>
      </c>
      <c r="P831" s="240" t="s">
        <v>6855</v>
      </c>
      <c r="Q831" s="845" t="s">
        <v>144</v>
      </c>
      <c r="R831" s="208" t="s">
        <v>144</v>
      </c>
      <c r="S831" s="864" t="s">
        <v>147</v>
      </c>
      <c r="T831" s="212" t="s">
        <v>144</v>
      </c>
      <c r="U831" s="213" t="s">
        <v>144</v>
      </c>
      <c r="V831" s="847">
        <v>1</v>
      </c>
      <c r="W831" s="415" t="s">
        <v>144</v>
      </c>
      <c r="X831" s="212">
        <v>44</v>
      </c>
      <c r="Y831" s="212" t="s">
        <v>144</v>
      </c>
      <c r="Z831" s="252" t="s">
        <v>144</v>
      </c>
      <c r="AA831" s="240" t="s">
        <v>4890</v>
      </c>
      <c r="AB831" s="206" t="s">
        <v>140</v>
      </c>
      <c r="AC831" s="847" t="s">
        <v>265</v>
      </c>
      <c r="AD831" s="847" t="s">
        <v>6856</v>
      </c>
      <c r="AE831" s="847" t="s">
        <v>144</v>
      </c>
      <c r="AF831" s="848" t="s">
        <v>144</v>
      </c>
      <c r="AG831" s="838"/>
      <c r="AH831" s="884" t="s">
        <v>6857</v>
      </c>
      <c r="AI831" s="315" t="s">
        <v>6858</v>
      </c>
      <c r="AJ831" s="903">
        <v>6</v>
      </c>
      <c r="AK831" s="848" t="s">
        <v>5899</v>
      </c>
      <c r="AL831" s="915" t="s">
        <v>294</v>
      </c>
      <c r="AM831" s="315" t="s">
        <v>295</v>
      </c>
      <c r="AN831" s="903">
        <v>7</v>
      </c>
      <c r="AO831" s="187" t="s">
        <v>966</v>
      </c>
      <c r="AP831" s="915"/>
      <c r="AQ831" s="315"/>
      <c r="AR831" s="903"/>
      <c r="AS831" s="916"/>
      <c r="AT831" s="915"/>
      <c r="AU831" s="315"/>
      <c r="AV831" s="903"/>
      <c r="AW831" s="916"/>
      <c r="AX831" s="915"/>
      <c r="AY831" s="315"/>
      <c r="AZ831" s="903"/>
      <c r="BA831" s="916"/>
      <c r="BB831" s="884"/>
      <c r="BC831" s="315"/>
      <c r="BD831" s="903"/>
      <c r="BE831" s="916"/>
      <c r="BF831" s="838"/>
    </row>
    <row r="832" spans="1:58" s="88" customFormat="1" ht="54" hidden="1" customHeight="1" x14ac:dyDescent="0.25">
      <c r="A832" s="267" t="s">
        <v>1687</v>
      </c>
      <c r="B832" s="268">
        <v>597</v>
      </c>
      <c r="C832" s="240" t="s">
        <v>2135</v>
      </c>
      <c r="D832" s="211" t="s">
        <v>2136</v>
      </c>
      <c r="E832" s="268" t="s">
        <v>6859</v>
      </c>
      <c r="F832" s="861" t="s">
        <v>6860</v>
      </c>
      <c r="G832" s="269" t="s">
        <v>6861</v>
      </c>
      <c r="H832" s="861" t="s">
        <v>6860</v>
      </c>
      <c r="I832" s="269" t="s">
        <v>6861</v>
      </c>
      <c r="J832" s="296" t="s">
        <v>140</v>
      </c>
      <c r="K832" s="297" t="s">
        <v>140</v>
      </c>
      <c r="L832" s="862" t="s">
        <v>6862</v>
      </c>
      <c r="M832" s="847" t="s">
        <v>973</v>
      </c>
      <c r="N832" s="270" t="s">
        <v>974</v>
      </c>
      <c r="O832" s="240" t="s">
        <v>2368</v>
      </c>
      <c r="P832" s="240" t="s">
        <v>2369</v>
      </c>
      <c r="Q832" s="845" t="s">
        <v>144</v>
      </c>
      <c r="R832" s="208" t="s">
        <v>144</v>
      </c>
      <c r="S832" s="864" t="s">
        <v>147</v>
      </c>
      <c r="T832" s="212" t="s">
        <v>144</v>
      </c>
      <c r="U832" s="213" t="s">
        <v>144</v>
      </c>
      <c r="V832" s="847">
        <v>3</v>
      </c>
      <c r="W832" s="415" t="s">
        <v>144</v>
      </c>
      <c r="X832" s="212">
        <v>44</v>
      </c>
      <c r="Y832" s="212" t="s">
        <v>144</v>
      </c>
      <c r="Z832" s="214" t="s">
        <v>25</v>
      </c>
      <c r="AA832" s="240" t="s">
        <v>4890</v>
      </c>
      <c r="AB832" s="206" t="s">
        <v>140</v>
      </c>
      <c r="AC832" s="847" t="s">
        <v>265</v>
      </c>
      <c r="AD832" s="847" t="s">
        <v>3659</v>
      </c>
      <c r="AE832" s="847" t="s">
        <v>144</v>
      </c>
      <c r="AF832" s="848" t="s">
        <v>144</v>
      </c>
      <c r="AG832" s="838"/>
      <c r="AH832" s="884" t="s">
        <v>6863</v>
      </c>
      <c r="AI832" s="315" t="s">
        <v>6864</v>
      </c>
      <c r="AJ832" s="903">
        <v>6</v>
      </c>
      <c r="AK832" s="916" t="s">
        <v>6865</v>
      </c>
      <c r="AL832" s="915" t="s">
        <v>294</v>
      </c>
      <c r="AM832" s="315" t="s">
        <v>295</v>
      </c>
      <c r="AN832" s="903">
        <v>7</v>
      </c>
      <c r="AO832" s="187" t="s">
        <v>966</v>
      </c>
      <c r="AP832" s="915"/>
      <c r="AQ832" s="315"/>
      <c r="AR832" s="903"/>
      <c r="AS832" s="916"/>
      <c r="AT832" s="873" t="s">
        <v>2371</v>
      </c>
      <c r="AU832" s="406" t="s">
        <v>2372</v>
      </c>
      <c r="AV832" s="872">
        <v>6</v>
      </c>
      <c r="AW832" s="878" t="s">
        <v>2373</v>
      </c>
      <c r="AX832" s="915"/>
      <c r="AY832" s="315"/>
      <c r="AZ832" s="903"/>
      <c r="BA832" s="916"/>
      <c r="BB832" s="884"/>
      <c r="BC832" s="315"/>
      <c r="BD832" s="903"/>
      <c r="BE832" s="916"/>
      <c r="BF832" s="838"/>
    </row>
    <row r="833" spans="1:58" s="88" customFormat="1" ht="54" hidden="1" customHeight="1" x14ac:dyDescent="0.25">
      <c r="A833" s="267" t="s">
        <v>1687</v>
      </c>
      <c r="B833" s="268">
        <v>598</v>
      </c>
      <c r="C833" s="240" t="s">
        <v>723</v>
      </c>
      <c r="D833" s="211" t="s">
        <v>723</v>
      </c>
      <c r="E833" s="268" t="s">
        <v>6866</v>
      </c>
      <c r="F833" s="861" t="s">
        <v>6867</v>
      </c>
      <c r="G833" s="269" t="s">
        <v>6868</v>
      </c>
      <c r="H833" s="861" t="s">
        <v>6869</v>
      </c>
      <c r="I833" s="269" t="s">
        <v>6870</v>
      </c>
      <c r="J833" s="296" t="s">
        <v>140</v>
      </c>
      <c r="K833" s="297" t="s">
        <v>140</v>
      </c>
      <c r="L833" s="862" t="s">
        <v>6871</v>
      </c>
      <c r="M833" s="847" t="s">
        <v>973</v>
      </c>
      <c r="N833" s="270" t="s">
        <v>974</v>
      </c>
      <c r="O833" s="240" t="s">
        <v>144</v>
      </c>
      <c r="P833" s="240" t="s">
        <v>144</v>
      </c>
      <c r="Q833" s="845" t="s">
        <v>144</v>
      </c>
      <c r="R833" s="208" t="s">
        <v>144</v>
      </c>
      <c r="S833" s="864" t="s">
        <v>746</v>
      </c>
      <c r="T833" s="212" t="s">
        <v>1307</v>
      </c>
      <c r="U833" s="213" t="s">
        <v>1308</v>
      </c>
      <c r="V833" s="847">
        <v>10</v>
      </c>
      <c r="W833" s="415" t="s">
        <v>144</v>
      </c>
      <c r="X833" s="212">
        <v>44</v>
      </c>
      <c r="Y833" s="212" t="s">
        <v>144</v>
      </c>
      <c r="Z833" s="241" t="s">
        <v>144</v>
      </c>
      <c r="AA833" s="240" t="s">
        <v>4543</v>
      </c>
      <c r="AB833" s="206" t="s">
        <v>140</v>
      </c>
      <c r="AC833" s="847" t="s">
        <v>265</v>
      </c>
      <c r="AD833" s="847" t="s">
        <v>6872</v>
      </c>
      <c r="AE833" s="847" t="s">
        <v>144</v>
      </c>
      <c r="AF833" s="848" t="s">
        <v>144</v>
      </c>
      <c r="AG833" s="838"/>
      <c r="AH833" s="884" t="s">
        <v>4544</v>
      </c>
      <c r="AI833" s="315" t="s">
        <v>4545</v>
      </c>
      <c r="AJ833" s="903">
        <v>6</v>
      </c>
      <c r="AK833" s="848" t="s">
        <v>4546</v>
      </c>
      <c r="AL833" s="915"/>
      <c r="AM833" s="315"/>
      <c r="AN833" s="903"/>
      <c r="AO833" s="916"/>
      <c r="AP833" s="915"/>
      <c r="AQ833" s="315"/>
      <c r="AR833" s="903"/>
      <c r="AS833" s="916"/>
      <c r="AT833" s="915"/>
      <c r="AU833" s="315"/>
      <c r="AV833" s="903"/>
      <c r="AW833" s="916"/>
      <c r="AX833" s="915"/>
      <c r="AY833" s="315"/>
      <c r="AZ833" s="903"/>
      <c r="BA833" s="916"/>
      <c r="BB833" s="884"/>
      <c r="BC833" s="315"/>
      <c r="BD833" s="903"/>
      <c r="BE833" s="916"/>
      <c r="BF833" s="838"/>
    </row>
    <row r="834" spans="1:58" s="88" customFormat="1" ht="54" hidden="1" customHeight="1" x14ac:dyDescent="0.25">
      <c r="A834" s="267" t="s">
        <v>1687</v>
      </c>
      <c r="B834" s="268">
        <v>599</v>
      </c>
      <c r="C834" s="240" t="s">
        <v>723</v>
      </c>
      <c r="D834" s="211" t="s">
        <v>723</v>
      </c>
      <c r="E834" s="268" t="s">
        <v>6873</v>
      </c>
      <c r="F834" s="861" t="s">
        <v>6874</v>
      </c>
      <c r="G834" s="269" t="s">
        <v>6875</v>
      </c>
      <c r="H834" s="861" t="s">
        <v>6876</v>
      </c>
      <c r="I834" s="269" t="s">
        <v>6877</v>
      </c>
      <c r="J834" s="296" t="s">
        <v>140</v>
      </c>
      <c r="K834" s="297" t="s">
        <v>140</v>
      </c>
      <c r="L834" s="862" t="s">
        <v>6878</v>
      </c>
      <c r="M834" s="847" t="s">
        <v>973</v>
      </c>
      <c r="N834" s="270" t="s">
        <v>974</v>
      </c>
      <c r="O834" s="240" t="s">
        <v>144</v>
      </c>
      <c r="P834" s="240" t="s">
        <v>144</v>
      </c>
      <c r="Q834" s="845" t="s">
        <v>144</v>
      </c>
      <c r="R834" s="208" t="s">
        <v>144</v>
      </c>
      <c r="S834" s="864" t="s">
        <v>746</v>
      </c>
      <c r="T834" s="212" t="s">
        <v>1307</v>
      </c>
      <c r="U834" s="213" t="s">
        <v>1308</v>
      </c>
      <c r="V834" s="847">
        <v>10</v>
      </c>
      <c r="W834" s="415" t="s">
        <v>144</v>
      </c>
      <c r="X834" s="212">
        <v>44</v>
      </c>
      <c r="Y834" s="212" t="s">
        <v>144</v>
      </c>
      <c r="Z834" s="252" t="s">
        <v>144</v>
      </c>
      <c r="AA834" s="240" t="s">
        <v>4543</v>
      </c>
      <c r="AB834" s="206" t="s">
        <v>140</v>
      </c>
      <c r="AC834" s="847" t="s">
        <v>265</v>
      </c>
      <c r="AD834" s="847" t="s">
        <v>6872</v>
      </c>
      <c r="AE834" s="847" t="s">
        <v>144</v>
      </c>
      <c r="AF834" s="848" t="s">
        <v>144</v>
      </c>
      <c r="AG834" s="838"/>
      <c r="AH834" s="884" t="s">
        <v>6879</v>
      </c>
      <c r="AI834" s="315" t="s">
        <v>6880</v>
      </c>
      <c r="AJ834" s="903">
        <v>6</v>
      </c>
      <c r="AK834" s="848" t="s">
        <v>6881</v>
      </c>
      <c r="AL834" s="915"/>
      <c r="AM834" s="315"/>
      <c r="AN834" s="903"/>
      <c r="AO834" s="916"/>
      <c r="AP834" s="915"/>
      <c r="AQ834" s="315"/>
      <c r="AR834" s="903"/>
      <c r="AS834" s="916"/>
      <c r="AT834" s="915"/>
      <c r="AU834" s="315"/>
      <c r="AV834" s="903"/>
      <c r="AW834" s="916"/>
      <c r="AX834" s="915"/>
      <c r="AY834" s="315"/>
      <c r="AZ834" s="903"/>
      <c r="BA834" s="916"/>
      <c r="BB834" s="884"/>
      <c r="BC834" s="315"/>
      <c r="BD834" s="903"/>
      <c r="BE834" s="916"/>
      <c r="BF834" s="838"/>
    </row>
    <row r="835" spans="1:58" s="88" customFormat="1" ht="54" hidden="1" customHeight="1" x14ac:dyDescent="0.25">
      <c r="A835" s="267" t="s">
        <v>1687</v>
      </c>
      <c r="B835" s="268">
        <v>600</v>
      </c>
      <c r="C835" s="240" t="s">
        <v>723</v>
      </c>
      <c r="D835" s="211" t="s">
        <v>723</v>
      </c>
      <c r="E835" s="268" t="s">
        <v>6882</v>
      </c>
      <c r="F835" s="861" t="s">
        <v>6883</v>
      </c>
      <c r="G835" s="269" t="s">
        <v>6884</v>
      </c>
      <c r="H835" s="861" t="s">
        <v>6885</v>
      </c>
      <c r="I835" s="269" t="s">
        <v>6886</v>
      </c>
      <c r="J835" s="296" t="s">
        <v>140</v>
      </c>
      <c r="K835" s="297" t="s">
        <v>140</v>
      </c>
      <c r="L835" s="862" t="s">
        <v>6887</v>
      </c>
      <c r="M835" s="847" t="s">
        <v>973</v>
      </c>
      <c r="N835" s="270" t="s">
        <v>974</v>
      </c>
      <c r="O835" s="240" t="s">
        <v>144</v>
      </c>
      <c r="P835" s="240" t="s">
        <v>144</v>
      </c>
      <c r="Q835" s="845" t="s">
        <v>144</v>
      </c>
      <c r="R835" s="208" t="s">
        <v>144</v>
      </c>
      <c r="S835" s="864" t="s">
        <v>746</v>
      </c>
      <c r="T835" s="212" t="s">
        <v>5660</v>
      </c>
      <c r="U835" s="213" t="s">
        <v>5661</v>
      </c>
      <c r="V835" s="847">
        <v>15</v>
      </c>
      <c r="W835" s="415" t="s">
        <v>144</v>
      </c>
      <c r="X835" s="212">
        <v>44</v>
      </c>
      <c r="Y835" s="212" t="s">
        <v>144</v>
      </c>
      <c r="Z835" s="214" t="s">
        <v>144</v>
      </c>
      <c r="AA835" s="240" t="s">
        <v>4543</v>
      </c>
      <c r="AB835" s="206" t="s">
        <v>140</v>
      </c>
      <c r="AC835" s="847" t="s">
        <v>265</v>
      </c>
      <c r="AD835" s="847" t="s">
        <v>6872</v>
      </c>
      <c r="AE835" s="847" t="s">
        <v>144</v>
      </c>
      <c r="AF835" s="848" t="s">
        <v>144</v>
      </c>
      <c r="AG835" s="838"/>
      <c r="AH835" s="884" t="s">
        <v>6888</v>
      </c>
      <c r="AI835" s="315" t="s">
        <v>6889</v>
      </c>
      <c r="AJ835" s="903">
        <v>6</v>
      </c>
      <c r="AK835" s="916" t="s">
        <v>6890</v>
      </c>
      <c r="AL835" s="915"/>
      <c r="AM835" s="315"/>
      <c r="AN835" s="903"/>
      <c r="AO835" s="916"/>
      <c r="AP835" s="915"/>
      <c r="AQ835" s="315"/>
      <c r="AR835" s="903"/>
      <c r="AS835" s="916"/>
      <c r="AT835" s="915"/>
      <c r="AU835" s="315"/>
      <c r="AV835" s="903"/>
      <c r="AW835" s="916"/>
      <c r="AX835" s="915"/>
      <c r="AY835" s="315"/>
      <c r="AZ835" s="903"/>
      <c r="BA835" s="916"/>
      <c r="BB835" s="884"/>
      <c r="BC835" s="315"/>
      <c r="BD835" s="903"/>
      <c r="BE835" s="916"/>
      <c r="BF835" s="838"/>
    </row>
    <row r="836" spans="1:58" s="88" customFormat="1" ht="54" hidden="1" customHeight="1" x14ac:dyDescent="0.25">
      <c r="A836" s="267" t="s">
        <v>1687</v>
      </c>
      <c r="B836" s="268">
        <v>601</v>
      </c>
      <c r="C836" s="240" t="s">
        <v>723</v>
      </c>
      <c r="D836" s="211" t="s">
        <v>723</v>
      </c>
      <c r="E836" s="268" t="s">
        <v>6891</v>
      </c>
      <c r="F836" s="861" t="s">
        <v>6892</v>
      </c>
      <c r="G836" s="269" t="s">
        <v>6893</v>
      </c>
      <c r="H836" s="861" t="s">
        <v>6894</v>
      </c>
      <c r="I836" s="269" t="s">
        <v>6895</v>
      </c>
      <c r="J836" s="296" t="s">
        <v>140</v>
      </c>
      <c r="K836" s="297" t="s">
        <v>140</v>
      </c>
      <c r="L836" s="862" t="s">
        <v>6896</v>
      </c>
      <c r="M836" s="847" t="s">
        <v>973</v>
      </c>
      <c r="N836" s="270" t="s">
        <v>974</v>
      </c>
      <c r="O836" s="240" t="s">
        <v>144</v>
      </c>
      <c r="P836" s="240" t="s">
        <v>144</v>
      </c>
      <c r="Q836" s="845" t="s">
        <v>144</v>
      </c>
      <c r="R836" s="208" t="s">
        <v>144</v>
      </c>
      <c r="S836" s="864" t="s">
        <v>746</v>
      </c>
      <c r="T836" s="212" t="s">
        <v>5660</v>
      </c>
      <c r="U836" s="213" t="s">
        <v>5661</v>
      </c>
      <c r="V836" s="847">
        <v>15</v>
      </c>
      <c r="W836" s="415" t="s">
        <v>144</v>
      </c>
      <c r="X836" s="212">
        <v>44</v>
      </c>
      <c r="Y836" s="212" t="s">
        <v>144</v>
      </c>
      <c r="Z836" s="214" t="s">
        <v>144</v>
      </c>
      <c r="AA836" s="240" t="s">
        <v>4543</v>
      </c>
      <c r="AB836" s="206" t="s">
        <v>140</v>
      </c>
      <c r="AC836" s="847" t="s">
        <v>265</v>
      </c>
      <c r="AD836" s="847" t="s">
        <v>6872</v>
      </c>
      <c r="AE836" s="847" t="s">
        <v>144</v>
      </c>
      <c r="AF836" s="848" t="s">
        <v>144</v>
      </c>
      <c r="AG836" s="838"/>
      <c r="AH836" s="884" t="s">
        <v>6888</v>
      </c>
      <c r="AI836" s="315" t="s">
        <v>6889</v>
      </c>
      <c r="AJ836" s="903">
        <v>6</v>
      </c>
      <c r="AK836" s="916" t="s">
        <v>6890</v>
      </c>
      <c r="AL836" s="915"/>
      <c r="AM836" s="315"/>
      <c r="AN836" s="903"/>
      <c r="AO836" s="916"/>
      <c r="AP836" s="915"/>
      <c r="AQ836" s="315"/>
      <c r="AR836" s="903"/>
      <c r="AS836" s="916"/>
      <c r="AT836" s="915"/>
      <c r="AU836" s="315"/>
      <c r="AV836" s="903"/>
      <c r="AW836" s="916"/>
      <c r="AX836" s="915"/>
      <c r="AY836" s="315"/>
      <c r="AZ836" s="903"/>
      <c r="BA836" s="916"/>
      <c r="BB836" s="884"/>
      <c r="BC836" s="315"/>
      <c r="BD836" s="903"/>
      <c r="BE836" s="916"/>
      <c r="BF836" s="838"/>
    </row>
    <row r="837" spans="1:58" s="88" customFormat="1" ht="54" hidden="1" customHeight="1" x14ac:dyDescent="0.25">
      <c r="A837" s="267" t="s">
        <v>1687</v>
      </c>
      <c r="B837" s="268">
        <v>602</v>
      </c>
      <c r="C837" s="240" t="s">
        <v>6404</v>
      </c>
      <c r="D837" s="211" t="s">
        <v>6405</v>
      </c>
      <c r="E837" s="268" t="s">
        <v>6897</v>
      </c>
      <c r="F837" s="861" t="s">
        <v>6898</v>
      </c>
      <c r="G837" s="269" t="s">
        <v>6899</v>
      </c>
      <c r="H837" s="861" t="s">
        <v>6900</v>
      </c>
      <c r="I837" s="269" t="s">
        <v>6901</v>
      </c>
      <c r="J837" s="296" t="s">
        <v>140</v>
      </c>
      <c r="K837" s="297" t="s">
        <v>140</v>
      </c>
      <c r="L837" s="862" t="s">
        <v>6902</v>
      </c>
      <c r="M837" s="847" t="s">
        <v>973</v>
      </c>
      <c r="N837" s="270" t="s">
        <v>974</v>
      </c>
      <c r="O837" s="240" t="s">
        <v>144</v>
      </c>
      <c r="P837" s="240" t="s">
        <v>144</v>
      </c>
      <c r="Q837" s="845" t="s">
        <v>144</v>
      </c>
      <c r="R837" s="208" t="s">
        <v>144</v>
      </c>
      <c r="S837" s="864" t="s">
        <v>746</v>
      </c>
      <c r="T837" s="212" t="s">
        <v>5660</v>
      </c>
      <c r="U837" s="213" t="s">
        <v>5661</v>
      </c>
      <c r="V837" s="847">
        <v>15</v>
      </c>
      <c r="W837" s="415" t="s">
        <v>144</v>
      </c>
      <c r="X837" s="212">
        <v>44</v>
      </c>
      <c r="Y837" s="212" t="s">
        <v>144</v>
      </c>
      <c r="Z837" s="214" t="s">
        <v>144</v>
      </c>
      <c r="AA837" s="240" t="s">
        <v>4543</v>
      </c>
      <c r="AB837" s="206" t="s">
        <v>140</v>
      </c>
      <c r="AC837" s="847" t="s">
        <v>265</v>
      </c>
      <c r="AD837" s="847" t="s">
        <v>6872</v>
      </c>
      <c r="AE837" s="847" t="s">
        <v>144</v>
      </c>
      <c r="AF837" s="848" t="s">
        <v>144</v>
      </c>
      <c r="AG837" s="838"/>
      <c r="AH837" s="884" t="s">
        <v>6888</v>
      </c>
      <c r="AI837" s="315" t="s">
        <v>6889</v>
      </c>
      <c r="AJ837" s="903">
        <v>6</v>
      </c>
      <c r="AK837" s="916" t="s">
        <v>6890</v>
      </c>
      <c r="AL837" s="915"/>
      <c r="AM837" s="315"/>
      <c r="AN837" s="903"/>
      <c r="AO837" s="916"/>
      <c r="AP837" s="915"/>
      <c r="AQ837" s="315"/>
      <c r="AR837" s="903"/>
      <c r="AS837" s="916"/>
      <c r="AT837" s="915"/>
      <c r="AU837" s="315"/>
      <c r="AV837" s="903"/>
      <c r="AW837" s="916"/>
      <c r="AX837" s="915"/>
      <c r="AY837" s="315"/>
      <c r="AZ837" s="903"/>
      <c r="BA837" s="916"/>
      <c r="BB837" s="884"/>
      <c r="BC837" s="315"/>
      <c r="BD837" s="903"/>
      <c r="BE837" s="916"/>
      <c r="BF837" s="838"/>
    </row>
    <row r="838" spans="1:58" s="88" customFormat="1" ht="54" hidden="1" customHeight="1" x14ac:dyDescent="0.25">
      <c r="A838" s="267" t="s">
        <v>1687</v>
      </c>
      <c r="B838" s="268">
        <v>603</v>
      </c>
      <c r="C838" s="240" t="s">
        <v>1022</v>
      </c>
      <c r="D838" s="211" t="s">
        <v>1023</v>
      </c>
      <c r="E838" s="268" t="s">
        <v>6903</v>
      </c>
      <c r="F838" s="861" t="s">
        <v>6904</v>
      </c>
      <c r="G838" s="269" t="s">
        <v>6905</v>
      </c>
      <c r="H838" s="861" t="s">
        <v>6906</v>
      </c>
      <c r="I838" s="269" t="s">
        <v>6907</v>
      </c>
      <c r="J838" s="296" t="s">
        <v>140</v>
      </c>
      <c r="K838" s="297" t="s">
        <v>140</v>
      </c>
      <c r="L838" s="862" t="s">
        <v>6908</v>
      </c>
      <c r="M838" s="847" t="s">
        <v>193</v>
      </c>
      <c r="N838" s="270" t="s">
        <v>194</v>
      </c>
      <c r="O838" s="240" t="s">
        <v>6909</v>
      </c>
      <c r="P838" s="240" t="s">
        <v>6910</v>
      </c>
      <c r="Q838" s="845" t="s">
        <v>144</v>
      </c>
      <c r="R838" s="208" t="s">
        <v>144</v>
      </c>
      <c r="S838" s="864" t="s">
        <v>147</v>
      </c>
      <c r="T838" s="212" t="s">
        <v>144</v>
      </c>
      <c r="U838" s="213" t="s">
        <v>144</v>
      </c>
      <c r="V838" s="847">
        <v>1</v>
      </c>
      <c r="W838" s="415" t="s">
        <v>144</v>
      </c>
      <c r="X838" s="212">
        <v>44</v>
      </c>
      <c r="Y838" s="212" t="s">
        <v>144</v>
      </c>
      <c r="Z838" s="252" t="s">
        <v>144</v>
      </c>
      <c r="AA838" s="240" t="s">
        <v>4543</v>
      </c>
      <c r="AB838" s="206" t="s">
        <v>140</v>
      </c>
      <c r="AC838" s="847" t="s">
        <v>265</v>
      </c>
      <c r="AD838" s="847" t="s">
        <v>6872</v>
      </c>
      <c r="AE838" s="847" t="s">
        <v>144</v>
      </c>
      <c r="AF838" s="848" t="s">
        <v>144</v>
      </c>
      <c r="AG838" s="838"/>
      <c r="AH838" s="884"/>
      <c r="AI838" s="315"/>
      <c r="AJ838" s="903"/>
      <c r="AK838" s="848"/>
      <c r="AL838" s="915" t="s">
        <v>294</v>
      </c>
      <c r="AM838" s="315" t="s">
        <v>295</v>
      </c>
      <c r="AN838" s="903">
        <v>7</v>
      </c>
      <c r="AO838" s="187" t="s">
        <v>966</v>
      </c>
      <c r="AP838" s="915"/>
      <c r="AQ838" s="315"/>
      <c r="AR838" s="903"/>
      <c r="AS838" s="916"/>
      <c r="AT838" s="915"/>
      <c r="AU838" s="315"/>
      <c r="AV838" s="903"/>
      <c r="AW838" s="916"/>
      <c r="AX838" s="915"/>
      <c r="AY838" s="315"/>
      <c r="AZ838" s="903"/>
      <c r="BA838" s="916"/>
      <c r="BB838" s="884"/>
      <c r="BC838" s="315"/>
      <c r="BD838" s="903"/>
      <c r="BE838" s="916"/>
      <c r="BF838" s="838"/>
    </row>
    <row r="839" spans="1:58" s="88" customFormat="1" ht="54" hidden="1" customHeight="1" x14ac:dyDescent="0.25">
      <c r="A839" s="267" t="s">
        <v>1687</v>
      </c>
      <c r="B839" s="268">
        <v>604</v>
      </c>
      <c r="C839" s="240" t="s">
        <v>1022</v>
      </c>
      <c r="D839" s="211" t="s">
        <v>1023</v>
      </c>
      <c r="E839" s="268" t="s">
        <v>6911</v>
      </c>
      <c r="F839" s="861" t="s">
        <v>6912</v>
      </c>
      <c r="G839" s="269" t="s">
        <v>6913</v>
      </c>
      <c r="H839" s="861" t="s">
        <v>6914</v>
      </c>
      <c r="I839" s="269" t="s">
        <v>6915</v>
      </c>
      <c r="J839" s="296" t="s">
        <v>140</v>
      </c>
      <c r="K839" s="297" t="s">
        <v>140</v>
      </c>
      <c r="L839" s="862" t="s">
        <v>6916</v>
      </c>
      <c r="M839" s="847" t="s">
        <v>193</v>
      </c>
      <c r="N839" s="270" t="s">
        <v>194</v>
      </c>
      <c r="O839" s="240" t="s">
        <v>6917</v>
      </c>
      <c r="P839" s="240" t="s">
        <v>6918</v>
      </c>
      <c r="Q839" s="845" t="s">
        <v>144</v>
      </c>
      <c r="R839" s="208" t="s">
        <v>144</v>
      </c>
      <c r="S839" s="864" t="s">
        <v>147</v>
      </c>
      <c r="T839" s="212" t="s">
        <v>144</v>
      </c>
      <c r="U839" s="213" t="s">
        <v>144</v>
      </c>
      <c r="V839" s="847">
        <v>1</v>
      </c>
      <c r="W839" s="415" t="s">
        <v>144</v>
      </c>
      <c r="X839" s="212">
        <v>44</v>
      </c>
      <c r="Y839" s="212" t="s">
        <v>144</v>
      </c>
      <c r="Z839" s="252" t="s">
        <v>144</v>
      </c>
      <c r="AA839" s="240" t="s">
        <v>4543</v>
      </c>
      <c r="AB839" s="206" t="s">
        <v>140</v>
      </c>
      <c r="AC839" s="847" t="s">
        <v>265</v>
      </c>
      <c r="AD839" s="847" t="s">
        <v>6872</v>
      </c>
      <c r="AE839" s="847" t="s">
        <v>144</v>
      </c>
      <c r="AF839" s="848" t="s">
        <v>144</v>
      </c>
      <c r="AG839" s="838"/>
      <c r="AH839" s="884"/>
      <c r="AI839" s="315"/>
      <c r="AJ839" s="903"/>
      <c r="AK839" s="848"/>
      <c r="AL839" s="915" t="s">
        <v>294</v>
      </c>
      <c r="AM839" s="315" t="s">
        <v>295</v>
      </c>
      <c r="AN839" s="903">
        <v>7</v>
      </c>
      <c r="AO839" s="187" t="s">
        <v>966</v>
      </c>
      <c r="AP839" s="915"/>
      <c r="AQ839" s="315"/>
      <c r="AR839" s="903"/>
      <c r="AS839" s="916"/>
      <c r="AT839" s="915"/>
      <c r="AU839" s="315"/>
      <c r="AV839" s="903"/>
      <c r="AW839" s="916"/>
      <c r="AX839" s="915"/>
      <c r="AY839" s="315"/>
      <c r="AZ839" s="903"/>
      <c r="BA839" s="916"/>
      <c r="BB839" s="884"/>
      <c r="BC839" s="315"/>
      <c r="BD839" s="903"/>
      <c r="BE839" s="916"/>
      <c r="BF839" s="838"/>
    </row>
    <row r="840" spans="1:58" s="88" customFormat="1" ht="54" hidden="1" customHeight="1" x14ac:dyDescent="0.25">
      <c r="A840" s="267" t="s">
        <v>1687</v>
      </c>
      <c r="B840" s="268">
        <v>605</v>
      </c>
      <c r="C840" s="240" t="s">
        <v>1955</v>
      </c>
      <c r="D840" s="211" t="s">
        <v>1956</v>
      </c>
      <c r="E840" s="268" t="s">
        <v>6919</v>
      </c>
      <c r="F840" s="861" t="s">
        <v>6920</v>
      </c>
      <c r="G840" s="269" t="s">
        <v>6921</v>
      </c>
      <c r="H840" s="861" t="s">
        <v>6922</v>
      </c>
      <c r="I840" s="269" t="s">
        <v>6923</v>
      </c>
      <c r="J840" s="296" t="s">
        <v>140</v>
      </c>
      <c r="K840" s="297" t="s">
        <v>140</v>
      </c>
      <c r="L840" s="862" t="s">
        <v>6924</v>
      </c>
      <c r="M840" s="319" t="s">
        <v>973</v>
      </c>
      <c r="N840" s="270" t="s">
        <v>974</v>
      </c>
      <c r="O840" s="240" t="s">
        <v>6925</v>
      </c>
      <c r="P840" s="240" t="s">
        <v>6926</v>
      </c>
      <c r="Q840" s="845" t="s">
        <v>144</v>
      </c>
      <c r="R840" s="208" t="s">
        <v>144</v>
      </c>
      <c r="S840" s="864" t="s">
        <v>147</v>
      </c>
      <c r="T840" s="212" t="s">
        <v>144</v>
      </c>
      <c r="U840" s="213" t="s">
        <v>144</v>
      </c>
      <c r="V840" s="847">
        <v>1</v>
      </c>
      <c r="W840" s="415" t="s">
        <v>144</v>
      </c>
      <c r="X840" s="212">
        <v>44</v>
      </c>
      <c r="Y840" s="212" t="s">
        <v>144</v>
      </c>
      <c r="Z840" s="252" t="s">
        <v>144</v>
      </c>
      <c r="AA840" s="240" t="s">
        <v>398</v>
      </c>
      <c r="AB840" s="206" t="s">
        <v>140</v>
      </c>
      <c r="AC840" s="847" t="s">
        <v>265</v>
      </c>
      <c r="AD840" s="847" t="s">
        <v>6927</v>
      </c>
      <c r="AE840" s="847" t="s">
        <v>144</v>
      </c>
      <c r="AF840" s="848" t="s">
        <v>144</v>
      </c>
      <c r="AG840" s="838"/>
      <c r="AH840" s="361" t="s">
        <v>3227</v>
      </c>
      <c r="AI840" s="315" t="s">
        <v>3228</v>
      </c>
      <c r="AJ840" s="903">
        <v>6</v>
      </c>
      <c r="AK840" s="848" t="s">
        <v>3229</v>
      </c>
      <c r="AL840" s="915" t="s">
        <v>294</v>
      </c>
      <c r="AM840" s="315" t="s">
        <v>295</v>
      </c>
      <c r="AN840" s="903">
        <v>7</v>
      </c>
      <c r="AO840" s="187" t="s">
        <v>966</v>
      </c>
      <c r="AP840" s="915"/>
      <c r="AQ840" s="315"/>
      <c r="AR840" s="903"/>
      <c r="AS840" s="916"/>
      <c r="AT840" s="915"/>
      <c r="AU840" s="315"/>
      <c r="AV840" s="903"/>
      <c r="AW840" s="916"/>
      <c r="AX840" s="915"/>
      <c r="AY840" s="315"/>
      <c r="AZ840" s="903"/>
      <c r="BA840" s="916"/>
      <c r="BB840" s="884"/>
      <c r="BC840" s="315"/>
      <c r="BD840" s="903"/>
      <c r="BE840" s="916"/>
      <c r="BF840" s="838"/>
    </row>
    <row r="841" spans="1:58" s="88" customFormat="1" ht="54" hidden="1" customHeight="1" x14ac:dyDescent="0.25">
      <c r="A841" s="267" t="s">
        <v>1687</v>
      </c>
      <c r="B841" s="268">
        <v>606</v>
      </c>
      <c r="C841" s="240" t="s">
        <v>1955</v>
      </c>
      <c r="D841" s="211" t="s">
        <v>1956</v>
      </c>
      <c r="E841" s="268" t="s">
        <v>6928</v>
      </c>
      <c r="F841" s="861" t="s">
        <v>6929</v>
      </c>
      <c r="G841" s="269" t="s">
        <v>6930</v>
      </c>
      <c r="H841" s="861" t="s">
        <v>6931</v>
      </c>
      <c r="I841" s="269" t="s">
        <v>6932</v>
      </c>
      <c r="J841" s="296" t="s">
        <v>140</v>
      </c>
      <c r="K841" s="297" t="s">
        <v>140</v>
      </c>
      <c r="L841" s="862" t="s">
        <v>6933</v>
      </c>
      <c r="M841" s="847" t="s">
        <v>193</v>
      </c>
      <c r="N841" s="270" t="s">
        <v>194</v>
      </c>
      <c r="O841" s="240" t="s">
        <v>144</v>
      </c>
      <c r="P841" s="240" t="s">
        <v>144</v>
      </c>
      <c r="Q841" s="845" t="s">
        <v>6934</v>
      </c>
      <c r="R841" s="208" t="s">
        <v>6935</v>
      </c>
      <c r="S841" s="864" t="s">
        <v>746</v>
      </c>
      <c r="T841" s="212" t="s">
        <v>1104</v>
      </c>
      <c r="U841" s="213" t="s">
        <v>1105</v>
      </c>
      <c r="V841" s="847">
        <v>19</v>
      </c>
      <c r="W841" s="415" t="s">
        <v>144</v>
      </c>
      <c r="X841" s="212">
        <v>44</v>
      </c>
      <c r="Y841" s="212" t="s">
        <v>144</v>
      </c>
      <c r="Z841" s="214" t="s">
        <v>144</v>
      </c>
      <c r="AA841" s="240" t="s">
        <v>398</v>
      </c>
      <c r="AB841" s="206" t="s">
        <v>140</v>
      </c>
      <c r="AC841" s="847" t="s">
        <v>265</v>
      </c>
      <c r="AD841" s="847" t="s">
        <v>144</v>
      </c>
      <c r="AE841" s="847" t="s">
        <v>144</v>
      </c>
      <c r="AF841" s="848" t="s">
        <v>144</v>
      </c>
      <c r="AG841" s="838"/>
      <c r="AH841" s="884"/>
      <c r="AI841" s="315"/>
      <c r="AJ841" s="903"/>
      <c r="AK841" s="916"/>
      <c r="AL841" s="915"/>
      <c r="AM841" s="315"/>
      <c r="AN841" s="903"/>
      <c r="AO841" s="916"/>
      <c r="AP841" s="915"/>
      <c r="AQ841" s="315"/>
      <c r="AR841" s="903"/>
      <c r="AS841" s="916"/>
      <c r="AT841" s="915"/>
      <c r="AU841" s="315"/>
      <c r="AV841" s="903"/>
      <c r="AW841" s="916"/>
      <c r="AX841" s="915"/>
      <c r="AY841" s="315"/>
      <c r="AZ841" s="903"/>
      <c r="BA841" s="916"/>
      <c r="BB841" s="884"/>
      <c r="BC841" s="315"/>
      <c r="BD841" s="903"/>
      <c r="BE841" s="916"/>
      <c r="BF841" s="838"/>
    </row>
    <row r="842" spans="1:58" s="88" customFormat="1" ht="54" hidden="1" customHeight="1" x14ac:dyDescent="0.25">
      <c r="A842" s="267" t="s">
        <v>1687</v>
      </c>
      <c r="B842" s="268">
        <v>607</v>
      </c>
      <c r="C842" s="240" t="s">
        <v>1955</v>
      </c>
      <c r="D842" s="211" t="s">
        <v>1956</v>
      </c>
      <c r="E842" s="268" t="s">
        <v>6936</v>
      </c>
      <c r="F842" s="861" t="s">
        <v>6937</v>
      </c>
      <c r="G842" s="269" t="s">
        <v>6938</v>
      </c>
      <c r="H842" s="861" t="s">
        <v>6937</v>
      </c>
      <c r="I842" s="269" t="s">
        <v>6938</v>
      </c>
      <c r="J842" s="296" t="s">
        <v>140</v>
      </c>
      <c r="K842" s="297" t="s">
        <v>140</v>
      </c>
      <c r="L842" s="862" t="s">
        <v>6939</v>
      </c>
      <c r="M842" s="847" t="s">
        <v>973</v>
      </c>
      <c r="N842" s="270" t="s">
        <v>974</v>
      </c>
      <c r="O842" s="240" t="s">
        <v>814</v>
      </c>
      <c r="P842" s="240" t="s">
        <v>815</v>
      </c>
      <c r="Q842" s="845" t="s">
        <v>144</v>
      </c>
      <c r="R842" s="208" t="s">
        <v>144</v>
      </c>
      <c r="S842" s="864" t="s">
        <v>147</v>
      </c>
      <c r="T842" s="212" t="s">
        <v>144</v>
      </c>
      <c r="U842" s="213" t="s">
        <v>144</v>
      </c>
      <c r="V842" s="847">
        <v>3</v>
      </c>
      <c r="W842" s="415" t="s">
        <v>144</v>
      </c>
      <c r="X842" s="212">
        <v>44</v>
      </c>
      <c r="Y842" s="212" t="s">
        <v>144</v>
      </c>
      <c r="Z842" s="252" t="s">
        <v>144</v>
      </c>
      <c r="AA842" s="240" t="s">
        <v>398</v>
      </c>
      <c r="AB842" s="206" t="s">
        <v>140</v>
      </c>
      <c r="AC842" s="847" t="s">
        <v>265</v>
      </c>
      <c r="AD842" s="847" t="s">
        <v>144</v>
      </c>
      <c r="AE842" s="847" t="s">
        <v>144</v>
      </c>
      <c r="AF842" s="848" t="s">
        <v>144</v>
      </c>
      <c r="AG842" s="838"/>
      <c r="AH842" s="884" t="s">
        <v>6940</v>
      </c>
      <c r="AI842" s="315" t="s">
        <v>6941</v>
      </c>
      <c r="AJ842" s="903">
        <v>7</v>
      </c>
      <c r="AK842" s="848" t="s">
        <v>1280</v>
      </c>
      <c r="AL842" s="915" t="s">
        <v>294</v>
      </c>
      <c r="AM842" s="315" t="s">
        <v>295</v>
      </c>
      <c r="AN842" s="903">
        <v>7</v>
      </c>
      <c r="AO842" s="187" t="s">
        <v>966</v>
      </c>
      <c r="AP842" s="915"/>
      <c r="AQ842" s="315"/>
      <c r="AR842" s="903"/>
      <c r="AS842" s="916"/>
      <c r="AT842" s="915"/>
      <c r="AU842" s="315"/>
      <c r="AV842" s="903"/>
      <c r="AW842" s="916"/>
      <c r="AX842" s="915"/>
      <c r="AY842" s="315"/>
      <c r="AZ842" s="903"/>
      <c r="BA842" s="916"/>
      <c r="BB842" s="884"/>
      <c r="BC842" s="315"/>
      <c r="BD842" s="903"/>
      <c r="BE842" s="916"/>
      <c r="BF842" s="838"/>
    </row>
    <row r="843" spans="1:58" s="62" customFormat="1" ht="54" hidden="1" customHeight="1" x14ac:dyDescent="0.25">
      <c r="A843" s="362" t="s">
        <v>1687</v>
      </c>
      <c r="B843" s="268">
        <v>608</v>
      </c>
      <c r="C843" s="240" t="s">
        <v>1022</v>
      </c>
      <c r="D843" s="211" t="s">
        <v>1023</v>
      </c>
      <c r="E843" s="319" t="s">
        <v>6942</v>
      </c>
      <c r="F843" s="249" t="s">
        <v>6943</v>
      </c>
      <c r="G843" s="135" t="s">
        <v>6944</v>
      </c>
      <c r="H843" s="249" t="s">
        <v>6945</v>
      </c>
      <c r="I843" s="135" t="s">
        <v>6946</v>
      </c>
      <c r="J843" s="363" t="s">
        <v>140</v>
      </c>
      <c r="K843" s="364" t="s">
        <v>140</v>
      </c>
      <c r="L843" s="328" t="s">
        <v>6947</v>
      </c>
      <c r="M843" s="319" t="s">
        <v>973</v>
      </c>
      <c r="N843" s="253" t="s">
        <v>974</v>
      </c>
      <c r="O843" s="319" t="s">
        <v>144</v>
      </c>
      <c r="P843" s="240" t="s">
        <v>144</v>
      </c>
      <c r="Q843" s="249" t="s">
        <v>3213</v>
      </c>
      <c r="R843" s="208" t="s">
        <v>3214</v>
      </c>
      <c r="S843" s="365" t="s">
        <v>147</v>
      </c>
      <c r="T843" s="366" t="s">
        <v>144</v>
      </c>
      <c r="U843" s="367" t="s">
        <v>144</v>
      </c>
      <c r="V843" s="368">
        <v>5</v>
      </c>
      <c r="W843" s="206" t="s">
        <v>144</v>
      </c>
      <c r="X843" s="212">
        <v>44</v>
      </c>
      <c r="Y843" s="369" t="s">
        <v>144</v>
      </c>
      <c r="Z843" s="252" t="s">
        <v>144</v>
      </c>
      <c r="AA843" s="319" t="s">
        <v>398</v>
      </c>
      <c r="AB843" s="319" t="s">
        <v>140</v>
      </c>
      <c r="AC843" s="319" t="s">
        <v>265</v>
      </c>
      <c r="AD843" s="319" t="s">
        <v>6284</v>
      </c>
      <c r="AE843" s="847" t="s">
        <v>144</v>
      </c>
      <c r="AF843" s="848" t="s">
        <v>144</v>
      </c>
      <c r="AG843" s="838"/>
      <c r="AH843" s="361" t="s">
        <v>6948</v>
      </c>
      <c r="AI843" s="315" t="s">
        <v>6949</v>
      </c>
      <c r="AJ843" s="370">
        <v>6</v>
      </c>
      <c r="AK843" s="286" t="s">
        <v>6950</v>
      </c>
      <c r="AL843" s="361"/>
      <c r="AM843" s="371"/>
      <c r="AN843" s="370"/>
      <c r="AO843" s="372"/>
      <c r="AP843" s="361"/>
      <c r="AQ843" s="371"/>
      <c r="AR843" s="370"/>
      <c r="AS843" s="372"/>
      <c r="AT843" s="361"/>
      <c r="AU843" s="371"/>
      <c r="AV843" s="370"/>
      <c r="AW843" s="373"/>
      <c r="AX843" s="921"/>
      <c r="AY843" s="371"/>
      <c r="AZ843" s="370"/>
      <c r="BA843" s="372"/>
      <c r="BB843" s="884"/>
      <c r="BC843" s="315"/>
      <c r="BD843" s="903"/>
      <c r="BE843" s="916"/>
      <c r="BF843" s="838"/>
    </row>
    <row r="844" spans="1:58" s="88" customFormat="1" ht="54" hidden="1" customHeight="1" x14ac:dyDescent="0.25">
      <c r="A844" s="275" t="s">
        <v>1687</v>
      </c>
      <c r="B844" s="276">
        <v>609</v>
      </c>
      <c r="C844" s="253" t="s">
        <v>1022</v>
      </c>
      <c r="D844" s="217" t="s">
        <v>1023</v>
      </c>
      <c r="E844" s="276" t="s">
        <v>6951</v>
      </c>
      <c r="F844" s="277" t="s">
        <v>6952</v>
      </c>
      <c r="G844" s="277" t="s">
        <v>6953</v>
      </c>
      <c r="H844" s="277" t="s">
        <v>6952</v>
      </c>
      <c r="I844" s="277" t="s">
        <v>6953</v>
      </c>
      <c r="J844" s="302" t="s">
        <v>144</v>
      </c>
      <c r="K844" s="302" t="s">
        <v>144</v>
      </c>
      <c r="L844" s="718" t="s">
        <v>6954</v>
      </c>
      <c r="M844" s="253" t="s">
        <v>144</v>
      </c>
      <c r="N844" s="253" t="s">
        <v>144</v>
      </c>
      <c r="O844" s="253" t="s">
        <v>144</v>
      </c>
      <c r="P844" s="253" t="s">
        <v>144</v>
      </c>
      <c r="Q844" s="218" t="s">
        <v>144</v>
      </c>
      <c r="R844" s="218" t="s">
        <v>144</v>
      </c>
      <c r="S844" s="276" t="s">
        <v>147</v>
      </c>
      <c r="T844" s="221" t="s">
        <v>144</v>
      </c>
      <c r="U844" s="221" t="s">
        <v>144</v>
      </c>
      <c r="V844" s="253">
        <v>20</v>
      </c>
      <c r="W844" s="253" t="s">
        <v>144</v>
      </c>
      <c r="X844" s="221">
        <v>44</v>
      </c>
      <c r="Y844" s="374" t="s">
        <v>6955</v>
      </c>
      <c r="Z844" s="222" t="s">
        <v>144</v>
      </c>
      <c r="AA844" s="253" t="s">
        <v>5836</v>
      </c>
      <c r="AB844" s="217" t="s">
        <v>144</v>
      </c>
      <c r="AC844" s="253" t="s">
        <v>265</v>
      </c>
      <c r="AD844" s="253" t="s">
        <v>2286</v>
      </c>
      <c r="AE844" s="253" t="s">
        <v>144</v>
      </c>
      <c r="AF844" s="254" t="s">
        <v>144</v>
      </c>
      <c r="AG844" s="838"/>
      <c r="AH844" s="884"/>
      <c r="AI844" s="315"/>
      <c r="AJ844" s="903"/>
      <c r="AK844" s="916"/>
      <c r="AL844" s="915"/>
      <c r="AM844" s="315"/>
      <c r="AN844" s="903"/>
      <c r="AO844" s="916"/>
      <c r="AP844" s="915"/>
      <c r="AQ844" s="315"/>
      <c r="AR844" s="903"/>
      <c r="AS844" s="916"/>
      <c r="AT844" s="915"/>
      <c r="AU844" s="315"/>
      <c r="AV844" s="903"/>
      <c r="AW844" s="916"/>
      <c r="AX844" s="915"/>
      <c r="AY844" s="315"/>
      <c r="AZ844" s="903"/>
      <c r="BA844" s="916"/>
      <c r="BB844" s="884"/>
      <c r="BC844" s="315"/>
      <c r="BD844" s="903"/>
      <c r="BE844" s="916"/>
      <c r="BF844" s="838"/>
    </row>
    <row r="845" spans="1:58" s="88" customFormat="1" ht="54" hidden="1" customHeight="1" x14ac:dyDescent="0.25">
      <c r="A845" s="275" t="s">
        <v>1687</v>
      </c>
      <c r="B845" s="276">
        <v>610</v>
      </c>
      <c r="C845" s="253" t="s">
        <v>1022</v>
      </c>
      <c r="D845" s="217" t="s">
        <v>1023</v>
      </c>
      <c r="E845" s="276" t="s">
        <v>6956</v>
      </c>
      <c r="F845" s="277" t="s">
        <v>6957</v>
      </c>
      <c r="G845" s="277" t="s">
        <v>6958</v>
      </c>
      <c r="H845" s="277" t="s">
        <v>6957</v>
      </c>
      <c r="I845" s="277" t="s">
        <v>6958</v>
      </c>
      <c r="J845" s="302" t="s">
        <v>144</v>
      </c>
      <c r="K845" s="302" t="s">
        <v>144</v>
      </c>
      <c r="L845" s="718" t="s">
        <v>6959</v>
      </c>
      <c r="M845" s="253" t="s">
        <v>144</v>
      </c>
      <c r="N845" s="253" t="s">
        <v>144</v>
      </c>
      <c r="O845" s="253" t="s">
        <v>144</v>
      </c>
      <c r="P845" s="253" t="s">
        <v>144</v>
      </c>
      <c r="Q845" s="218" t="s">
        <v>144</v>
      </c>
      <c r="R845" s="218" t="s">
        <v>144</v>
      </c>
      <c r="S845" s="276" t="s">
        <v>746</v>
      </c>
      <c r="T845" s="221" t="s">
        <v>1104</v>
      </c>
      <c r="U845" s="221" t="s">
        <v>1105</v>
      </c>
      <c r="V845" s="253">
        <v>19</v>
      </c>
      <c r="W845" s="253" t="s">
        <v>144</v>
      </c>
      <c r="X845" s="221">
        <v>44</v>
      </c>
      <c r="Y845" s="374" t="s">
        <v>6955</v>
      </c>
      <c r="Z845" s="222" t="s">
        <v>144</v>
      </c>
      <c r="AA845" s="253" t="s">
        <v>5836</v>
      </c>
      <c r="AB845" s="217" t="s">
        <v>144</v>
      </c>
      <c r="AC845" s="253" t="s">
        <v>265</v>
      </c>
      <c r="AD845" s="253" t="s">
        <v>2286</v>
      </c>
      <c r="AE845" s="253" t="s">
        <v>144</v>
      </c>
      <c r="AF845" s="254" t="s">
        <v>144</v>
      </c>
      <c r="AG845" s="838"/>
      <c r="AH845" s="884"/>
      <c r="AI845" s="315"/>
      <c r="AJ845" s="903"/>
      <c r="AK845" s="916"/>
      <c r="AL845" s="915"/>
      <c r="AM845" s="315"/>
      <c r="AN845" s="903"/>
      <c r="AO845" s="916"/>
      <c r="AP845" s="915"/>
      <c r="AQ845" s="315"/>
      <c r="AR845" s="903"/>
      <c r="AS845" s="916"/>
      <c r="AT845" s="915"/>
      <c r="AU845" s="315"/>
      <c r="AV845" s="903"/>
      <c r="AW845" s="916"/>
      <c r="AX845" s="915"/>
      <c r="AY845" s="315"/>
      <c r="AZ845" s="903"/>
      <c r="BA845" s="916"/>
      <c r="BB845" s="884"/>
      <c r="BC845" s="315"/>
      <c r="BD845" s="903"/>
      <c r="BE845" s="916"/>
      <c r="BF845" s="838"/>
    </row>
    <row r="846" spans="1:58" s="88" customFormat="1" ht="54" hidden="1" customHeight="1" x14ac:dyDescent="0.25">
      <c r="A846" s="275" t="s">
        <v>1687</v>
      </c>
      <c r="B846" s="276">
        <v>611</v>
      </c>
      <c r="C846" s="253" t="s">
        <v>1022</v>
      </c>
      <c r="D846" s="217" t="s">
        <v>1023</v>
      </c>
      <c r="E846" s="276" t="s">
        <v>6960</v>
      </c>
      <c r="F846" s="277" t="s">
        <v>6961</v>
      </c>
      <c r="G846" s="277" t="s">
        <v>6962</v>
      </c>
      <c r="H846" s="277" t="s">
        <v>6961</v>
      </c>
      <c r="I846" s="277" t="s">
        <v>6962</v>
      </c>
      <c r="J846" s="302" t="s">
        <v>144</v>
      </c>
      <c r="K846" s="302" t="s">
        <v>144</v>
      </c>
      <c r="L846" s="718" t="s">
        <v>6963</v>
      </c>
      <c r="M846" s="253" t="s">
        <v>144</v>
      </c>
      <c r="N846" s="253" t="s">
        <v>144</v>
      </c>
      <c r="O846" s="253" t="s">
        <v>814</v>
      </c>
      <c r="P846" s="253" t="s">
        <v>815</v>
      </c>
      <c r="Q846" s="218" t="s">
        <v>144</v>
      </c>
      <c r="R846" s="218" t="s">
        <v>144</v>
      </c>
      <c r="S846" s="276" t="s">
        <v>147</v>
      </c>
      <c r="T846" s="221" t="s">
        <v>144</v>
      </c>
      <c r="U846" s="221" t="s">
        <v>144</v>
      </c>
      <c r="V846" s="253">
        <v>3</v>
      </c>
      <c r="W846" s="253" t="s">
        <v>144</v>
      </c>
      <c r="X846" s="221">
        <v>44</v>
      </c>
      <c r="Y846" s="374" t="s">
        <v>6955</v>
      </c>
      <c r="Z846" s="222" t="s">
        <v>144</v>
      </c>
      <c r="AA846" s="253" t="s">
        <v>5836</v>
      </c>
      <c r="AB846" s="217" t="s">
        <v>144</v>
      </c>
      <c r="AC846" s="253" t="s">
        <v>265</v>
      </c>
      <c r="AD846" s="253" t="s">
        <v>2286</v>
      </c>
      <c r="AE846" s="253" t="s">
        <v>144</v>
      </c>
      <c r="AF846" s="254" t="s">
        <v>144</v>
      </c>
      <c r="AG846" s="838"/>
      <c r="AH846" s="884"/>
      <c r="AI846" s="315"/>
      <c r="AJ846" s="903"/>
      <c r="AK846" s="916"/>
      <c r="AL846" s="915"/>
      <c r="AM846" s="315"/>
      <c r="AN846" s="903"/>
      <c r="AO846" s="916"/>
      <c r="AP846" s="915"/>
      <c r="AQ846" s="315"/>
      <c r="AR846" s="903"/>
      <c r="AS846" s="916"/>
      <c r="AT846" s="915"/>
      <c r="AU846" s="315"/>
      <c r="AV846" s="903"/>
      <c r="AW846" s="916"/>
      <c r="AX846" s="915"/>
      <c r="AY846" s="315"/>
      <c r="AZ846" s="903"/>
      <c r="BA846" s="916"/>
      <c r="BB846" s="884"/>
      <c r="BC846" s="315"/>
      <c r="BD846" s="903"/>
      <c r="BE846" s="916"/>
      <c r="BF846" s="838"/>
    </row>
    <row r="847" spans="1:58" ht="60" hidden="1" x14ac:dyDescent="0.25">
      <c r="A847" s="619" t="s">
        <v>1687</v>
      </c>
      <c r="B847" s="619">
        <v>612</v>
      </c>
      <c r="C847" s="620" t="s">
        <v>1022</v>
      </c>
      <c r="D847" s="621" t="s">
        <v>1023</v>
      </c>
      <c r="E847" s="619" t="s">
        <v>6964</v>
      </c>
      <c r="F847" s="622" t="s">
        <v>6965</v>
      </c>
      <c r="G847" s="623" t="s">
        <v>6966</v>
      </c>
      <c r="H847" s="622" t="s">
        <v>6967</v>
      </c>
      <c r="I847" s="623" t="s">
        <v>6968</v>
      </c>
      <c r="J847" s="619" t="s">
        <v>140</v>
      </c>
      <c r="K847" s="624" t="s">
        <v>140</v>
      </c>
      <c r="L847" s="803" t="s">
        <v>6969</v>
      </c>
      <c r="M847" s="620" t="s">
        <v>973</v>
      </c>
      <c r="N847" s="621" t="s">
        <v>974</v>
      </c>
      <c r="O847" s="619" t="s">
        <v>144</v>
      </c>
      <c r="P847" s="619" t="s">
        <v>144</v>
      </c>
      <c r="Q847" s="622" t="s">
        <v>6970</v>
      </c>
      <c r="R847" s="623" t="s">
        <v>6971</v>
      </c>
      <c r="S847" s="619" t="s">
        <v>233</v>
      </c>
      <c r="T847" s="619" t="s">
        <v>234</v>
      </c>
      <c r="U847" s="624" t="s">
        <v>235</v>
      </c>
      <c r="V847" s="619">
        <v>8</v>
      </c>
      <c r="W847" s="619" t="s">
        <v>144</v>
      </c>
      <c r="X847" s="625" t="s">
        <v>2285</v>
      </c>
      <c r="Y847" s="619" t="s">
        <v>144</v>
      </c>
      <c r="Z847" s="644" t="s">
        <v>29</v>
      </c>
      <c r="AA847" s="620" t="s">
        <v>398</v>
      </c>
      <c r="AB847" s="620" t="s">
        <v>140</v>
      </c>
      <c r="AC847" s="619" t="s">
        <v>265</v>
      </c>
      <c r="AD847" s="620" t="s">
        <v>6972</v>
      </c>
      <c r="AE847" s="619" t="s">
        <v>144</v>
      </c>
      <c r="AF847" s="626" t="s">
        <v>144</v>
      </c>
      <c r="AG847" s="49"/>
      <c r="AH847" s="627" t="s">
        <v>6973</v>
      </c>
      <c r="AI847" s="623" t="s">
        <v>6974</v>
      </c>
      <c r="AJ847" s="619">
        <v>6</v>
      </c>
      <c r="AK847" s="732" t="s">
        <v>6975</v>
      </c>
      <c r="AL847" s="629"/>
      <c r="AM847" s="623"/>
      <c r="AN847" s="619"/>
      <c r="AO847" s="626"/>
      <c r="AP847" s="630" t="s">
        <v>1160</v>
      </c>
      <c r="AQ847" s="631" t="s">
        <v>1161</v>
      </c>
      <c r="AR847" s="632">
        <v>7</v>
      </c>
      <c r="AS847" s="633" t="s">
        <v>1162</v>
      </c>
      <c r="AT847" s="630"/>
      <c r="AU847" s="631"/>
      <c r="AV847" s="632"/>
      <c r="AW847" s="633"/>
      <c r="AX847" s="629"/>
      <c r="AY847" s="623"/>
      <c r="AZ847" s="619"/>
      <c r="BA847" s="626"/>
      <c r="BB847" s="629"/>
      <c r="BC847" s="623"/>
      <c r="BD847" s="619"/>
      <c r="BE847" s="626"/>
    </row>
    <row r="848" spans="1:58" s="62" customFormat="1" ht="54" hidden="1" customHeight="1" x14ac:dyDescent="0.25">
      <c r="A848" s="634" t="s">
        <v>1687</v>
      </c>
      <c r="B848" s="619">
        <v>613</v>
      </c>
      <c r="C848" s="620" t="s">
        <v>1022</v>
      </c>
      <c r="D848" s="638" t="s">
        <v>1023</v>
      </c>
      <c r="E848" s="632" t="s">
        <v>6976</v>
      </c>
      <c r="F848" s="636" t="s">
        <v>6977</v>
      </c>
      <c r="G848" s="631" t="s">
        <v>6978</v>
      </c>
      <c r="H848" s="637" t="s">
        <v>6979</v>
      </c>
      <c r="I848" s="635" t="s">
        <v>6980</v>
      </c>
      <c r="J848" s="632" t="s">
        <v>140</v>
      </c>
      <c r="K848" s="638" t="s">
        <v>140</v>
      </c>
      <c r="L848" s="804" t="s">
        <v>6981</v>
      </c>
      <c r="M848" s="620" t="s">
        <v>973</v>
      </c>
      <c r="N848" s="621" t="s">
        <v>974</v>
      </c>
      <c r="O848" s="632" t="s">
        <v>144</v>
      </c>
      <c r="P848" s="632" t="s">
        <v>144</v>
      </c>
      <c r="Q848" s="636" t="s">
        <v>6970</v>
      </c>
      <c r="R848" s="639" t="s">
        <v>6971</v>
      </c>
      <c r="S848" s="640" t="s">
        <v>233</v>
      </c>
      <c r="T848" s="641" t="s">
        <v>234</v>
      </c>
      <c r="U848" s="642" t="s">
        <v>235</v>
      </c>
      <c r="V848" s="641">
        <v>8</v>
      </c>
      <c r="W848" s="641" t="s">
        <v>144</v>
      </c>
      <c r="X848" s="643" t="s">
        <v>2285</v>
      </c>
      <c r="Y848" s="641" t="s">
        <v>144</v>
      </c>
      <c r="Z848" s="644" t="s">
        <v>29</v>
      </c>
      <c r="AA848" s="632" t="s">
        <v>398</v>
      </c>
      <c r="AB848" s="632" t="s">
        <v>140</v>
      </c>
      <c r="AC848" s="632" t="s">
        <v>265</v>
      </c>
      <c r="AD848" s="632" t="s">
        <v>6972</v>
      </c>
      <c r="AE848" s="632" t="s">
        <v>144</v>
      </c>
      <c r="AF848" s="645" t="s">
        <v>144</v>
      </c>
      <c r="AH848" s="630" t="s">
        <v>6982</v>
      </c>
      <c r="AI848" s="631" t="s">
        <v>6974</v>
      </c>
      <c r="AJ848" s="632">
        <v>6</v>
      </c>
      <c r="AK848" s="747" t="s">
        <v>6975</v>
      </c>
      <c r="AL848" s="646"/>
      <c r="AM848" s="647"/>
      <c r="AN848" s="640"/>
      <c r="AO848" s="648"/>
      <c r="AP848" s="630"/>
      <c r="AQ848" s="631"/>
      <c r="AR848" s="632"/>
      <c r="AS848" s="633"/>
      <c r="AT848" s="630" t="s">
        <v>6983</v>
      </c>
      <c r="AU848" s="631" t="s">
        <v>6984</v>
      </c>
      <c r="AV848" s="632">
        <v>6</v>
      </c>
      <c r="AW848" s="747" t="s">
        <v>6985</v>
      </c>
      <c r="AX848" s="922"/>
      <c r="AY848" s="631"/>
      <c r="AZ848" s="632"/>
      <c r="BA848" s="633"/>
      <c r="BB848" s="630"/>
      <c r="BC848" s="631"/>
      <c r="BD848" s="632"/>
      <c r="BE848" s="633"/>
    </row>
    <row r="849" spans="1:57" ht="38.450000000000003" hidden="1" customHeight="1" x14ac:dyDescent="0.25">
      <c r="A849" s="619" t="s">
        <v>1687</v>
      </c>
      <c r="B849" s="619">
        <v>614</v>
      </c>
      <c r="C849" s="620" t="s">
        <v>4027</v>
      </c>
      <c r="D849" s="621" t="s">
        <v>4028</v>
      </c>
      <c r="E849" s="619" t="s">
        <v>6986</v>
      </c>
      <c r="F849" s="622" t="s">
        <v>6987</v>
      </c>
      <c r="G849" s="623" t="s">
        <v>6988</v>
      </c>
      <c r="H849" s="622" t="s">
        <v>6989</v>
      </c>
      <c r="I849" s="623" t="s">
        <v>6990</v>
      </c>
      <c r="J849" s="619" t="s">
        <v>140</v>
      </c>
      <c r="K849" s="624" t="s">
        <v>140</v>
      </c>
      <c r="L849" s="803" t="s">
        <v>6991</v>
      </c>
      <c r="M849" s="620" t="s">
        <v>973</v>
      </c>
      <c r="N849" s="621" t="s">
        <v>974</v>
      </c>
      <c r="O849" s="619" t="s">
        <v>6992</v>
      </c>
      <c r="P849" s="619" t="s">
        <v>6993</v>
      </c>
      <c r="Q849" s="622" t="s">
        <v>144</v>
      </c>
      <c r="R849" s="623" t="s">
        <v>144</v>
      </c>
      <c r="S849" s="619" t="s">
        <v>147</v>
      </c>
      <c r="T849" s="619" t="s">
        <v>144</v>
      </c>
      <c r="U849" s="624" t="s">
        <v>144</v>
      </c>
      <c r="V849" s="619">
        <v>1</v>
      </c>
      <c r="W849" s="649" t="s">
        <v>144</v>
      </c>
      <c r="X849" s="625" t="s">
        <v>2285</v>
      </c>
      <c r="Y849" s="619" t="s">
        <v>144</v>
      </c>
      <c r="Z849" s="644" t="s">
        <v>29</v>
      </c>
      <c r="AA849" s="620" t="s">
        <v>6994</v>
      </c>
      <c r="AB849" s="620" t="s">
        <v>140</v>
      </c>
      <c r="AC849" s="619" t="s">
        <v>265</v>
      </c>
      <c r="AD849" s="620" t="s">
        <v>2148</v>
      </c>
      <c r="AE849" s="619" t="s">
        <v>144</v>
      </c>
      <c r="AF849" s="626" t="s">
        <v>144</v>
      </c>
      <c r="AG849" s="49"/>
      <c r="AH849" s="629" t="s">
        <v>6995</v>
      </c>
      <c r="AI849" s="623" t="s">
        <v>6996</v>
      </c>
      <c r="AJ849" s="619">
        <v>7</v>
      </c>
      <c r="AK849" s="747" t="s">
        <v>5568</v>
      </c>
      <c r="AL849" s="650" t="s">
        <v>294</v>
      </c>
      <c r="AM849" s="651" t="s">
        <v>295</v>
      </c>
      <c r="AN849" s="652">
        <v>7</v>
      </c>
      <c r="AO849" s="653" t="s">
        <v>966</v>
      </c>
      <c r="AP849" s="654"/>
      <c r="AQ849" s="623"/>
      <c r="AR849" s="655"/>
      <c r="AS849" s="628"/>
      <c r="AT849" s="654"/>
      <c r="AU849" s="656"/>
      <c r="AV849" s="655"/>
      <c r="AW849" s="628"/>
      <c r="AX849" s="629"/>
      <c r="AY849" s="623"/>
      <c r="AZ849" s="619"/>
      <c r="BA849" s="626"/>
      <c r="BB849" s="629"/>
      <c r="BC849" s="623"/>
      <c r="BD849" s="619"/>
      <c r="BE849" s="626"/>
    </row>
    <row r="850" spans="1:57" s="674" customFormat="1" ht="54" hidden="1" customHeight="1" x14ac:dyDescent="0.25">
      <c r="A850" s="923" t="s">
        <v>1687</v>
      </c>
      <c r="B850" s="619">
        <v>615</v>
      </c>
      <c r="C850" s="924" t="s">
        <v>256</v>
      </c>
      <c r="D850" s="657" t="s">
        <v>257</v>
      </c>
      <c r="E850" s="658" t="s">
        <v>6997</v>
      </c>
      <c r="F850" s="659" t="s">
        <v>6998</v>
      </c>
      <c r="G850" s="660" t="s">
        <v>6999</v>
      </c>
      <c r="H850" s="659" t="s">
        <v>7000</v>
      </c>
      <c r="I850" s="660" t="s">
        <v>7001</v>
      </c>
      <c r="J850" s="661" t="s">
        <v>140</v>
      </c>
      <c r="K850" s="657" t="s">
        <v>140</v>
      </c>
      <c r="L850" s="805" t="s">
        <v>7002</v>
      </c>
      <c r="M850" s="620" t="s">
        <v>973</v>
      </c>
      <c r="N850" s="621" t="s">
        <v>974</v>
      </c>
      <c r="O850" s="661" t="s">
        <v>7003</v>
      </c>
      <c r="P850" s="661" t="s">
        <v>7004</v>
      </c>
      <c r="Q850" s="925" t="s">
        <v>144</v>
      </c>
      <c r="R850" s="662" t="s">
        <v>144</v>
      </c>
      <c r="S850" s="663" t="s">
        <v>147</v>
      </c>
      <c r="T850" s="663" t="s">
        <v>144</v>
      </c>
      <c r="U850" s="664" t="s">
        <v>144</v>
      </c>
      <c r="V850" s="663">
        <v>1</v>
      </c>
      <c r="W850" s="663" t="s">
        <v>144</v>
      </c>
      <c r="X850" s="665">
        <v>45</v>
      </c>
      <c r="Y850" s="661" t="s">
        <v>144</v>
      </c>
      <c r="Z850" s="644" t="s">
        <v>29</v>
      </c>
      <c r="AA850" s="658" t="s">
        <v>5043</v>
      </c>
      <c r="AB850" s="661" t="s">
        <v>140</v>
      </c>
      <c r="AC850" s="661" t="s">
        <v>265</v>
      </c>
      <c r="AD850" s="661" t="s">
        <v>5044</v>
      </c>
      <c r="AE850" s="661" t="s">
        <v>144</v>
      </c>
      <c r="AF850" s="666" t="s">
        <v>144</v>
      </c>
      <c r="AG850" s="838"/>
      <c r="AH850" s="667" t="s">
        <v>7005</v>
      </c>
      <c r="AI850" s="668" t="s">
        <v>7006</v>
      </c>
      <c r="AJ850" s="669">
        <v>7</v>
      </c>
      <c r="AK850" s="748" t="s">
        <v>7007</v>
      </c>
      <c r="AL850" s="926" t="s">
        <v>294</v>
      </c>
      <c r="AM850" s="671" t="s">
        <v>295</v>
      </c>
      <c r="AN850" s="927">
        <v>7</v>
      </c>
      <c r="AO850" s="653" t="s">
        <v>966</v>
      </c>
      <c r="AP850" s="650"/>
      <c r="AQ850" s="668"/>
      <c r="AR850" s="649"/>
      <c r="AS850" s="653"/>
      <c r="AT850" s="650"/>
      <c r="AU850" s="668"/>
      <c r="AV850" s="649"/>
      <c r="AW850" s="653"/>
      <c r="AX850" s="650"/>
      <c r="AY850" s="672"/>
      <c r="AZ850" s="669"/>
      <c r="BA850" s="653"/>
      <c r="BB850" s="650"/>
      <c r="BC850" s="673"/>
      <c r="BD850" s="669"/>
      <c r="BE850" s="653"/>
    </row>
    <row r="851" spans="1:57" s="674" customFormat="1" ht="54" hidden="1" customHeight="1" x14ac:dyDescent="0.25">
      <c r="A851" s="923" t="s">
        <v>1687</v>
      </c>
      <c r="B851" s="619">
        <v>616</v>
      </c>
      <c r="C851" s="924" t="s">
        <v>1955</v>
      </c>
      <c r="D851" s="657" t="s">
        <v>1956</v>
      </c>
      <c r="E851" s="658" t="s">
        <v>7008</v>
      </c>
      <c r="F851" s="659" t="s">
        <v>7009</v>
      </c>
      <c r="G851" s="660" t="s">
        <v>7010</v>
      </c>
      <c r="H851" s="659" t="s">
        <v>7011</v>
      </c>
      <c r="I851" s="660" t="s">
        <v>7012</v>
      </c>
      <c r="J851" s="661" t="s">
        <v>140</v>
      </c>
      <c r="K851" s="657" t="s">
        <v>140</v>
      </c>
      <c r="L851" s="805" t="s">
        <v>7013</v>
      </c>
      <c r="M851" s="620" t="s">
        <v>973</v>
      </c>
      <c r="N851" s="621" t="s">
        <v>974</v>
      </c>
      <c r="O851" s="661" t="s">
        <v>7014</v>
      </c>
      <c r="P851" s="661" t="s">
        <v>7015</v>
      </c>
      <c r="Q851" s="675" t="s">
        <v>144</v>
      </c>
      <c r="R851" s="660" t="s">
        <v>144</v>
      </c>
      <c r="S851" s="663" t="s">
        <v>147</v>
      </c>
      <c r="T851" s="663" t="s">
        <v>144</v>
      </c>
      <c r="U851" s="664" t="s">
        <v>144</v>
      </c>
      <c r="V851" s="663">
        <v>1</v>
      </c>
      <c r="W851" s="663" t="s">
        <v>144</v>
      </c>
      <c r="X851" s="665">
        <v>45</v>
      </c>
      <c r="Y851" s="661" t="s">
        <v>144</v>
      </c>
      <c r="Z851" s="644" t="s">
        <v>29</v>
      </c>
      <c r="AA851" s="658" t="s">
        <v>7016</v>
      </c>
      <c r="AB851" s="661" t="s">
        <v>140</v>
      </c>
      <c r="AC851" s="661" t="s">
        <v>265</v>
      </c>
      <c r="AD851" s="661" t="s">
        <v>7017</v>
      </c>
      <c r="AE851" s="661" t="s">
        <v>144</v>
      </c>
      <c r="AF851" s="666" t="s">
        <v>144</v>
      </c>
      <c r="AG851" s="838"/>
      <c r="AH851" s="667" t="s">
        <v>7018</v>
      </c>
      <c r="AI851" s="668" t="s">
        <v>7019</v>
      </c>
      <c r="AJ851" s="669">
        <v>6</v>
      </c>
      <c r="AK851" s="748" t="s">
        <v>7020</v>
      </c>
      <c r="AL851" s="926" t="s">
        <v>294</v>
      </c>
      <c r="AM851" s="671" t="s">
        <v>295</v>
      </c>
      <c r="AN851" s="927">
        <v>7</v>
      </c>
      <c r="AO851" s="653" t="s">
        <v>966</v>
      </c>
      <c r="AP851" s="650"/>
      <c r="AQ851" s="668"/>
      <c r="AR851" s="649"/>
      <c r="AS851" s="653"/>
      <c r="AT851" s="650"/>
      <c r="AU851" s="668"/>
      <c r="AV851" s="649"/>
      <c r="AW851" s="653"/>
      <c r="AX851" s="650"/>
      <c r="AY851" s="672"/>
      <c r="AZ851" s="669"/>
      <c r="BA851" s="653"/>
      <c r="BB851" s="650"/>
      <c r="BC851" s="673"/>
      <c r="BD851" s="669"/>
      <c r="BE851" s="653"/>
    </row>
    <row r="852" spans="1:57" s="674" customFormat="1" ht="54" hidden="1" customHeight="1" x14ac:dyDescent="0.25">
      <c r="A852" s="923" t="s">
        <v>1687</v>
      </c>
      <c r="B852" s="619">
        <v>617</v>
      </c>
      <c r="C852" s="924" t="s">
        <v>1955</v>
      </c>
      <c r="D852" s="657" t="s">
        <v>1956</v>
      </c>
      <c r="E852" s="658" t="s">
        <v>7021</v>
      </c>
      <c r="F852" s="659" t="s">
        <v>7022</v>
      </c>
      <c r="G852" s="660" t="s">
        <v>7023</v>
      </c>
      <c r="H852" s="659" t="s">
        <v>7024</v>
      </c>
      <c r="I852" s="660" t="s">
        <v>7025</v>
      </c>
      <c r="J852" s="661" t="s">
        <v>140</v>
      </c>
      <c r="K852" s="657" t="s">
        <v>140</v>
      </c>
      <c r="L852" s="805" t="s">
        <v>7026</v>
      </c>
      <c r="M852" s="620" t="s">
        <v>973</v>
      </c>
      <c r="N852" s="621" t="s">
        <v>974</v>
      </c>
      <c r="O852" s="661" t="s">
        <v>7027</v>
      </c>
      <c r="P852" s="661" t="s">
        <v>7028</v>
      </c>
      <c r="Q852" s="675" t="s">
        <v>144</v>
      </c>
      <c r="R852" s="660" t="s">
        <v>144</v>
      </c>
      <c r="S852" s="663" t="s">
        <v>147</v>
      </c>
      <c r="T852" s="663" t="s">
        <v>144</v>
      </c>
      <c r="U852" s="664" t="s">
        <v>144</v>
      </c>
      <c r="V852" s="663">
        <v>1</v>
      </c>
      <c r="W852" s="663" t="s">
        <v>144</v>
      </c>
      <c r="X852" s="665">
        <v>45</v>
      </c>
      <c r="Y852" s="661" t="s">
        <v>144</v>
      </c>
      <c r="Z852" s="644" t="s">
        <v>29</v>
      </c>
      <c r="AA852" s="658" t="s">
        <v>7016</v>
      </c>
      <c r="AB852" s="661" t="s">
        <v>140</v>
      </c>
      <c r="AC852" s="661" t="s">
        <v>265</v>
      </c>
      <c r="AD852" s="661" t="s">
        <v>7017</v>
      </c>
      <c r="AE852" s="661" t="s">
        <v>144</v>
      </c>
      <c r="AF852" s="666" t="s">
        <v>144</v>
      </c>
      <c r="AG852" s="838"/>
      <c r="AH852" s="667" t="s">
        <v>7029</v>
      </c>
      <c r="AI852" s="668" t="s">
        <v>7030</v>
      </c>
      <c r="AJ852" s="669">
        <v>6</v>
      </c>
      <c r="AK852" s="748" t="s">
        <v>7031</v>
      </c>
      <c r="AL852" s="926" t="s">
        <v>294</v>
      </c>
      <c r="AM852" s="671" t="s">
        <v>295</v>
      </c>
      <c r="AN852" s="927">
        <v>7</v>
      </c>
      <c r="AO852" s="653" t="s">
        <v>966</v>
      </c>
      <c r="AP852" s="650"/>
      <c r="AQ852" s="668"/>
      <c r="AR852" s="649"/>
      <c r="AS852" s="653"/>
      <c r="AT852" s="650"/>
      <c r="AU852" s="668"/>
      <c r="AV852" s="649"/>
      <c r="AW852" s="653"/>
      <c r="AX852" s="650"/>
      <c r="AY852" s="672"/>
      <c r="AZ852" s="669"/>
      <c r="BA852" s="653"/>
      <c r="BB852" s="650"/>
      <c r="BC852" s="673"/>
      <c r="BD852" s="669"/>
      <c r="BE852" s="653"/>
    </row>
    <row r="853" spans="1:57" s="674" customFormat="1" ht="54" hidden="1" customHeight="1" x14ac:dyDescent="0.25">
      <c r="A853" s="923" t="s">
        <v>1687</v>
      </c>
      <c r="B853" s="619">
        <v>618</v>
      </c>
      <c r="C853" s="924" t="s">
        <v>1955</v>
      </c>
      <c r="D853" s="657" t="s">
        <v>1956</v>
      </c>
      <c r="E853" s="658" t="s">
        <v>7032</v>
      </c>
      <c r="F853" s="659" t="s">
        <v>7033</v>
      </c>
      <c r="G853" s="660" t="s">
        <v>7034</v>
      </c>
      <c r="H853" s="659" t="s">
        <v>7035</v>
      </c>
      <c r="I853" s="660" t="s">
        <v>7036</v>
      </c>
      <c r="J853" s="661" t="s">
        <v>140</v>
      </c>
      <c r="K853" s="657" t="s">
        <v>140</v>
      </c>
      <c r="L853" s="805" t="s">
        <v>7037</v>
      </c>
      <c r="M853" s="620" t="s">
        <v>973</v>
      </c>
      <c r="N853" s="621" t="s">
        <v>974</v>
      </c>
      <c r="O853" s="661" t="s">
        <v>7038</v>
      </c>
      <c r="P853" s="661" t="s">
        <v>7039</v>
      </c>
      <c r="Q853" s="675" t="s">
        <v>144</v>
      </c>
      <c r="R853" s="660" t="s">
        <v>144</v>
      </c>
      <c r="S853" s="663" t="s">
        <v>147</v>
      </c>
      <c r="T853" s="663" t="s">
        <v>144</v>
      </c>
      <c r="U853" s="664" t="s">
        <v>144</v>
      </c>
      <c r="V853" s="663">
        <v>1</v>
      </c>
      <c r="W853" s="663" t="s">
        <v>144</v>
      </c>
      <c r="X853" s="665">
        <v>45</v>
      </c>
      <c r="Y853" s="661" t="s">
        <v>144</v>
      </c>
      <c r="Z853" s="644" t="s">
        <v>29</v>
      </c>
      <c r="AA853" s="658" t="s">
        <v>7016</v>
      </c>
      <c r="AB853" s="661" t="s">
        <v>140</v>
      </c>
      <c r="AC853" s="661" t="s">
        <v>265</v>
      </c>
      <c r="AD853" s="661" t="s">
        <v>7017</v>
      </c>
      <c r="AE853" s="661" t="s">
        <v>144</v>
      </c>
      <c r="AF853" s="666" t="s">
        <v>144</v>
      </c>
      <c r="AG853" s="838"/>
      <c r="AH853" s="667" t="s">
        <v>7029</v>
      </c>
      <c r="AI853" s="668" t="s">
        <v>7030</v>
      </c>
      <c r="AJ853" s="669">
        <v>6</v>
      </c>
      <c r="AK853" s="748" t="s">
        <v>7031</v>
      </c>
      <c r="AL853" s="926" t="s">
        <v>294</v>
      </c>
      <c r="AM853" s="671" t="s">
        <v>295</v>
      </c>
      <c r="AN853" s="927">
        <v>7</v>
      </c>
      <c r="AO853" s="653" t="s">
        <v>966</v>
      </c>
      <c r="AP853" s="650"/>
      <c r="AQ853" s="668"/>
      <c r="AR853" s="649"/>
      <c r="AS853" s="653"/>
      <c r="AT853" s="650"/>
      <c r="AU853" s="668"/>
      <c r="AV853" s="649"/>
      <c r="AW853" s="653"/>
      <c r="AX853" s="650"/>
      <c r="AY853" s="672"/>
      <c r="AZ853" s="669"/>
      <c r="BA853" s="653"/>
      <c r="BB853" s="650"/>
      <c r="BC853" s="673"/>
      <c r="BD853" s="669"/>
      <c r="BE853" s="653"/>
    </row>
    <row r="854" spans="1:57" s="674" customFormat="1" ht="54" hidden="1" customHeight="1" x14ac:dyDescent="0.25">
      <c r="A854" s="923" t="s">
        <v>1687</v>
      </c>
      <c r="B854" s="619">
        <v>619</v>
      </c>
      <c r="C854" s="924" t="s">
        <v>1955</v>
      </c>
      <c r="D854" s="657" t="s">
        <v>1956</v>
      </c>
      <c r="E854" s="658" t="s">
        <v>7040</v>
      </c>
      <c r="F854" s="659" t="s">
        <v>7041</v>
      </c>
      <c r="G854" s="660" t="s">
        <v>7042</v>
      </c>
      <c r="H854" s="659" t="s">
        <v>7043</v>
      </c>
      <c r="I854" s="660" t="s">
        <v>7044</v>
      </c>
      <c r="J854" s="661" t="s">
        <v>140</v>
      </c>
      <c r="K854" s="657" t="s">
        <v>140</v>
      </c>
      <c r="L854" s="805" t="s">
        <v>7045</v>
      </c>
      <c r="M854" s="620" t="s">
        <v>973</v>
      </c>
      <c r="N854" s="621" t="s">
        <v>974</v>
      </c>
      <c r="O854" s="661" t="s">
        <v>144</v>
      </c>
      <c r="P854" s="661" t="s">
        <v>144</v>
      </c>
      <c r="Q854" s="675" t="s">
        <v>144</v>
      </c>
      <c r="R854" s="660" t="s">
        <v>144</v>
      </c>
      <c r="S854" s="663" t="s">
        <v>746</v>
      </c>
      <c r="T854" s="658" t="s">
        <v>1104</v>
      </c>
      <c r="U854" s="676" t="s">
        <v>1105</v>
      </c>
      <c r="V854" s="663">
        <v>19</v>
      </c>
      <c r="W854" s="663" t="s">
        <v>144</v>
      </c>
      <c r="X854" s="665">
        <v>45</v>
      </c>
      <c r="Y854" s="661" t="s">
        <v>144</v>
      </c>
      <c r="Z854" s="644" t="s">
        <v>29</v>
      </c>
      <c r="AA854" s="658" t="s">
        <v>7016</v>
      </c>
      <c r="AB854" s="661" t="s">
        <v>140</v>
      </c>
      <c r="AC854" s="661" t="s">
        <v>265</v>
      </c>
      <c r="AD854" s="661" t="s">
        <v>7017</v>
      </c>
      <c r="AE854" s="661" t="s">
        <v>144</v>
      </c>
      <c r="AF854" s="666" t="s">
        <v>144</v>
      </c>
      <c r="AG854" s="838"/>
      <c r="AH854" s="667" t="s">
        <v>7018</v>
      </c>
      <c r="AI854" s="668" t="s">
        <v>7019</v>
      </c>
      <c r="AJ854" s="669">
        <v>6</v>
      </c>
      <c r="AK854" s="748" t="s">
        <v>7020</v>
      </c>
      <c r="AL854" s="650"/>
      <c r="AM854" s="668"/>
      <c r="AN854" s="669"/>
      <c r="AO854" s="648"/>
      <c r="AP854" s="650"/>
      <c r="AQ854" s="668"/>
      <c r="AR854" s="649"/>
      <c r="AS854" s="653"/>
      <c r="AT854" s="650"/>
      <c r="AU854" s="668"/>
      <c r="AV854" s="649"/>
      <c r="AW854" s="653"/>
      <c r="AX854" s="650"/>
      <c r="AY854" s="672"/>
      <c r="AZ854" s="669"/>
      <c r="BA854" s="653"/>
      <c r="BB854" s="650"/>
      <c r="BC854" s="673"/>
      <c r="BD854" s="669"/>
      <c r="BE854" s="653"/>
    </row>
    <row r="855" spans="1:57" s="674" customFormat="1" ht="54" hidden="1" customHeight="1" x14ac:dyDescent="0.25">
      <c r="A855" s="923" t="s">
        <v>1687</v>
      </c>
      <c r="B855" s="619">
        <v>620</v>
      </c>
      <c r="C855" s="924" t="s">
        <v>1955</v>
      </c>
      <c r="D855" s="657" t="s">
        <v>1956</v>
      </c>
      <c r="E855" s="658" t="s">
        <v>7046</v>
      </c>
      <c r="F855" s="659" t="s">
        <v>7047</v>
      </c>
      <c r="G855" s="660" t="s">
        <v>7048</v>
      </c>
      <c r="H855" s="659" t="s">
        <v>7047</v>
      </c>
      <c r="I855" s="660" t="s">
        <v>7048</v>
      </c>
      <c r="J855" s="661" t="s">
        <v>140</v>
      </c>
      <c r="K855" s="657" t="s">
        <v>140</v>
      </c>
      <c r="L855" s="805" t="s">
        <v>7049</v>
      </c>
      <c r="M855" s="620" t="s">
        <v>973</v>
      </c>
      <c r="N855" s="621" t="s">
        <v>974</v>
      </c>
      <c r="O855" s="661" t="s">
        <v>814</v>
      </c>
      <c r="P855" s="677" t="s">
        <v>815</v>
      </c>
      <c r="Q855" s="675" t="s">
        <v>144</v>
      </c>
      <c r="R855" s="660" t="s">
        <v>144</v>
      </c>
      <c r="S855" s="663" t="s">
        <v>147</v>
      </c>
      <c r="T855" s="663" t="s">
        <v>144</v>
      </c>
      <c r="U855" s="664" t="s">
        <v>144</v>
      </c>
      <c r="V855" s="663">
        <v>3</v>
      </c>
      <c r="W855" s="663" t="s">
        <v>144</v>
      </c>
      <c r="X855" s="665">
        <v>45</v>
      </c>
      <c r="Y855" s="661" t="s">
        <v>144</v>
      </c>
      <c r="Z855" s="661" t="s">
        <v>144</v>
      </c>
      <c r="AA855" s="658" t="s">
        <v>7016</v>
      </c>
      <c r="AB855" s="661" t="s">
        <v>140</v>
      </c>
      <c r="AC855" s="661" t="s">
        <v>265</v>
      </c>
      <c r="AD855" s="661" t="s">
        <v>7017</v>
      </c>
      <c r="AE855" s="661" t="s">
        <v>144</v>
      </c>
      <c r="AF855" s="666" t="s">
        <v>144</v>
      </c>
      <c r="AG855" s="838"/>
      <c r="AH855" s="667" t="s">
        <v>7050</v>
      </c>
      <c r="AI855" s="668" t="s">
        <v>7051</v>
      </c>
      <c r="AJ855" s="669">
        <v>7</v>
      </c>
      <c r="AK855" s="670" t="s">
        <v>1280</v>
      </c>
      <c r="AL855" s="926" t="s">
        <v>294</v>
      </c>
      <c r="AM855" s="671" t="s">
        <v>295</v>
      </c>
      <c r="AN855" s="927">
        <v>7</v>
      </c>
      <c r="AO855" s="653" t="s">
        <v>966</v>
      </c>
      <c r="AP855" s="650"/>
      <c r="AQ855" s="668"/>
      <c r="AR855" s="649"/>
      <c r="AS855" s="653"/>
      <c r="AT855" s="650"/>
      <c r="AU855" s="668"/>
      <c r="AV855" s="649"/>
      <c r="AW855" s="653"/>
      <c r="AX855" s="650"/>
      <c r="AY855" s="672"/>
      <c r="AZ855" s="669"/>
      <c r="BA855" s="653"/>
      <c r="BB855" s="650"/>
      <c r="BC855" s="673"/>
      <c r="BD855" s="669"/>
      <c r="BE855" s="653"/>
    </row>
    <row r="856" spans="1:57" s="674" customFormat="1" ht="54" hidden="1" customHeight="1" x14ac:dyDescent="0.25">
      <c r="A856" s="923" t="s">
        <v>1687</v>
      </c>
      <c r="B856" s="619">
        <v>621</v>
      </c>
      <c r="C856" s="924" t="s">
        <v>1955</v>
      </c>
      <c r="D856" s="657" t="s">
        <v>1956</v>
      </c>
      <c r="E856" s="658" t="s">
        <v>7052</v>
      </c>
      <c r="F856" s="659" t="s">
        <v>7053</v>
      </c>
      <c r="G856" s="660" t="s">
        <v>7054</v>
      </c>
      <c r="H856" s="659" t="s">
        <v>7055</v>
      </c>
      <c r="I856" s="660" t="s">
        <v>7054</v>
      </c>
      <c r="J856" s="661" t="s">
        <v>140</v>
      </c>
      <c r="K856" s="657" t="s">
        <v>140</v>
      </c>
      <c r="L856" s="805" t="s">
        <v>7056</v>
      </c>
      <c r="M856" s="620" t="s">
        <v>973</v>
      </c>
      <c r="N856" s="621" t="s">
        <v>974</v>
      </c>
      <c r="O856" s="661" t="s">
        <v>144</v>
      </c>
      <c r="P856" s="661" t="s">
        <v>144</v>
      </c>
      <c r="Q856" s="675" t="s">
        <v>144</v>
      </c>
      <c r="R856" s="660" t="s">
        <v>144</v>
      </c>
      <c r="S856" s="663" t="s">
        <v>746</v>
      </c>
      <c r="T856" s="658" t="s">
        <v>1104</v>
      </c>
      <c r="U856" s="676" t="s">
        <v>1105</v>
      </c>
      <c r="V856" s="663">
        <v>19</v>
      </c>
      <c r="W856" s="663" t="s">
        <v>144</v>
      </c>
      <c r="X856" s="665">
        <v>45</v>
      </c>
      <c r="Y856" s="661" t="s">
        <v>144</v>
      </c>
      <c r="Z856" s="644" t="s">
        <v>29</v>
      </c>
      <c r="AA856" s="658" t="s">
        <v>7016</v>
      </c>
      <c r="AB856" s="661" t="s">
        <v>140</v>
      </c>
      <c r="AC856" s="661" t="s">
        <v>265</v>
      </c>
      <c r="AD856" s="661" t="s">
        <v>7017</v>
      </c>
      <c r="AE856" s="661" t="s">
        <v>144</v>
      </c>
      <c r="AF856" s="666" t="s">
        <v>144</v>
      </c>
      <c r="AG856" s="838"/>
      <c r="AH856" s="667" t="s">
        <v>7018</v>
      </c>
      <c r="AI856" s="668" t="s">
        <v>7019</v>
      </c>
      <c r="AJ856" s="669">
        <v>6</v>
      </c>
      <c r="AK856" s="748" t="s">
        <v>7020</v>
      </c>
      <c r="AL856" s="650"/>
      <c r="AM856" s="668"/>
      <c r="AN856" s="669"/>
      <c r="AO856" s="648"/>
      <c r="AP856" s="650"/>
      <c r="AQ856" s="668"/>
      <c r="AR856" s="649"/>
      <c r="AS856" s="653"/>
      <c r="AT856" s="650"/>
      <c r="AU856" s="668"/>
      <c r="AV856" s="649"/>
      <c r="AW856" s="653"/>
      <c r="AX856" s="650"/>
      <c r="AY856" s="672"/>
      <c r="AZ856" s="669"/>
      <c r="BA856" s="653"/>
      <c r="BB856" s="650"/>
      <c r="BC856" s="673"/>
      <c r="BD856" s="669"/>
      <c r="BE856" s="653"/>
    </row>
    <row r="857" spans="1:57" s="674" customFormat="1" ht="54" hidden="1" customHeight="1" x14ac:dyDescent="0.25">
      <c r="A857" s="923" t="s">
        <v>1687</v>
      </c>
      <c r="B857" s="619">
        <v>622</v>
      </c>
      <c r="C857" s="924" t="s">
        <v>1955</v>
      </c>
      <c r="D857" s="657" t="s">
        <v>1956</v>
      </c>
      <c r="E857" s="658" t="s">
        <v>7057</v>
      </c>
      <c r="F857" s="659" t="s">
        <v>7058</v>
      </c>
      <c r="G857" s="660" t="s">
        <v>7059</v>
      </c>
      <c r="H857" s="659" t="s">
        <v>7058</v>
      </c>
      <c r="I857" s="660" t="s">
        <v>7059</v>
      </c>
      <c r="J857" s="661" t="s">
        <v>140</v>
      </c>
      <c r="K857" s="657" t="s">
        <v>140</v>
      </c>
      <c r="L857" s="805" t="s">
        <v>7060</v>
      </c>
      <c r="M857" s="620" t="s">
        <v>973</v>
      </c>
      <c r="N857" s="621" t="s">
        <v>974</v>
      </c>
      <c r="O857" s="661" t="s">
        <v>814</v>
      </c>
      <c r="P857" s="677" t="s">
        <v>815</v>
      </c>
      <c r="Q857" s="675" t="s">
        <v>144</v>
      </c>
      <c r="R857" s="660" t="s">
        <v>144</v>
      </c>
      <c r="S857" s="663" t="s">
        <v>147</v>
      </c>
      <c r="T857" s="663" t="s">
        <v>144</v>
      </c>
      <c r="U857" s="664" t="s">
        <v>144</v>
      </c>
      <c r="V857" s="663">
        <v>3</v>
      </c>
      <c r="W857" s="663" t="s">
        <v>144</v>
      </c>
      <c r="X857" s="665">
        <v>45</v>
      </c>
      <c r="Y857" s="661" t="s">
        <v>144</v>
      </c>
      <c r="Z857" s="661" t="s">
        <v>144</v>
      </c>
      <c r="AA857" s="658" t="s">
        <v>7016</v>
      </c>
      <c r="AB857" s="661" t="s">
        <v>140</v>
      </c>
      <c r="AC857" s="661" t="s">
        <v>265</v>
      </c>
      <c r="AD857" s="661" t="s">
        <v>7017</v>
      </c>
      <c r="AE857" s="661" t="s">
        <v>144</v>
      </c>
      <c r="AF857" s="666" t="s">
        <v>144</v>
      </c>
      <c r="AG857" s="838"/>
      <c r="AH857" s="667" t="s">
        <v>7061</v>
      </c>
      <c r="AI857" s="668" t="s">
        <v>7062</v>
      </c>
      <c r="AJ857" s="669">
        <v>7</v>
      </c>
      <c r="AK857" s="670" t="s">
        <v>1280</v>
      </c>
      <c r="AL857" s="926" t="s">
        <v>294</v>
      </c>
      <c r="AM857" s="671" t="s">
        <v>295</v>
      </c>
      <c r="AN857" s="927">
        <v>7</v>
      </c>
      <c r="AO857" s="653" t="s">
        <v>966</v>
      </c>
      <c r="AP857" s="650"/>
      <c r="AQ857" s="668"/>
      <c r="AR857" s="649"/>
      <c r="AS857" s="653"/>
      <c r="AT857" s="650"/>
      <c r="AU857" s="668"/>
      <c r="AV857" s="649"/>
      <c r="AW857" s="653"/>
      <c r="AX857" s="650"/>
      <c r="AY857" s="672"/>
      <c r="AZ857" s="669"/>
      <c r="BA857" s="653"/>
      <c r="BB857" s="650"/>
      <c r="BC857" s="673"/>
      <c r="BD857" s="669"/>
      <c r="BE857" s="653"/>
    </row>
    <row r="858" spans="1:57" s="674" customFormat="1" ht="54" hidden="1" customHeight="1" x14ac:dyDescent="0.25">
      <c r="A858" s="923" t="s">
        <v>1687</v>
      </c>
      <c r="B858" s="619">
        <v>623</v>
      </c>
      <c r="C858" s="924" t="s">
        <v>1955</v>
      </c>
      <c r="D858" s="657" t="s">
        <v>1956</v>
      </c>
      <c r="E858" s="658" t="s">
        <v>7063</v>
      </c>
      <c r="F858" s="659" t="s">
        <v>7064</v>
      </c>
      <c r="G858" s="660" t="s">
        <v>7065</v>
      </c>
      <c r="H858" s="659" t="s">
        <v>7066</v>
      </c>
      <c r="I858" s="660" t="s">
        <v>7065</v>
      </c>
      <c r="J858" s="661" t="s">
        <v>140</v>
      </c>
      <c r="K858" s="657" t="s">
        <v>140</v>
      </c>
      <c r="L858" s="805" t="s">
        <v>7067</v>
      </c>
      <c r="M858" s="620" t="s">
        <v>973</v>
      </c>
      <c r="N858" s="621" t="s">
        <v>974</v>
      </c>
      <c r="O858" s="661" t="s">
        <v>144</v>
      </c>
      <c r="P858" s="661" t="s">
        <v>144</v>
      </c>
      <c r="Q858" s="675" t="s">
        <v>144</v>
      </c>
      <c r="R858" s="660" t="s">
        <v>144</v>
      </c>
      <c r="S858" s="663" t="s">
        <v>746</v>
      </c>
      <c r="T858" s="658" t="s">
        <v>1104</v>
      </c>
      <c r="U858" s="676" t="s">
        <v>1105</v>
      </c>
      <c r="V858" s="663">
        <v>19</v>
      </c>
      <c r="W858" s="663" t="s">
        <v>144</v>
      </c>
      <c r="X858" s="665">
        <v>45</v>
      </c>
      <c r="Y858" s="661" t="s">
        <v>144</v>
      </c>
      <c r="Z858" s="644" t="s">
        <v>29</v>
      </c>
      <c r="AA858" s="658" t="s">
        <v>7016</v>
      </c>
      <c r="AB858" s="661" t="s">
        <v>140</v>
      </c>
      <c r="AC858" s="661" t="s">
        <v>265</v>
      </c>
      <c r="AD858" s="661" t="s">
        <v>7017</v>
      </c>
      <c r="AE858" s="661" t="s">
        <v>144</v>
      </c>
      <c r="AF858" s="666" t="s">
        <v>144</v>
      </c>
      <c r="AG858" s="838"/>
      <c r="AH858" s="667" t="s">
        <v>7018</v>
      </c>
      <c r="AI858" s="668" t="s">
        <v>7019</v>
      </c>
      <c r="AJ858" s="669">
        <v>6</v>
      </c>
      <c r="AK858" s="748" t="s">
        <v>7020</v>
      </c>
      <c r="AL858" s="650"/>
      <c r="AM858" s="668"/>
      <c r="AN858" s="669"/>
      <c r="AO858" s="648"/>
      <c r="AP858" s="650"/>
      <c r="AQ858" s="668"/>
      <c r="AR858" s="649"/>
      <c r="AS858" s="653"/>
      <c r="AT858" s="650"/>
      <c r="AU858" s="668"/>
      <c r="AV858" s="649"/>
      <c r="AW858" s="653"/>
      <c r="AX858" s="650"/>
      <c r="AY858" s="672"/>
      <c r="AZ858" s="669"/>
      <c r="BA858" s="653"/>
      <c r="BB858" s="650"/>
      <c r="BC858" s="673"/>
      <c r="BD858" s="669"/>
      <c r="BE858" s="653"/>
    </row>
    <row r="859" spans="1:57" s="674" customFormat="1" ht="54" hidden="1" customHeight="1" x14ac:dyDescent="0.25">
      <c r="A859" s="923" t="s">
        <v>1687</v>
      </c>
      <c r="B859" s="619">
        <v>624</v>
      </c>
      <c r="C859" s="924" t="s">
        <v>1955</v>
      </c>
      <c r="D859" s="657" t="s">
        <v>1956</v>
      </c>
      <c r="E859" s="658" t="s">
        <v>7068</v>
      </c>
      <c r="F859" s="659" t="s">
        <v>7069</v>
      </c>
      <c r="G859" s="660" t="s">
        <v>7070</v>
      </c>
      <c r="H859" s="659" t="s">
        <v>7069</v>
      </c>
      <c r="I859" s="660" t="s">
        <v>7070</v>
      </c>
      <c r="J859" s="661" t="s">
        <v>140</v>
      </c>
      <c r="K859" s="657" t="s">
        <v>140</v>
      </c>
      <c r="L859" s="805" t="s">
        <v>7071</v>
      </c>
      <c r="M859" s="620" t="s">
        <v>973</v>
      </c>
      <c r="N859" s="621" t="s">
        <v>974</v>
      </c>
      <c r="O859" s="661" t="s">
        <v>814</v>
      </c>
      <c r="P859" s="677" t="s">
        <v>815</v>
      </c>
      <c r="Q859" s="675" t="s">
        <v>144</v>
      </c>
      <c r="R859" s="660" t="s">
        <v>144</v>
      </c>
      <c r="S859" s="663" t="s">
        <v>147</v>
      </c>
      <c r="T859" s="663" t="s">
        <v>144</v>
      </c>
      <c r="U859" s="664" t="s">
        <v>144</v>
      </c>
      <c r="V859" s="663">
        <v>3</v>
      </c>
      <c r="W859" s="663" t="s">
        <v>144</v>
      </c>
      <c r="X859" s="665">
        <v>45</v>
      </c>
      <c r="Y859" s="661" t="s">
        <v>144</v>
      </c>
      <c r="Z859" s="661" t="s">
        <v>144</v>
      </c>
      <c r="AA859" s="658" t="s">
        <v>7016</v>
      </c>
      <c r="AB859" s="661" t="s">
        <v>140</v>
      </c>
      <c r="AC859" s="661" t="s">
        <v>265</v>
      </c>
      <c r="AD859" s="661" t="s">
        <v>7017</v>
      </c>
      <c r="AE859" s="661" t="s">
        <v>144</v>
      </c>
      <c r="AF859" s="666" t="s">
        <v>144</v>
      </c>
      <c r="AG859" s="838"/>
      <c r="AH859" s="667" t="s">
        <v>7072</v>
      </c>
      <c r="AI859" s="668" t="s">
        <v>7073</v>
      </c>
      <c r="AJ859" s="669">
        <v>7</v>
      </c>
      <c r="AK859" s="670" t="s">
        <v>1280</v>
      </c>
      <c r="AL859" s="926" t="s">
        <v>294</v>
      </c>
      <c r="AM859" s="671" t="s">
        <v>295</v>
      </c>
      <c r="AN859" s="927">
        <v>7</v>
      </c>
      <c r="AO859" s="653" t="s">
        <v>966</v>
      </c>
      <c r="AP859" s="650"/>
      <c r="AQ859" s="668"/>
      <c r="AR859" s="649"/>
      <c r="AS859" s="653"/>
      <c r="AT859" s="650"/>
      <c r="AU859" s="668"/>
      <c r="AV859" s="649"/>
      <c r="AW859" s="653"/>
      <c r="AX859" s="650"/>
      <c r="AY859" s="672"/>
      <c r="AZ859" s="669"/>
      <c r="BA859" s="653"/>
      <c r="BB859" s="650"/>
      <c r="BC859" s="673"/>
      <c r="BD859" s="669"/>
      <c r="BE859" s="653"/>
    </row>
    <row r="860" spans="1:57" s="674" customFormat="1" ht="54" hidden="1" customHeight="1" x14ac:dyDescent="0.25">
      <c r="A860" s="923" t="s">
        <v>1687</v>
      </c>
      <c r="B860" s="619">
        <v>625</v>
      </c>
      <c r="C860" s="924" t="s">
        <v>1955</v>
      </c>
      <c r="D860" s="657" t="s">
        <v>1956</v>
      </c>
      <c r="E860" s="658" t="s">
        <v>7074</v>
      </c>
      <c r="F860" s="659" t="s">
        <v>7075</v>
      </c>
      <c r="G860" s="660" t="s">
        <v>7076</v>
      </c>
      <c r="H860" s="659" t="s">
        <v>7077</v>
      </c>
      <c r="I860" s="660" t="s">
        <v>7076</v>
      </c>
      <c r="J860" s="661" t="s">
        <v>140</v>
      </c>
      <c r="K860" s="657" t="s">
        <v>140</v>
      </c>
      <c r="L860" s="805" t="s">
        <v>7078</v>
      </c>
      <c r="M860" s="658" t="s">
        <v>193</v>
      </c>
      <c r="N860" s="657" t="s">
        <v>194</v>
      </c>
      <c r="O860" s="661" t="s">
        <v>144</v>
      </c>
      <c r="P860" s="661" t="s">
        <v>144</v>
      </c>
      <c r="Q860" s="675" t="s">
        <v>144</v>
      </c>
      <c r="R860" s="660" t="s">
        <v>144</v>
      </c>
      <c r="S860" s="663" t="s">
        <v>147</v>
      </c>
      <c r="T860" s="663" t="s">
        <v>144</v>
      </c>
      <c r="U860" s="664" t="s">
        <v>144</v>
      </c>
      <c r="V860" s="663">
        <v>40</v>
      </c>
      <c r="W860" s="663" t="s">
        <v>144</v>
      </c>
      <c r="X860" s="665">
        <v>45</v>
      </c>
      <c r="Y860" s="661" t="s">
        <v>144</v>
      </c>
      <c r="Z860" s="661" t="s">
        <v>144</v>
      </c>
      <c r="AA860" s="658" t="s">
        <v>7016</v>
      </c>
      <c r="AB860" s="661" t="s">
        <v>140</v>
      </c>
      <c r="AC860" s="661" t="s">
        <v>265</v>
      </c>
      <c r="AD860" s="661" t="s">
        <v>7017</v>
      </c>
      <c r="AE860" s="661" t="s">
        <v>144</v>
      </c>
      <c r="AF860" s="666" t="s">
        <v>144</v>
      </c>
      <c r="AG860" s="838"/>
      <c r="AH860" s="667"/>
      <c r="AI860" s="668"/>
      <c r="AJ860" s="669"/>
      <c r="AK860" s="670"/>
      <c r="AL860" s="650"/>
      <c r="AM860" s="668"/>
      <c r="AN860" s="669"/>
      <c r="AO860" s="648"/>
      <c r="AP860" s="650"/>
      <c r="AQ860" s="668"/>
      <c r="AR860" s="649"/>
      <c r="AS860" s="653"/>
      <c r="AT860" s="650"/>
      <c r="AU860" s="668"/>
      <c r="AV860" s="649"/>
      <c r="AW860" s="653"/>
      <c r="AX860" s="650"/>
      <c r="AY860" s="672"/>
      <c r="AZ860" s="669"/>
      <c r="BA860" s="653"/>
      <c r="BB860" s="650"/>
      <c r="BC860" s="673"/>
      <c r="BD860" s="669"/>
      <c r="BE860" s="653"/>
    </row>
    <row r="861" spans="1:57" s="674" customFormat="1" ht="54" hidden="1" customHeight="1" x14ac:dyDescent="0.25">
      <c r="A861" s="923" t="s">
        <v>1687</v>
      </c>
      <c r="B861" s="619">
        <v>626</v>
      </c>
      <c r="C861" s="924" t="s">
        <v>1022</v>
      </c>
      <c r="D861" s="657" t="s">
        <v>1023</v>
      </c>
      <c r="E861" s="658" t="s">
        <v>7079</v>
      </c>
      <c r="F861" s="659" t="s">
        <v>7080</v>
      </c>
      <c r="G861" s="660" t="s">
        <v>7081</v>
      </c>
      <c r="H861" s="659" t="s">
        <v>7082</v>
      </c>
      <c r="I861" s="660" t="s">
        <v>7081</v>
      </c>
      <c r="J861" s="661" t="s">
        <v>140</v>
      </c>
      <c r="K861" s="657" t="s">
        <v>140</v>
      </c>
      <c r="L861" s="805" t="s">
        <v>7083</v>
      </c>
      <c r="M861" s="658" t="s">
        <v>193</v>
      </c>
      <c r="N861" s="657" t="s">
        <v>194</v>
      </c>
      <c r="O861" s="661" t="s">
        <v>7084</v>
      </c>
      <c r="P861" s="661" t="s">
        <v>7085</v>
      </c>
      <c r="Q861" s="675" t="s">
        <v>144</v>
      </c>
      <c r="R861" s="660" t="s">
        <v>144</v>
      </c>
      <c r="S861" s="663" t="s">
        <v>147</v>
      </c>
      <c r="T861" s="663" t="s">
        <v>144</v>
      </c>
      <c r="U861" s="664" t="s">
        <v>144</v>
      </c>
      <c r="V861" s="663">
        <v>1</v>
      </c>
      <c r="W861" s="663" t="s">
        <v>144</v>
      </c>
      <c r="X861" s="665">
        <v>45</v>
      </c>
      <c r="Y861" s="661" t="s">
        <v>144</v>
      </c>
      <c r="Z861" s="661" t="s">
        <v>144</v>
      </c>
      <c r="AA861" s="658" t="s">
        <v>7016</v>
      </c>
      <c r="AB861" s="661" t="s">
        <v>140</v>
      </c>
      <c r="AC861" s="661" t="s">
        <v>265</v>
      </c>
      <c r="AD861" s="661" t="s">
        <v>7017</v>
      </c>
      <c r="AE861" s="661" t="s">
        <v>144</v>
      </c>
      <c r="AF861" s="666" t="s">
        <v>144</v>
      </c>
      <c r="AG861" s="838"/>
      <c r="AH861" s="667"/>
      <c r="AI861" s="668"/>
      <c r="AJ861" s="669"/>
      <c r="AK861" s="670"/>
      <c r="AL861" s="926" t="s">
        <v>294</v>
      </c>
      <c r="AM861" s="671" t="s">
        <v>295</v>
      </c>
      <c r="AN861" s="927">
        <v>7</v>
      </c>
      <c r="AO861" s="653" t="s">
        <v>966</v>
      </c>
      <c r="AP861" s="650"/>
      <c r="AQ861" s="668"/>
      <c r="AR861" s="649"/>
      <c r="AS861" s="653"/>
      <c r="AT861" s="650"/>
      <c r="AU861" s="668"/>
      <c r="AV861" s="649"/>
      <c r="AW861" s="653"/>
      <c r="AX861" s="650"/>
      <c r="AY861" s="672"/>
      <c r="AZ861" s="669"/>
      <c r="BA861" s="653"/>
      <c r="BB861" s="650"/>
      <c r="BC861" s="673"/>
      <c r="BD861" s="669"/>
      <c r="BE861" s="653"/>
    </row>
    <row r="862" spans="1:57" s="674" customFormat="1" ht="54" hidden="1" customHeight="1" x14ac:dyDescent="0.25">
      <c r="A862" s="923" t="s">
        <v>1687</v>
      </c>
      <c r="B862" s="619">
        <v>627</v>
      </c>
      <c r="C862" s="924" t="s">
        <v>1955</v>
      </c>
      <c r="D862" s="657" t="s">
        <v>1956</v>
      </c>
      <c r="E862" s="658" t="s">
        <v>7086</v>
      </c>
      <c r="F862" s="659" t="s">
        <v>7087</v>
      </c>
      <c r="G862" s="660" t="s">
        <v>7088</v>
      </c>
      <c r="H862" s="659" t="s">
        <v>7089</v>
      </c>
      <c r="I862" s="660" t="s">
        <v>7088</v>
      </c>
      <c r="J862" s="661" t="s">
        <v>140</v>
      </c>
      <c r="K862" s="657" t="s">
        <v>140</v>
      </c>
      <c r="L862" s="805" t="s">
        <v>7090</v>
      </c>
      <c r="M862" s="620" t="s">
        <v>973</v>
      </c>
      <c r="N862" s="621" t="s">
        <v>974</v>
      </c>
      <c r="O862" s="661" t="s">
        <v>144</v>
      </c>
      <c r="P862" s="661" t="s">
        <v>144</v>
      </c>
      <c r="Q862" s="675" t="s">
        <v>144</v>
      </c>
      <c r="R862" s="660" t="s">
        <v>144</v>
      </c>
      <c r="S862" s="663" t="s">
        <v>746</v>
      </c>
      <c r="T862" s="658" t="s">
        <v>1104</v>
      </c>
      <c r="U862" s="676" t="s">
        <v>1105</v>
      </c>
      <c r="V862" s="663">
        <v>19</v>
      </c>
      <c r="W862" s="663" t="s">
        <v>144</v>
      </c>
      <c r="X862" s="665">
        <v>45</v>
      </c>
      <c r="Y862" s="661" t="s">
        <v>144</v>
      </c>
      <c r="Z862" s="644" t="s">
        <v>29</v>
      </c>
      <c r="AA862" s="658" t="s">
        <v>7016</v>
      </c>
      <c r="AB862" s="661" t="s">
        <v>140</v>
      </c>
      <c r="AC862" s="661" t="s">
        <v>265</v>
      </c>
      <c r="AD862" s="661" t="s">
        <v>7017</v>
      </c>
      <c r="AE862" s="661" t="s">
        <v>144</v>
      </c>
      <c r="AF862" s="666" t="s">
        <v>144</v>
      </c>
      <c r="AG862" s="838"/>
      <c r="AH862" s="667" t="s">
        <v>7018</v>
      </c>
      <c r="AI862" s="668" t="s">
        <v>7019</v>
      </c>
      <c r="AJ862" s="669">
        <v>6</v>
      </c>
      <c r="AK862" s="748" t="s">
        <v>7020</v>
      </c>
      <c r="AL862" s="650"/>
      <c r="AM862" s="668"/>
      <c r="AN862" s="669"/>
      <c r="AO862" s="648"/>
      <c r="AP862" s="650"/>
      <c r="AQ862" s="668"/>
      <c r="AR862" s="649"/>
      <c r="AS862" s="653"/>
      <c r="AT862" s="650"/>
      <c r="AU862" s="668"/>
      <c r="AV862" s="649"/>
      <c r="AW862" s="653"/>
      <c r="AX862" s="650"/>
      <c r="AY862" s="672"/>
      <c r="AZ862" s="669"/>
      <c r="BA862" s="653"/>
      <c r="BB862" s="650"/>
      <c r="BC862" s="673"/>
      <c r="BD862" s="669"/>
      <c r="BE862" s="653"/>
    </row>
    <row r="863" spans="1:57" s="674" customFormat="1" ht="54" hidden="1" customHeight="1" x14ac:dyDescent="0.25">
      <c r="A863" s="923" t="s">
        <v>1687</v>
      </c>
      <c r="B863" s="619">
        <v>628</v>
      </c>
      <c r="C863" s="924" t="s">
        <v>1955</v>
      </c>
      <c r="D863" s="657" t="s">
        <v>1956</v>
      </c>
      <c r="E863" s="658" t="s">
        <v>7091</v>
      </c>
      <c r="F863" s="659" t="s">
        <v>7092</v>
      </c>
      <c r="G863" s="660" t="s">
        <v>7093</v>
      </c>
      <c r="H863" s="659" t="s">
        <v>7092</v>
      </c>
      <c r="I863" s="660" t="s">
        <v>7093</v>
      </c>
      <c r="J863" s="661" t="s">
        <v>140</v>
      </c>
      <c r="K863" s="657" t="s">
        <v>140</v>
      </c>
      <c r="L863" s="805" t="s">
        <v>7094</v>
      </c>
      <c r="M863" s="620" t="s">
        <v>973</v>
      </c>
      <c r="N863" s="621" t="s">
        <v>974</v>
      </c>
      <c r="O863" s="661" t="s">
        <v>814</v>
      </c>
      <c r="P863" s="677" t="s">
        <v>815</v>
      </c>
      <c r="Q863" s="675" t="s">
        <v>144</v>
      </c>
      <c r="R863" s="660" t="s">
        <v>144</v>
      </c>
      <c r="S863" s="663" t="s">
        <v>147</v>
      </c>
      <c r="T863" s="663" t="s">
        <v>144</v>
      </c>
      <c r="U863" s="664" t="s">
        <v>144</v>
      </c>
      <c r="V863" s="663">
        <v>3</v>
      </c>
      <c r="W863" s="663" t="s">
        <v>144</v>
      </c>
      <c r="X863" s="665">
        <v>45</v>
      </c>
      <c r="Y863" s="661" t="s">
        <v>144</v>
      </c>
      <c r="Z863" s="661" t="s">
        <v>144</v>
      </c>
      <c r="AA863" s="658" t="s">
        <v>7016</v>
      </c>
      <c r="AB863" s="661" t="s">
        <v>140</v>
      </c>
      <c r="AC863" s="661" t="s">
        <v>265</v>
      </c>
      <c r="AD863" s="661" t="s">
        <v>7017</v>
      </c>
      <c r="AE863" s="661" t="s">
        <v>144</v>
      </c>
      <c r="AF863" s="666" t="s">
        <v>144</v>
      </c>
      <c r="AG863" s="838"/>
      <c r="AH863" s="667" t="s">
        <v>7095</v>
      </c>
      <c r="AI863" s="668" t="s">
        <v>7096</v>
      </c>
      <c r="AJ863" s="669">
        <v>7</v>
      </c>
      <c r="AK863" s="670" t="s">
        <v>1280</v>
      </c>
      <c r="AL863" s="926" t="s">
        <v>294</v>
      </c>
      <c r="AM863" s="671" t="s">
        <v>295</v>
      </c>
      <c r="AN863" s="927">
        <v>7</v>
      </c>
      <c r="AO863" s="653" t="s">
        <v>966</v>
      </c>
      <c r="AP863" s="650"/>
      <c r="AQ863" s="668"/>
      <c r="AR863" s="649"/>
      <c r="AS863" s="653"/>
      <c r="AT863" s="650"/>
      <c r="AU863" s="668"/>
      <c r="AV863" s="649"/>
      <c r="AW863" s="653"/>
      <c r="AX863" s="650"/>
      <c r="AY863" s="672"/>
      <c r="AZ863" s="669"/>
      <c r="BA863" s="653"/>
      <c r="BB863" s="650"/>
      <c r="BC863" s="673"/>
      <c r="BD863" s="669"/>
      <c r="BE863" s="653"/>
    </row>
    <row r="864" spans="1:57" s="674" customFormat="1" ht="54" hidden="1" customHeight="1" x14ac:dyDescent="0.25">
      <c r="A864" s="923" t="s">
        <v>1687</v>
      </c>
      <c r="B864" s="619">
        <v>629</v>
      </c>
      <c r="C864" s="924" t="s">
        <v>1955</v>
      </c>
      <c r="D864" s="657" t="s">
        <v>1956</v>
      </c>
      <c r="E864" s="658" t="s">
        <v>7097</v>
      </c>
      <c r="F864" s="659" t="s">
        <v>7098</v>
      </c>
      <c r="G864" s="660" t="s">
        <v>7099</v>
      </c>
      <c r="H864" s="659" t="s">
        <v>7098</v>
      </c>
      <c r="I864" s="660" t="s">
        <v>7099</v>
      </c>
      <c r="J864" s="661" t="s">
        <v>140</v>
      </c>
      <c r="K864" s="657" t="s">
        <v>140</v>
      </c>
      <c r="L864" s="805" t="s">
        <v>7100</v>
      </c>
      <c r="M864" s="620" t="s">
        <v>973</v>
      </c>
      <c r="N864" s="621" t="s">
        <v>974</v>
      </c>
      <c r="O864" s="661" t="s">
        <v>144</v>
      </c>
      <c r="P864" s="661" t="s">
        <v>144</v>
      </c>
      <c r="Q864" s="675" t="s">
        <v>144</v>
      </c>
      <c r="R864" s="660" t="s">
        <v>144</v>
      </c>
      <c r="S864" s="663" t="s">
        <v>233</v>
      </c>
      <c r="T864" s="663" t="s">
        <v>234</v>
      </c>
      <c r="U864" s="642" t="s">
        <v>235</v>
      </c>
      <c r="V864" s="663">
        <v>8</v>
      </c>
      <c r="W864" s="663" t="s">
        <v>144</v>
      </c>
      <c r="X864" s="665">
        <v>45</v>
      </c>
      <c r="Y864" s="661" t="s">
        <v>144</v>
      </c>
      <c r="Z864" s="644" t="s">
        <v>29</v>
      </c>
      <c r="AA864" s="658" t="s">
        <v>7016</v>
      </c>
      <c r="AB864" s="661" t="s">
        <v>140</v>
      </c>
      <c r="AC864" s="661" t="s">
        <v>265</v>
      </c>
      <c r="AD864" s="661" t="s">
        <v>7017</v>
      </c>
      <c r="AE864" s="661" t="s">
        <v>144</v>
      </c>
      <c r="AF864" s="666" t="s">
        <v>144</v>
      </c>
      <c r="AG864" s="838"/>
      <c r="AH864" s="667" t="s">
        <v>7018</v>
      </c>
      <c r="AI864" s="668" t="s">
        <v>7019</v>
      </c>
      <c r="AJ864" s="669">
        <v>6</v>
      </c>
      <c r="AK864" s="748" t="s">
        <v>7020</v>
      </c>
      <c r="AL864" s="650"/>
      <c r="AM864" s="668"/>
      <c r="AN864" s="669"/>
      <c r="AO864" s="648"/>
      <c r="AP864" s="630" t="s">
        <v>1160</v>
      </c>
      <c r="AQ864" s="631" t="s">
        <v>1161</v>
      </c>
      <c r="AR864" s="632">
        <v>7</v>
      </c>
      <c r="AS864" s="633" t="s">
        <v>1162</v>
      </c>
      <c r="AT864" s="630"/>
      <c r="AU864" s="631"/>
      <c r="AV864" s="632"/>
      <c r="AW864" s="633"/>
      <c r="AX864" s="650"/>
      <c r="AY864" s="672"/>
      <c r="AZ864" s="669"/>
      <c r="BA864" s="653"/>
      <c r="BB864" s="650"/>
      <c r="BC864" s="673"/>
      <c r="BD864" s="669"/>
      <c r="BE864" s="653"/>
    </row>
    <row r="865" spans="1:57" s="674" customFormat="1" ht="54" hidden="1" customHeight="1" x14ac:dyDescent="0.25">
      <c r="A865" s="923" t="s">
        <v>1687</v>
      </c>
      <c r="B865" s="619">
        <v>630</v>
      </c>
      <c r="C865" s="924" t="s">
        <v>1955</v>
      </c>
      <c r="D865" s="657" t="s">
        <v>1956</v>
      </c>
      <c r="E865" s="658" t="s">
        <v>7101</v>
      </c>
      <c r="F865" s="659" t="s">
        <v>7102</v>
      </c>
      <c r="G865" s="660" t="s">
        <v>7103</v>
      </c>
      <c r="H865" s="659" t="s">
        <v>7104</v>
      </c>
      <c r="I865" s="660" t="s">
        <v>7103</v>
      </c>
      <c r="J865" s="661" t="s">
        <v>140</v>
      </c>
      <c r="K865" s="657" t="s">
        <v>140</v>
      </c>
      <c r="L865" s="805" t="s">
        <v>7105</v>
      </c>
      <c r="M865" s="620" t="s">
        <v>973</v>
      </c>
      <c r="N865" s="621" t="s">
        <v>974</v>
      </c>
      <c r="O865" s="661" t="s">
        <v>144</v>
      </c>
      <c r="P865" s="661" t="s">
        <v>144</v>
      </c>
      <c r="Q865" s="675" t="s">
        <v>144</v>
      </c>
      <c r="R865" s="660" t="s">
        <v>144</v>
      </c>
      <c r="S865" s="663" t="s">
        <v>746</v>
      </c>
      <c r="T865" s="658" t="s">
        <v>1104</v>
      </c>
      <c r="U865" s="676" t="s">
        <v>1105</v>
      </c>
      <c r="V865" s="663">
        <v>19</v>
      </c>
      <c r="W865" s="663" t="s">
        <v>144</v>
      </c>
      <c r="X865" s="665">
        <v>45</v>
      </c>
      <c r="Y865" s="661" t="s">
        <v>144</v>
      </c>
      <c r="Z865" s="644" t="s">
        <v>29</v>
      </c>
      <c r="AA865" s="658" t="s">
        <v>7016</v>
      </c>
      <c r="AB865" s="661" t="s">
        <v>140</v>
      </c>
      <c r="AC865" s="661" t="s">
        <v>265</v>
      </c>
      <c r="AD865" s="661" t="s">
        <v>7017</v>
      </c>
      <c r="AE865" s="661" t="s">
        <v>144</v>
      </c>
      <c r="AF865" s="666" t="s">
        <v>144</v>
      </c>
      <c r="AG865" s="838"/>
      <c r="AH865" s="667" t="s">
        <v>7029</v>
      </c>
      <c r="AI865" s="668" t="s">
        <v>7030</v>
      </c>
      <c r="AJ865" s="669">
        <v>6</v>
      </c>
      <c r="AK865" s="748" t="s">
        <v>7031</v>
      </c>
      <c r="AL865" s="650"/>
      <c r="AM865" s="668"/>
      <c r="AN865" s="669"/>
      <c r="AO865" s="648"/>
      <c r="AP865" s="650"/>
      <c r="AQ865" s="668"/>
      <c r="AR865" s="649"/>
      <c r="AS865" s="653"/>
      <c r="AT865" s="650"/>
      <c r="AU865" s="668"/>
      <c r="AV865" s="649"/>
      <c r="AW865" s="653"/>
      <c r="AX865" s="650"/>
      <c r="AY865" s="672"/>
      <c r="AZ865" s="669"/>
      <c r="BA865" s="653"/>
      <c r="BB865" s="650"/>
      <c r="BC865" s="673"/>
      <c r="BD865" s="669"/>
      <c r="BE865" s="653"/>
    </row>
    <row r="866" spans="1:57" s="674" customFormat="1" ht="54" hidden="1" customHeight="1" x14ac:dyDescent="0.25">
      <c r="A866" s="923" t="s">
        <v>1687</v>
      </c>
      <c r="B866" s="619">
        <v>631</v>
      </c>
      <c r="C866" s="924" t="s">
        <v>1955</v>
      </c>
      <c r="D866" s="657" t="s">
        <v>1956</v>
      </c>
      <c r="E866" s="658" t="s">
        <v>7106</v>
      </c>
      <c r="F866" s="659" t="s">
        <v>7107</v>
      </c>
      <c r="G866" s="660" t="s">
        <v>7108</v>
      </c>
      <c r="H866" s="659" t="s">
        <v>7107</v>
      </c>
      <c r="I866" s="660" t="s">
        <v>7108</v>
      </c>
      <c r="J866" s="661" t="s">
        <v>140</v>
      </c>
      <c r="K866" s="657" t="s">
        <v>140</v>
      </c>
      <c r="L866" s="805" t="s">
        <v>7109</v>
      </c>
      <c r="M866" s="620" t="s">
        <v>973</v>
      </c>
      <c r="N866" s="621" t="s">
        <v>974</v>
      </c>
      <c r="O866" s="661" t="s">
        <v>814</v>
      </c>
      <c r="P866" s="677" t="s">
        <v>815</v>
      </c>
      <c r="Q866" s="675" t="s">
        <v>144</v>
      </c>
      <c r="R866" s="660" t="s">
        <v>144</v>
      </c>
      <c r="S866" s="663" t="s">
        <v>147</v>
      </c>
      <c r="T866" s="663" t="s">
        <v>144</v>
      </c>
      <c r="U866" s="664" t="s">
        <v>144</v>
      </c>
      <c r="V866" s="663">
        <v>3</v>
      </c>
      <c r="W866" s="663" t="s">
        <v>144</v>
      </c>
      <c r="X866" s="665">
        <v>45</v>
      </c>
      <c r="Y866" s="661" t="s">
        <v>144</v>
      </c>
      <c r="Z866" s="661" t="s">
        <v>144</v>
      </c>
      <c r="AA866" s="658" t="s">
        <v>7016</v>
      </c>
      <c r="AB866" s="661" t="s">
        <v>140</v>
      </c>
      <c r="AC866" s="661" t="s">
        <v>265</v>
      </c>
      <c r="AD866" s="661" t="s">
        <v>7017</v>
      </c>
      <c r="AE866" s="661" t="s">
        <v>144</v>
      </c>
      <c r="AF866" s="666" t="s">
        <v>144</v>
      </c>
      <c r="AG866" s="838"/>
      <c r="AH866" s="667" t="s">
        <v>7110</v>
      </c>
      <c r="AI866" s="668" t="s">
        <v>7111</v>
      </c>
      <c r="AJ866" s="669">
        <v>7</v>
      </c>
      <c r="AK866" s="670" t="s">
        <v>1280</v>
      </c>
      <c r="AL866" s="926" t="s">
        <v>294</v>
      </c>
      <c r="AM866" s="671" t="s">
        <v>295</v>
      </c>
      <c r="AN866" s="927">
        <v>7</v>
      </c>
      <c r="AO866" s="653" t="s">
        <v>966</v>
      </c>
      <c r="AP866" s="650"/>
      <c r="AQ866" s="668"/>
      <c r="AR866" s="649"/>
      <c r="AS866" s="653"/>
      <c r="AT866" s="650"/>
      <c r="AU866" s="668"/>
      <c r="AV866" s="649"/>
      <c r="AW866" s="653"/>
      <c r="AX866" s="650"/>
      <c r="AY866" s="672"/>
      <c r="AZ866" s="669"/>
      <c r="BA866" s="653"/>
      <c r="BB866" s="650"/>
      <c r="BC866" s="673"/>
      <c r="BD866" s="669"/>
      <c r="BE866" s="653"/>
    </row>
    <row r="867" spans="1:57" s="674" customFormat="1" ht="54" hidden="1" customHeight="1" x14ac:dyDescent="0.25">
      <c r="A867" s="923" t="s">
        <v>1687</v>
      </c>
      <c r="B867" s="619">
        <v>632</v>
      </c>
      <c r="C867" s="924" t="s">
        <v>1955</v>
      </c>
      <c r="D867" s="657" t="s">
        <v>1956</v>
      </c>
      <c r="E867" s="658" t="s">
        <v>7112</v>
      </c>
      <c r="F867" s="659" t="s">
        <v>7113</v>
      </c>
      <c r="G867" s="660" t="s">
        <v>7114</v>
      </c>
      <c r="H867" s="659" t="s">
        <v>7113</v>
      </c>
      <c r="I867" s="660" t="s">
        <v>7114</v>
      </c>
      <c r="J867" s="661" t="s">
        <v>140</v>
      </c>
      <c r="K867" s="657" t="s">
        <v>140</v>
      </c>
      <c r="L867" s="805" t="s">
        <v>7115</v>
      </c>
      <c r="M867" s="620" t="s">
        <v>973</v>
      </c>
      <c r="N867" s="621" t="s">
        <v>974</v>
      </c>
      <c r="O867" s="661" t="s">
        <v>144</v>
      </c>
      <c r="P867" s="661" t="s">
        <v>144</v>
      </c>
      <c r="Q867" s="675" t="s">
        <v>144</v>
      </c>
      <c r="R867" s="660" t="s">
        <v>144</v>
      </c>
      <c r="S867" s="663" t="s">
        <v>233</v>
      </c>
      <c r="T867" s="663" t="s">
        <v>234</v>
      </c>
      <c r="U867" s="642" t="s">
        <v>235</v>
      </c>
      <c r="V867" s="663">
        <v>8</v>
      </c>
      <c r="W867" s="663" t="s">
        <v>144</v>
      </c>
      <c r="X867" s="665">
        <v>45</v>
      </c>
      <c r="Y867" s="661" t="s">
        <v>144</v>
      </c>
      <c r="Z867" s="644" t="s">
        <v>29</v>
      </c>
      <c r="AA867" s="658" t="s">
        <v>7016</v>
      </c>
      <c r="AB867" s="661" t="s">
        <v>140</v>
      </c>
      <c r="AC867" s="661" t="s">
        <v>265</v>
      </c>
      <c r="AD867" s="661" t="s">
        <v>7017</v>
      </c>
      <c r="AE867" s="661" t="s">
        <v>144</v>
      </c>
      <c r="AF867" s="666" t="s">
        <v>144</v>
      </c>
      <c r="AG867" s="838"/>
      <c r="AH867" s="667" t="s">
        <v>7029</v>
      </c>
      <c r="AI867" s="668" t="s">
        <v>7030</v>
      </c>
      <c r="AJ867" s="669">
        <v>6</v>
      </c>
      <c r="AK867" s="748" t="s">
        <v>7031</v>
      </c>
      <c r="AL867" s="650"/>
      <c r="AM867" s="668"/>
      <c r="AN867" s="669"/>
      <c r="AO867" s="648"/>
      <c r="AP867" s="630" t="s">
        <v>1160</v>
      </c>
      <c r="AQ867" s="631" t="s">
        <v>1161</v>
      </c>
      <c r="AR867" s="632">
        <v>7</v>
      </c>
      <c r="AS867" s="633" t="s">
        <v>1162</v>
      </c>
      <c r="AT867" s="630"/>
      <c r="AU867" s="631"/>
      <c r="AV867" s="632"/>
      <c r="AW867" s="633"/>
      <c r="AX867" s="650"/>
      <c r="AY867" s="672"/>
      <c r="AZ867" s="669"/>
      <c r="BA867" s="653"/>
      <c r="BB867" s="650"/>
      <c r="BC867" s="673"/>
      <c r="BD867" s="669"/>
      <c r="BE867" s="653"/>
    </row>
    <row r="868" spans="1:57" s="674" customFormat="1" ht="54" hidden="1" customHeight="1" x14ac:dyDescent="0.25">
      <c r="A868" s="923" t="s">
        <v>1687</v>
      </c>
      <c r="B868" s="619">
        <v>633</v>
      </c>
      <c r="C868" s="924" t="s">
        <v>1955</v>
      </c>
      <c r="D868" s="657" t="s">
        <v>1956</v>
      </c>
      <c r="E868" s="658" t="s">
        <v>7116</v>
      </c>
      <c r="F868" s="659" t="s">
        <v>7117</v>
      </c>
      <c r="G868" s="660" t="s">
        <v>7118</v>
      </c>
      <c r="H868" s="659" t="s">
        <v>7119</v>
      </c>
      <c r="I868" s="660" t="s">
        <v>7120</v>
      </c>
      <c r="J868" s="661" t="s">
        <v>140</v>
      </c>
      <c r="K868" s="657" t="s">
        <v>140</v>
      </c>
      <c r="L868" s="805" t="s">
        <v>7121</v>
      </c>
      <c r="M868" s="620" t="s">
        <v>973</v>
      </c>
      <c r="N868" s="621" t="s">
        <v>974</v>
      </c>
      <c r="O868" s="661" t="s">
        <v>144</v>
      </c>
      <c r="P868" s="661" t="s">
        <v>144</v>
      </c>
      <c r="Q868" s="675" t="s">
        <v>7122</v>
      </c>
      <c r="R868" s="660" t="s">
        <v>7123</v>
      </c>
      <c r="S868" s="663" t="s">
        <v>746</v>
      </c>
      <c r="T868" s="658" t="s">
        <v>1104</v>
      </c>
      <c r="U868" s="676" t="s">
        <v>1105</v>
      </c>
      <c r="V868" s="663">
        <v>19</v>
      </c>
      <c r="W868" s="663" t="s">
        <v>144</v>
      </c>
      <c r="X868" s="665">
        <v>45</v>
      </c>
      <c r="Y868" s="661" t="s">
        <v>144</v>
      </c>
      <c r="Z868" s="644" t="s">
        <v>29</v>
      </c>
      <c r="AA868" s="658" t="s">
        <v>7016</v>
      </c>
      <c r="AB868" s="661" t="s">
        <v>140</v>
      </c>
      <c r="AC868" s="661" t="s">
        <v>265</v>
      </c>
      <c r="AD868" s="661" t="s">
        <v>7017</v>
      </c>
      <c r="AE868" s="661" t="s">
        <v>144</v>
      </c>
      <c r="AF868" s="666" t="s">
        <v>144</v>
      </c>
      <c r="AG868" s="838"/>
      <c r="AH868" s="667" t="s">
        <v>7018</v>
      </c>
      <c r="AI868" s="668" t="s">
        <v>7019</v>
      </c>
      <c r="AJ868" s="669">
        <v>6</v>
      </c>
      <c r="AK868" s="748" t="s">
        <v>7020</v>
      </c>
      <c r="AL868" s="650"/>
      <c r="AM868" s="668"/>
      <c r="AN868" s="669"/>
      <c r="AO868" s="648"/>
      <c r="AP868" s="650"/>
      <c r="AQ868" s="668"/>
      <c r="AR868" s="649"/>
      <c r="AS868" s="653"/>
      <c r="AT868" s="650"/>
      <c r="AU868" s="668"/>
      <c r="AV868" s="649"/>
      <c r="AW868" s="653"/>
      <c r="AX868" s="650"/>
      <c r="AY868" s="672"/>
      <c r="AZ868" s="669"/>
      <c r="BA868" s="653"/>
      <c r="BB868" s="650"/>
      <c r="BC868" s="673"/>
      <c r="BD868" s="669"/>
      <c r="BE868" s="653"/>
    </row>
    <row r="869" spans="1:57" s="674" customFormat="1" ht="54" hidden="1" customHeight="1" x14ac:dyDescent="0.25">
      <c r="A869" s="923" t="s">
        <v>1687</v>
      </c>
      <c r="B869" s="619">
        <v>634</v>
      </c>
      <c r="C869" s="924" t="s">
        <v>1955</v>
      </c>
      <c r="D869" s="657" t="s">
        <v>1956</v>
      </c>
      <c r="E869" s="658" t="s">
        <v>7124</v>
      </c>
      <c r="F869" s="659" t="s">
        <v>7125</v>
      </c>
      <c r="G869" s="660" t="s">
        <v>7126</v>
      </c>
      <c r="H869" s="659" t="s">
        <v>7125</v>
      </c>
      <c r="I869" s="660" t="s">
        <v>7126</v>
      </c>
      <c r="J869" s="661" t="s">
        <v>140</v>
      </c>
      <c r="K869" s="657" t="s">
        <v>140</v>
      </c>
      <c r="L869" s="805" t="s">
        <v>7127</v>
      </c>
      <c r="M869" s="620" t="s">
        <v>973</v>
      </c>
      <c r="N869" s="621" t="s">
        <v>974</v>
      </c>
      <c r="O869" s="661" t="s">
        <v>814</v>
      </c>
      <c r="P869" s="677" t="s">
        <v>815</v>
      </c>
      <c r="Q869" s="675" t="s">
        <v>144</v>
      </c>
      <c r="R869" s="660" t="s">
        <v>144</v>
      </c>
      <c r="S869" s="663" t="s">
        <v>147</v>
      </c>
      <c r="T869" s="663" t="s">
        <v>144</v>
      </c>
      <c r="U869" s="664" t="s">
        <v>144</v>
      </c>
      <c r="V869" s="663">
        <v>3</v>
      </c>
      <c r="W869" s="663" t="s">
        <v>144</v>
      </c>
      <c r="X869" s="665">
        <v>45</v>
      </c>
      <c r="Y869" s="661" t="s">
        <v>144</v>
      </c>
      <c r="Z869" s="661" t="s">
        <v>144</v>
      </c>
      <c r="AA869" s="658" t="s">
        <v>7016</v>
      </c>
      <c r="AB869" s="661" t="s">
        <v>140</v>
      </c>
      <c r="AC869" s="661" t="s">
        <v>265</v>
      </c>
      <c r="AD869" s="661" t="s">
        <v>7017</v>
      </c>
      <c r="AE869" s="661" t="s">
        <v>144</v>
      </c>
      <c r="AF869" s="666" t="s">
        <v>144</v>
      </c>
      <c r="AG869" s="838"/>
      <c r="AH869" s="667" t="s">
        <v>7128</v>
      </c>
      <c r="AI869" s="668" t="s">
        <v>7129</v>
      </c>
      <c r="AJ869" s="669">
        <v>7</v>
      </c>
      <c r="AK869" s="670" t="s">
        <v>1280</v>
      </c>
      <c r="AL869" s="926" t="s">
        <v>294</v>
      </c>
      <c r="AM869" s="671" t="s">
        <v>295</v>
      </c>
      <c r="AN869" s="927">
        <v>7</v>
      </c>
      <c r="AO869" s="653" t="s">
        <v>966</v>
      </c>
      <c r="AP869" s="650"/>
      <c r="AQ869" s="668"/>
      <c r="AR869" s="649"/>
      <c r="AS869" s="653"/>
      <c r="AT869" s="650"/>
      <c r="AU869" s="668"/>
      <c r="AV869" s="649"/>
      <c r="AW869" s="653"/>
      <c r="AX869" s="650"/>
      <c r="AY869" s="672"/>
      <c r="AZ869" s="669"/>
      <c r="BA869" s="653"/>
      <c r="BB869" s="650"/>
      <c r="BC869" s="673"/>
      <c r="BD869" s="669"/>
      <c r="BE869" s="653"/>
    </row>
    <row r="870" spans="1:57" s="674" customFormat="1" ht="54" hidden="1" customHeight="1" x14ac:dyDescent="0.25">
      <c r="A870" s="928" t="s">
        <v>1687</v>
      </c>
      <c r="B870" s="619">
        <v>635</v>
      </c>
      <c r="C870" s="924" t="s">
        <v>1022</v>
      </c>
      <c r="D870" s="657" t="s">
        <v>1023</v>
      </c>
      <c r="E870" s="658" t="s">
        <v>7130</v>
      </c>
      <c r="F870" s="659" t="s">
        <v>7131</v>
      </c>
      <c r="G870" s="660" t="s">
        <v>7132</v>
      </c>
      <c r="H870" s="678" t="s">
        <v>7133</v>
      </c>
      <c r="I870" s="679" t="s">
        <v>7134</v>
      </c>
      <c r="J870" s="661" t="s">
        <v>140</v>
      </c>
      <c r="K870" s="657" t="s">
        <v>140</v>
      </c>
      <c r="L870" s="805" t="s">
        <v>7135</v>
      </c>
      <c r="M870" s="658" t="s">
        <v>193</v>
      </c>
      <c r="N870" s="657" t="s">
        <v>194</v>
      </c>
      <c r="O870" s="661" t="s">
        <v>7136</v>
      </c>
      <c r="P870" s="661" t="s">
        <v>7137</v>
      </c>
      <c r="Q870" s="675" t="s">
        <v>144</v>
      </c>
      <c r="R870" s="660" t="s">
        <v>144</v>
      </c>
      <c r="S870" s="663" t="s">
        <v>147</v>
      </c>
      <c r="T870" s="663" t="s">
        <v>144</v>
      </c>
      <c r="U870" s="664" t="s">
        <v>144</v>
      </c>
      <c r="V870" s="663">
        <v>1</v>
      </c>
      <c r="W870" s="663" t="s">
        <v>144</v>
      </c>
      <c r="X870" s="665">
        <v>45</v>
      </c>
      <c r="Y870" s="661" t="s">
        <v>144</v>
      </c>
      <c r="Z870" s="661" t="s">
        <v>144</v>
      </c>
      <c r="AA870" s="658" t="s">
        <v>7016</v>
      </c>
      <c r="AB870" s="661" t="s">
        <v>140</v>
      </c>
      <c r="AC870" s="661" t="s">
        <v>265</v>
      </c>
      <c r="AD870" s="661" t="s">
        <v>7017</v>
      </c>
      <c r="AE870" s="661" t="s">
        <v>144</v>
      </c>
      <c r="AF870" s="666" t="s">
        <v>144</v>
      </c>
      <c r="AG870" s="838"/>
      <c r="AH870" s="667"/>
      <c r="AI870" s="668"/>
      <c r="AJ870" s="669"/>
      <c r="AK870" s="670"/>
      <c r="AL870" s="926" t="s">
        <v>294</v>
      </c>
      <c r="AM870" s="671" t="s">
        <v>295</v>
      </c>
      <c r="AN870" s="927">
        <v>7</v>
      </c>
      <c r="AO870" s="653" t="s">
        <v>966</v>
      </c>
      <c r="AP870" s="650"/>
      <c r="AQ870" s="668"/>
      <c r="AR870" s="649"/>
      <c r="AS870" s="653"/>
      <c r="AT870" s="650"/>
      <c r="AU870" s="668"/>
      <c r="AV870" s="649"/>
      <c r="AW870" s="653"/>
      <c r="AX870" s="650"/>
      <c r="AY870" s="672"/>
      <c r="AZ870" s="669"/>
      <c r="BA870" s="653"/>
      <c r="BB870" s="650"/>
      <c r="BC870" s="673"/>
      <c r="BD870" s="669"/>
      <c r="BE870" s="653"/>
    </row>
    <row r="871" spans="1:57" s="674" customFormat="1" ht="54" hidden="1" customHeight="1" x14ac:dyDescent="0.25">
      <c r="A871" s="923" t="s">
        <v>1687</v>
      </c>
      <c r="B871" s="619">
        <v>636</v>
      </c>
      <c r="C871" s="924" t="s">
        <v>684</v>
      </c>
      <c r="D871" s="657" t="s">
        <v>685</v>
      </c>
      <c r="E871" s="658" t="s">
        <v>7138</v>
      </c>
      <c r="F871" s="659" t="s">
        <v>7139</v>
      </c>
      <c r="G871" s="660" t="s">
        <v>7140</v>
      </c>
      <c r="H871" s="659" t="s">
        <v>7141</v>
      </c>
      <c r="I871" s="660" t="s">
        <v>7142</v>
      </c>
      <c r="J871" s="661" t="s">
        <v>140</v>
      </c>
      <c r="K871" s="657" t="s">
        <v>140</v>
      </c>
      <c r="L871" s="805" t="s">
        <v>7143</v>
      </c>
      <c r="M871" s="658" t="s">
        <v>193</v>
      </c>
      <c r="N871" s="657" t="s">
        <v>194</v>
      </c>
      <c r="O871" s="661" t="s">
        <v>144</v>
      </c>
      <c r="P871" s="661" t="s">
        <v>144</v>
      </c>
      <c r="Q871" s="675" t="s">
        <v>7144</v>
      </c>
      <c r="R871" s="660" t="s">
        <v>7145</v>
      </c>
      <c r="S871" s="663" t="s">
        <v>746</v>
      </c>
      <c r="T871" s="658" t="s">
        <v>1104</v>
      </c>
      <c r="U871" s="676" t="s">
        <v>1105</v>
      </c>
      <c r="V871" s="663">
        <v>19</v>
      </c>
      <c r="W871" s="663" t="s">
        <v>144</v>
      </c>
      <c r="X871" s="665">
        <v>45</v>
      </c>
      <c r="Y871" s="661" t="s">
        <v>144</v>
      </c>
      <c r="Z871" s="661" t="s">
        <v>144</v>
      </c>
      <c r="AA871" s="658" t="s">
        <v>733</v>
      </c>
      <c r="AB871" s="661" t="s">
        <v>140</v>
      </c>
      <c r="AC871" s="661" t="s">
        <v>265</v>
      </c>
      <c r="AD871" s="661" t="s">
        <v>7146</v>
      </c>
      <c r="AE871" s="661" t="s">
        <v>144</v>
      </c>
      <c r="AF871" s="666" t="s">
        <v>144</v>
      </c>
      <c r="AG871" s="838"/>
      <c r="AH871" s="667"/>
      <c r="AI871" s="668"/>
      <c r="AJ871" s="669"/>
      <c r="AK871" s="670"/>
      <c r="AL871" s="650"/>
      <c r="AM871" s="668"/>
      <c r="AN871" s="669"/>
      <c r="AO871" s="648"/>
      <c r="AP871" s="650"/>
      <c r="AQ871" s="668"/>
      <c r="AR871" s="649"/>
      <c r="AS871" s="653"/>
      <c r="AT871" s="650"/>
      <c r="AU871" s="668"/>
      <c r="AV871" s="649"/>
      <c r="AW871" s="653"/>
      <c r="AX871" s="650"/>
      <c r="AY871" s="672"/>
      <c r="AZ871" s="669"/>
      <c r="BA871" s="653"/>
      <c r="BB871" s="650"/>
      <c r="BC871" s="673"/>
      <c r="BD871" s="669"/>
      <c r="BE871" s="653"/>
    </row>
    <row r="872" spans="1:57" s="674" customFormat="1" ht="54" hidden="1" customHeight="1" x14ac:dyDescent="0.25">
      <c r="A872" s="923" t="s">
        <v>1687</v>
      </c>
      <c r="B872" s="619">
        <v>637</v>
      </c>
      <c r="C872" s="924" t="s">
        <v>684</v>
      </c>
      <c r="D872" s="657" t="s">
        <v>685</v>
      </c>
      <c r="E872" s="658" t="s">
        <v>7147</v>
      </c>
      <c r="F872" s="659" t="s">
        <v>7148</v>
      </c>
      <c r="G872" s="660" t="s">
        <v>7149</v>
      </c>
      <c r="H872" s="659" t="s">
        <v>7141</v>
      </c>
      <c r="I872" s="660" t="s">
        <v>7142</v>
      </c>
      <c r="J872" s="661" t="s">
        <v>140</v>
      </c>
      <c r="K872" s="657" t="s">
        <v>140</v>
      </c>
      <c r="L872" s="805" t="s">
        <v>7150</v>
      </c>
      <c r="M872" s="620" t="s">
        <v>973</v>
      </c>
      <c r="N872" s="621" t="s">
        <v>974</v>
      </c>
      <c r="O872" s="661" t="s">
        <v>814</v>
      </c>
      <c r="P872" s="661" t="s">
        <v>815</v>
      </c>
      <c r="Q872" s="675" t="s">
        <v>7144</v>
      </c>
      <c r="R872" s="660" t="s">
        <v>7145</v>
      </c>
      <c r="S872" s="663" t="s">
        <v>147</v>
      </c>
      <c r="T872" s="663" t="s">
        <v>144</v>
      </c>
      <c r="U872" s="664" t="s">
        <v>144</v>
      </c>
      <c r="V872" s="663">
        <v>3</v>
      </c>
      <c r="W872" s="663" t="s">
        <v>144</v>
      </c>
      <c r="X872" s="665">
        <v>45</v>
      </c>
      <c r="Y872" s="661" t="s">
        <v>144</v>
      </c>
      <c r="Z872" s="661" t="s">
        <v>144</v>
      </c>
      <c r="AA872" s="658" t="s">
        <v>733</v>
      </c>
      <c r="AB872" s="661" t="s">
        <v>140</v>
      </c>
      <c r="AC872" s="661" t="s">
        <v>265</v>
      </c>
      <c r="AD872" s="661" t="s">
        <v>7146</v>
      </c>
      <c r="AE872" s="661" t="s">
        <v>144</v>
      </c>
      <c r="AF872" s="666" t="s">
        <v>144</v>
      </c>
      <c r="AG872" s="838"/>
      <c r="AH872" s="667" t="s">
        <v>7151</v>
      </c>
      <c r="AI872" s="668" t="s">
        <v>7152</v>
      </c>
      <c r="AJ872" s="669">
        <v>7</v>
      </c>
      <c r="AK872" s="670" t="s">
        <v>1280</v>
      </c>
      <c r="AL872" s="650" t="s">
        <v>294</v>
      </c>
      <c r="AM872" s="668" t="s">
        <v>295</v>
      </c>
      <c r="AN872" s="669">
        <v>7</v>
      </c>
      <c r="AO872" s="648" t="s">
        <v>966</v>
      </c>
      <c r="AP872" s="650"/>
      <c r="AQ872" s="668"/>
      <c r="AR872" s="649"/>
      <c r="AS872" s="653"/>
      <c r="AT872" s="650"/>
      <c r="AU872" s="668"/>
      <c r="AV872" s="649"/>
      <c r="AW872" s="653"/>
      <c r="AX872" s="650"/>
      <c r="AY872" s="672"/>
      <c r="AZ872" s="669"/>
      <c r="BA872" s="653"/>
      <c r="BB872" s="650"/>
      <c r="BC872" s="673"/>
      <c r="BD872" s="669"/>
      <c r="BE872" s="653"/>
    </row>
    <row r="873" spans="1:57" s="674" customFormat="1" ht="54" hidden="1" customHeight="1" x14ac:dyDescent="0.25">
      <c r="A873" s="923" t="s">
        <v>1687</v>
      </c>
      <c r="B873" s="619">
        <v>638</v>
      </c>
      <c r="C873" s="924" t="s">
        <v>684</v>
      </c>
      <c r="D873" s="657" t="s">
        <v>685</v>
      </c>
      <c r="E873" s="658" t="s">
        <v>7153</v>
      </c>
      <c r="F873" s="659" t="s">
        <v>7154</v>
      </c>
      <c r="G873" s="660" t="s">
        <v>7155</v>
      </c>
      <c r="H873" s="659" t="s">
        <v>7156</v>
      </c>
      <c r="I873" s="660" t="s">
        <v>7157</v>
      </c>
      <c r="J873" s="661" t="s">
        <v>140</v>
      </c>
      <c r="K873" s="657" t="s">
        <v>140</v>
      </c>
      <c r="L873" s="805" t="s">
        <v>7158</v>
      </c>
      <c r="M873" s="658" t="s">
        <v>193</v>
      </c>
      <c r="N873" s="657" t="s">
        <v>194</v>
      </c>
      <c r="O873" s="661" t="s">
        <v>144</v>
      </c>
      <c r="P873" s="661" t="s">
        <v>144</v>
      </c>
      <c r="Q873" s="675" t="s">
        <v>7144</v>
      </c>
      <c r="R873" s="660" t="s">
        <v>7145</v>
      </c>
      <c r="S873" s="663" t="s">
        <v>746</v>
      </c>
      <c r="T873" s="620" t="s">
        <v>7159</v>
      </c>
      <c r="U873" s="621" t="s">
        <v>7160</v>
      </c>
      <c r="V873" s="663">
        <v>6</v>
      </c>
      <c r="W873" s="663" t="s">
        <v>144</v>
      </c>
      <c r="X873" s="665">
        <v>45</v>
      </c>
      <c r="Y873" s="661" t="s">
        <v>144</v>
      </c>
      <c r="Z873" s="661" t="s">
        <v>144</v>
      </c>
      <c r="AA873" s="658" t="s">
        <v>733</v>
      </c>
      <c r="AB873" s="661" t="s">
        <v>140</v>
      </c>
      <c r="AC873" s="661" t="s">
        <v>265</v>
      </c>
      <c r="AD873" s="661" t="s">
        <v>7146</v>
      </c>
      <c r="AE873" s="661" t="s">
        <v>144</v>
      </c>
      <c r="AF873" s="666" t="s">
        <v>144</v>
      </c>
      <c r="AG873" s="838"/>
      <c r="AH873" s="667"/>
      <c r="AI873" s="668"/>
      <c r="AJ873" s="669"/>
      <c r="AK873" s="670"/>
      <c r="AL873" s="650"/>
      <c r="AM873" s="668"/>
      <c r="AN873" s="669"/>
      <c r="AO873" s="648"/>
      <c r="AP873" s="650"/>
      <c r="AQ873" s="668"/>
      <c r="AR873" s="649"/>
      <c r="AS873" s="653"/>
      <c r="AT873" s="650"/>
      <c r="AU873" s="668"/>
      <c r="AV873" s="649"/>
      <c r="AW873" s="653"/>
      <c r="AX873" s="650"/>
      <c r="AY873" s="672"/>
      <c r="AZ873" s="669"/>
      <c r="BA873" s="653"/>
      <c r="BB873" s="650"/>
      <c r="BC873" s="673"/>
      <c r="BD873" s="669"/>
      <c r="BE873" s="653"/>
    </row>
    <row r="874" spans="1:57" s="674" customFormat="1" ht="54" hidden="1" customHeight="1" x14ac:dyDescent="0.25">
      <c r="A874" s="928" t="s">
        <v>1687</v>
      </c>
      <c r="B874" s="619">
        <v>639</v>
      </c>
      <c r="C874" s="924" t="s">
        <v>684</v>
      </c>
      <c r="D874" s="657" t="s">
        <v>685</v>
      </c>
      <c r="E874" s="658" t="s">
        <v>7161</v>
      </c>
      <c r="F874" s="659" t="s">
        <v>7162</v>
      </c>
      <c r="G874" s="660" t="s">
        <v>7163</v>
      </c>
      <c r="H874" s="678" t="s">
        <v>7164</v>
      </c>
      <c r="I874" s="679" t="s">
        <v>7165</v>
      </c>
      <c r="J874" s="661" t="s">
        <v>140</v>
      </c>
      <c r="K874" s="657" t="s">
        <v>140</v>
      </c>
      <c r="L874" s="805" t="s">
        <v>7166</v>
      </c>
      <c r="M874" s="620" t="s">
        <v>973</v>
      </c>
      <c r="N874" s="621" t="s">
        <v>974</v>
      </c>
      <c r="O874" s="661" t="s">
        <v>7167</v>
      </c>
      <c r="P874" s="661" t="s">
        <v>7168</v>
      </c>
      <c r="Q874" s="675" t="s">
        <v>7169</v>
      </c>
      <c r="R874" s="660" t="s">
        <v>7170</v>
      </c>
      <c r="S874" s="663" t="s">
        <v>147</v>
      </c>
      <c r="T874" s="663" t="s">
        <v>144</v>
      </c>
      <c r="U874" s="664" t="s">
        <v>144</v>
      </c>
      <c r="V874" s="663">
        <v>1</v>
      </c>
      <c r="W874" s="663" t="s">
        <v>144</v>
      </c>
      <c r="X874" s="665">
        <v>45</v>
      </c>
      <c r="Y874" s="661" t="s">
        <v>144</v>
      </c>
      <c r="Z874" s="644" t="s">
        <v>29</v>
      </c>
      <c r="AA874" s="658" t="s">
        <v>733</v>
      </c>
      <c r="AB874" s="661" t="s">
        <v>140</v>
      </c>
      <c r="AC874" s="661" t="s">
        <v>265</v>
      </c>
      <c r="AD874" s="661" t="s">
        <v>3503</v>
      </c>
      <c r="AE874" s="661" t="s">
        <v>144</v>
      </c>
      <c r="AF874" s="666" t="s">
        <v>144</v>
      </c>
      <c r="AG874" s="838"/>
      <c r="AH874" s="667" t="s">
        <v>7171</v>
      </c>
      <c r="AI874" s="668" t="s">
        <v>7172</v>
      </c>
      <c r="AJ874" s="669">
        <v>7</v>
      </c>
      <c r="AK874" s="748" t="s">
        <v>3411</v>
      </c>
      <c r="AL874" s="926" t="s">
        <v>294</v>
      </c>
      <c r="AM874" s="671" t="s">
        <v>295</v>
      </c>
      <c r="AN874" s="927">
        <v>7</v>
      </c>
      <c r="AO874" s="653" t="s">
        <v>966</v>
      </c>
      <c r="AP874" s="650"/>
      <c r="AQ874" s="668"/>
      <c r="AR874" s="649"/>
      <c r="AS874" s="653"/>
      <c r="AT874" s="650"/>
      <c r="AU874" s="668"/>
      <c r="AV874" s="649"/>
      <c r="AW874" s="653"/>
      <c r="AX874" s="650"/>
      <c r="AY874" s="672"/>
      <c r="AZ874" s="669"/>
      <c r="BA874" s="653"/>
      <c r="BB874" s="650"/>
      <c r="BC874" s="673"/>
      <c r="BD874" s="669"/>
      <c r="BE874" s="653"/>
    </row>
    <row r="875" spans="1:57" s="674" customFormat="1" ht="54" hidden="1" customHeight="1" x14ac:dyDescent="0.25">
      <c r="A875" s="928" t="s">
        <v>1687</v>
      </c>
      <c r="B875" s="619">
        <v>640</v>
      </c>
      <c r="C875" s="924" t="s">
        <v>684</v>
      </c>
      <c r="D875" s="657" t="s">
        <v>685</v>
      </c>
      <c r="E875" s="658" t="s">
        <v>7173</v>
      </c>
      <c r="F875" s="659" t="s">
        <v>7174</v>
      </c>
      <c r="G875" s="660" t="s">
        <v>7175</v>
      </c>
      <c r="H875" s="678" t="s">
        <v>7176</v>
      </c>
      <c r="I875" s="679" t="s">
        <v>7177</v>
      </c>
      <c r="J875" s="661" t="s">
        <v>140</v>
      </c>
      <c r="K875" s="657" t="s">
        <v>140</v>
      </c>
      <c r="L875" s="805" t="s">
        <v>7178</v>
      </c>
      <c r="M875" s="620" t="s">
        <v>973</v>
      </c>
      <c r="N875" s="621" t="s">
        <v>974</v>
      </c>
      <c r="O875" s="661" t="s">
        <v>7179</v>
      </c>
      <c r="P875" s="661" t="s">
        <v>7180</v>
      </c>
      <c r="Q875" s="675" t="s">
        <v>7181</v>
      </c>
      <c r="R875" s="660" t="s">
        <v>7182</v>
      </c>
      <c r="S875" s="663" t="s">
        <v>147</v>
      </c>
      <c r="T875" s="663" t="s">
        <v>144</v>
      </c>
      <c r="U875" s="664" t="s">
        <v>144</v>
      </c>
      <c r="V875" s="663">
        <v>1</v>
      </c>
      <c r="W875" s="663" t="s">
        <v>144</v>
      </c>
      <c r="X875" s="665">
        <v>45</v>
      </c>
      <c r="Y875" s="661" t="s">
        <v>144</v>
      </c>
      <c r="Z875" s="644" t="s">
        <v>29</v>
      </c>
      <c r="AA875" s="658" t="s">
        <v>733</v>
      </c>
      <c r="AB875" s="661" t="s">
        <v>140</v>
      </c>
      <c r="AC875" s="661" t="s">
        <v>265</v>
      </c>
      <c r="AD875" s="661" t="s">
        <v>1690</v>
      </c>
      <c r="AE875" s="661" t="s">
        <v>144</v>
      </c>
      <c r="AF875" s="666" t="s">
        <v>144</v>
      </c>
      <c r="AG875" s="838"/>
      <c r="AH875" s="667" t="s">
        <v>7183</v>
      </c>
      <c r="AI875" s="668" t="s">
        <v>7184</v>
      </c>
      <c r="AJ875" s="669">
        <v>7</v>
      </c>
      <c r="AK875" s="748" t="s">
        <v>7185</v>
      </c>
      <c r="AL875" s="926" t="s">
        <v>294</v>
      </c>
      <c r="AM875" s="671" t="s">
        <v>295</v>
      </c>
      <c r="AN875" s="927">
        <v>7</v>
      </c>
      <c r="AO875" s="653" t="s">
        <v>966</v>
      </c>
      <c r="AP875" s="650"/>
      <c r="AQ875" s="668"/>
      <c r="AR875" s="649"/>
      <c r="AS875" s="653"/>
      <c r="AT875" s="650"/>
      <c r="AU875" s="668"/>
      <c r="AV875" s="649"/>
      <c r="AW875" s="653"/>
      <c r="AX875" s="650"/>
      <c r="AY875" s="672"/>
      <c r="AZ875" s="669"/>
      <c r="BA875" s="653"/>
      <c r="BB875" s="650"/>
      <c r="BC875" s="673"/>
      <c r="BD875" s="669"/>
      <c r="BE875" s="653"/>
    </row>
    <row r="876" spans="1:57" s="674" customFormat="1" ht="54" hidden="1" customHeight="1" x14ac:dyDescent="0.25">
      <c r="A876" s="928" t="s">
        <v>1687</v>
      </c>
      <c r="B876" s="619">
        <v>641</v>
      </c>
      <c r="C876" s="924" t="s">
        <v>684</v>
      </c>
      <c r="D876" s="657" t="s">
        <v>685</v>
      </c>
      <c r="E876" s="658" t="s">
        <v>7186</v>
      </c>
      <c r="F876" s="659" t="s">
        <v>7187</v>
      </c>
      <c r="G876" s="660" t="s">
        <v>7188</v>
      </c>
      <c r="H876" s="678" t="s">
        <v>7189</v>
      </c>
      <c r="I876" s="679" t="s">
        <v>7190</v>
      </c>
      <c r="J876" s="661" t="s">
        <v>140</v>
      </c>
      <c r="K876" s="657" t="s">
        <v>140</v>
      </c>
      <c r="L876" s="805" t="s">
        <v>7191</v>
      </c>
      <c r="M876" s="658" t="s">
        <v>193</v>
      </c>
      <c r="N876" s="657" t="s">
        <v>194</v>
      </c>
      <c r="O876" s="661" t="s">
        <v>7192</v>
      </c>
      <c r="P876" s="661" t="s">
        <v>7193</v>
      </c>
      <c r="Q876" s="675" t="s">
        <v>144</v>
      </c>
      <c r="R876" s="660" t="s">
        <v>144</v>
      </c>
      <c r="S876" s="663" t="s">
        <v>147</v>
      </c>
      <c r="T876" s="663" t="s">
        <v>144</v>
      </c>
      <c r="U876" s="664" t="s">
        <v>144</v>
      </c>
      <c r="V876" s="663">
        <v>1</v>
      </c>
      <c r="W876" s="663" t="s">
        <v>144</v>
      </c>
      <c r="X876" s="665">
        <v>45</v>
      </c>
      <c r="Y876" s="661" t="s">
        <v>144</v>
      </c>
      <c r="Z876" s="661" t="s">
        <v>144</v>
      </c>
      <c r="AA876" s="658" t="s">
        <v>733</v>
      </c>
      <c r="AB876" s="661" t="s">
        <v>140</v>
      </c>
      <c r="AC876" s="661" t="s">
        <v>265</v>
      </c>
      <c r="AD876" s="661" t="s">
        <v>7194</v>
      </c>
      <c r="AE876" s="661" t="s">
        <v>144</v>
      </c>
      <c r="AF876" s="666" t="s">
        <v>144</v>
      </c>
      <c r="AG876" s="838"/>
      <c r="AH876" s="667"/>
      <c r="AI876" s="668"/>
      <c r="AJ876" s="669"/>
      <c r="AK876" s="670"/>
      <c r="AL876" s="926" t="s">
        <v>294</v>
      </c>
      <c r="AM876" s="671" t="s">
        <v>295</v>
      </c>
      <c r="AN876" s="927">
        <v>7</v>
      </c>
      <c r="AO876" s="653" t="s">
        <v>966</v>
      </c>
      <c r="AP876" s="650"/>
      <c r="AQ876" s="668"/>
      <c r="AR876" s="649"/>
      <c r="AS876" s="653"/>
      <c r="AT876" s="650"/>
      <c r="AU876" s="668"/>
      <c r="AV876" s="649"/>
      <c r="AW876" s="653"/>
      <c r="AX876" s="650"/>
      <c r="AY876" s="672"/>
      <c r="AZ876" s="669"/>
      <c r="BA876" s="653"/>
      <c r="BB876" s="650"/>
      <c r="BC876" s="673"/>
      <c r="BD876" s="669"/>
      <c r="BE876" s="653"/>
    </row>
    <row r="877" spans="1:57" s="674" customFormat="1" ht="54" hidden="1" customHeight="1" x14ac:dyDescent="0.25">
      <c r="A877" s="928" t="s">
        <v>1687</v>
      </c>
      <c r="B877" s="619">
        <v>642</v>
      </c>
      <c r="C877" s="924" t="s">
        <v>684</v>
      </c>
      <c r="D877" s="657" t="s">
        <v>685</v>
      </c>
      <c r="E877" s="658" t="s">
        <v>7195</v>
      </c>
      <c r="F877" s="659" t="s">
        <v>7196</v>
      </c>
      <c r="G877" s="660" t="s">
        <v>7197</v>
      </c>
      <c r="H877" s="659" t="s">
        <v>7198</v>
      </c>
      <c r="I877" s="660" t="s">
        <v>7199</v>
      </c>
      <c r="J877" s="661" t="s">
        <v>140</v>
      </c>
      <c r="K877" s="657" t="s">
        <v>140</v>
      </c>
      <c r="L877" s="805" t="s">
        <v>7200</v>
      </c>
      <c r="M877" s="658" t="s">
        <v>193</v>
      </c>
      <c r="N877" s="657" t="s">
        <v>194</v>
      </c>
      <c r="O877" s="661" t="s">
        <v>144</v>
      </c>
      <c r="P877" s="661" t="s">
        <v>144</v>
      </c>
      <c r="Q877" s="675" t="s">
        <v>144</v>
      </c>
      <c r="R877" s="660" t="s">
        <v>144</v>
      </c>
      <c r="S877" s="663" t="s">
        <v>746</v>
      </c>
      <c r="T877" s="658" t="s">
        <v>1104</v>
      </c>
      <c r="U877" s="676" t="s">
        <v>1105</v>
      </c>
      <c r="V877" s="663">
        <v>19</v>
      </c>
      <c r="W877" s="663" t="s">
        <v>144</v>
      </c>
      <c r="X877" s="665">
        <v>45</v>
      </c>
      <c r="Y877" s="661" t="s">
        <v>144</v>
      </c>
      <c r="Z877" s="661" t="s">
        <v>144</v>
      </c>
      <c r="AA877" s="658" t="s">
        <v>733</v>
      </c>
      <c r="AB877" s="661" t="s">
        <v>140</v>
      </c>
      <c r="AC877" s="661" t="s">
        <v>265</v>
      </c>
      <c r="AD877" s="661" t="s">
        <v>1690</v>
      </c>
      <c r="AE877" s="661" t="s">
        <v>144</v>
      </c>
      <c r="AF877" s="666" t="s">
        <v>144</v>
      </c>
      <c r="AG877" s="838"/>
      <c r="AH877" s="667"/>
      <c r="AI877" s="668"/>
      <c r="AJ877" s="669"/>
      <c r="AK877" s="670"/>
      <c r="AL877" s="650"/>
      <c r="AM877" s="668"/>
      <c r="AN877" s="669"/>
      <c r="AO877" s="648"/>
      <c r="AP877" s="650"/>
      <c r="AQ877" s="668"/>
      <c r="AR877" s="649"/>
      <c r="AS877" s="653"/>
      <c r="AT877" s="650"/>
      <c r="AU877" s="668"/>
      <c r="AV877" s="649"/>
      <c r="AW877" s="653"/>
      <c r="AX877" s="650"/>
      <c r="AY877" s="672"/>
      <c r="AZ877" s="669"/>
      <c r="BA877" s="653"/>
      <c r="BB877" s="650"/>
      <c r="BC877" s="673"/>
      <c r="BD877" s="669"/>
      <c r="BE877" s="653"/>
    </row>
    <row r="878" spans="1:57" s="674" customFormat="1" ht="54" hidden="1" customHeight="1" x14ac:dyDescent="0.25">
      <c r="A878" s="923" t="s">
        <v>1687</v>
      </c>
      <c r="B878" s="619">
        <v>643</v>
      </c>
      <c r="C878" s="924" t="s">
        <v>684</v>
      </c>
      <c r="D878" s="657" t="s">
        <v>685</v>
      </c>
      <c r="E878" s="658" t="s">
        <v>7201</v>
      </c>
      <c r="F878" s="659" t="s">
        <v>7202</v>
      </c>
      <c r="G878" s="660" t="s">
        <v>7203</v>
      </c>
      <c r="H878" s="727" t="s">
        <v>7204</v>
      </c>
      <c r="I878" s="679" t="s">
        <v>7205</v>
      </c>
      <c r="J878" s="661" t="s">
        <v>140</v>
      </c>
      <c r="K878" s="657" t="s">
        <v>140</v>
      </c>
      <c r="L878" s="805" t="s">
        <v>7206</v>
      </c>
      <c r="M878" s="658" t="s">
        <v>142</v>
      </c>
      <c r="N878" s="657" t="s">
        <v>143</v>
      </c>
      <c r="O878" s="661" t="s">
        <v>7207</v>
      </c>
      <c r="P878" s="661" t="s">
        <v>7208</v>
      </c>
      <c r="Q878" s="675" t="s">
        <v>144</v>
      </c>
      <c r="R878" s="660" t="s">
        <v>144</v>
      </c>
      <c r="S878" s="663" t="s">
        <v>147</v>
      </c>
      <c r="T878" s="663" t="s">
        <v>144</v>
      </c>
      <c r="U878" s="664" t="s">
        <v>144</v>
      </c>
      <c r="V878" s="663">
        <v>1</v>
      </c>
      <c r="W878" s="663" t="s">
        <v>144</v>
      </c>
      <c r="X878" s="665">
        <v>45</v>
      </c>
      <c r="Y878" s="663" t="s">
        <v>144</v>
      </c>
      <c r="Z878" s="661" t="s">
        <v>29</v>
      </c>
      <c r="AA878" s="658" t="s">
        <v>733</v>
      </c>
      <c r="AB878" s="661" t="s">
        <v>140</v>
      </c>
      <c r="AC878" s="661" t="s">
        <v>265</v>
      </c>
      <c r="AD878" s="661" t="s">
        <v>7017</v>
      </c>
      <c r="AE878" s="661" t="s">
        <v>144</v>
      </c>
      <c r="AF878" s="666" t="s">
        <v>144</v>
      </c>
      <c r="AG878" s="838"/>
      <c r="AH878" s="667" t="s">
        <v>266</v>
      </c>
      <c r="AI878" s="668" t="s">
        <v>267</v>
      </c>
      <c r="AJ878" s="669">
        <v>7</v>
      </c>
      <c r="AK878" s="670" t="s">
        <v>1046</v>
      </c>
      <c r="AL878" s="926" t="s">
        <v>294</v>
      </c>
      <c r="AM878" s="671" t="s">
        <v>295</v>
      </c>
      <c r="AN878" s="927">
        <v>7</v>
      </c>
      <c r="AO878" s="653" t="s">
        <v>966</v>
      </c>
      <c r="AP878" s="650"/>
      <c r="AQ878" s="668"/>
      <c r="AR878" s="649"/>
      <c r="AS878" s="653"/>
      <c r="AT878" s="650"/>
      <c r="AU878" s="668"/>
      <c r="AV878" s="649"/>
      <c r="AW878" s="653"/>
      <c r="AX878" s="650"/>
      <c r="AY878" s="672"/>
      <c r="AZ878" s="669"/>
      <c r="BA878" s="653"/>
      <c r="BB878" s="650"/>
      <c r="BC878" s="673"/>
      <c r="BD878" s="669"/>
      <c r="BE878" s="653"/>
    </row>
    <row r="879" spans="1:57" s="674" customFormat="1" ht="54" hidden="1" customHeight="1" x14ac:dyDescent="0.25">
      <c r="A879" s="928" t="s">
        <v>1687</v>
      </c>
      <c r="B879" s="619">
        <v>644</v>
      </c>
      <c r="C879" s="924" t="s">
        <v>684</v>
      </c>
      <c r="D879" s="657" t="s">
        <v>685</v>
      </c>
      <c r="E879" s="658" t="s">
        <v>7209</v>
      </c>
      <c r="F879" s="659" t="s">
        <v>7210</v>
      </c>
      <c r="G879" s="660" t="s">
        <v>7211</v>
      </c>
      <c r="H879" s="678" t="s">
        <v>7212</v>
      </c>
      <c r="I879" s="679" t="s">
        <v>7213</v>
      </c>
      <c r="J879" s="661" t="s">
        <v>140</v>
      </c>
      <c r="K879" s="657" t="s">
        <v>140</v>
      </c>
      <c r="L879" s="805" t="s">
        <v>7214</v>
      </c>
      <c r="M879" s="620" t="s">
        <v>973</v>
      </c>
      <c r="N879" s="621" t="s">
        <v>974</v>
      </c>
      <c r="O879" s="661" t="s">
        <v>7215</v>
      </c>
      <c r="P879" s="661" t="s">
        <v>7216</v>
      </c>
      <c r="Q879" s="675" t="s">
        <v>144</v>
      </c>
      <c r="R879" s="660" t="s">
        <v>144</v>
      </c>
      <c r="S879" s="663" t="s">
        <v>147</v>
      </c>
      <c r="T879" s="663" t="s">
        <v>144</v>
      </c>
      <c r="U879" s="664" t="s">
        <v>144</v>
      </c>
      <c r="V879" s="663">
        <v>1</v>
      </c>
      <c r="W879" s="663" t="s">
        <v>144</v>
      </c>
      <c r="X879" s="665">
        <v>45</v>
      </c>
      <c r="Y879" s="661" t="s">
        <v>144</v>
      </c>
      <c r="Z879" s="661" t="s">
        <v>29</v>
      </c>
      <c r="AA879" s="658" t="s">
        <v>733</v>
      </c>
      <c r="AB879" s="661" t="s">
        <v>140</v>
      </c>
      <c r="AC879" s="661" t="s">
        <v>265</v>
      </c>
      <c r="AD879" s="661" t="s">
        <v>7217</v>
      </c>
      <c r="AE879" s="661" t="s">
        <v>144</v>
      </c>
      <c r="AF879" s="666" t="s">
        <v>144</v>
      </c>
      <c r="AG879" s="838"/>
      <c r="AH879" s="667" t="s">
        <v>7218</v>
      </c>
      <c r="AI879" s="668" t="s">
        <v>7219</v>
      </c>
      <c r="AJ879" s="669">
        <v>7</v>
      </c>
      <c r="AK879" s="748" t="s">
        <v>7220</v>
      </c>
      <c r="AL879" s="926" t="s">
        <v>294</v>
      </c>
      <c r="AM879" s="671" t="s">
        <v>295</v>
      </c>
      <c r="AN879" s="927">
        <v>7</v>
      </c>
      <c r="AO879" s="653" t="s">
        <v>966</v>
      </c>
      <c r="AP879" s="650"/>
      <c r="AQ879" s="668"/>
      <c r="AR879" s="649"/>
      <c r="AS879" s="653"/>
      <c r="AT879" s="650"/>
      <c r="AU879" s="668"/>
      <c r="AV879" s="649"/>
      <c r="AW879" s="653"/>
      <c r="AX879" s="650"/>
      <c r="AY879" s="672"/>
      <c r="AZ879" s="669"/>
      <c r="BA879" s="653"/>
      <c r="BB879" s="650"/>
      <c r="BC879" s="673"/>
      <c r="BD879" s="669"/>
      <c r="BE879" s="653"/>
    </row>
    <row r="880" spans="1:57" s="674" customFormat="1" ht="54" hidden="1" customHeight="1" x14ac:dyDescent="0.25">
      <c r="A880" s="923" t="s">
        <v>1687</v>
      </c>
      <c r="B880" s="619">
        <v>645</v>
      </c>
      <c r="C880" s="924" t="s">
        <v>2378</v>
      </c>
      <c r="D880" s="657" t="s">
        <v>2379</v>
      </c>
      <c r="E880" s="658" t="s">
        <v>7221</v>
      </c>
      <c r="F880" s="807" t="s">
        <v>7222</v>
      </c>
      <c r="G880" s="809" t="s">
        <v>7223</v>
      </c>
      <c r="H880" s="810" t="s">
        <v>7224</v>
      </c>
      <c r="I880" s="811" t="s">
        <v>7225</v>
      </c>
      <c r="J880" s="661" t="s">
        <v>140</v>
      </c>
      <c r="K880" s="657" t="s">
        <v>140</v>
      </c>
      <c r="L880" s="818" t="s">
        <v>2414</v>
      </c>
      <c r="M880" s="812" t="s">
        <v>142</v>
      </c>
      <c r="N880" s="813" t="s">
        <v>143</v>
      </c>
      <c r="O880" s="661" t="s">
        <v>7226</v>
      </c>
      <c r="P880" s="661" t="s">
        <v>7227</v>
      </c>
      <c r="Q880" s="808" t="s">
        <v>7228</v>
      </c>
      <c r="R880" s="809" t="s">
        <v>7229</v>
      </c>
      <c r="S880" s="663" t="s">
        <v>147</v>
      </c>
      <c r="T880" s="663" t="s">
        <v>144</v>
      </c>
      <c r="U880" s="664" t="s">
        <v>144</v>
      </c>
      <c r="V880" s="663">
        <v>1</v>
      </c>
      <c r="W880" s="663" t="s">
        <v>144</v>
      </c>
      <c r="X880" s="665">
        <v>45</v>
      </c>
      <c r="Y880" s="661" t="s">
        <v>144</v>
      </c>
      <c r="Z880" s="661" t="s">
        <v>32</v>
      </c>
      <c r="AA880" s="658" t="s">
        <v>6832</v>
      </c>
      <c r="AB880" s="661" t="s">
        <v>140</v>
      </c>
      <c r="AC880" s="661" t="s">
        <v>265</v>
      </c>
      <c r="AD880" s="661" t="s">
        <v>2430</v>
      </c>
      <c r="AE880" s="661" t="s">
        <v>144</v>
      </c>
      <c r="AF880" s="666" t="s">
        <v>144</v>
      </c>
      <c r="AG880" s="838"/>
      <c r="AH880" s="814" t="s">
        <v>266</v>
      </c>
      <c r="AI880" s="815" t="s">
        <v>267</v>
      </c>
      <c r="AJ880" s="816">
        <v>7</v>
      </c>
      <c r="AK880" s="817" t="s">
        <v>1046</v>
      </c>
      <c r="AL880" s="926" t="s">
        <v>294</v>
      </c>
      <c r="AM880" s="671" t="s">
        <v>295</v>
      </c>
      <c r="AN880" s="927">
        <v>7</v>
      </c>
      <c r="AO880" s="653" t="s">
        <v>966</v>
      </c>
      <c r="AP880" s="650"/>
      <c r="AQ880" s="668"/>
      <c r="AR880" s="649"/>
      <c r="AS880" s="653"/>
      <c r="AT880" s="650"/>
      <c r="AU880" s="668"/>
      <c r="AV880" s="649"/>
      <c r="AW880" s="653"/>
      <c r="AX880" s="650"/>
      <c r="AY880" s="672"/>
      <c r="AZ880" s="669"/>
      <c r="BA880" s="653"/>
      <c r="BB880" s="650"/>
      <c r="BC880" s="673"/>
      <c r="BD880" s="669"/>
      <c r="BE880" s="653"/>
    </row>
    <row r="881" spans="1:57" s="674" customFormat="1" ht="54" hidden="1" customHeight="1" x14ac:dyDescent="0.25">
      <c r="A881" s="923" t="s">
        <v>1687</v>
      </c>
      <c r="B881" s="619">
        <v>646</v>
      </c>
      <c r="C881" s="924" t="s">
        <v>2530</v>
      </c>
      <c r="D881" s="657" t="s">
        <v>2531</v>
      </c>
      <c r="E881" s="658" t="s">
        <v>7230</v>
      </c>
      <c r="F881" s="659" t="s">
        <v>7231</v>
      </c>
      <c r="G881" s="660" t="s">
        <v>7232</v>
      </c>
      <c r="H881" s="659" t="s">
        <v>7233</v>
      </c>
      <c r="I881" s="660" t="s">
        <v>7234</v>
      </c>
      <c r="J881" s="661" t="s">
        <v>140</v>
      </c>
      <c r="K881" s="657" t="s">
        <v>140</v>
      </c>
      <c r="L881" s="805" t="s">
        <v>7235</v>
      </c>
      <c r="M881" s="620" t="s">
        <v>973</v>
      </c>
      <c r="N881" s="621" t="s">
        <v>974</v>
      </c>
      <c r="O881" s="661" t="s">
        <v>144</v>
      </c>
      <c r="P881" s="661" t="s">
        <v>144</v>
      </c>
      <c r="Q881" s="675" t="s">
        <v>144</v>
      </c>
      <c r="R881" s="660" t="s">
        <v>144</v>
      </c>
      <c r="S881" s="663" t="s">
        <v>147</v>
      </c>
      <c r="T881" s="663" t="s">
        <v>144</v>
      </c>
      <c r="U881" s="664" t="s">
        <v>144</v>
      </c>
      <c r="V881" s="663">
        <v>40</v>
      </c>
      <c r="W881" s="663" t="s">
        <v>144</v>
      </c>
      <c r="X881" s="665">
        <v>45</v>
      </c>
      <c r="Y881" s="661" t="s">
        <v>144</v>
      </c>
      <c r="Z881" s="661" t="s">
        <v>29</v>
      </c>
      <c r="AA881" s="658" t="s">
        <v>6832</v>
      </c>
      <c r="AB881" s="661" t="s">
        <v>140</v>
      </c>
      <c r="AC881" s="661" t="s">
        <v>265</v>
      </c>
      <c r="AD881" s="661" t="s">
        <v>7236</v>
      </c>
      <c r="AE881" s="661" t="s">
        <v>144</v>
      </c>
      <c r="AF881" s="666" t="s">
        <v>144</v>
      </c>
      <c r="AG881" s="838"/>
      <c r="AH881" s="667" t="s">
        <v>7237</v>
      </c>
      <c r="AI881" s="668" t="s">
        <v>7238</v>
      </c>
      <c r="AJ881" s="669">
        <v>6</v>
      </c>
      <c r="AK881" s="748" t="s">
        <v>7239</v>
      </c>
      <c r="AL881" s="650"/>
      <c r="AM881" s="668"/>
      <c r="AN881" s="669"/>
      <c r="AO881" s="648"/>
      <c r="AP881" s="650"/>
      <c r="AQ881" s="668"/>
      <c r="AR881" s="649"/>
      <c r="AS881" s="653"/>
      <c r="AT881" s="650"/>
      <c r="AU881" s="668"/>
      <c r="AV881" s="649"/>
      <c r="AW881" s="653"/>
      <c r="AX881" s="650"/>
      <c r="AY881" s="672"/>
      <c r="AZ881" s="669"/>
      <c r="BA881" s="653"/>
      <c r="BB881" s="650"/>
      <c r="BC881" s="673"/>
      <c r="BD881" s="669"/>
      <c r="BE881" s="653"/>
    </row>
    <row r="882" spans="1:57" s="674" customFormat="1" ht="54" hidden="1" customHeight="1" x14ac:dyDescent="0.25">
      <c r="A882" s="923" t="s">
        <v>1687</v>
      </c>
      <c r="B882" s="619">
        <v>647</v>
      </c>
      <c r="C882" s="924" t="s">
        <v>2530</v>
      </c>
      <c r="D882" s="657" t="s">
        <v>2531</v>
      </c>
      <c r="E882" s="658" t="s">
        <v>7240</v>
      </c>
      <c r="F882" s="659" t="s">
        <v>7241</v>
      </c>
      <c r="G882" s="660" t="s">
        <v>7242</v>
      </c>
      <c r="H882" s="659" t="s">
        <v>7243</v>
      </c>
      <c r="I882" s="660" t="s">
        <v>7244</v>
      </c>
      <c r="J882" s="661" t="s">
        <v>140</v>
      </c>
      <c r="K882" s="657" t="s">
        <v>140</v>
      </c>
      <c r="L882" s="805" t="s">
        <v>7245</v>
      </c>
      <c r="M882" s="620" t="s">
        <v>973</v>
      </c>
      <c r="N882" s="621" t="s">
        <v>974</v>
      </c>
      <c r="O882" s="661" t="s">
        <v>144</v>
      </c>
      <c r="P882" s="661" t="s">
        <v>144</v>
      </c>
      <c r="Q882" s="675" t="s">
        <v>144</v>
      </c>
      <c r="R882" s="660" t="s">
        <v>144</v>
      </c>
      <c r="S882" s="619" t="s">
        <v>746</v>
      </c>
      <c r="T882" s="620" t="s">
        <v>5660</v>
      </c>
      <c r="U882" s="621" t="s">
        <v>5661</v>
      </c>
      <c r="V882" s="663">
        <v>15</v>
      </c>
      <c r="W882" s="663" t="s">
        <v>144</v>
      </c>
      <c r="X882" s="665">
        <v>45</v>
      </c>
      <c r="Y882" s="661" t="s">
        <v>144</v>
      </c>
      <c r="Z882" s="661" t="s">
        <v>29</v>
      </c>
      <c r="AA882" s="658" t="s">
        <v>6832</v>
      </c>
      <c r="AB882" s="661" t="s">
        <v>140</v>
      </c>
      <c r="AC882" s="661" t="s">
        <v>265</v>
      </c>
      <c r="AD882" s="661" t="s">
        <v>7236</v>
      </c>
      <c r="AE882" s="661" t="s">
        <v>144</v>
      </c>
      <c r="AF882" s="666" t="s">
        <v>144</v>
      </c>
      <c r="AG882" s="838"/>
      <c r="AH882" s="667" t="s">
        <v>7237</v>
      </c>
      <c r="AI882" s="668" t="s">
        <v>7238</v>
      </c>
      <c r="AJ882" s="669">
        <v>6</v>
      </c>
      <c r="AK882" s="748" t="s">
        <v>7239</v>
      </c>
      <c r="AL882" s="650"/>
      <c r="AM882" s="668"/>
      <c r="AN882" s="669"/>
      <c r="AO882" s="648"/>
      <c r="AP882" s="650"/>
      <c r="AQ882" s="668"/>
      <c r="AR882" s="649"/>
      <c r="AS882" s="653"/>
      <c r="AT882" s="650"/>
      <c r="AU882" s="668"/>
      <c r="AV882" s="649"/>
      <c r="AW882" s="653"/>
      <c r="AX882" s="650"/>
      <c r="AY882" s="672"/>
      <c r="AZ882" s="669"/>
      <c r="BA882" s="653"/>
      <c r="BB882" s="650"/>
      <c r="BC882" s="673"/>
      <c r="BD882" s="669"/>
      <c r="BE882" s="653"/>
    </row>
    <row r="883" spans="1:57" s="674" customFormat="1" ht="54" hidden="1" customHeight="1" x14ac:dyDescent="0.25">
      <c r="A883" s="923" t="s">
        <v>1687</v>
      </c>
      <c r="B883" s="619">
        <v>648</v>
      </c>
      <c r="C883" s="924" t="s">
        <v>5290</v>
      </c>
      <c r="D883" s="657" t="s">
        <v>5291</v>
      </c>
      <c r="E883" s="658" t="s">
        <v>7246</v>
      </c>
      <c r="F883" s="750" t="s">
        <v>7247</v>
      </c>
      <c r="G883" s="751" t="s">
        <v>7248</v>
      </c>
      <c r="H883" s="752" t="s">
        <v>7249</v>
      </c>
      <c r="I883" s="753" t="s">
        <v>7250</v>
      </c>
      <c r="J883" s="661" t="s">
        <v>140</v>
      </c>
      <c r="K883" s="657" t="s">
        <v>140</v>
      </c>
      <c r="L883" s="805" t="s">
        <v>7251</v>
      </c>
      <c r="M883" s="620" t="s">
        <v>973</v>
      </c>
      <c r="N883" s="621" t="s">
        <v>974</v>
      </c>
      <c r="O883" s="661" t="s">
        <v>617</v>
      </c>
      <c r="P883" s="661" t="s">
        <v>618</v>
      </c>
      <c r="Q883" s="754" t="s">
        <v>7252</v>
      </c>
      <c r="R883" s="755" t="s">
        <v>7253</v>
      </c>
      <c r="S883" s="663" t="s">
        <v>147</v>
      </c>
      <c r="T883" s="663" t="s">
        <v>144</v>
      </c>
      <c r="U883" s="664" t="s">
        <v>144</v>
      </c>
      <c r="V883" s="663">
        <v>2</v>
      </c>
      <c r="W883" s="663" t="s">
        <v>144</v>
      </c>
      <c r="X883" s="665">
        <v>45</v>
      </c>
      <c r="Y883" s="661" t="s">
        <v>144</v>
      </c>
      <c r="Z883" s="661" t="s">
        <v>29</v>
      </c>
      <c r="AA883" s="658" t="s">
        <v>441</v>
      </c>
      <c r="AB883" s="661" t="s">
        <v>140</v>
      </c>
      <c r="AC883" s="661" t="s">
        <v>265</v>
      </c>
      <c r="AD883" s="661" t="s">
        <v>5301</v>
      </c>
      <c r="AE883" s="661" t="s">
        <v>144</v>
      </c>
      <c r="AF883" s="666" t="s">
        <v>144</v>
      </c>
      <c r="AG883" s="838"/>
      <c r="AH883" s="756" t="s">
        <v>7254</v>
      </c>
      <c r="AI883" s="757" t="s">
        <v>7255</v>
      </c>
      <c r="AJ883" s="669">
        <v>6</v>
      </c>
      <c r="AK883" s="669" t="s">
        <v>3347</v>
      </c>
      <c r="AL883" s="926" t="s">
        <v>294</v>
      </c>
      <c r="AM883" s="671" t="s">
        <v>295</v>
      </c>
      <c r="AN883" s="927">
        <v>7</v>
      </c>
      <c r="AO883" s="653" t="s">
        <v>966</v>
      </c>
      <c r="AP883" s="650"/>
      <c r="AQ883" s="668"/>
      <c r="AR883" s="649"/>
      <c r="AS883" s="653"/>
      <c r="AT883" s="650"/>
      <c r="AU883" s="668"/>
      <c r="AV883" s="649"/>
      <c r="AW883" s="653"/>
      <c r="AX883" s="650"/>
      <c r="AY883" s="672"/>
      <c r="AZ883" s="669"/>
      <c r="BA883" s="653"/>
      <c r="BB883" s="650"/>
      <c r="BC883" s="673"/>
      <c r="BD883" s="669"/>
      <c r="BE883" s="653"/>
    </row>
    <row r="884" spans="1:57" s="674" customFormat="1" ht="54" hidden="1" customHeight="1" x14ac:dyDescent="0.25">
      <c r="A884" s="923" t="s">
        <v>1687</v>
      </c>
      <c r="B884" s="619">
        <v>649</v>
      </c>
      <c r="C884" s="924" t="s">
        <v>5290</v>
      </c>
      <c r="D884" s="657" t="s">
        <v>5291</v>
      </c>
      <c r="E884" s="658" t="s">
        <v>7256</v>
      </c>
      <c r="F884" s="659" t="s">
        <v>7257</v>
      </c>
      <c r="G884" s="660" t="s">
        <v>7258</v>
      </c>
      <c r="H884" s="678" t="s">
        <v>7259</v>
      </c>
      <c r="I884" s="679" t="s">
        <v>7260</v>
      </c>
      <c r="J884" s="661" t="s">
        <v>140</v>
      </c>
      <c r="K884" s="657" t="s">
        <v>140</v>
      </c>
      <c r="L884" s="805" t="s">
        <v>7261</v>
      </c>
      <c r="M884" s="620" t="s">
        <v>973</v>
      </c>
      <c r="N884" s="621" t="s">
        <v>974</v>
      </c>
      <c r="O884" s="661" t="s">
        <v>7262</v>
      </c>
      <c r="P884" s="661" t="s">
        <v>7263</v>
      </c>
      <c r="Q884" s="675" t="s">
        <v>7264</v>
      </c>
      <c r="R884" s="660" t="s">
        <v>7265</v>
      </c>
      <c r="S884" s="663" t="s">
        <v>147</v>
      </c>
      <c r="T884" s="663" t="s">
        <v>144</v>
      </c>
      <c r="U884" s="664" t="s">
        <v>144</v>
      </c>
      <c r="V884" s="663">
        <v>1</v>
      </c>
      <c r="W884" s="663" t="s">
        <v>144</v>
      </c>
      <c r="X884" s="665">
        <v>45</v>
      </c>
      <c r="Y884" s="661" t="s">
        <v>144</v>
      </c>
      <c r="Z884" s="661" t="s">
        <v>29</v>
      </c>
      <c r="AA884" s="658" t="s">
        <v>441</v>
      </c>
      <c r="AB884" s="661" t="s">
        <v>140</v>
      </c>
      <c r="AC884" s="661" t="s">
        <v>265</v>
      </c>
      <c r="AD884" s="661" t="s">
        <v>5301</v>
      </c>
      <c r="AE884" s="661" t="s">
        <v>144</v>
      </c>
      <c r="AF884" s="666" t="s">
        <v>144</v>
      </c>
      <c r="AG884" s="838"/>
      <c r="AH884" s="667" t="s">
        <v>7254</v>
      </c>
      <c r="AI884" s="668" t="s">
        <v>7255</v>
      </c>
      <c r="AJ884" s="669">
        <v>7</v>
      </c>
      <c r="AK884" s="776" t="s">
        <v>7266</v>
      </c>
      <c r="AL884" s="926" t="s">
        <v>294</v>
      </c>
      <c r="AM884" s="671" t="s">
        <v>295</v>
      </c>
      <c r="AN884" s="927">
        <v>7</v>
      </c>
      <c r="AO884" s="653" t="s">
        <v>966</v>
      </c>
      <c r="AP884" s="650"/>
      <c r="AQ884" s="668"/>
      <c r="AR884" s="649"/>
      <c r="AS884" s="653"/>
      <c r="AT884" s="650"/>
      <c r="AU884" s="668"/>
      <c r="AV884" s="649"/>
      <c r="AW884" s="653"/>
      <c r="AX884" s="650"/>
      <c r="AY884" s="672"/>
      <c r="AZ884" s="669"/>
      <c r="BA884" s="653"/>
      <c r="BB884" s="650"/>
      <c r="BC884" s="673"/>
      <c r="BD884" s="669"/>
      <c r="BE884" s="653"/>
    </row>
    <row r="885" spans="1:57" s="674" customFormat="1" ht="54" hidden="1" customHeight="1" x14ac:dyDescent="0.25">
      <c r="A885" s="923" t="s">
        <v>1687</v>
      </c>
      <c r="B885" s="619">
        <v>650</v>
      </c>
      <c r="C885" s="924" t="s">
        <v>5290</v>
      </c>
      <c r="D885" s="657" t="s">
        <v>5291</v>
      </c>
      <c r="E885" s="658" t="s">
        <v>7267</v>
      </c>
      <c r="F885" s="659" t="s">
        <v>7268</v>
      </c>
      <c r="G885" s="660" t="s">
        <v>7269</v>
      </c>
      <c r="H885" s="678" t="s">
        <v>7270</v>
      </c>
      <c r="I885" s="679" t="s">
        <v>7271</v>
      </c>
      <c r="J885" s="661" t="s">
        <v>140</v>
      </c>
      <c r="K885" s="657" t="s">
        <v>140</v>
      </c>
      <c r="L885" s="805" t="s">
        <v>7272</v>
      </c>
      <c r="M885" s="620" t="s">
        <v>973</v>
      </c>
      <c r="N885" s="621" t="s">
        <v>974</v>
      </c>
      <c r="O885" s="661" t="s">
        <v>7273</v>
      </c>
      <c r="P885" s="661" t="s">
        <v>7274</v>
      </c>
      <c r="Q885" s="675" t="s">
        <v>7275</v>
      </c>
      <c r="R885" s="660" t="s">
        <v>7276</v>
      </c>
      <c r="S885" s="663" t="s">
        <v>147</v>
      </c>
      <c r="T885" s="663" t="s">
        <v>144</v>
      </c>
      <c r="U885" s="664" t="s">
        <v>144</v>
      </c>
      <c r="V885" s="663">
        <v>1</v>
      </c>
      <c r="W885" s="663" t="s">
        <v>144</v>
      </c>
      <c r="X885" s="665">
        <v>45</v>
      </c>
      <c r="Y885" s="661" t="s">
        <v>144</v>
      </c>
      <c r="Z885" s="661" t="s">
        <v>29</v>
      </c>
      <c r="AA885" s="658" t="s">
        <v>441</v>
      </c>
      <c r="AB885" s="661" t="s">
        <v>140</v>
      </c>
      <c r="AC885" s="661" t="s">
        <v>265</v>
      </c>
      <c r="AD885" s="661" t="s">
        <v>5301</v>
      </c>
      <c r="AE885" s="661" t="s">
        <v>144</v>
      </c>
      <c r="AF885" s="666" t="s">
        <v>144</v>
      </c>
      <c r="AG885" s="838"/>
      <c r="AH885" s="667" t="s">
        <v>7254</v>
      </c>
      <c r="AI885" s="668" t="s">
        <v>7255</v>
      </c>
      <c r="AJ885" s="669">
        <v>7</v>
      </c>
      <c r="AK885" s="776" t="s">
        <v>7266</v>
      </c>
      <c r="AL885" s="926" t="s">
        <v>294</v>
      </c>
      <c r="AM885" s="671" t="s">
        <v>295</v>
      </c>
      <c r="AN885" s="927">
        <v>7</v>
      </c>
      <c r="AO885" s="653" t="s">
        <v>966</v>
      </c>
      <c r="AP885" s="650"/>
      <c r="AQ885" s="668"/>
      <c r="AR885" s="649"/>
      <c r="AS885" s="653"/>
      <c r="AT885" s="650"/>
      <c r="AU885" s="668"/>
      <c r="AV885" s="649"/>
      <c r="AW885" s="653"/>
      <c r="AX885" s="650"/>
      <c r="AY885" s="672"/>
      <c r="AZ885" s="669"/>
      <c r="BA885" s="653"/>
      <c r="BB885" s="650"/>
      <c r="BC885" s="673"/>
      <c r="BD885" s="669"/>
      <c r="BE885" s="653"/>
    </row>
    <row r="886" spans="1:57" s="674" customFormat="1" ht="54" hidden="1" customHeight="1" x14ac:dyDescent="0.25">
      <c r="A886" s="923" t="s">
        <v>1687</v>
      </c>
      <c r="B886" s="619">
        <v>651</v>
      </c>
      <c r="C886" s="924" t="s">
        <v>5290</v>
      </c>
      <c r="D886" s="657" t="s">
        <v>5291</v>
      </c>
      <c r="E886" s="658" t="s">
        <v>7277</v>
      </c>
      <c r="F886" s="659" t="s">
        <v>7278</v>
      </c>
      <c r="G886" s="660" t="s">
        <v>7279</v>
      </c>
      <c r="H886" s="659" t="s">
        <v>7280</v>
      </c>
      <c r="I886" s="660" t="s">
        <v>7281</v>
      </c>
      <c r="J886" s="661" t="s">
        <v>140</v>
      </c>
      <c r="K886" s="657" t="s">
        <v>140</v>
      </c>
      <c r="L886" s="805" t="s">
        <v>7282</v>
      </c>
      <c r="M886" s="620" t="s">
        <v>973</v>
      </c>
      <c r="N886" s="621" t="s">
        <v>974</v>
      </c>
      <c r="O886" s="661" t="s">
        <v>144</v>
      </c>
      <c r="P886" s="661" t="s">
        <v>144</v>
      </c>
      <c r="Q886" s="675" t="s">
        <v>144</v>
      </c>
      <c r="R886" s="660" t="s">
        <v>144</v>
      </c>
      <c r="S886" s="663" t="s">
        <v>746</v>
      </c>
      <c r="T886" s="658" t="s">
        <v>1104</v>
      </c>
      <c r="U886" s="676" t="s">
        <v>1105</v>
      </c>
      <c r="V886" s="663">
        <v>19</v>
      </c>
      <c r="W886" s="663" t="s">
        <v>144</v>
      </c>
      <c r="X886" s="665">
        <v>45</v>
      </c>
      <c r="Y886" s="661" t="s">
        <v>144</v>
      </c>
      <c r="Z886" s="661" t="s">
        <v>29</v>
      </c>
      <c r="AA886" s="658" t="s">
        <v>441</v>
      </c>
      <c r="AB886" s="661" t="s">
        <v>140</v>
      </c>
      <c r="AC886" s="661" t="s">
        <v>265</v>
      </c>
      <c r="AD886" s="661" t="s">
        <v>5301</v>
      </c>
      <c r="AE886" s="661" t="s">
        <v>144</v>
      </c>
      <c r="AF886" s="666" t="s">
        <v>144</v>
      </c>
      <c r="AG886" s="838"/>
      <c r="AH886" s="667" t="s">
        <v>7283</v>
      </c>
      <c r="AI886" s="668" t="s">
        <v>7284</v>
      </c>
      <c r="AJ886" s="669">
        <v>6</v>
      </c>
      <c r="AK886" s="776" t="s">
        <v>7266</v>
      </c>
      <c r="AL886" s="650"/>
      <c r="AM886" s="668"/>
      <c r="AN886" s="669"/>
      <c r="AO886" s="648"/>
      <c r="AP886" s="650"/>
      <c r="AQ886" s="668"/>
      <c r="AR886" s="649"/>
      <c r="AS886" s="653"/>
      <c r="AT886" s="650"/>
      <c r="AU886" s="668"/>
      <c r="AV886" s="649"/>
      <c r="AW886" s="653"/>
      <c r="AX886" s="650"/>
      <c r="AY886" s="672"/>
      <c r="AZ886" s="669"/>
      <c r="BA886" s="653"/>
      <c r="BB886" s="650"/>
      <c r="BC886" s="673"/>
      <c r="BD886" s="669"/>
      <c r="BE886" s="653"/>
    </row>
    <row r="887" spans="1:57" s="674" customFormat="1" ht="54" hidden="1" customHeight="1" x14ac:dyDescent="0.25">
      <c r="A887" s="923" t="s">
        <v>1687</v>
      </c>
      <c r="B887" s="619">
        <v>652</v>
      </c>
      <c r="C887" s="924" t="s">
        <v>5290</v>
      </c>
      <c r="D887" s="657" t="s">
        <v>5291</v>
      </c>
      <c r="E887" s="658" t="s">
        <v>7285</v>
      </c>
      <c r="F887" s="659" t="s">
        <v>7286</v>
      </c>
      <c r="G887" s="660" t="s">
        <v>7287</v>
      </c>
      <c r="H887" s="659" t="s">
        <v>7288</v>
      </c>
      <c r="I887" s="660" t="s">
        <v>7289</v>
      </c>
      <c r="J887" s="661" t="s">
        <v>140</v>
      </c>
      <c r="K887" s="657" t="s">
        <v>140</v>
      </c>
      <c r="L887" s="805" t="s">
        <v>7290</v>
      </c>
      <c r="M887" s="620" t="s">
        <v>973</v>
      </c>
      <c r="N887" s="621" t="s">
        <v>974</v>
      </c>
      <c r="O887" s="661" t="s">
        <v>814</v>
      </c>
      <c r="P887" s="661" t="s">
        <v>815</v>
      </c>
      <c r="Q887" s="675" t="s">
        <v>144</v>
      </c>
      <c r="R887" s="660" t="s">
        <v>144</v>
      </c>
      <c r="S887" s="663" t="s">
        <v>147</v>
      </c>
      <c r="T887" s="658" t="s">
        <v>144</v>
      </c>
      <c r="U887" s="676" t="s">
        <v>144</v>
      </c>
      <c r="V887" s="663">
        <v>3</v>
      </c>
      <c r="W887" s="663" t="s">
        <v>144</v>
      </c>
      <c r="X887" s="665">
        <v>45</v>
      </c>
      <c r="Y887" s="661" t="s">
        <v>144</v>
      </c>
      <c r="Z887" s="661" t="s">
        <v>29</v>
      </c>
      <c r="AA887" s="658" t="s">
        <v>441</v>
      </c>
      <c r="AB887" s="661" t="s">
        <v>140</v>
      </c>
      <c r="AC887" s="661" t="s">
        <v>265</v>
      </c>
      <c r="AD887" s="661" t="s">
        <v>5301</v>
      </c>
      <c r="AE887" s="661" t="s">
        <v>144</v>
      </c>
      <c r="AF887" s="666" t="s">
        <v>144</v>
      </c>
      <c r="AG887" s="838"/>
      <c r="AH887" s="667" t="s">
        <v>7291</v>
      </c>
      <c r="AI887" s="668" t="s">
        <v>7292</v>
      </c>
      <c r="AJ887" s="669">
        <v>7</v>
      </c>
      <c r="AK887" s="776" t="s">
        <v>1280</v>
      </c>
      <c r="AL887" s="650" t="s">
        <v>294</v>
      </c>
      <c r="AM887" s="668" t="s">
        <v>295</v>
      </c>
      <c r="AN887" s="669">
        <v>7</v>
      </c>
      <c r="AO887" s="648" t="s">
        <v>966</v>
      </c>
      <c r="AP887" s="650"/>
      <c r="AQ887" s="668"/>
      <c r="AR887" s="649"/>
      <c r="AS887" s="653"/>
      <c r="AT887" s="650"/>
      <c r="AU887" s="668"/>
      <c r="AV887" s="649"/>
      <c r="AW887" s="653"/>
      <c r="AX887" s="650"/>
      <c r="AY887" s="672"/>
      <c r="AZ887" s="669"/>
      <c r="BA887" s="653"/>
      <c r="BB887" s="650"/>
      <c r="BC887" s="673"/>
      <c r="BD887" s="669"/>
      <c r="BE887" s="653"/>
    </row>
    <row r="888" spans="1:57" s="674" customFormat="1" ht="54" hidden="1" customHeight="1" x14ac:dyDescent="0.25">
      <c r="A888" s="923" t="s">
        <v>1687</v>
      </c>
      <c r="B888" s="619">
        <v>653</v>
      </c>
      <c r="C888" s="924" t="s">
        <v>5290</v>
      </c>
      <c r="D888" s="657" t="s">
        <v>5291</v>
      </c>
      <c r="E888" s="658" t="s">
        <v>7293</v>
      </c>
      <c r="F888" s="659" t="s">
        <v>7294</v>
      </c>
      <c r="G888" s="660" t="s">
        <v>7295</v>
      </c>
      <c r="H888" s="678" t="s">
        <v>7296</v>
      </c>
      <c r="I888" s="679" t="s">
        <v>7297</v>
      </c>
      <c r="J888" s="661" t="s">
        <v>140</v>
      </c>
      <c r="K888" s="657" t="s">
        <v>140</v>
      </c>
      <c r="L888" s="805" t="s">
        <v>7298</v>
      </c>
      <c r="M888" s="620" t="s">
        <v>973</v>
      </c>
      <c r="N888" s="621" t="s">
        <v>974</v>
      </c>
      <c r="O888" s="661" t="s">
        <v>7299</v>
      </c>
      <c r="P888" s="661" t="s">
        <v>7300</v>
      </c>
      <c r="Q888" s="675" t="s">
        <v>7275</v>
      </c>
      <c r="R888" s="660" t="s">
        <v>7276</v>
      </c>
      <c r="S888" s="663" t="s">
        <v>147</v>
      </c>
      <c r="T888" s="663" t="s">
        <v>144</v>
      </c>
      <c r="U888" s="664" t="s">
        <v>144</v>
      </c>
      <c r="V888" s="663">
        <v>1</v>
      </c>
      <c r="W888" s="663" t="s">
        <v>144</v>
      </c>
      <c r="X888" s="665">
        <v>45</v>
      </c>
      <c r="Y888" s="661" t="s">
        <v>144</v>
      </c>
      <c r="Z888" s="661" t="s">
        <v>29</v>
      </c>
      <c r="AA888" s="658" t="s">
        <v>441</v>
      </c>
      <c r="AB888" s="661" t="s">
        <v>140</v>
      </c>
      <c r="AC888" s="661" t="s">
        <v>265</v>
      </c>
      <c r="AD888" s="661" t="s">
        <v>5301</v>
      </c>
      <c r="AE888" s="661" t="s">
        <v>144</v>
      </c>
      <c r="AF888" s="666" t="s">
        <v>144</v>
      </c>
      <c r="AG888" s="838"/>
      <c r="AH888" s="667" t="s">
        <v>7254</v>
      </c>
      <c r="AI888" s="668" t="s">
        <v>7255</v>
      </c>
      <c r="AJ888" s="669">
        <v>7</v>
      </c>
      <c r="AK888" s="776" t="s">
        <v>7266</v>
      </c>
      <c r="AL888" s="926" t="s">
        <v>294</v>
      </c>
      <c r="AM888" s="671" t="s">
        <v>295</v>
      </c>
      <c r="AN888" s="927">
        <v>7</v>
      </c>
      <c r="AO888" s="653" t="s">
        <v>966</v>
      </c>
      <c r="AP888" s="650"/>
      <c r="AQ888" s="668"/>
      <c r="AR888" s="649"/>
      <c r="AS888" s="653"/>
      <c r="AT888" s="650"/>
      <c r="AU888" s="668"/>
      <c r="AV888" s="649"/>
      <c r="AW888" s="653"/>
      <c r="AX888" s="650"/>
      <c r="AY888" s="672"/>
      <c r="AZ888" s="669"/>
      <c r="BA888" s="653"/>
      <c r="BB888" s="650"/>
      <c r="BC888" s="673"/>
      <c r="BD888" s="669"/>
      <c r="BE888" s="653"/>
    </row>
    <row r="889" spans="1:57" s="674" customFormat="1" ht="54" hidden="1" customHeight="1" x14ac:dyDescent="0.25">
      <c r="A889" s="923" t="s">
        <v>1687</v>
      </c>
      <c r="B889" s="619">
        <v>654</v>
      </c>
      <c r="C889" s="924" t="s">
        <v>5290</v>
      </c>
      <c r="D889" s="657" t="s">
        <v>5291</v>
      </c>
      <c r="E889" s="658" t="s">
        <v>7301</v>
      </c>
      <c r="F889" s="659" t="s">
        <v>7302</v>
      </c>
      <c r="G889" s="660" t="s">
        <v>7303</v>
      </c>
      <c r="H889" s="659" t="s">
        <v>7304</v>
      </c>
      <c r="I889" s="660" t="s">
        <v>7305</v>
      </c>
      <c r="J889" s="661" t="s">
        <v>140</v>
      </c>
      <c r="K889" s="657" t="s">
        <v>140</v>
      </c>
      <c r="L889" s="805" t="s">
        <v>7306</v>
      </c>
      <c r="M889" s="620" t="s">
        <v>973</v>
      </c>
      <c r="N889" s="621" t="s">
        <v>974</v>
      </c>
      <c r="O889" s="661" t="s">
        <v>144</v>
      </c>
      <c r="P889" s="661" t="s">
        <v>144</v>
      </c>
      <c r="Q889" s="675" t="s">
        <v>144</v>
      </c>
      <c r="R889" s="660" t="s">
        <v>144</v>
      </c>
      <c r="S889" s="663" t="s">
        <v>746</v>
      </c>
      <c r="T889" s="658" t="s">
        <v>1104</v>
      </c>
      <c r="U889" s="676" t="s">
        <v>1105</v>
      </c>
      <c r="V889" s="663">
        <v>19</v>
      </c>
      <c r="W889" s="663" t="s">
        <v>144</v>
      </c>
      <c r="X889" s="665">
        <v>45</v>
      </c>
      <c r="Y889" s="661" t="s">
        <v>144</v>
      </c>
      <c r="Z889" s="661" t="s">
        <v>29</v>
      </c>
      <c r="AA889" s="658" t="s">
        <v>441</v>
      </c>
      <c r="AB889" s="661" t="s">
        <v>140</v>
      </c>
      <c r="AC889" s="661" t="s">
        <v>265</v>
      </c>
      <c r="AD889" s="661" t="s">
        <v>5301</v>
      </c>
      <c r="AE889" s="661" t="s">
        <v>144</v>
      </c>
      <c r="AF889" s="666" t="s">
        <v>144</v>
      </c>
      <c r="AG889" s="838"/>
      <c r="AH889" s="667" t="s">
        <v>7307</v>
      </c>
      <c r="AI889" s="668" t="s">
        <v>7308</v>
      </c>
      <c r="AJ889" s="669">
        <v>7</v>
      </c>
      <c r="AK889" s="776" t="s">
        <v>7309</v>
      </c>
      <c r="AL889" s="650"/>
      <c r="AM889" s="668"/>
      <c r="AN889" s="669"/>
      <c r="AO889" s="648"/>
      <c r="AP889" s="650"/>
      <c r="AQ889" s="668"/>
      <c r="AR889" s="649"/>
      <c r="AS889" s="653"/>
      <c r="AT889" s="650"/>
      <c r="AU889" s="668"/>
      <c r="AV889" s="649"/>
      <c r="AW889" s="653"/>
      <c r="AX889" s="650"/>
      <c r="AY889" s="672"/>
      <c r="AZ889" s="669"/>
      <c r="BA889" s="653"/>
      <c r="BB889" s="650"/>
      <c r="BC889" s="673"/>
      <c r="BD889" s="669"/>
      <c r="BE889" s="653"/>
    </row>
    <row r="890" spans="1:57" s="674" customFormat="1" ht="54" hidden="1" customHeight="1" x14ac:dyDescent="0.25">
      <c r="A890" s="923" t="s">
        <v>1687</v>
      </c>
      <c r="B890" s="619">
        <v>655</v>
      </c>
      <c r="C890" s="924" t="s">
        <v>5290</v>
      </c>
      <c r="D890" s="657" t="s">
        <v>5291</v>
      </c>
      <c r="E890" s="658" t="s">
        <v>7310</v>
      </c>
      <c r="F890" s="659" t="s">
        <v>7311</v>
      </c>
      <c r="G890" s="660" t="s">
        <v>7312</v>
      </c>
      <c r="H890" s="659" t="s">
        <v>7313</v>
      </c>
      <c r="I890" s="660" t="s">
        <v>7314</v>
      </c>
      <c r="J890" s="661" t="s">
        <v>140</v>
      </c>
      <c r="K890" s="657" t="s">
        <v>140</v>
      </c>
      <c r="L890" s="805" t="s">
        <v>7315</v>
      </c>
      <c r="M890" s="620" t="s">
        <v>973</v>
      </c>
      <c r="N890" s="621" t="s">
        <v>974</v>
      </c>
      <c r="O890" s="661" t="s">
        <v>814</v>
      </c>
      <c r="P890" s="661" t="s">
        <v>815</v>
      </c>
      <c r="Q890" s="675" t="s">
        <v>144</v>
      </c>
      <c r="R890" s="660" t="s">
        <v>144</v>
      </c>
      <c r="S890" s="663" t="s">
        <v>147</v>
      </c>
      <c r="T890" s="658" t="s">
        <v>144</v>
      </c>
      <c r="U890" s="676" t="s">
        <v>144</v>
      </c>
      <c r="V890" s="663">
        <v>3</v>
      </c>
      <c r="W890" s="663" t="s">
        <v>144</v>
      </c>
      <c r="X890" s="665">
        <v>45</v>
      </c>
      <c r="Y890" s="661" t="s">
        <v>144</v>
      </c>
      <c r="Z890" s="661" t="s">
        <v>29</v>
      </c>
      <c r="AA890" s="658" t="s">
        <v>441</v>
      </c>
      <c r="AB890" s="661" t="s">
        <v>140</v>
      </c>
      <c r="AC890" s="661" t="s">
        <v>265</v>
      </c>
      <c r="AD890" s="661" t="s">
        <v>5301</v>
      </c>
      <c r="AE890" s="661" t="s">
        <v>144</v>
      </c>
      <c r="AF890" s="666" t="s">
        <v>144</v>
      </c>
      <c r="AG890" s="838"/>
      <c r="AH890" s="667" t="s">
        <v>7316</v>
      </c>
      <c r="AI890" s="668" t="s">
        <v>7317</v>
      </c>
      <c r="AJ890" s="669">
        <v>7</v>
      </c>
      <c r="AK890" s="776" t="s">
        <v>1280</v>
      </c>
      <c r="AL890" s="650" t="s">
        <v>294</v>
      </c>
      <c r="AM890" s="668" t="s">
        <v>295</v>
      </c>
      <c r="AN890" s="669">
        <v>7</v>
      </c>
      <c r="AO890" s="648" t="s">
        <v>966</v>
      </c>
      <c r="AP890" s="650"/>
      <c r="AQ890" s="668"/>
      <c r="AR890" s="649"/>
      <c r="AS890" s="653"/>
      <c r="AT890" s="650"/>
      <c r="AU890" s="668"/>
      <c r="AV890" s="649"/>
      <c r="AW890" s="653"/>
      <c r="AX890" s="650"/>
      <c r="AY890" s="672"/>
      <c r="AZ890" s="669"/>
      <c r="BA890" s="653"/>
      <c r="BB890" s="650"/>
      <c r="BC890" s="673"/>
      <c r="BD890" s="669"/>
      <c r="BE890" s="653"/>
    </row>
    <row r="891" spans="1:57" s="674" customFormat="1" ht="54" hidden="1" customHeight="1" x14ac:dyDescent="0.25">
      <c r="A891" s="923" t="s">
        <v>1687</v>
      </c>
      <c r="B891" s="619">
        <v>656</v>
      </c>
      <c r="C891" s="924" t="s">
        <v>5290</v>
      </c>
      <c r="D891" s="657" t="s">
        <v>5291</v>
      </c>
      <c r="E891" s="658" t="s">
        <v>7318</v>
      </c>
      <c r="F891" s="659" t="s">
        <v>7319</v>
      </c>
      <c r="G891" s="660" t="s">
        <v>7320</v>
      </c>
      <c r="H891" s="659" t="s">
        <v>7321</v>
      </c>
      <c r="I891" s="660" t="s">
        <v>7322</v>
      </c>
      <c r="J891" s="661" t="s">
        <v>140</v>
      </c>
      <c r="K891" s="657" t="s">
        <v>140</v>
      </c>
      <c r="L891" s="805" t="s">
        <v>7323</v>
      </c>
      <c r="M891" s="620" t="s">
        <v>973</v>
      </c>
      <c r="N891" s="621" t="s">
        <v>974</v>
      </c>
      <c r="O891" s="661" t="s">
        <v>144</v>
      </c>
      <c r="P891" s="661" t="s">
        <v>144</v>
      </c>
      <c r="Q891" s="675" t="s">
        <v>144</v>
      </c>
      <c r="R891" s="660" t="s">
        <v>144</v>
      </c>
      <c r="S891" s="663" t="s">
        <v>746</v>
      </c>
      <c r="T891" s="658" t="s">
        <v>1104</v>
      </c>
      <c r="U891" s="676" t="s">
        <v>1105</v>
      </c>
      <c r="V891" s="663">
        <v>19</v>
      </c>
      <c r="W891" s="663" t="s">
        <v>144</v>
      </c>
      <c r="X891" s="665">
        <v>45</v>
      </c>
      <c r="Y891" s="661" t="s">
        <v>144</v>
      </c>
      <c r="Z891" s="661" t="s">
        <v>29</v>
      </c>
      <c r="AA891" s="658" t="s">
        <v>441</v>
      </c>
      <c r="AB891" s="661" t="s">
        <v>140</v>
      </c>
      <c r="AC891" s="661" t="s">
        <v>265</v>
      </c>
      <c r="AD891" s="661" t="s">
        <v>5301</v>
      </c>
      <c r="AE891" s="661" t="s">
        <v>144</v>
      </c>
      <c r="AF891" s="666" t="s">
        <v>144</v>
      </c>
      <c r="AG891" s="838"/>
      <c r="AH891" s="667" t="s">
        <v>7254</v>
      </c>
      <c r="AI891" s="668" t="s">
        <v>7255</v>
      </c>
      <c r="AJ891" s="669">
        <v>6</v>
      </c>
      <c r="AK891" s="776" t="s">
        <v>7266</v>
      </c>
      <c r="AL891" s="650"/>
      <c r="AM891" s="668"/>
      <c r="AN891" s="669"/>
      <c r="AO891" s="648"/>
      <c r="AP891" s="650"/>
      <c r="AQ891" s="668"/>
      <c r="AR891" s="649"/>
      <c r="AS891" s="653"/>
      <c r="AT891" s="650"/>
      <c r="AU891" s="668"/>
      <c r="AV891" s="649"/>
      <c r="AW891" s="653"/>
      <c r="AX891" s="650"/>
      <c r="AY891" s="672"/>
      <c r="AZ891" s="669"/>
      <c r="BA891" s="653"/>
      <c r="BB891" s="650"/>
      <c r="BC891" s="673"/>
      <c r="BD891" s="669"/>
      <c r="BE891" s="653"/>
    </row>
    <row r="892" spans="1:57" s="674" customFormat="1" ht="54" hidden="1" customHeight="1" x14ac:dyDescent="0.25">
      <c r="A892" s="923" t="s">
        <v>1687</v>
      </c>
      <c r="B892" s="619">
        <v>657</v>
      </c>
      <c r="C892" s="924" t="s">
        <v>5290</v>
      </c>
      <c r="D892" s="657" t="s">
        <v>5291</v>
      </c>
      <c r="E892" s="658" t="s">
        <v>7324</v>
      </c>
      <c r="F892" s="659" t="s">
        <v>7325</v>
      </c>
      <c r="G892" s="660" t="s">
        <v>7326</v>
      </c>
      <c r="H892" s="659" t="s">
        <v>7327</v>
      </c>
      <c r="I892" s="660" t="s">
        <v>7328</v>
      </c>
      <c r="J892" s="661" t="s">
        <v>140</v>
      </c>
      <c r="K892" s="657" t="s">
        <v>140</v>
      </c>
      <c r="L892" s="805" t="s">
        <v>7329</v>
      </c>
      <c r="M892" s="620" t="s">
        <v>973</v>
      </c>
      <c r="N892" s="621" t="s">
        <v>974</v>
      </c>
      <c r="O892" s="661" t="s">
        <v>814</v>
      </c>
      <c r="P892" s="661" t="s">
        <v>815</v>
      </c>
      <c r="Q892" s="675" t="s">
        <v>144</v>
      </c>
      <c r="R892" s="660" t="s">
        <v>144</v>
      </c>
      <c r="S892" s="663" t="s">
        <v>147</v>
      </c>
      <c r="T892" s="658" t="s">
        <v>144</v>
      </c>
      <c r="U892" s="676" t="s">
        <v>144</v>
      </c>
      <c r="V892" s="663">
        <v>3</v>
      </c>
      <c r="W892" s="663" t="s">
        <v>144</v>
      </c>
      <c r="X892" s="665">
        <v>45</v>
      </c>
      <c r="Y892" s="661" t="s">
        <v>144</v>
      </c>
      <c r="Z892" s="661" t="s">
        <v>29</v>
      </c>
      <c r="AA892" s="658" t="s">
        <v>441</v>
      </c>
      <c r="AB892" s="661" t="s">
        <v>140</v>
      </c>
      <c r="AC892" s="661" t="s">
        <v>265</v>
      </c>
      <c r="AD892" s="661" t="s">
        <v>5301</v>
      </c>
      <c r="AE892" s="661" t="s">
        <v>144</v>
      </c>
      <c r="AF892" s="666" t="s">
        <v>144</v>
      </c>
      <c r="AG892" s="838"/>
      <c r="AH892" s="667" t="s">
        <v>7330</v>
      </c>
      <c r="AI892" s="668" t="s">
        <v>7331</v>
      </c>
      <c r="AJ892" s="669">
        <v>7</v>
      </c>
      <c r="AK892" s="776" t="s">
        <v>1280</v>
      </c>
      <c r="AL892" s="650" t="s">
        <v>294</v>
      </c>
      <c r="AM892" s="668" t="s">
        <v>295</v>
      </c>
      <c r="AN892" s="669">
        <v>7</v>
      </c>
      <c r="AO892" s="648" t="s">
        <v>966</v>
      </c>
      <c r="AP892" s="650"/>
      <c r="AQ892" s="668"/>
      <c r="AR892" s="649"/>
      <c r="AS892" s="653"/>
      <c r="AT892" s="650"/>
      <c r="AU892" s="668"/>
      <c r="AV892" s="649"/>
      <c r="AW892" s="653"/>
      <c r="AX892" s="650"/>
      <c r="AY892" s="672"/>
      <c r="AZ892" s="669"/>
      <c r="BA892" s="653"/>
      <c r="BB892" s="650"/>
      <c r="BC892" s="673"/>
      <c r="BD892" s="669"/>
      <c r="BE892" s="653"/>
    </row>
    <row r="893" spans="1:57" s="674" customFormat="1" ht="54" hidden="1" customHeight="1" x14ac:dyDescent="0.25">
      <c r="A893" s="923" t="s">
        <v>1687</v>
      </c>
      <c r="B893" s="619">
        <v>658</v>
      </c>
      <c r="C893" s="924" t="s">
        <v>5290</v>
      </c>
      <c r="D893" s="657" t="s">
        <v>5291</v>
      </c>
      <c r="E893" s="658" t="s">
        <v>7332</v>
      </c>
      <c r="F893" s="659" t="s">
        <v>7333</v>
      </c>
      <c r="G893" s="660" t="s">
        <v>7334</v>
      </c>
      <c r="H893" s="659" t="s">
        <v>7335</v>
      </c>
      <c r="I893" s="660" t="s">
        <v>7336</v>
      </c>
      <c r="J893" s="661" t="s">
        <v>140</v>
      </c>
      <c r="K893" s="657" t="s">
        <v>140</v>
      </c>
      <c r="L893" s="805" t="s">
        <v>7337</v>
      </c>
      <c r="M893" s="620" t="s">
        <v>973</v>
      </c>
      <c r="N893" s="621" t="s">
        <v>974</v>
      </c>
      <c r="O893" s="661" t="s">
        <v>144</v>
      </c>
      <c r="P893" s="661" t="s">
        <v>144</v>
      </c>
      <c r="Q893" s="675" t="s">
        <v>144</v>
      </c>
      <c r="R893" s="660" t="s">
        <v>144</v>
      </c>
      <c r="S893" s="663" t="s">
        <v>746</v>
      </c>
      <c r="T893" s="658" t="s">
        <v>1104</v>
      </c>
      <c r="U893" s="676" t="s">
        <v>1105</v>
      </c>
      <c r="V893" s="663">
        <v>19</v>
      </c>
      <c r="W893" s="663" t="s">
        <v>144</v>
      </c>
      <c r="X893" s="665">
        <v>45</v>
      </c>
      <c r="Y893" s="661" t="s">
        <v>144</v>
      </c>
      <c r="Z893" s="661" t="s">
        <v>29</v>
      </c>
      <c r="AA893" s="658" t="s">
        <v>441</v>
      </c>
      <c r="AB893" s="661" t="s">
        <v>140</v>
      </c>
      <c r="AC893" s="661" t="s">
        <v>265</v>
      </c>
      <c r="AD893" s="661" t="s">
        <v>5301</v>
      </c>
      <c r="AE893" s="661" t="s">
        <v>144</v>
      </c>
      <c r="AF893" s="666" t="s">
        <v>144</v>
      </c>
      <c r="AG893" s="838"/>
      <c r="AH893" s="667" t="s">
        <v>7254</v>
      </c>
      <c r="AI893" s="668" t="s">
        <v>7255</v>
      </c>
      <c r="AJ893" s="669">
        <v>6</v>
      </c>
      <c r="AK893" s="776" t="s">
        <v>7266</v>
      </c>
      <c r="AL893" s="650"/>
      <c r="AM893" s="668"/>
      <c r="AN893" s="669"/>
      <c r="AO893" s="648"/>
      <c r="AP893" s="650"/>
      <c r="AQ893" s="668"/>
      <c r="AR893" s="649"/>
      <c r="AS893" s="653"/>
      <c r="AT893" s="650"/>
      <c r="AU893" s="668"/>
      <c r="AV893" s="649"/>
      <c r="AW893" s="653"/>
      <c r="AX893" s="650"/>
      <c r="AY893" s="672"/>
      <c r="AZ893" s="669"/>
      <c r="BA893" s="653"/>
      <c r="BB893" s="650"/>
      <c r="BC893" s="673"/>
      <c r="BD893" s="669"/>
      <c r="BE893" s="653"/>
    </row>
    <row r="894" spans="1:57" s="674" customFormat="1" ht="54" hidden="1" customHeight="1" x14ac:dyDescent="0.25">
      <c r="A894" s="923" t="s">
        <v>1687</v>
      </c>
      <c r="B894" s="619">
        <v>659</v>
      </c>
      <c r="C894" s="924" t="s">
        <v>5290</v>
      </c>
      <c r="D894" s="657" t="s">
        <v>5291</v>
      </c>
      <c r="E894" s="658" t="s">
        <v>7338</v>
      </c>
      <c r="F894" s="659" t="s">
        <v>7339</v>
      </c>
      <c r="G894" s="660" t="s">
        <v>7340</v>
      </c>
      <c r="H894" s="659" t="s">
        <v>7341</v>
      </c>
      <c r="I894" s="660" t="s">
        <v>7342</v>
      </c>
      <c r="J894" s="661" t="s">
        <v>140</v>
      </c>
      <c r="K894" s="657" t="s">
        <v>140</v>
      </c>
      <c r="L894" s="805" t="s">
        <v>7343</v>
      </c>
      <c r="M894" s="620" t="s">
        <v>973</v>
      </c>
      <c r="N894" s="621" t="s">
        <v>974</v>
      </c>
      <c r="O894" s="661" t="s">
        <v>814</v>
      </c>
      <c r="P894" s="661" t="s">
        <v>815</v>
      </c>
      <c r="Q894" s="675" t="s">
        <v>144</v>
      </c>
      <c r="R894" s="660" t="s">
        <v>144</v>
      </c>
      <c r="S894" s="663" t="s">
        <v>147</v>
      </c>
      <c r="T894" s="658" t="s">
        <v>144</v>
      </c>
      <c r="U894" s="676" t="s">
        <v>144</v>
      </c>
      <c r="V894" s="663">
        <v>3</v>
      </c>
      <c r="W894" s="663" t="s">
        <v>144</v>
      </c>
      <c r="X894" s="665">
        <v>45</v>
      </c>
      <c r="Y894" s="661" t="s">
        <v>144</v>
      </c>
      <c r="Z894" s="661" t="s">
        <v>29</v>
      </c>
      <c r="AA894" s="658" t="s">
        <v>441</v>
      </c>
      <c r="AB894" s="661" t="s">
        <v>140</v>
      </c>
      <c r="AC894" s="661" t="s">
        <v>265</v>
      </c>
      <c r="AD894" s="661" t="s">
        <v>5301</v>
      </c>
      <c r="AE894" s="661" t="s">
        <v>144</v>
      </c>
      <c r="AF894" s="666" t="s">
        <v>144</v>
      </c>
      <c r="AG894" s="838"/>
      <c r="AH894" s="667" t="s">
        <v>7344</v>
      </c>
      <c r="AI894" s="668" t="s">
        <v>7345</v>
      </c>
      <c r="AJ894" s="669">
        <v>7</v>
      </c>
      <c r="AK894" s="776" t="s">
        <v>1280</v>
      </c>
      <c r="AL894" s="650" t="s">
        <v>294</v>
      </c>
      <c r="AM894" s="668" t="s">
        <v>295</v>
      </c>
      <c r="AN894" s="669">
        <v>7</v>
      </c>
      <c r="AO894" s="648" t="s">
        <v>966</v>
      </c>
      <c r="AP894" s="650"/>
      <c r="AQ894" s="668"/>
      <c r="AR894" s="649"/>
      <c r="AS894" s="653"/>
      <c r="AT894" s="650"/>
      <c r="AU894" s="668"/>
      <c r="AV894" s="649"/>
      <c r="AW894" s="653"/>
      <c r="AX894" s="650"/>
      <c r="AY894" s="672"/>
      <c r="AZ894" s="669"/>
      <c r="BA894" s="653"/>
      <c r="BB894" s="650"/>
      <c r="BC894" s="673"/>
      <c r="BD894" s="669"/>
      <c r="BE894" s="653"/>
    </row>
    <row r="895" spans="1:57" s="674" customFormat="1" ht="54" hidden="1" customHeight="1" x14ac:dyDescent="0.25">
      <c r="A895" s="923" t="s">
        <v>1687</v>
      </c>
      <c r="B895" s="619">
        <v>660</v>
      </c>
      <c r="C895" s="924" t="s">
        <v>5290</v>
      </c>
      <c r="D895" s="657" t="s">
        <v>5291</v>
      </c>
      <c r="E895" s="658" t="s">
        <v>7346</v>
      </c>
      <c r="F895" s="659" t="s">
        <v>7347</v>
      </c>
      <c r="G895" s="660" t="s">
        <v>7348</v>
      </c>
      <c r="H895" s="659" t="s">
        <v>7349</v>
      </c>
      <c r="I895" s="660" t="s">
        <v>7350</v>
      </c>
      <c r="J895" s="661" t="s">
        <v>140</v>
      </c>
      <c r="K895" s="657" t="s">
        <v>140</v>
      </c>
      <c r="L895" s="805" t="s">
        <v>7351</v>
      </c>
      <c r="M895" s="620" t="s">
        <v>973</v>
      </c>
      <c r="N895" s="621" t="s">
        <v>974</v>
      </c>
      <c r="O895" s="661" t="s">
        <v>144</v>
      </c>
      <c r="P895" s="661" t="s">
        <v>144</v>
      </c>
      <c r="Q895" s="675" t="s">
        <v>144</v>
      </c>
      <c r="R895" s="660" t="s">
        <v>144</v>
      </c>
      <c r="S895" s="663" t="s">
        <v>746</v>
      </c>
      <c r="T895" s="658" t="s">
        <v>1104</v>
      </c>
      <c r="U895" s="676" t="s">
        <v>1105</v>
      </c>
      <c r="V895" s="663">
        <v>19</v>
      </c>
      <c r="W895" s="663" t="s">
        <v>144</v>
      </c>
      <c r="X895" s="665">
        <v>45</v>
      </c>
      <c r="Y895" s="661" t="s">
        <v>144</v>
      </c>
      <c r="Z895" s="661" t="s">
        <v>29</v>
      </c>
      <c r="AA895" s="658" t="s">
        <v>441</v>
      </c>
      <c r="AB895" s="661" t="s">
        <v>140</v>
      </c>
      <c r="AC895" s="661" t="s">
        <v>265</v>
      </c>
      <c r="AD895" s="661" t="s">
        <v>5301</v>
      </c>
      <c r="AE895" s="661" t="s">
        <v>144</v>
      </c>
      <c r="AF895" s="666" t="s">
        <v>144</v>
      </c>
      <c r="AG895" s="838"/>
      <c r="AH895" s="667" t="s">
        <v>7254</v>
      </c>
      <c r="AI895" s="668" t="s">
        <v>7255</v>
      </c>
      <c r="AJ895" s="669">
        <v>6</v>
      </c>
      <c r="AK895" s="776" t="s">
        <v>7266</v>
      </c>
      <c r="AL895" s="650"/>
      <c r="AM895" s="668"/>
      <c r="AN895" s="669"/>
      <c r="AO895" s="648"/>
      <c r="AP895" s="650"/>
      <c r="AQ895" s="668"/>
      <c r="AR895" s="649"/>
      <c r="AS895" s="653"/>
      <c r="AT895" s="650"/>
      <c r="AU895" s="668"/>
      <c r="AV895" s="649"/>
      <c r="AW895" s="653"/>
      <c r="AX895" s="650"/>
      <c r="AY895" s="672"/>
      <c r="AZ895" s="669"/>
      <c r="BA895" s="653"/>
      <c r="BB895" s="650"/>
      <c r="BC895" s="673"/>
      <c r="BD895" s="669"/>
      <c r="BE895" s="653"/>
    </row>
    <row r="896" spans="1:57" s="674" customFormat="1" ht="54" hidden="1" customHeight="1" x14ac:dyDescent="0.25">
      <c r="A896" s="923" t="s">
        <v>1687</v>
      </c>
      <c r="B896" s="619">
        <v>661</v>
      </c>
      <c r="C896" s="924" t="s">
        <v>5290</v>
      </c>
      <c r="D896" s="657" t="s">
        <v>5291</v>
      </c>
      <c r="E896" s="658" t="s">
        <v>7352</v>
      </c>
      <c r="F896" s="659" t="s">
        <v>7353</v>
      </c>
      <c r="G896" s="660" t="s">
        <v>7354</v>
      </c>
      <c r="H896" s="659" t="s">
        <v>7355</v>
      </c>
      <c r="I896" s="660" t="s">
        <v>7356</v>
      </c>
      <c r="J896" s="661" t="s">
        <v>140</v>
      </c>
      <c r="K896" s="657" t="s">
        <v>140</v>
      </c>
      <c r="L896" s="805" t="s">
        <v>7357</v>
      </c>
      <c r="M896" s="620" t="s">
        <v>973</v>
      </c>
      <c r="N896" s="621" t="s">
        <v>974</v>
      </c>
      <c r="O896" s="661" t="s">
        <v>814</v>
      </c>
      <c r="P896" s="661" t="s">
        <v>815</v>
      </c>
      <c r="Q896" s="675" t="s">
        <v>144</v>
      </c>
      <c r="R896" s="660" t="s">
        <v>144</v>
      </c>
      <c r="S896" s="663" t="s">
        <v>147</v>
      </c>
      <c r="T896" s="658" t="s">
        <v>144</v>
      </c>
      <c r="U896" s="676" t="s">
        <v>144</v>
      </c>
      <c r="V896" s="663">
        <v>3</v>
      </c>
      <c r="W896" s="663" t="s">
        <v>144</v>
      </c>
      <c r="X896" s="665">
        <v>45</v>
      </c>
      <c r="Y896" s="661" t="s">
        <v>144</v>
      </c>
      <c r="Z896" s="661" t="s">
        <v>29</v>
      </c>
      <c r="AA896" s="658" t="s">
        <v>441</v>
      </c>
      <c r="AB896" s="661" t="s">
        <v>140</v>
      </c>
      <c r="AC896" s="661" t="s">
        <v>265</v>
      </c>
      <c r="AD896" s="661" t="s">
        <v>5301</v>
      </c>
      <c r="AE896" s="661" t="s">
        <v>144</v>
      </c>
      <c r="AF896" s="666" t="s">
        <v>144</v>
      </c>
      <c r="AG896" s="838"/>
      <c r="AH896" s="667" t="s">
        <v>7358</v>
      </c>
      <c r="AI896" s="668" t="s">
        <v>7359</v>
      </c>
      <c r="AJ896" s="669">
        <v>7</v>
      </c>
      <c r="AK896" s="776" t="s">
        <v>1280</v>
      </c>
      <c r="AL896" s="650" t="s">
        <v>294</v>
      </c>
      <c r="AM896" s="668" t="s">
        <v>295</v>
      </c>
      <c r="AN896" s="669">
        <v>7</v>
      </c>
      <c r="AO896" s="648" t="s">
        <v>966</v>
      </c>
      <c r="AP896" s="650"/>
      <c r="AQ896" s="668"/>
      <c r="AR896" s="649"/>
      <c r="AS896" s="653"/>
      <c r="AT896" s="650"/>
      <c r="AU896" s="668"/>
      <c r="AV896" s="649"/>
      <c r="AW896" s="653"/>
      <c r="AX896" s="650"/>
      <c r="AY896" s="672"/>
      <c r="AZ896" s="669"/>
      <c r="BA896" s="653"/>
      <c r="BB896" s="650"/>
      <c r="BC896" s="673"/>
      <c r="BD896" s="669"/>
      <c r="BE896" s="653"/>
    </row>
    <row r="897" spans="1:58" s="674" customFormat="1" ht="54" hidden="1" customHeight="1" x14ac:dyDescent="0.25">
      <c r="A897" s="929" t="s">
        <v>1687</v>
      </c>
      <c r="B897" s="759">
        <v>662</v>
      </c>
      <c r="C897" s="930" t="s">
        <v>2378</v>
      </c>
      <c r="D897" s="760" t="s">
        <v>2379</v>
      </c>
      <c r="E897" s="758" t="s">
        <v>7360</v>
      </c>
      <c r="F897" s="750" t="s">
        <v>7361</v>
      </c>
      <c r="G897" s="751" t="s">
        <v>7362</v>
      </c>
      <c r="H897" s="774" t="s">
        <v>7363</v>
      </c>
      <c r="I897" s="775" t="s">
        <v>7364</v>
      </c>
      <c r="J897" s="761" t="s">
        <v>140</v>
      </c>
      <c r="K897" s="760" t="s">
        <v>140</v>
      </c>
      <c r="L897" s="818" t="s">
        <v>2414</v>
      </c>
      <c r="M897" s="758" t="s">
        <v>142</v>
      </c>
      <c r="N897" s="762" t="s">
        <v>143</v>
      </c>
      <c r="O897" s="761" t="s">
        <v>7365</v>
      </c>
      <c r="P897" s="830" t="s">
        <v>7366</v>
      </c>
      <c r="Q897" s="808" t="s">
        <v>7367</v>
      </c>
      <c r="R897" s="809" t="s">
        <v>7368</v>
      </c>
      <c r="S897" s="759" t="s">
        <v>147</v>
      </c>
      <c r="T897" s="758" t="s">
        <v>144</v>
      </c>
      <c r="U897" s="762" t="s">
        <v>144</v>
      </c>
      <c r="V897" s="759">
        <v>8</v>
      </c>
      <c r="W897" s="759" t="s">
        <v>144</v>
      </c>
      <c r="X897" s="763" t="s">
        <v>29</v>
      </c>
      <c r="Y897" s="761" t="s">
        <v>144</v>
      </c>
      <c r="Z897" s="761" t="s">
        <v>32</v>
      </c>
      <c r="AA897" s="758" t="s">
        <v>6832</v>
      </c>
      <c r="AB897" s="761" t="s">
        <v>140</v>
      </c>
      <c r="AC897" s="761" t="s">
        <v>265</v>
      </c>
      <c r="AD897" s="761" t="s">
        <v>7369</v>
      </c>
      <c r="AE897" s="761" t="s">
        <v>144</v>
      </c>
      <c r="AF897" s="764" t="s">
        <v>144</v>
      </c>
      <c r="AG897" s="838"/>
      <c r="AH897" s="819" t="s">
        <v>7370</v>
      </c>
      <c r="AI897" s="829" t="s">
        <v>7371</v>
      </c>
      <c r="AJ897" s="820">
        <v>6</v>
      </c>
      <c r="AK897" s="816" t="s">
        <v>3347</v>
      </c>
      <c r="AL897" s="768" t="s">
        <v>294</v>
      </c>
      <c r="AM897" s="765" t="s">
        <v>295</v>
      </c>
      <c r="AN897" s="766">
        <v>7</v>
      </c>
      <c r="AO897" s="769" t="s">
        <v>966</v>
      </c>
      <c r="AP897" s="768"/>
      <c r="AQ897" s="765"/>
      <c r="AR897" s="770"/>
      <c r="AS897" s="771"/>
      <c r="AT897" s="768"/>
      <c r="AU897" s="765"/>
      <c r="AV897" s="770"/>
      <c r="AW897" s="771"/>
      <c r="AX897" s="768"/>
      <c r="AY897" s="772"/>
      <c r="AZ897" s="766"/>
      <c r="BA897" s="771"/>
      <c r="BB897" s="768"/>
      <c r="BC897" s="773"/>
      <c r="BD897" s="766"/>
      <c r="BE897" s="771"/>
      <c r="BF897" s="838"/>
    </row>
    <row r="898" spans="1:58" s="114" customFormat="1" ht="54" customHeight="1" thickBot="1" x14ac:dyDescent="0.3">
      <c r="A898" s="587" t="s">
        <v>1687</v>
      </c>
      <c r="B898" s="588">
        <v>663</v>
      </c>
      <c r="C898" s="576" t="s">
        <v>144</v>
      </c>
      <c r="D898" s="576" t="s">
        <v>144</v>
      </c>
      <c r="E898" s="588" t="s">
        <v>7372</v>
      </c>
      <c r="F898" s="589" t="s">
        <v>251</v>
      </c>
      <c r="G898" s="589" t="s">
        <v>251</v>
      </c>
      <c r="H898" s="577" t="s">
        <v>336</v>
      </c>
      <c r="I898" s="589" t="s">
        <v>337</v>
      </c>
      <c r="J898" s="590" t="s">
        <v>144</v>
      </c>
      <c r="K898" s="590" t="s">
        <v>144</v>
      </c>
      <c r="L898" s="719" t="s">
        <v>7373</v>
      </c>
      <c r="M898" s="592" t="s">
        <v>144</v>
      </c>
      <c r="N898" s="592" t="s">
        <v>144</v>
      </c>
      <c r="O898" s="592" t="s">
        <v>144</v>
      </c>
      <c r="P898" s="592" t="s">
        <v>144</v>
      </c>
      <c r="Q898" s="577" t="s">
        <v>338</v>
      </c>
      <c r="R898" s="577" t="s">
        <v>339</v>
      </c>
      <c r="S898" s="588" t="s">
        <v>147</v>
      </c>
      <c r="T898" s="579" t="s">
        <v>144</v>
      </c>
      <c r="U898" s="579" t="s">
        <v>144</v>
      </c>
      <c r="V898" s="607">
        <f>8000-(SUM(V236:V896)+COUNT(V236:V896))</f>
        <v>1185</v>
      </c>
      <c r="W898" s="592" t="s">
        <v>144</v>
      </c>
      <c r="X898" s="579">
        <v>43</v>
      </c>
      <c r="Y898" s="579" t="s">
        <v>144</v>
      </c>
      <c r="Z898" s="581" t="s">
        <v>25</v>
      </c>
      <c r="AA898" s="592" t="s">
        <v>144</v>
      </c>
      <c r="AB898" s="576" t="s">
        <v>144</v>
      </c>
      <c r="AC898" s="592" t="s">
        <v>265</v>
      </c>
      <c r="AD898" s="592" t="s">
        <v>144</v>
      </c>
      <c r="AE898" s="592" t="s">
        <v>144</v>
      </c>
      <c r="AF898" s="594" t="s">
        <v>144</v>
      </c>
      <c r="AG898" s="680"/>
      <c r="AH898" s="595"/>
      <c r="AI898" s="596"/>
      <c r="AJ898" s="592"/>
      <c r="AK898" s="594"/>
      <c r="AL898" s="596"/>
      <c r="AM898" s="596"/>
      <c r="AN898" s="592"/>
      <c r="AO898" s="594"/>
      <c r="AP898" s="596"/>
      <c r="AQ898" s="596"/>
      <c r="AR898" s="592"/>
      <c r="AS898" s="594"/>
      <c r="AT898" s="596"/>
      <c r="AU898" s="596"/>
      <c r="AV898" s="592"/>
      <c r="AW898" s="594"/>
      <c r="AX898" s="596"/>
      <c r="AY898" s="596"/>
      <c r="AZ898" s="592"/>
      <c r="BA898" s="594"/>
      <c r="BB898" s="595"/>
      <c r="BC898" s="596"/>
      <c r="BD898" s="592"/>
      <c r="BE898" s="594"/>
      <c r="BF898" s="680"/>
    </row>
    <row r="899" spans="1:58" s="87" customFormat="1" ht="54" hidden="1" customHeight="1" x14ac:dyDescent="0.25">
      <c r="A899" s="255" t="s">
        <v>7374</v>
      </c>
      <c r="B899" s="256">
        <v>1</v>
      </c>
      <c r="C899" s="260" t="s">
        <v>256</v>
      </c>
      <c r="D899" s="261" t="s">
        <v>257</v>
      </c>
      <c r="E899" s="256" t="s">
        <v>7375</v>
      </c>
      <c r="F899" s="850" t="s">
        <v>259</v>
      </c>
      <c r="G899" s="257" t="s">
        <v>229</v>
      </c>
      <c r="H899" s="258" t="s">
        <v>260</v>
      </c>
      <c r="I899" s="259" t="s">
        <v>261</v>
      </c>
      <c r="J899" s="260" t="s">
        <v>140</v>
      </c>
      <c r="K899" s="261" t="s">
        <v>140</v>
      </c>
      <c r="L899" s="851" t="s">
        <v>924</v>
      </c>
      <c r="M899" s="262" t="s">
        <v>142</v>
      </c>
      <c r="N899" s="261" t="s">
        <v>143</v>
      </c>
      <c r="O899" s="260" t="s">
        <v>144</v>
      </c>
      <c r="P899" s="260" t="s">
        <v>144</v>
      </c>
      <c r="Q899" s="258" t="s">
        <v>262</v>
      </c>
      <c r="R899" s="259" t="s">
        <v>263</v>
      </c>
      <c r="S899" s="170" t="s">
        <v>233</v>
      </c>
      <c r="T899" s="264" t="s">
        <v>234</v>
      </c>
      <c r="U899" s="265" t="s">
        <v>235</v>
      </c>
      <c r="V899" s="852">
        <v>8</v>
      </c>
      <c r="W899" s="853" t="s">
        <v>144</v>
      </c>
      <c r="X899" s="264" t="s">
        <v>925</v>
      </c>
      <c r="Y899" s="264" t="s">
        <v>144</v>
      </c>
      <c r="Z899" s="264" t="s">
        <v>144</v>
      </c>
      <c r="AA899" s="260" t="s">
        <v>6771</v>
      </c>
      <c r="AB899" s="262" t="s">
        <v>140</v>
      </c>
      <c r="AC899" s="852" t="s">
        <v>265</v>
      </c>
      <c r="AD899" s="852" t="s">
        <v>144</v>
      </c>
      <c r="AE899" s="852" t="s">
        <v>144</v>
      </c>
      <c r="AF899" s="855" t="s">
        <v>144</v>
      </c>
      <c r="AG899" s="838"/>
      <c r="AH899" s="856" t="s">
        <v>266</v>
      </c>
      <c r="AI899" s="266" t="s">
        <v>267</v>
      </c>
      <c r="AJ899" s="857"/>
      <c r="AK899" s="858" t="s">
        <v>268</v>
      </c>
      <c r="AL899" s="859"/>
      <c r="AM899" s="266"/>
      <c r="AN899" s="857"/>
      <c r="AO899" s="858"/>
      <c r="AP899" s="859" t="s">
        <v>926</v>
      </c>
      <c r="AQ899" s="266" t="s">
        <v>270</v>
      </c>
      <c r="AR899" s="857"/>
      <c r="AS899" s="858" t="s">
        <v>271</v>
      </c>
      <c r="AT899" s="859" t="s">
        <v>272</v>
      </c>
      <c r="AU899" s="266" t="s">
        <v>273</v>
      </c>
      <c r="AV899" s="857"/>
      <c r="AW899" s="858" t="s">
        <v>274</v>
      </c>
      <c r="AX899" s="859"/>
      <c r="AY899" s="266"/>
      <c r="AZ899" s="857"/>
      <c r="BA899" s="858"/>
      <c r="BB899" s="856"/>
      <c r="BC899" s="266"/>
      <c r="BD899" s="857"/>
      <c r="BE899" s="858"/>
      <c r="BF899" s="838"/>
    </row>
    <row r="900" spans="1:58" s="87" customFormat="1" ht="54" hidden="1" customHeight="1" x14ac:dyDescent="0.25">
      <c r="A900" s="267" t="s">
        <v>7374</v>
      </c>
      <c r="B900" s="268">
        <v>2</v>
      </c>
      <c r="C900" s="240" t="s">
        <v>256</v>
      </c>
      <c r="D900" s="270" t="s">
        <v>257</v>
      </c>
      <c r="E900" s="268" t="s">
        <v>7376</v>
      </c>
      <c r="F900" s="861" t="s">
        <v>276</v>
      </c>
      <c r="G900" s="269" t="s">
        <v>277</v>
      </c>
      <c r="H900" s="845" t="s">
        <v>928</v>
      </c>
      <c r="I900" s="208" t="s">
        <v>1692</v>
      </c>
      <c r="J900" s="240" t="s">
        <v>140</v>
      </c>
      <c r="K900" s="270" t="s">
        <v>140</v>
      </c>
      <c r="L900" s="862" t="s">
        <v>929</v>
      </c>
      <c r="M900" s="206" t="s">
        <v>142</v>
      </c>
      <c r="N900" s="270" t="s">
        <v>143</v>
      </c>
      <c r="O900" s="240" t="s">
        <v>179</v>
      </c>
      <c r="P900" s="240" t="s">
        <v>280</v>
      </c>
      <c r="Q900" s="845" t="s">
        <v>144</v>
      </c>
      <c r="R900" s="208" t="s">
        <v>144</v>
      </c>
      <c r="S900" s="864" t="s">
        <v>147</v>
      </c>
      <c r="T900" s="212" t="s">
        <v>144</v>
      </c>
      <c r="U900" s="213" t="s">
        <v>144</v>
      </c>
      <c r="V900" s="847">
        <v>5</v>
      </c>
      <c r="W900" s="415" t="s">
        <v>144</v>
      </c>
      <c r="X900" s="212" t="s">
        <v>925</v>
      </c>
      <c r="Y900" s="212" t="s">
        <v>144</v>
      </c>
      <c r="Z900" s="241" t="s">
        <v>144</v>
      </c>
      <c r="AA900" s="437" t="s">
        <v>7377</v>
      </c>
      <c r="AB900" s="206" t="s">
        <v>140</v>
      </c>
      <c r="AC900" s="847" t="s">
        <v>265</v>
      </c>
      <c r="AD900" s="847" t="s">
        <v>144</v>
      </c>
      <c r="AE900" s="847" t="s">
        <v>144</v>
      </c>
      <c r="AF900" s="848" t="s">
        <v>144</v>
      </c>
      <c r="AG900" s="838"/>
      <c r="AH900" s="866" t="s">
        <v>266</v>
      </c>
      <c r="AI900" s="273" t="s">
        <v>267</v>
      </c>
      <c r="AJ900" s="847"/>
      <c r="AK900" s="848" t="s">
        <v>281</v>
      </c>
      <c r="AL900" s="867" t="s">
        <v>282</v>
      </c>
      <c r="AM900" s="273" t="s">
        <v>283</v>
      </c>
      <c r="AN900" s="864"/>
      <c r="AO900" s="868" t="s">
        <v>284</v>
      </c>
      <c r="AP900" s="867"/>
      <c r="AQ900" s="273"/>
      <c r="AR900" s="847"/>
      <c r="AS900" s="848"/>
      <c r="AT900" s="867"/>
      <c r="AU900" s="273"/>
      <c r="AV900" s="847"/>
      <c r="AW900" s="848"/>
      <c r="AX900" s="134" t="s">
        <v>930</v>
      </c>
      <c r="AY900" s="135" t="s">
        <v>931</v>
      </c>
      <c r="AZ900" s="847">
        <v>7</v>
      </c>
      <c r="BA900" s="848" t="s">
        <v>932</v>
      </c>
      <c r="BB900" s="866"/>
      <c r="BC900" s="273"/>
      <c r="BD900" s="847"/>
      <c r="BE900" s="848"/>
      <c r="BF900" s="838"/>
    </row>
    <row r="901" spans="1:58" s="87" customFormat="1" ht="54" hidden="1" customHeight="1" x14ac:dyDescent="0.25">
      <c r="A901" s="267" t="s">
        <v>7374</v>
      </c>
      <c r="B901" s="268">
        <v>3</v>
      </c>
      <c r="C901" s="240" t="s">
        <v>256</v>
      </c>
      <c r="D901" s="270" t="s">
        <v>257</v>
      </c>
      <c r="E901" s="268" t="s">
        <v>7378</v>
      </c>
      <c r="F901" s="861" t="s">
        <v>286</v>
      </c>
      <c r="G901" s="269" t="s">
        <v>287</v>
      </c>
      <c r="H901" s="845" t="s">
        <v>288</v>
      </c>
      <c r="I901" s="208" t="s">
        <v>289</v>
      </c>
      <c r="J901" s="240" t="s">
        <v>140</v>
      </c>
      <c r="K901" s="270" t="s">
        <v>140</v>
      </c>
      <c r="L901" s="862" t="s">
        <v>934</v>
      </c>
      <c r="M901" s="206" t="s">
        <v>142</v>
      </c>
      <c r="N901" s="270" t="s">
        <v>143</v>
      </c>
      <c r="O901" s="437" t="s">
        <v>144</v>
      </c>
      <c r="P901" s="181" t="s">
        <v>290</v>
      </c>
      <c r="Q901" s="209" t="s">
        <v>291</v>
      </c>
      <c r="R901" s="210" t="s">
        <v>292</v>
      </c>
      <c r="S901" s="864" t="s">
        <v>147</v>
      </c>
      <c r="T901" s="212" t="s">
        <v>144</v>
      </c>
      <c r="U901" s="213" t="s">
        <v>144</v>
      </c>
      <c r="V901" s="847">
        <v>12</v>
      </c>
      <c r="W901" s="415" t="s">
        <v>144</v>
      </c>
      <c r="X901" s="212" t="s">
        <v>925</v>
      </c>
      <c r="Y901" s="212" t="s">
        <v>144</v>
      </c>
      <c r="Z901" s="212" t="s">
        <v>144</v>
      </c>
      <c r="AA901" s="240" t="s">
        <v>148</v>
      </c>
      <c r="AB901" s="206" t="s">
        <v>140</v>
      </c>
      <c r="AC901" s="847" t="s">
        <v>265</v>
      </c>
      <c r="AD901" s="847" t="s">
        <v>144</v>
      </c>
      <c r="AE901" s="847" t="s">
        <v>144</v>
      </c>
      <c r="AF901" s="848" t="s">
        <v>144</v>
      </c>
      <c r="AG901" s="838"/>
      <c r="AH901" s="866" t="s">
        <v>266</v>
      </c>
      <c r="AI901" s="274" t="s">
        <v>267</v>
      </c>
      <c r="AJ901" s="864"/>
      <c r="AK901" s="868" t="s">
        <v>293</v>
      </c>
      <c r="AL901" s="867" t="s">
        <v>294</v>
      </c>
      <c r="AM901" s="273" t="s">
        <v>295</v>
      </c>
      <c r="AN901" s="864"/>
      <c r="AO901" s="848" t="s">
        <v>296</v>
      </c>
      <c r="AP901" s="867"/>
      <c r="AQ901" s="273"/>
      <c r="AR901" s="847"/>
      <c r="AS901" s="848"/>
      <c r="AT901" s="867"/>
      <c r="AU901" s="273"/>
      <c r="AV901" s="847"/>
      <c r="AW901" s="848"/>
      <c r="AX901" s="867"/>
      <c r="AY901" s="273"/>
      <c r="AZ901" s="847"/>
      <c r="BA901" s="848"/>
      <c r="BB901" s="866"/>
      <c r="BC901" s="273"/>
      <c r="BD901" s="847"/>
      <c r="BE901" s="848"/>
      <c r="BF901" s="838"/>
    </row>
    <row r="902" spans="1:58" s="87" customFormat="1" ht="54" hidden="1" customHeight="1" x14ac:dyDescent="0.25">
      <c r="A902" s="267" t="s">
        <v>7374</v>
      </c>
      <c r="B902" s="268">
        <v>4</v>
      </c>
      <c r="C902" s="240" t="s">
        <v>297</v>
      </c>
      <c r="D902" s="270" t="s">
        <v>298</v>
      </c>
      <c r="E902" s="268" t="s">
        <v>7379</v>
      </c>
      <c r="F902" s="861" t="s">
        <v>300</v>
      </c>
      <c r="G902" s="269" t="s">
        <v>301</v>
      </c>
      <c r="H902" s="209" t="s">
        <v>302</v>
      </c>
      <c r="I902" s="210" t="s">
        <v>303</v>
      </c>
      <c r="J902" s="240" t="s">
        <v>140</v>
      </c>
      <c r="K902" s="270" t="s">
        <v>140</v>
      </c>
      <c r="L902" s="862" t="s">
        <v>936</v>
      </c>
      <c r="M902" s="206" t="s">
        <v>142</v>
      </c>
      <c r="N902" s="270" t="s">
        <v>143</v>
      </c>
      <c r="O902" s="240" t="s">
        <v>144</v>
      </c>
      <c r="P902" s="240" t="s">
        <v>144</v>
      </c>
      <c r="Q902" s="209" t="s">
        <v>304</v>
      </c>
      <c r="R902" s="210" t="s">
        <v>305</v>
      </c>
      <c r="S902" s="864" t="s">
        <v>147</v>
      </c>
      <c r="T902" s="212" t="s">
        <v>144</v>
      </c>
      <c r="U902" s="213" t="s">
        <v>144</v>
      </c>
      <c r="V902" s="847">
        <v>1</v>
      </c>
      <c r="W902" s="415" t="s">
        <v>144</v>
      </c>
      <c r="X902" s="212" t="s">
        <v>925</v>
      </c>
      <c r="Y902" s="212" t="s">
        <v>144</v>
      </c>
      <c r="Z902" s="212" t="s">
        <v>144</v>
      </c>
      <c r="AA902" s="240" t="s">
        <v>148</v>
      </c>
      <c r="AB902" s="206" t="s">
        <v>140</v>
      </c>
      <c r="AC902" s="847" t="s">
        <v>265</v>
      </c>
      <c r="AD902" s="847" t="s">
        <v>144</v>
      </c>
      <c r="AE902" s="847" t="s">
        <v>144</v>
      </c>
      <c r="AF902" s="848" t="s">
        <v>144</v>
      </c>
      <c r="AG902" s="838"/>
      <c r="AH902" s="866" t="s">
        <v>266</v>
      </c>
      <c r="AI902" s="273" t="s">
        <v>267</v>
      </c>
      <c r="AJ902" s="847"/>
      <c r="AK902" s="848" t="s">
        <v>306</v>
      </c>
      <c r="AL902" s="867"/>
      <c r="AM902" s="273"/>
      <c r="AN902" s="847"/>
      <c r="AO902" s="848"/>
      <c r="AP902" s="867" t="s">
        <v>307</v>
      </c>
      <c r="AQ902" s="273" t="s">
        <v>937</v>
      </c>
      <c r="AR902" s="847"/>
      <c r="AS902" s="848" t="s">
        <v>309</v>
      </c>
      <c r="AT902" s="867"/>
      <c r="AU902" s="273"/>
      <c r="AV902" s="847"/>
      <c r="AW902" s="848"/>
      <c r="AX902" s="867"/>
      <c r="AY902" s="273"/>
      <c r="AZ902" s="847"/>
      <c r="BA902" s="848"/>
      <c r="BB902" s="866"/>
      <c r="BC902" s="273"/>
      <c r="BD902" s="847"/>
      <c r="BE902" s="848"/>
      <c r="BF902" s="838"/>
    </row>
    <row r="903" spans="1:58" s="87" customFormat="1" ht="54" hidden="1" customHeight="1" x14ac:dyDescent="0.25">
      <c r="A903" s="267" t="s">
        <v>7374</v>
      </c>
      <c r="B903" s="268">
        <v>5</v>
      </c>
      <c r="C903" s="240" t="s">
        <v>297</v>
      </c>
      <c r="D903" s="270" t="s">
        <v>298</v>
      </c>
      <c r="E903" s="268" t="s">
        <v>7380</v>
      </c>
      <c r="F903" s="861" t="s">
        <v>311</v>
      </c>
      <c r="G903" s="269" t="s">
        <v>312</v>
      </c>
      <c r="H903" s="209" t="s">
        <v>313</v>
      </c>
      <c r="I903" s="210" t="s">
        <v>314</v>
      </c>
      <c r="J903" s="240" t="s">
        <v>140</v>
      </c>
      <c r="K903" s="270" t="s">
        <v>140</v>
      </c>
      <c r="L903" s="862" t="s">
        <v>939</v>
      </c>
      <c r="M903" s="206" t="s">
        <v>142</v>
      </c>
      <c r="N903" s="270" t="s">
        <v>143</v>
      </c>
      <c r="O903" s="240" t="s">
        <v>144</v>
      </c>
      <c r="P903" s="240" t="s">
        <v>144</v>
      </c>
      <c r="Q903" s="209" t="s">
        <v>315</v>
      </c>
      <c r="R903" s="210" t="s">
        <v>316</v>
      </c>
      <c r="S903" s="864" t="s">
        <v>147</v>
      </c>
      <c r="T903" s="212" t="s">
        <v>144</v>
      </c>
      <c r="U903" s="213" t="s">
        <v>144</v>
      </c>
      <c r="V903" s="847">
        <v>12</v>
      </c>
      <c r="W903" s="415" t="s">
        <v>144</v>
      </c>
      <c r="X903" s="212" t="s">
        <v>925</v>
      </c>
      <c r="Y903" s="212" t="s">
        <v>144</v>
      </c>
      <c r="Z903" s="212" t="s">
        <v>144</v>
      </c>
      <c r="AA903" s="240" t="s">
        <v>148</v>
      </c>
      <c r="AB903" s="206" t="s">
        <v>140</v>
      </c>
      <c r="AC903" s="847" t="s">
        <v>265</v>
      </c>
      <c r="AD903" s="847" t="s">
        <v>144</v>
      </c>
      <c r="AE903" s="847" t="s">
        <v>144</v>
      </c>
      <c r="AF903" s="848" t="s">
        <v>144</v>
      </c>
      <c r="AG903" s="838"/>
      <c r="AH903" s="866" t="s">
        <v>266</v>
      </c>
      <c r="AI903" s="273" t="s">
        <v>267</v>
      </c>
      <c r="AJ903" s="847"/>
      <c r="AK903" s="848" t="s">
        <v>317</v>
      </c>
      <c r="AL903" s="867"/>
      <c r="AM903" s="273"/>
      <c r="AN903" s="847"/>
      <c r="AO903" s="848"/>
      <c r="AP903" s="867"/>
      <c r="AQ903" s="273"/>
      <c r="AR903" s="847"/>
      <c r="AS903" s="848"/>
      <c r="AT903" s="867" t="s">
        <v>318</v>
      </c>
      <c r="AU903" s="273" t="s">
        <v>319</v>
      </c>
      <c r="AV903" s="847"/>
      <c r="AW903" s="848" t="s">
        <v>320</v>
      </c>
      <c r="AX903" s="867"/>
      <c r="AY903" s="273"/>
      <c r="AZ903" s="847"/>
      <c r="BA903" s="848"/>
      <c r="BB903" s="866"/>
      <c r="BC903" s="273"/>
      <c r="BD903" s="847"/>
      <c r="BE903" s="848"/>
      <c r="BF903" s="838"/>
    </row>
    <row r="904" spans="1:58" s="87" customFormat="1" ht="54" hidden="1" customHeight="1" x14ac:dyDescent="0.25">
      <c r="A904" s="267" t="s">
        <v>7374</v>
      </c>
      <c r="B904" s="268">
        <v>6</v>
      </c>
      <c r="C904" s="240" t="s">
        <v>297</v>
      </c>
      <c r="D904" s="270" t="s">
        <v>298</v>
      </c>
      <c r="E904" s="268" t="s">
        <v>7381</v>
      </c>
      <c r="F904" s="861" t="s">
        <v>136</v>
      </c>
      <c r="G904" s="269" t="s">
        <v>322</v>
      </c>
      <c r="H904" s="846" t="s">
        <v>323</v>
      </c>
      <c r="I904" s="210" t="s">
        <v>324</v>
      </c>
      <c r="J904" s="240" t="s">
        <v>140</v>
      </c>
      <c r="K904" s="270" t="s">
        <v>140</v>
      </c>
      <c r="L904" s="862" t="s">
        <v>941</v>
      </c>
      <c r="M904" s="206" t="s">
        <v>142</v>
      </c>
      <c r="N904" s="270" t="s">
        <v>143</v>
      </c>
      <c r="O904" s="240" t="s">
        <v>144</v>
      </c>
      <c r="P904" s="240" t="s">
        <v>144</v>
      </c>
      <c r="Q904" s="845" t="s">
        <v>7382</v>
      </c>
      <c r="R904" s="208" t="s">
        <v>7383</v>
      </c>
      <c r="S904" s="864" t="s">
        <v>147</v>
      </c>
      <c r="T904" s="212" t="s">
        <v>144</v>
      </c>
      <c r="U904" s="213" t="s">
        <v>144</v>
      </c>
      <c r="V904" s="847">
        <v>2</v>
      </c>
      <c r="W904" s="415" t="s">
        <v>144</v>
      </c>
      <c r="X904" s="212" t="s">
        <v>925</v>
      </c>
      <c r="Y904" s="212" t="s">
        <v>144</v>
      </c>
      <c r="Z904" s="212" t="s">
        <v>144</v>
      </c>
      <c r="AA904" s="240" t="s">
        <v>148</v>
      </c>
      <c r="AB904" s="206" t="s">
        <v>140</v>
      </c>
      <c r="AC904" s="847" t="s">
        <v>265</v>
      </c>
      <c r="AD904" s="847" t="s">
        <v>144</v>
      </c>
      <c r="AE904" s="847" t="s">
        <v>144</v>
      </c>
      <c r="AF904" s="848" t="s">
        <v>144</v>
      </c>
      <c r="AG904" s="838"/>
      <c r="AH904" s="866" t="s">
        <v>266</v>
      </c>
      <c r="AI904" s="273" t="s">
        <v>267</v>
      </c>
      <c r="AJ904" s="847"/>
      <c r="AK904" s="848" t="s">
        <v>327</v>
      </c>
      <c r="AL904" s="867"/>
      <c r="AM904" s="273"/>
      <c r="AN904" s="847"/>
      <c r="AO904" s="848"/>
      <c r="AP904" s="867" t="s">
        <v>7384</v>
      </c>
      <c r="AQ904" s="273" t="s">
        <v>7385</v>
      </c>
      <c r="AR904" s="847"/>
      <c r="AS904" s="848" t="s">
        <v>327</v>
      </c>
      <c r="AT904" s="867"/>
      <c r="AU904" s="273"/>
      <c r="AV904" s="847"/>
      <c r="AW904" s="848"/>
      <c r="AX904" s="867"/>
      <c r="AY904" s="273"/>
      <c r="AZ904" s="847"/>
      <c r="BA904" s="848"/>
      <c r="BB904" s="866"/>
      <c r="BC904" s="273"/>
      <c r="BD904" s="847"/>
      <c r="BE904" s="848"/>
      <c r="BF904" s="838"/>
    </row>
    <row r="905" spans="1:58" s="87" customFormat="1" ht="54" hidden="1" customHeight="1" x14ac:dyDescent="0.25">
      <c r="A905" s="267" t="s">
        <v>7374</v>
      </c>
      <c r="B905" s="268">
        <v>7</v>
      </c>
      <c r="C905" s="240" t="s">
        <v>256</v>
      </c>
      <c r="D905" s="270" t="s">
        <v>257</v>
      </c>
      <c r="E905" s="268" t="s">
        <v>7386</v>
      </c>
      <c r="F905" s="861" t="s">
        <v>331</v>
      </c>
      <c r="G905" s="269" t="s">
        <v>332</v>
      </c>
      <c r="H905" s="845" t="s">
        <v>331</v>
      </c>
      <c r="I905" s="208" t="s">
        <v>332</v>
      </c>
      <c r="J905" s="240" t="s">
        <v>140</v>
      </c>
      <c r="K905" s="270" t="s">
        <v>140</v>
      </c>
      <c r="L905" s="862" t="s">
        <v>947</v>
      </c>
      <c r="M905" s="206" t="s">
        <v>193</v>
      </c>
      <c r="N905" s="270" t="s">
        <v>194</v>
      </c>
      <c r="O905" s="240" t="s">
        <v>144</v>
      </c>
      <c r="P905" s="240" t="s">
        <v>144</v>
      </c>
      <c r="Q905" s="863" t="s">
        <v>948</v>
      </c>
      <c r="R905" s="271" t="s">
        <v>949</v>
      </c>
      <c r="S905" s="864" t="s">
        <v>147</v>
      </c>
      <c r="T905" s="212" t="s">
        <v>144</v>
      </c>
      <c r="U905" s="213" t="s">
        <v>144</v>
      </c>
      <c r="V905" s="847">
        <v>1</v>
      </c>
      <c r="W905" s="415" t="s">
        <v>144</v>
      </c>
      <c r="X905" s="212" t="s">
        <v>925</v>
      </c>
      <c r="Y905" s="212" t="s">
        <v>144</v>
      </c>
      <c r="Z905" s="212" t="s">
        <v>144</v>
      </c>
      <c r="AA905" s="343" t="s">
        <v>148</v>
      </c>
      <c r="AB905" s="206" t="s">
        <v>140</v>
      </c>
      <c r="AC905" s="847" t="s">
        <v>265</v>
      </c>
      <c r="AD905" s="847" t="s">
        <v>144</v>
      </c>
      <c r="AE905" s="847" t="s">
        <v>144</v>
      </c>
      <c r="AF905" s="848" t="s">
        <v>144</v>
      </c>
      <c r="AG905" s="838"/>
      <c r="AH905" s="866"/>
      <c r="AI905" s="273"/>
      <c r="AJ905" s="847"/>
      <c r="AK905" s="848"/>
      <c r="AL905" s="867"/>
      <c r="AM905" s="273"/>
      <c r="AN905" s="847"/>
      <c r="AO905" s="848"/>
      <c r="AP905" s="867" t="s">
        <v>950</v>
      </c>
      <c r="AQ905" s="273" t="s">
        <v>951</v>
      </c>
      <c r="AR905" s="847"/>
      <c r="AS905" s="848" t="s">
        <v>952</v>
      </c>
      <c r="AT905" s="867" t="s">
        <v>953</v>
      </c>
      <c r="AU905" s="273" t="s">
        <v>954</v>
      </c>
      <c r="AV905" s="847"/>
      <c r="AW905" s="848" t="s">
        <v>952</v>
      </c>
      <c r="AX905" s="867"/>
      <c r="AY905" s="273"/>
      <c r="AZ905" s="847"/>
      <c r="BA905" s="848"/>
      <c r="BB905" s="866"/>
      <c r="BC905" s="273"/>
      <c r="BD905" s="847"/>
      <c r="BE905" s="848"/>
      <c r="BF905" s="838"/>
    </row>
    <row r="906" spans="1:58" s="87" customFormat="1" ht="54" hidden="1" customHeight="1" x14ac:dyDescent="0.25">
      <c r="A906" s="267" t="s">
        <v>7374</v>
      </c>
      <c r="B906" s="268">
        <v>8</v>
      </c>
      <c r="C906" s="240" t="s">
        <v>256</v>
      </c>
      <c r="D906" s="270" t="s">
        <v>257</v>
      </c>
      <c r="E906" s="268" t="s">
        <v>7387</v>
      </c>
      <c r="F906" s="861" t="s">
        <v>956</v>
      </c>
      <c r="G906" s="269" t="s">
        <v>957</v>
      </c>
      <c r="H906" s="845" t="s">
        <v>958</v>
      </c>
      <c r="I906" s="208" t="s">
        <v>959</v>
      </c>
      <c r="J906" s="240" t="s">
        <v>140</v>
      </c>
      <c r="K906" s="270" t="s">
        <v>140</v>
      </c>
      <c r="L906" s="862" t="s">
        <v>960</v>
      </c>
      <c r="M906" s="206" t="s">
        <v>973</v>
      </c>
      <c r="N906" s="270" t="s">
        <v>974</v>
      </c>
      <c r="O906" s="240" t="s">
        <v>961</v>
      </c>
      <c r="P906" s="240" t="s">
        <v>962</v>
      </c>
      <c r="Q906" s="845" t="s">
        <v>963</v>
      </c>
      <c r="R906" s="208" t="s">
        <v>964</v>
      </c>
      <c r="S906" s="864" t="s">
        <v>147</v>
      </c>
      <c r="T906" s="212" t="s">
        <v>144</v>
      </c>
      <c r="U906" s="213" t="s">
        <v>144</v>
      </c>
      <c r="V906" s="847">
        <v>2</v>
      </c>
      <c r="W906" s="415" t="s">
        <v>144</v>
      </c>
      <c r="X906" s="212" t="s">
        <v>925</v>
      </c>
      <c r="Y906" s="212" t="s">
        <v>144</v>
      </c>
      <c r="Z906" s="241" t="s">
        <v>25</v>
      </c>
      <c r="AA906" s="407" t="s">
        <v>1706</v>
      </c>
      <c r="AB906" s="206" t="s">
        <v>140</v>
      </c>
      <c r="AC906" s="847" t="s">
        <v>265</v>
      </c>
      <c r="AD906" s="847" t="s">
        <v>144</v>
      </c>
      <c r="AE906" s="847" t="s">
        <v>144</v>
      </c>
      <c r="AF906" s="848" t="s">
        <v>144</v>
      </c>
      <c r="AG906" s="838"/>
      <c r="AH906" s="866" t="s">
        <v>7388</v>
      </c>
      <c r="AI906" s="273" t="s">
        <v>7389</v>
      </c>
      <c r="AJ906" s="847">
        <v>6</v>
      </c>
      <c r="AK906" s="848" t="s">
        <v>7390</v>
      </c>
      <c r="AL906" s="867" t="s">
        <v>294</v>
      </c>
      <c r="AM906" s="273" t="s">
        <v>295</v>
      </c>
      <c r="AN906" s="847">
        <v>7</v>
      </c>
      <c r="AO906" s="848" t="s">
        <v>966</v>
      </c>
      <c r="AP906" s="867"/>
      <c r="AQ906" s="273"/>
      <c r="AR906" s="847"/>
      <c r="AS906" s="848"/>
      <c r="AT906" s="867"/>
      <c r="AU906" s="273"/>
      <c r="AV906" s="847"/>
      <c r="AW906" s="848"/>
      <c r="AX906" s="867"/>
      <c r="AY906" s="273"/>
      <c r="AZ906" s="847"/>
      <c r="BA906" s="848"/>
      <c r="BB906" s="866"/>
      <c r="BC906" s="273"/>
      <c r="BD906" s="847"/>
      <c r="BE906" s="848"/>
      <c r="BF906" s="838"/>
    </row>
    <row r="907" spans="1:58" s="87" customFormat="1" ht="54" hidden="1" customHeight="1" x14ac:dyDescent="0.25">
      <c r="A907" s="267" t="s">
        <v>7374</v>
      </c>
      <c r="B907" s="268">
        <v>9</v>
      </c>
      <c r="C907" s="240" t="s">
        <v>256</v>
      </c>
      <c r="D907" s="270" t="s">
        <v>257</v>
      </c>
      <c r="E907" s="268" t="s">
        <v>7391</v>
      </c>
      <c r="F907" s="861" t="s">
        <v>968</v>
      </c>
      <c r="G907" s="269" t="s">
        <v>969</v>
      </c>
      <c r="H907" s="845" t="s">
        <v>970</v>
      </c>
      <c r="I907" s="208" t="s">
        <v>971</v>
      </c>
      <c r="J907" s="240" t="s">
        <v>140</v>
      </c>
      <c r="K907" s="270" t="s">
        <v>140</v>
      </c>
      <c r="L907" s="862" t="s">
        <v>972</v>
      </c>
      <c r="M907" s="206" t="s">
        <v>973</v>
      </c>
      <c r="N907" s="270" t="s">
        <v>974</v>
      </c>
      <c r="O907" s="437" t="s">
        <v>144</v>
      </c>
      <c r="P907" s="240" t="s">
        <v>144</v>
      </c>
      <c r="Q907" s="845" t="s">
        <v>975</v>
      </c>
      <c r="R907" s="208" t="s">
        <v>523</v>
      </c>
      <c r="S907" s="864" t="s">
        <v>147</v>
      </c>
      <c r="T907" s="212" t="s">
        <v>144</v>
      </c>
      <c r="U907" s="213" t="s">
        <v>144</v>
      </c>
      <c r="V907" s="847">
        <v>4</v>
      </c>
      <c r="W907" s="415" t="s">
        <v>144</v>
      </c>
      <c r="X907" s="212" t="s">
        <v>925</v>
      </c>
      <c r="Y907" s="212" t="s">
        <v>144</v>
      </c>
      <c r="Z907" s="241" t="s">
        <v>144</v>
      </c>
      <c r="AA907" s="615" t="s">
        <v>733</v>
      </c>
      <c r="AB907" s="206" t="s">
        <v>140</v>
      </c>
      <c r="AC907" s="847" t="s">
        <v>265</v>
      </c>
      <c r="AD907" s="847" t="s">
        <v>144</v>
      </c>
      <c r="AE907" s="847" t="s">
        <v>144</v>
      </c>
      <c r="AF907" s="848" t="s">
        <v>144</v>
      </c>
      <c r="AG907" s="838"/>
      <c r="AH907" s="866" t="s">
        <v>7392</v>
      </c>
      <c r="AI907" s="273" t="s">
        <v>7393</v>
      </c>
      <c r="AJ907" s="847"/>
      <c r="AK907" s="848" t="s">
        <v>978</v>
      </c>
      <c r="AL907" s="867" t="s">
        <v>7394</v>
      </c>
      <c r="AM907" s="273" t="s">
        <v>7395</v>
      </c>
      <c r="AN907" s="847"/>
      <c r="AO907" s="848" t="s">
        <v>981</v>
      </c>
      <c r="AP907" s="867"/>
      <c r="AQ907" s="273"/>
      <c r="AR907" s="847"/>
      <c r="AS907" s="848"/>
      <c r="AT907" s="867"/>
      <c r="AU907" s="273"/>
      <c r="AV907" s="847"/>
      <c r="AW907" s="848"/>
      <c r="AX907" s="867"/>
      <c r="AY907" s="273"/>
      <c r="AZ907" s="847"/>
      <c r="BA907" s="848"/>
      <c r="BB907" s="866"/>
      <c r="BC907" s="273"/>
      <c r="BD907" s="847"/>
      <c r="BE907" s="848"/>
      <c r="BF907" s="838"/>
    </row>
    <row r="908" spans="1:58" s="55" customFormat="1" ht="54" customHeight="1" x14ac:dyDescent="0.25">
      <c r="A908" s="275" t="s">
        <v>7374</v>
      </c>
      <c r="B908" s="276">
        <v>10</v>
      </c>
      <c r="C908" s="253" t="s">
        <v>144</v>
      </c>
      <c r="D908" s="253" t="s">
        <v>144</v>
      </c>
      <c r="E908" s="276" t="s">
        <v>7396</v>
      </c>
      <c r="F908" s="277" t="s">
        <v>251</v>
      </c>
      <c r="G908" s="277" t="s">
        <v>251</v>
      </c>
      <c r="H908" s="220" t="s">
        <v>336</v>
      </c>
      <c r="I908" s="218" t="s">
        <v>337</v>
      </c>
      <c r="J908" s="253" t="s">
        <v>144</v>
      </c>
      <c r="K908" s="253" t="s">
        <v>144</v>
      </c>
      <c r="L908" s="718" t="s">
        <v>983</v>
      </c>
      <c r="M908" s="253" t="s">
        <v>144</v>
      </c>
      <c r="N908" s="253" t="s">
        <v>144</v>
      </c>
      <c r="O908" s="253" t="s">
        <v>144</v>
      </c>
      <c r="P908" s="253" t="s">
        <v>144</v>
      </c>
      <c r="Q908" s="220" t="s">
        <v>338</v>
      </c>
      <c r="R908" s="220" t="s">
        <v>339</v>
      </c>
      <c r="S908" s="276" t="s">
        <v>147</v>
      </c>
      <c r="T908" s="221" t="s">
        <v>144</v>
      </c>
      <c r="U908" s="221" t="s">
        <v>144</v>
      </c>
      <c r="V908" s="253">
        <v>3</v>
      </c>
      <c r="W908" s="217" t="s">
        <v>144</v>
      </c>
      <c r="X908" s="221" t="s">
        <v>144</v>
      </c>
      <c r="Y908" s="221" t="s">
        <v>144</v>
      </c>
      <c r="Z908" s="221" t="s">
        <v>144</v>
      </c>
      <c r="AA908" s="253" t="s">
        <v>144</v>
      </c>
      <c r="AB908" s="217" t="s">
        <v>144</v>
      </c>
      <c r="AC908" s="253" t="s">
        <v>265</v>
      </c>
      <c r="AD908" s="253" t="s">
        <v>144</v>
      </c>
      <c r="AE908" s="253" t="s">
        <v>144</v>
      </c>
      <c r="AF908" s="254" t="s">
        <v>144</v>
      </c>
      <c r="AG908" s="838"/>
      <c r="AH908" s="280"/>
      <c r="AI908" s="281"/>
      <c r="AJ908" s="253"/>
      <c r="AK908" s="254"/>
      <c r="AL908" s="281"/>
      <c r="AM908" s="281"/>
      <c r="AN908" s="253"/>
      <c r="AO908" s="254"/>
      <c r="AP908" s="281"/>
      <c r="AQ908" s="281"/>
      <c r="AR908" s="253"/>
      <c r="AS908" s="254"/>
      <c r="AT908" s="281"/>
      <c r="AU908" s="281"/>
      <c r="AV908" s="253"/>
      <c r="AW908" s="254"/>
      <c r="AX908" s="281"/>
      <c r="AY908" s="281"/>
      <c r="AZ908" s="253"/>
      <c r="BA908" s="254"/>
      <c r="BB908" s="280"/>
      <c r="BC908" s="281"/>
      <c r="BD908" s="253"/>
      <c r="BE908" s="254"/>
      <c r="BF908" s="838"/>
    </row>
    <row r="909" spans="1:58" s="87" customFormat="1" ht="54" hidden="1" customHeight="1" x14ac:dyDescent="0.25">
      <c r="A909" s="267" t="s">
        <v>7374</v>
      </c>
      <c r="B909" s="268">
        <v>11</v>
      </c>
      <c r="C909" s="240" t="s">
        <v>340</v>
      </c>
      <c r="D909" s="211" t="s">
        <v>341</v>
      </c>
      <c r="E909" s="268" t="s">
        <v>7397</v>
      </c>
      <c r="F909" s="861" t="s">
        <v>985</v>
      </c>
      <c r="G909" s="269" t="s">
        <v>344</v>
      </c>
      <c r="H909" s="861" t="s">
        <v>345</v>
      </c>
      <c r="I909" s="269" t="s">
        <v>346</v>
      </c>
      <c r="J909" s="296" t="s">
        <v>140</v>
      </c>
      <c r="K909" s="297" t="s">
        <v>140</v>
      </c>
      <c r="L909" s="862" t="s">
        <v>988</v>
      </c>
      <c r="M909" s="206" t="s">
        <v>142</v>
      </c>
      <c r="N909" s="270" t="s">
        <v>143</v>
      </c>
      <c r="O909" s="240" t="s">
        <v>144</v>
      </c>
      <c r="P909" s="240" t="s">
        <v>144</v>
      </c>
      <c r="Q909" s="845" t="s">
        <v>7398</v>
      </c>
      <c r="R909" s="208" t="s">
        <v>7399</v>
      </c>
      <c r="S909" s="864" t="s">
        <v>147</v>
      </c>
      <c r="T909" s="212" t="s">
        <v>144</v>
      </c>
      <c r="U909" s="213" t="s">
        <v>144</v>
      </c>
      <c r="V909" s="847">
        <v>20</v>
      </c>
      <c r="W909" s="415" t="s">
        <v>144</v>
      </c>
      <c r="X909" s="212" t="s">
        <v>925</v>
      </c>
      <c r="Y909" s="212" t="s">
        <v>144</v>
      </c>
      <c r="Z909" s="241" t="s">
        <v>144</v>
      </c>
      <c r="AA909" s="437" t="s">
        <v>7400</v>
      </c>
      <c r="AB909" s="206" t="s">
        <v>140</v>
      </c>
      <c r="AC909" s="847" t="s">
        <v>265</v>
      </c>
      <c r="AD909" s="847" t="s">
        <v>144</v>
      </c>
      <c r="AE909" s="847" t="s">
        <v>144</v>
      </c>
      <c r="AF909" s="848" t="s">
        <v>144</v>
      </c>
      <c r="AG909" s="838"/>
      <c r="AH909" s="866" t="s">
        <v>266</v>
      </c>
      <c r="AI909" s="273" t="s">
        <v>267</v>
      </c>
      <c r="AJ909" s="847">
        <v>7</v>
      </c>
      <c r="AK909" s="848" t="s">
        <v>1046</v>
      </c>
      <c r="AL909" s="867"/>
      <c r="AM909" s="273"/>
      <c r="AN909" s="847"/>
      <c r="AO909" s="848"/>
      <c r="AP909" s="867"/>
      <c r="AQ909" s="273"/>
      <c r="AR909" s="847"/>
      <c r="AS909" s="848"/>
      <c r="AT909" s="867"/>
      <c r="AU909" s="273"/>
      <c r="AV909" s="847"/>
      <c r="AW909" s="848"/>
      <c r="AX909" s="867" t="s">
        <v>7401</v>
      </c>
      <c r="AY909" s="273" t="s">
        <v>7402</v>
      </c>
      <c r="AZ909" s="847" t="s">
        <v>1724</v>
      </c>
      <c r="BA909" s="848" t="s">
        <v>7403</v>
      </c>
      <c r="BB909" s="866"/>
      <c r="BC909" s="273"/>
      <c r="BD909" s="847"/>
      <c r="BE909" s="848"/>
      <c r="BF909" s="838"/>
    </row>
    <row r="910" spans="1:58" s="87" customFormat="1" ht="54" hidden="1" customHeight="1" x14ac:dyDescent="0.25">
      <c r="A910" s="267" t="s">
        <v>7374</v>
      </c>
      <c r="B910" s="268">
        <v>12</v>
      </c>
      <c r="C910" s="240" t="s">
        <v>340</v>
      </c>
      <c r="D910" s="211" t="s">
        <v>341</v>
      </c>
      <c r="E910" s="268" t="s">
        <v>7404</v>
      </c>
      <c r="F910" s="861" t="s">
        <v>990</v>
      </c>
      <c r="G910" s="269" t="s">
        <v>351</v>
      </c>
      <c r="H910" s="845" t="s">
        <v>991</v>
      </c>
      <c r="I910" s="269" t="s">
        <v>992</v>
      </c>
      <c r="J910" s="296" t="s">
        <v>140</v>
      </c>
      <c r="K910" s="297" t="s">
        <v>140</v>
      </c>
      <c r="L910" s="862" t="s">
        <v>993</v>
      </c>
      <c r="M910" s="206" t="s">
        <v>193</v>
      </c>
      <c r="N910" s="270" t="s">
        <v>194</v>
      </c>
      <c r="O910" s="240" t="s">
        <v>144</v>
      </c>
      <c r="P910" s="240" t="s">
        <v>144</v>
      </c>
      <c r="Q910" s="845" t="s">
        <v>1490</v>
      </c>
      <c r="R910" s="208" t="s">
        <v>1057</v>
      </c>
      <c r="S910" s="864" t="s">
        <v>147</v>
      </c>
      <c r="T910" s="212" t="s">
        <v>144</v>
      </c>
      <c r="U910" s="213" t="s">
        <v>144</v>
      </c>
      <c r="V910" s="847">
        <v>10</v>
      </c>
      <c r="W910" s="415" t="s">
        <v>144</v>
      </c>
      <c r="X910" s="212" t="s">
        <v>925</v>
      </c>
      <c r="Y910" s="212" t="s">
        <v>144</v>
      </c>
      <c r="Z910" s="241" t="s">
        <v>25</v>
      </c>
      <c r="AA910" s="437" t="s">
        <v>7405</v>
      </c>
      <c r="AB910" s="206" t="s">
        <v>140</v>
      </c>
      <c r="AC910" s="847" t="s">
        <v>265</v>
      </c>
      <c r="AD910" s="847" t="s">
        <v>144</v>
      </c>
      <c r="AE910" s="847" t="s">
        <v>144</v>
      </c>
      <c r="AF910" s="848" t="s">
        <v>144</v>
      </c>
      <c r="AG910" s="838"/>
      <c r="AH910" s="866"/>
      <c r="AI910" s="273"/>
      <c r="AJ910" s="847"/>
      <c r="AK910" s="848"/>
      <c r="AL910" s="867"/>
      <c r="AM910" s="273"/>
      <c r="AN910" s="847"/>
      <c r="AO910" s="848"/>
      <c r="AP910" s="867"/>
      <c r="AQ910" s="273"/>
      <c r="AR910" s="847"/>
      <c r="AS910" s="848"/>
      <c r="AT910" s="867"/>
      <c r="AU910" s="273"/>
      <c r="AV910" s="847"/>
      <c r="AW910" s="848"/>
      <c r="AX910" s="873" t="s">
        <v>7406</v>
      </c>
      <c r="AY910" s="406" t="s">
        <v>7407</v>
      </c>
      <c r="AZ910" s="872" t="s">
        <v>1061</v>
      </c>
      <c r="BA910" s="878" t="s">
        <v>1732</v>
      </c>
      <c r="BB910" s="866"/>
      <c r="BC910" s="273"/>
      <c r="BD910" s="847"/>
      <c r="BE910" s="848"/>
      <c r="BF910" s="838"/>
    </row>
    <row r="911" spans="1:58" s="55" customFormat="1" ht="54" hidden="1" customHeight="1" x14ac:dyDescent="0.25">
      <c r="A911" s="275" t="s">
        <v>7374</v>
      </c>
      <c r="B911" s="276">
        <v>13</v>
      </c>
      <c r="C911" s="253" t="s">
        <v>144</v>
      </c>
      <c r="D911" s="217" t="s">
        <v>144</v>
      </c>
      <c r="E911" s="276" t="s">
        <v>7408</v>
      </c>
      <c r="F911" s="277" t="s">
        <v>357</v>
      </c>
      <c r="G911" s="277" t="s">
        <v>1734</v>
      </c>
      <c r="H911" s="218" t="s">
        <v>1735</v>
      </c>
      <c r="I911" s="277" t="s">
        <v>359</v>
      </c>
      <c r="J911" s="302" t="s">
        <v>144</v>
      </c>
      <c r="K911" s="302" t="s">
        <v>144</v>
      </c>
      <c r="L911" s="718" t="s">
        <v>998</v>
      </c>
      <c r="M911" s="217" t="s">
        <v>144</v>
      </c>
      <c r="N911" s="253" t="s">
        <v>144</v>
      </c>
      <c r="O911" s="253" t="s">
        <v>144</v>
      </c>
      <c r="P911" s="253" t="s">
        <v>144</v>
      </c>
      <c r="Q911" s="220" t="s">
        <v>338</v>
      </c>
      <c r="R911" s="220" t="s">
        <v>339</v>
      </c>
      <c r="S911" s="276" t="s">
        <v>147</v>
      </c>
      <c r="T911" s="221" t="s">
        <v>144</v>
      </c>
      <c r="U911" s="221" t="s">
        <v>144</v>
      </c>
      <c r="V911" s="253">
        <v>30</v>
      </c>
      <c r="W911" s="217" t="s">
        <v>144</v>
      </c>
      <c r="X911" s="221" t="s">
        <v>144</v>
      </c>
      <c r="Y911" s="221">
        <v>43</v>
      </c>
      <c r="Z911" s="221" t="s">
        <v>144</v>
      </c>
      <c r="AA911" s="253" t="s">
        <v>144</v>
      </c>
      <c r="AB911" s="217" t="s">
        <v>144</v>
      </c>
      <c r="AC911" s="253" t="s">
        <v>265</v>
      </c>
      <c r="AD911" s="253" t="s">
        <v>144</v>
      </c>
      <c r="AE911" s="253" t="s">
        <v>144</v>
      </c>
      <c r="AF911" s="254" t="s">
        <v>144</v>
      </c>
      <c r="AG911" s="838"/>
      <c r="AH911" s="280"/>
      <c r="AI911" s="281"/>
      <c r="AJ911" s="253"/>
      <c r="AK911" s="254"/>
      <c r="AL911" s="281"/>
      <c r="AM911" s="281"/>
      <c r="AN911" s="253"/>
      <c r="AO911" s="254"/>
      <c r="AP911" s="281"/>
      <c r="AQ911" s="281"/>
      <c r="AR911" s="253"/>
      <c r="AS911" s="254"/>
      <c r="AT911" s="281"/>
      <c r="AU911" s="281"/>
      <c r="AV911" s="253"/>
      <c r="AW911" s="254"/>
      <c r="AX911" s="281"/>
      <c r="AY911" s="281"/>
      <c r="AZ911" s="253"/>
      <c r="BA911" s="254"/>
      <c r="BB911" s="280"/>
      <c r="BC911" s="281"/>
      <c r="BD911" s="253"/>
      <c r="BE911" s="254"/>
      <c r="BF911" s="838"/>
    </row>
    <row r="912" spans="1:58" s="87" customFormat="1" ht="54" hidden="1" customHeight="1" x14ac:dyDescent="0.25">
      <c r="A912" s="267" t="s">
        <v>7374</v>
      </c>
      <c r="B912" s="268">
        <v>14</v>
      </c>
      <c r="C912" s="240" t="s">
        <v>256</v>
      </c>
      <c r="D912" s="211" t="s">
        <v>257</v>
      </c>
      <c r="E912" s="268" t="s">
        <v>7409</v>
      </c>
      <c r="F912" s="861" t="s">
        <v>361</v>
      </c>
      <c r="G912" s="269" t="s">
        <v>362</v>
      </c>
      <c r="H912" s="845" t="s">
        <v>361</v>
      </c>
      <c r="I912" s="269" t="s">
        <v>363</v>
      </c>
      <c r="J912" s="296" t="s">
        <v>140</v>
      </c>
      <c r="K912" s="297" t="s">
        <v>140</v>
      </c>
      <c r="L912" s="862" t="s">
        <v>1008</v>
      </c>
      <c r="M912" s="206" t="s">
        <v>193</v>
      </c>
      <c r="N912" s="270" t="s">
        <v>194</v>
      </c>
      <c r="O912" s="240" t="s">
        <v>144</v>
      </c>
      <c r="P912" s="240" t="s">
        <v>144</v>
      </c>
      <c r="Q912" s="845" t="s">
        <v>7410</v>
      </c>
      <c r="R912" s="208" t="s">
        <v>7411</v>
      </c>
      <c r="S912" s="864" t="s">
        <v>147</v>
      </c>
      <c r="T912" s="212" t="s">
        <v>144</v>
      </c>
      <c r="U912" s="213" t="s">
        <v>144</v>
      </c>
      <c r="V912" s="847">
        <v>30</v>
      </c>
      <c r="W912" s="415" t="s">
        <v>144</v>
      </c>
      <c r="X912" s="212" t="s">
        <v>925</v>
      </c>
      <c r="Y912" s="212" t="s">
        <v>144</v>
      </c>
      <c r="Z912" s="241" t="s">
        <v>144</v>
      </c>
      <c r="AA912" s="437" t="s">
        <v>7412</v>
      </c>
      <c r="AB912" s="206" t="s">
        <v>140</v>
      </c>
      <c r="AC912" s="847" t="s">
        <v>265</v>
      </c>
      <c r="AD912" s="847" t="s">
        <v>144</v>
      </c>
      <c r="AE912" s="847" t="s">
        <v>144</v>
      </c>
      <c r="AF912" s="848" t="s">
        <v>144</v>
      </c>
      <c r="AG912" s="838"/>
      <c r="AH912" s="866"/>
      <c r="AI912" s="273"/>
      <c r="AJ912" s="847"/>
      <c r="AK912" s="848"/>
      <c r="AL912" s="207"/>
      <c r="AM912" s="210"/>
      <c r="AN912" s="847"/>
      <c r="AO912" s="848"/>
      <c r="AP912" s="867"/>
      <c r="AQ912" s="273"/>
      <c r="AR912" s="847"/>
      <c r="AS912" s="848"/>
      <c r="AT912" s="867"/>
      <c r="AU912" s="273"/>
      <c r="AV912" s="847"/>
      <c r="AW912" s="848"/>
      <c r="AX912" s="867" t="s">
        <v>7413</v>
      </c>
      <c r="AY912" s="273" t="s">
        <v>7414</v>
      </c>
      <c r="AZ912" s="847">
        <v>7</v>
      </c>
      <c r="BA912" s="848" t="s">
        <v>1743</v>
      </c>
      <c r="BB912" s="866"/>
      <c r="BC912" s="273"/>
      <c r="BD912" s="847"/>
      <c r="BE912" s="848"/>
      <c r="BF912" s="838"/>
    </row>
    <row r="913" spans="1:58" s="55" customFormat="1" ht="54" hidden="1" customHeight="1" x14ac:dyDescent="0.25">
      <c r="A913" s="275" t="s">
        <v>7374</v>
      </c>
      <c r="B913" s="276">
        <v>15</v>
      </c>
      <c r="C913" s="253" t="s">
        <v>144</v>
      </c>
      <c r="D913" s="217" t="s">
        <v>144</v>
      </c>
      <c r="E913" s="276" t="s">
        <v>7415</v>
      </c>
      <c r="F913" s="277" t="s">
        <v>365</v>
      </c>
      <c r="G913" s="277" t="s">
        <v>366</v>
      </c>
      <c r="H913" s="218" t="s">
        <v>365</v>
      </c>
      <c r="I913" s="277" t="s">
        <v>1747</v>
      </c>
      <c r="J913" s="253" t="s">
        <v>144</v>
      </c>
      <c r="K913" s="253" t="s">
        <v>144</v>
      </c>
      <c r="L913" s="718" t="s">
        <v>1010</v>
      </c>
      <c r="M913" s="253" t="s">
        <v>144</v>
      </c>
      <c r="N913" s="253" t="s">
        <v>144</v>
      </c>
      <c r="O913" s="253" t="s">
        <v>144</v>
      </c>
      <c r="P913" s="253" t="s">
        <v>144</v>
      </c>
      <c r="Q913" s="218" t="s">
        <v>144</v>
      </c>
      <c r="R913" s="218" t="s">
        <v>144</v>
      </c>
      <c r="S913" s="276" t="s">
        <v>147</v>
      </c>
      <c r="T913" s="221" t="s">
        <v>144</v>
      </c>
      <c r="U913" s="221" t="s">
        <v>144</v>
      </c>
      <c r="V913" s="253">
        <v>40</v>
      </c>
      <c r="W913" s="217" t="s">
        <v>144</v>
      </c>
      <c r="X913" s="221" t="s">
        <v>144</v>
      </c>
      <c r="Y913" s="221">
        <v>43</v>
      </c>
      <c r="Z913" s="221" t="s">
        <v>144</v>
      </c>
      <c r="AA913" s="278" t="s">
        <v>144</v>
      </c>
      <c r="AB913" s="217" t="s">
        <v>144</v>
      </c>
      <c r="AC913" s="253" t="s">
        <v>265</v>
      </c>
      <c r="AD913" s="253" t="s">
        <v>144</v>
      </c>
      <c r="AE913" s="253" t="s">
        <v>144</v>
      </c>
      <c r="AF913" s="254" t="s">
        <v>144</v>
      </c>
      <c r="AG913" s="838"/>
      <c r="AH913" s="280"/>
      <c r="AI913" s="281"/>
      <c r="AJ913" s="253"/>
      <c r="AK913" s="254"/>
      <c r="AL913" s="281"/>
      <c r="AM913" s="281"/>
      <c r="AN913" s="253"/>
      <c r="AO913" s="254"/>
      <c r="AP913" s="281"/>
      <c r="AQ913" s="281"/>
      <c r="AR913" s="253"/>
      <c r="AS913" s="254"/>
      <c r="AT913" s="281"/>
      <c r="AU913" s="281"/>
      <c r="AV913" s="253"/>
      <c r="AW913" s="254"/>
      <c r="AX913" s="281"/>
      <c r="AY913" s="281"/>
      <c r="AZ913" s="253"/>
      <c r="BA913" s="254"/>
      <c r="BB913" s="280"/>
      <c r="BC913" s="281"/>
      <c r="BD913" s="253"/>
      <c r="BE913" s="254"/>
      <c r="BF913" s="838"/>
    </row>
    <row r="914" spans="1:58" s="87" customFormat="1" ht="54" hidden="1" customHeight="1" x14ac:dyDescent="0.25">
      <c r="A914" s="267" t="s">
        <v>7374</v>
      </c>
      <c r="B914" s="268">
        <v>16</v>
      </c>
      <c r="C914" s="240" t="s">
        <v>994</v>
      </c>
      <c r="D914" s="211" t="s">
        <v>995</v>
      </c>
      <c r="E914" s="268" t="s">
        <v>7416</v>
      </c>
      <c r="F914" s="861" t="s">
        <v>369</v>
      </c>
      <c r="G914" s="269" t="s">
        <v>1750</v>
      </c>
      <c r="H914" s="845" t="s">
        <v>1012</v>
      </c>
      <c r="I914" s="208" t="s">
        <v>1013</v>
      </c>
      <c r="J914" s="296" t="s">
        <v>140</v>
      </c>
      <c r="K914" s="297" t="s">
        <v>140</v>
      </c>
      <c r="L914" s="862" t="s">
        <v>1014</v>
      </c>
      <c r="M914" s="206" t="s">
        <v>142</v>
      </c>
      <c r="N914" s="270" t="s">
        <v>143</v>
      </c>
      <c r="O914" s="240" t="s">
        <v>144</v>
      </c>
      <c r="P914" s="240" t="s">
        <v>144</v>
      </c>
      <c r="Q914" s="845" t="s">
        <v>1751</v>
      </c>
      <c r="R914" s="208" t="s">
        <v>7417</v>
      </c>
      <c r="S914" s="864" t="s">
        <v>147</v>
      </c>
      <c r="T914" s="212" t="s">
        <v>144</v>
      </c>
      <c r="U914" s="213" t="s">
        <v>144</v>
      </c>
      <c r="V914" s="847">
        <v>40</v>
      </c>
      <c r="W914" s="415" t="s">
        <v>144</v>
      </c>
      <c r="X914" s="212" t="s">
        <v>925</v>
      </c>
      <c r="Y914" s="212" t="s">
        <v>144</v>
      </c>
      <c r="Z914" s="433" t="s">
        <v>25</v>
      </c>
      <c r="AA914" s="434" t="s">
        <v>7418</v>
      </c>
      <c r="AB914" s="206" t="s">
        <v>140</v>
      </c>
      <c r="AC914" s="847" t="s">
        <v>265</v>
      </c>
      <c r="AD914" s="847" t="s">
        <v>144</v>
      </c>
      <c r="AE914" s="847" t="s">
        <v>144</v>
      </c>
      <c r="AF914" s="848" t="s">
        <v>144</v>
      </c>
      <c r="AG914" s="838"/>
      <c r="AH914" s="866" t="s">
        <v>266</v>
      </c>
      <c r="AI914" s="273" t="s">
        <v>267</v>
      </c>
      <c r="AJ914" s="847">
        <v>7</v>
      </c>
      <c r="AK914" s="848" t="s">
        <v>1002</v>
      </c>
      <c r="AL914" s="867"/>
      <c r="AM914" s="273"/>
      <c r="AN914" s="847"/>
      <c r="AO914" s="848"/>
      <c r="AP914" s="867"/>
      <c r="AQ914" s="273"/>
      <c r="AR914" s="847"/>
      <c r="AS914" s="848"/>
      <c r="AT914" s="867"/>
      <c r="AU914" s="273"/>
      <c r="AV914" s="847"/>
      <c r="AW914" s="848"/>
      <c r="AX914" s="867" t="s">
        <v>7419</v>
      </c>
      <c r="AY914" s="273" t="s">
        <v>7420</v>
      </c>
      <c r="AZ914" s="847">
        <v>7</v>
      </c>
      <c r="BA914" s="848" t="s">
        <v>7421</v>
      </c>
      <c r="BB914" s="249" t="s">
        <v>1757</v>
      </c>
      <c r="BC914" s="135" t="s">
        <v>1758</v>
      </c>
      <c r="BD914" s="847">
        <v>6</v>
      </c>
      <c r="BE914" s="848" t="s">
        <v>1759</v>
      </c>
      <c r="BF914" s="838"/>
    </row>
    <row r="915" spans="1:58" s="54" customFormat="1" ht="54" hidden="1" customHeight="1" x14ac:dyDescent="0.25">
      <c r="A915" s="216" t="s">
        <v>7374</v>
      </c>
      <c r="B915" s="217">
        <v>17</v>
      </c>
      <c r="C915" s="253" t="s">
        <v>340</v>
      </c>
      <c r="D915" s="217" t="s">
        <v>341</v>
      </c>
      <c r="E915" s="219" t="s">
        <v>7422</v>
      </c>
      <c r="F915" s="220" t="s">
        <v>373</v>
      </c>
      <c r="G915" s="220" t="s">
        <v>374</v>
      </c>
      <c r="H915" s="220" t="s">
        <v>373</v>
      </c>
      <c r="I915" s="220" t="s">
        <v>375</v>
      </c>
      <c r="J915" s="217" t="s">
        <v>144</v>
      </c>
      <c r="K915" s="217" t="s">
        <v>144</v>
      </c>
      <c r="L915" s="708" t="s">
        <v>1017</v>
      </c>
      <c r="M915" s="217" t="s">
        <v>144</v>
      </c>
      <c r="N915" s="253" t="s">
        <v>144</v>
      </c>
      <c r="O915" s="219" t="s">
        <v>144</v>
      </c>
      <c r="P915" s="219" t="s">
        <v>144</v>
      </c>
      <c r="Q915" s="220" t="s">
        <v>144</v>
      </c>
      <c r="R915" s="220" t="s">
        <v>144</v>
      </c>
      <c r="S915" s="219" t="s">
        <v>147</v>
      </c>
      <c r="T915" s="221" t="s">
        <v>144</v>
      </c>
      <c r="U915" s="221" t="s">
        <v>144</v>
      </c>
      <c r="V915" s="217">
        <v>40</v>
      </c>
      <c r="W915" s="217" t="s">
        <v>144</v>
      </c>
      <c r="X915" s="222" t="s">
        <v>144</v>
      </c>
      <c r="Y915" s="222" t="s">
        <v>144</v>
      </c>
      <c r="Z915" s="222" t="s">
        <v>144</v>
      </c>
      <c r="AA915" s="217" t="s">
        <v>144</v>
      </c>
      <c r="AB915" s="217" t="s">
        <v>144</v>
      </c>
      <c r="AC915" s="217" t="s">
        <v>265</v>
      </c>
      <c r="AD915" s="217" t="s">
        <v>144</v>
      </c>
      <c r="AE915" s="217" t="s">
        <v>144</v>
      </c>
      <c r="AF915" s="223" t="s">
        <v>144</v>
      </c>
      <c r="AG915" s="838"/>
      <c r="AH915" s="224"/>
      <c r="AI915" s="225"/>
      <c r="AJ915" s="219"/>
      <c r="AK915" s="226"/>
      <c r="AL915" s="225"/>
      <c r="AM915" s="225"/>
      <c r="AN915" s="219"/>
      <c r="AO915" s="226"/>
      <c r="AP915" s="225"/>
      <c r="AQ915" s="225"/>
      <c r="AR915" s="219"/>
      <c r="AS915" s="226"/>
      <c r="AT915" s="227"/>
      <c r="AU915" s="227"/>
      <c r="AV915" s="219"/>
      <c r="AW915" s="226"/>
      <c r="AX915" s="225"/>
      <c r="AY915" s="225"/>
      <c r="AZ915" s="219"/>
      <c r="BA915" s="226"/>
      <c r="BB915" s="224"/>
      <c r="BC915" s="225"/>
      <c r="BD915" s="219"/>
      <c r="BE915" s="226"/>
      <c r="BF915" s="838"/>
    </row>
    <row r="916" spans="1:58" s="56" customFormat="1" ht="54" customHeight="1" x14ac:dyDescent="0.25">
      <c r="A916" s="275" t="s">
        <v>7374</v>
      </c>
      <c r="B916" s="276">
        <v>18</v>
      </c>
      <c r="C916" s="253" t="s">
        <v>144</v>
      </c>
      <c r="D916" s="217" t="s">
        <v>144</v>
      </c>
      <c r="E916" s="282" t="s">
        <v>7423</v>
      </c>
      <c r="F916" s="279" t="s">
        <v>251</v>
      </c>
      <c r="G916" s="279" t="s">
        <v>251</v>
      </c>
      <c r="H916" s="220" t="s">
        <v>336</v>
      </c>
      <c r="I916" s="279" t="s">
        <v>337</v>
      </c>
      <c r="J916" s="278" t="s">
        <v>144</v>
      </c>
      <c r="K916" s="278" t="s">
        <v>144</v>
      </c>
      <c r="L916" s="718" t="s">
        <v>144</v>
      </c>
      <c r="M916" s="253" t="s">
        <v>144</v>
      </c>
      <c r="N916" s="253" t="s">
        <v>144</v>
      </c>
      <c r="O916" s="253" t="s">
        <v>144</v>
      </c>
      <c r="P916" s="253" t="s">
        <v>144</v>
      </c>
      <c r="Q916" s="220" t="s">
        <v>338</v>
      </c>
      <c r="R916" s="220" t="s">
        <v>339</v>
      </c>
      <c r="S916" s="282" t="s">
        <v>147</v>
      </c>
      <c r="T916" s="229" t="s">
        <v>144</v>
      </c>
      <c r="U916" s="229" t="s">
        <v>144</v>
      </c>
      <c r="V916" s="278">
        <v>11</v>
      </c>
      <c r="W916" s="217" t="s">
        <v>144</v>
      </c>
      <c r="X916" s="221" t="s">
        <v>144</v>
      </c>
      <c r="Y916" s="229" t="s">
        <v>144</v>
      </c>
      <c r="Z916" s="229" t="s">
        <v>144</v>
      </c>
      <c r="AA916" s="253" t="s">
        <v>144</v>
      </c>
      <c r="AB916" s="217" t="s">
        <v>144</v>
      </c>
      <c r="AC916" s="253" t="s">
        <v>265</v>
      </c>
      <c r="AD916" s="253" t="s">
        <v>144</v>
      </c>
      <c r="AE916" s="253" t="s">
        <v>144</v>
      </c>
      <c r="AF916" s="254" t="s">
        <v>144</v>
      </c>
      <c r="AG916" s="838"/>
      <c r="AH916" s="280"/>
      <c r="AI916" s="281"/>
      <c r="AJ916" s="253"/>
      <c r="AK916" s="254"/>
      <c r="AL916" s="281"/>
      <c r="AM916" s="281"/>
      <c r="AN916" s="253"/>
      <c r="AO916" s="254"/>
      <c r="AP916" s="281"/>
      <c r="AQ916" s="281"/>
      <c r="AR916" s="253"/>
      <c r="AS916" s="254"/>
      <c r="AT916" s="281"/>
      <c r="AU916" s="281"/>
      <c r="AV916" s="253"/>
      <c r="AW916" s="254"/>
      <c r="AX916" s="281"/>
      <c r="AY916" s="281"/>
      <c r="AZ916" s="253"/>
      <c r="BA916" s="254"/>
      <c r="BB916" s="280"/>
      <c r="BC916" s="281"/>
      <c r="BD916" s="253"/>
      <c r="BE916" s="254"/>
      <c r="BF916" s="838"/>
    </row>
    <row r="917" spans="1:58" s="56" customFormat="1" ht="54" customHeight="1" x14ac:dyDescent="0.25">
      <c r="A917" s="275" t="s">
        <v>7374</v>
      </c>
      <c r="B917" s="276">
        <v>19</v>
      </c>
      <c r="C917" s="253" t="s">
        <v>144</v>
      </c>
      <c r="D917" s="217" t="s">
        <v>144</v>
      </c>
      <c r="E917" s="282" t="s">
        <v>7424</v>
      </c>
      <c r="F917" s="279" t="s">
        <v>251</v>
      </c>
      <c r="G917" s="279" t="s">
        <v>251</v>
      </c>
      <c r="H917" s="220" t="s">
        <v>336</v>
      </c>
      <c r="I917" s="279" t="s">
        <v>337</v>
      </c>
      <c r="J917" s="278" t="s">
        <v>144</v>
      </c>
      <c r="K917" s="278" t="s">
        <v>144</v>
      </c>
      <c r="L917" s="718" t="s">
        <v>144</v>
      </c>
      <c r="M917" s="253" t="s">
        <v>144</v>
      </c>
      <c r="N917" s="253" t="s">
        <v>144</v>
      </c>
      <c r="O917" s="253" t="s">
        <v>144</v>
      </c>
      <c r="P917" s="253" t="s">
        <v>144</v>
      </c>
      <c r="Q917" s="220" t="s">
        <v>338</v>
      </c>
      <c r="R917" s="220" t="s">
        <v>339</v>
      </c>
      <c r="S917" s="282" t="s">
        <v>147</v>
      </c>
      <c r="T917" s="229" t="s">
        <v>144</v>
      </c>
      <c r="U917" s="229" t="s">
        <v>144</v>
      </c>
      <c r="V917" s="278">
        <v>7</v>
      </c>
      <c r="W917" s="217" t="s">
        <v>144</v>
      </c>
      <c r="X917" s="221" t="s">
        <v>144</v>
      </c>
      <c r="Y917" s="229" t="s">
        <v>144</v>
      </c>
      <c r="Z917" s="229" t="s">
        <v>144</v>
      </c>
      <c r="AA917" s="217" t="s">
        <v>144</v>
      </c>
      <c r="AB917" s="217" t="s">
        <v>144</v>
      </c>
      <c r="AC917" s="253" t="s">
        <v>265</v>
      </c>
      <c r="AD917" s="253" t="s">
        <v>144</v>
      </c>
      <c r="AE917" s="253" t="s">
        <v>144</v>
      </c>
      <c r="AF917" s="254" t="s">
        <v>144</v>
      </c>
      <c r="AG917" s="838"/>
      <c r="AH917" s="280"/>
      <c r="AI917" s="281"/>
      <c r="AJ917" s="253"/>
      <c r="AK917" s="254"/>
      <c r="AL917" s="281"/>
      <c r="AM917" s="281"/>
      <c r="AN917" s="253"/>
      <c r="AO917" s="254"/>
      <c r="AP917" s="281"/>
      <c r="AQ917" s="281"/>
      <c r="AR917" s="253"/>
      <c r="AS917" s="254"/>
      <c r="AT917" s="281"/>
      <c r="AU917" s="281"/>
      <c r="AV917" s="253"/>
      <c r="AW917" s="254"/>
      <c r="AX917" s="281"/>
      <c r="AY917" s="281"/>
      <c r="AZ917" s="253"/>
      <c r="BA917" s="254"/>
      <c r="BB917" s="280"/>
      <c r="BC917" s="281"/>
      <c r="BD917" s="253"/>
      <c r="BE917" s="254"/>
      <c r="BF917" s="838"/>
    </row>
    <row r="918" spans="1:58" s="56" customFormat="1" ht="54" customHeight="1" x14ac:dyDescent="0.25">
      <c r="A918" s="275" t="s">
        <v>7374</v>
      </c>
      <c r="B918" s="276">
        <v>20</v>
      </c>
      <c r="C918" s="253" t="s">
        <v>144</v>
      </c>
      <c r="D918" s="217" t="s">
        <v>144</v>
      </c>
      <c r="E918" s="282" t="s">
        <v>7425</v>
      </c>
      <c r="F918" s="279" t="s">
        <v>251</v>
      </c>
      <c r="G918" s="279" t="s">
        <v>251</v>
      </c>
      <c r="H918" s="220" t="s">
        <v>336</v>
      </c>
      <c r="I918" s="279" t="s">
        <v>337</v>
      </c>
      <c r="J918" s="278" t="s">
        <v>144</v>
      </c>
      <c r="K918" s="278" t="s">
        <v>144</v>
      </c>
      <c r="L918" s="718" t="s">
        <v>144</v>
      </c>
      <c r="M918" s="253" t="s">
        <v>144</v>
      </c>
      <c r="N918" s="253" t="s">
        <v>144</v>
      </c>
      <c r="O918" s="253" t="s">
        <v>144</v>
      </c>
      <c r="P918" s="253" t="s">
        <v>144</v>
      </c>
      <c r="Q918" s="220" t="s">
        <v>338</v>
      </c>
      <c r="R918" s="220" t="s">
        <v>339</v>
      </c>
      <c r="S918" s="282" t="s">
        <v>147</v>
      </c>
      <c r="T918" s="229" t="s">
        <v>144</v>
      </c>
      <c r="U918" s="229" t="s">
        <v>144</v>
      </c>
      <c r="V918" s="278">
        <v>2</v>
      </c>
      <c r="W918" s="217" t="s">
        <v>144</v>
      </c>
      <c r="X918" s="221" t="s">
        <v>144</v>
      </c>
      <c r="Y918" s="229" t="s">
        <v>144</v>
      </c>
      <c r="Z918" s="229" t="s">
        <v>144</v>
      </c>
      <c r="AA918" s="217" t="s">
        <v>144</v>
      </c>
      <c r="AB918" s="217" t="s">
        <v>144</v>
      </c>
      <c r="AC918" s="253" t="s">
        <v>265</v>
      </c>
      <c r="AD918" s="253" t="s">
        <v>144</v>
      </c>
      <c r="AE918" s="253" t="s">
        <v>144</v>
      </c>
      <c r="AF918" s="254" t="s">
        <v>144</v>
      </c>
      <c r="AG918" s="838"/>
      <c r="AH918" s="280"/>
      <c r="AI918" s="281"/>
      <c r="AJ918" s="253"/>
      <c r="AK918" s="254"/>
      <c r="AL918" s="281"/>
      <c r="AM918" s="281"/>
      <c r="AN918" s="253"/>
      <c r="AO918" s="254"/>
      <c r="AP918" s="281"/>
      <c r="AQ918" s="281"/>
      <c r="AR918" s="253"/>
      <c r="AS918" s="254"/>
      <c r="AT918" s="281"/>
      <c r="AU918" s="281"/>
      <c r="AV918" s="253"/>
      <c r="AW918" s="254"/>
      <c r="AX918" s="281"/>
      <c r="AY918" s="281"/>
      <c r="AZ918" s="253"/>
      <c r="BA918" s="254"/>
      <c r="BB918" s="280"/>
      <c r="BC918" s="281"/>
      <c r="BD918" s="253"/>
      <c r="BE918" s="254"/>
      <c r="BF918" s="838"/>
    </row>
    <row r="919" spans="1:58" s="87" customFormat="1" ht="54" hidden="1" customHeight="1" x14ac:dyDescent="0.25">
      <c r="A919" s="267" t="s">
        <v>7374</v>
      </c>
      <c r="B919" s="268">
        <v>21</v>
      </c>
      <c r="C919" s="240" t="s">
        <v>684</v>
      </c>
      <c r="D919" s="211" t="s">
        <v>685</v>
      </c>
      <c r="E919" s="268" t="s">
        <v>7426</v>
      </c>
      <c r="F919" s="861" t="s">
        <v>1568</v>
      </c>
      <c r="G919" s="269" t="s">
        <v>1569</v>
      </c>
      <c r="H919" s="845" t="s">
        <v>7427</v>
      </c>
      <c r="I919" s="269" t="s">
        <v>1765</v>
      </c>
      <c r="J919" s="296" t="s">
        <v>140</v>
      </c>
      <c r="K919" s="297" t="s">
        <v>140</v>
      </c>
      <c r="L919" s="862" t="s">
        <v>1572</v>
      </c>
      <c r="M919" s="206" t="s">
        <v>142</v>
      </c>
      <c r="N919" s="270" t="s">
        <v>143</v>
      </c>
      <c r="O919" s="240" t="s">
        <v>1573</v>
      </c>
      <c r="P919" s="240" t="s">
        <v>1574</v>
      </c>
      <c r="Q919" s="845" t="s">
        <v>144</v>
      </c>
      <c r="R919" s="208" t="s">
        <v>144</v>
      </c>
      <c r="S919" s="864" t="s">
        <v>147</v>
      </c>
      <c r="T919" s="212" t="s">
        <v>144</v>
      </c>
      <c r="U919" s="213" t="s">
        <v>144</v>
      </c>
      <c r="V919" s="847">
        <v>7</v>
      </c>
      <c r="W919" s="415" t="s">
        <v>144</v>
      </c>
      <c r="X919" s="212">
        <v>40</v>
      </c>
      <c r="Y919" s="212" t="s">
        <v>144</v>
      </c>
      <c r="Z919" s="241" t="s">
        <v>144</v>
      </c>
      <c r="AA919" s="437" t="s">
        <v>7428</v>
      </c>
      <c r="AB919" s="206" t="s">
        <v>140</v>
      </c>
      <c r="AC919" s="847" t="s">
        <v>265</v>
      </c>
      <c r="AD919" s="847" t="s">
        <v>144</v>
      </c>
      <c r="AE919" s="847" t="s">
        <v>144</v>
      </c>
      <c r="AF919" s="848" t="s">
        <v>144</v>
      </c>
      <c r="AG919" s="838"/>
      <c r="AH919" s="866" t="s">
        <v>266</v>
      </c>
      <c r="AI919" s="273" t="s">
        <v>267</v>
      </c>
      <c r="AJ919" s="847">
        <v>7</v>
      </c>
      <c r="AK919" s="848" t="s">
        <v>1046</v>
      </c>
      <c r="AL919" s="867" t="s">
        <v>294</v>
      </c>
      <c r="AM919" s="273" t="s">
        <v>295</v>
      </c>
      <c r="AN919" s="847">
        <v>7</v>
      </c>
      <c r="AO919" s="187" t="s">
        <v>966</v>
      </c>
      <c r="AP919" s="867" t="s">
        <v>7429</v>
      </c>
      <c r="AQ919" s="273" t="s">
        <v>7430</v>
      </c>
      <c r="AR919" s="847">
        <v>7</v>
      </c>
      <c r="AS919" s="848" t="s">
        <v>7431</v>
      </c>
      <c r="AT919" s="867"/>
      <c r="AU919" s="273"/>
      <c r="AV919" s="847"/>
      <c r="AW919" s="848"/>
      <c r="AX919" s="867"/>
      <c r="AY919" s="273"/>
      <c r="AZ919" s="847"/>
      <c r="BA919" s="848"/>
      <c r="BB919" s="866"/>
      <c r="BC919" s="273"/>
      <c r="BD919" s="847"/>
      <c r="BE919" s="848"/>
      <c r="BF919" s="838"/>
    </row>
    <row r="920" spans="1:58" s="87" customFormat="1" ht="54" hidden="1" customHeight="1" x14ac:dyDescent="0.25">
      <c r="A920" s="267" t="s">
        <v>7374</v>
      </c>
      <c r="B920" s="268">
        <v>22</v>
      </c>
      <c r="C920" s="240" t="s">
        <v>684</v>
      </c>
      <c r="D920" s="211" t="s">
        <v>685</v>
      </c>
      <c r="E920" s="268" t="s">
        <v>7432</v>
      </c>
      <c r="F920" s="861" t="s">
        <v>1576</v>
      </c>
      <c r="G920" s="269" t="s">
        <v>1577</v>
      </c>
      <c r="H920" s="845" t="s">
        <v>1771</v>
      </c>
      <c r="I920" s="269" t="s">
        <v>1772</v>
      </c>
      <c r="J920" s="296" t="s">
        <v>140</v>
      </c>
      <c r="K920" s="297" t="s">
        <v>140</v>
      </c>
      <c r="L920" s="862" t="s">
        <v>1580</v>
      </c>
      <c r="M920" s="206" t="s">
        <v>142</v>
      </c>
      <c r="N920" s="270" t="s">
        <v>143</v>
      </c>
      <c r="O920" s="240" t="s">
        <v>1581</v>
      </c>
      <c r="P920" s="240" t="s">
        <v>1582</v>
      </c>
      <c r="Q920" s="845" t="s">
        <v>7433</v>
      </c>
      <c r="R920" s="208" t="s">
        <v>7434</v>
      </c>
      <c r="S920" s="864" t="s">
        <v>147</v>
      </c>
      <c r="T920" s="212" t="s">
        <v>144</v>
      </c>
      <c r="U920" s="213" t="s">
        <v>144</v>
      </c>
      <c r="V920" s="847">
        <v>2</v>
      </c>
      <c r="W920" s="415" t="s">
        <v>144</v>
      </c>
      <c r="X920" s="212">
        <v>40</v>
      </c>
      <c r="Y920" s="212" t="s">
        <v>144</v>
      </c>
      <c r="Z920" s="241" t="s">
        <v>144</v>
      </c>
      <c r="AA920" s="618" t="s">
        <v>1775</v>
      </c>
      <c r="AB920" s="206" t="s">
        <v>140</v>
      </c>
      <c r="AC920" s="847" t="s">
        <v>265</v>
      </c>
      <c r="AD920" s="847" t="s">
        <v>144</v>
      </c>
      <c r="AE920" s="847" t="s">
        <v>144</v>
      </c>
      <c r="AF920" s="848" t="s">
        <v>144</v>
      </c>
      <c r="AG920" s="838"/>
      <c r="AH920" s="866" t="s">
        <v>266</v>
      </c>
      <c r="AI920" s="273" t="s">
        <v>267</v>
      </c>
      <c r="AJ920" s="847">
        <v>7</v>
      </c>
      <c r="AK920" s="848" t="s">
        <v>1046</v>
      </c>
      <c r="AL920" s="867" t="s">
        <v>294</v>
      </c>
      <c r="AM920" s="273" t="s">
        <v>295</v>
      </c>
      <c r="AN920" s="847">
        <v>7</v>
      </c>
      <c r="AO920" s="187" t="s">
        <v>966</v>
      </c>
      <c r="AP920" s="867"/>
      <c r="AQ920" s="273"/>
      <c r="AR920" s="847"/>
      <c r="AS920" s="848"/>
      <c r="AT920" s="867" t="s">
        <v>7435</v>
      </c>
      <c r="AU920" s="273" t="s">
        <v>7436</v>
      </c>
      <c r="AV920" s="847">
        <v>7</v>
      </c>
      <c r="AW920" s="848" t="s">
        <v>7437</v>
      </c>
      <c r="AX920" s="867"/>
      <c r="AY920" s="273"/>
      <c r="AZ920" s="847"/>
      <c r="BA920" s="848"/>
      <c r="BB920" s="866"/>
      <c r="BC920" s="273"/>
      <c r="BD920" s="847"/>
      <c r="BE920" s="848"/>
      <c r="BF920" s="838"/>
    </row>
    <row r="921" spans="1:58" s="87" customFormat="1" ht="54" hidden="1" customHeight="1" x14ac:dyDescent="0.25">
      <c r="A921" s="267" t="s">
        <v>7374</v>
      </c>
      <c r="B921" s="268">
        <v>23</v>
      </c>
      <c r="C921" s="240" t="s">
        <v>1022</v>
      </c>
      <c r="D921" s="211" t="s">
        <v>1023</v>
      </c>
      <c r="E921" s="268" t="s">
        <v>7438</v>
      </c>
      <c r="F921" s="861" t="s">
        <v>1783</v>
      </c>
      <c r="G921" s="269" t="s">
        <v>1784</v>
      </c>
      <c r="H921" s="845" t="s">
        <v>7439</v>
      </c>
      <c r="I921" s="269" t="s">
        <v>7440</v>
      </c>
      <c r="J921" s="296" t="s">
        <v>140</v>
      </c>
      <c r="K921" s="297" t="s">
        <v>140</v>
      </c>
      <c r="L921" s="862" t="s">
        <v>1787</v>
      </c>
      <c r="M921" s="206" t="s">
        <v>142</v>
      </c>
      <c r="N921" s="270" t="s">
        <v>143</v>
      </c>
      <c r="O921" s="240" t="s">
        <v>144</v>
      </c>
      <c r="P921" s="240" t="s">
        <v>144</v>
      </c>
      <c r="Q921" s="845" t="s">
        <v>1788</v>
      </c>
      <c r="R921" s="208" t="s">
        <v>7441</v>
      </c>
      <c r="S921" s="375" t="s">
        <v>147</v>
      </c>
      <c r="T921" s="212" t="s">
        <v>144</v>
      </c>
      <c r="U921" s="213" t="s">
        <v>144</v>
      </c>
      <c r="V921" s="847">
        <v>1</v>
      </c>
      <c r="W921" s="415" t="s">
        <v>144</v>
      </c>
      <c r="X921" s="212">
        <v>40</v>
      </c>
      <c r="Y921" s="212" t="s">
        <v>144</v>
      </c>
      <c r="Z921" s="212" t="s">
        <v>29</v>
      </c>
      <c r="AA921" s="240" t="s">
        <v>1790</v>
      </c>
      <c r="AB921" s="206" t="s">
        <v>140</v>
      </c>
      <c r="AC921" s="847" t="s">
        <v>265</v>
      </c>
      <c r="AD921" s="847" t="s">
        <v>144</v>
      </c>
      <c r="AE921" s="847" t="s">
        <v>144</v>
      </c>
      <c r="AF921" s="848" t="s">
        <v>144</v>
      </c>
      <c r="AG921" s="838"/>
      <c r="AH921" s="866" t="s">
        <v>266</v>
      </c>
      <c r="AI921" s="273" t="s">
        <v>267</v>
      </c>
      <c r="AJ921" s="847">
        <v>7</v>
      </c>
      <c r="AK921" s="848" t="s">
        <v>1046</v>
      </c>
      <c r="AL921" s="312"/>
      <c r="AM921" s="313"/>
      <c r="AN921" s="289"/>
      <c r="AO921" s="314"/>
      <c r="AP921" s="883"/>
      <c r="AQ921" s="726"/>
      <c r="AR921" s="931"/>
      <c r="AS921" s="906"/>
      <c r="AT921" s="867"/>
      <c r="AU921" s="273"/>
      <c r="AV921" s="847"/>
      <c r="AW921" s="848"/>
      <c r="AX921" s="867"/>
      <c r="AY921" s="273"/>
      <c r="AZ921" s="847"/>
      <c r="BA921" s="848"/>
      <c r="BB921" s="866"/>
      <c r="BC921" s="273"/>
      <c r="BD921" s="847"/>
      <c r="BE921" s="848"/>
      <c r="BF921" s="838"/>
    </row>
    <row r="922" spans="1:58" s="87" customFormat="1" ht="54" hidden="1" customHeight="1" x14ac:dyDescent="0.25">
      <c r="A922" s="267" t="s">
        <v>7374</v>
      </c>
      <c r="B922" s="268">
        <v>24</v>
      </c>
      <c r="C922" s="240" t="s">
        <v>1022</v>
      </c>
      <c r="D922" s="211" t="s">
        <v>1023</v>
      </c>
      <c r="E922" s="268" t="s">
        <v>7442</v>
      </c>
      <c r="F922" s="861" t="s">
        <v>1511</v>
      </c>
      <c r="G922" s="269" t="s">
        <v>1512</v>
      </c>
      <c r="H922" s="845" t="s">
        <v>1792</v>
      </c>
      <c r="I922" s="269" t="s">
        <v>1793</v>
      </c>
      <c r="J922" s="296" t="s">
        <v>140</v>
      </c>
      <c r="K922" s="297" t="s">
        <v>140</v>
      </c>
      <c r="L922" s="862" t="s">
        <v>1515</v>
      </c>
      <c r="M922" s="206" t="s">
        <v>142</v>
      </c>
      <c r="N922" s="270" t="s">
        <v>143</v>
      </c>
      <c r="O922" s="240" t="s">
        <v>1516</v>
      </c>
      <c r="P922" s="240" t="s">
        <v>1517</v>
      </c>
      <c r="Q922" s="845" t="s">
        <v>7443</v>
      </c>
      <c r="R922" s="208" t="s">
        <v>7444</v>
      </c>
      <c r="S922" s="864" t="s">
        <v>147</v>
      </c>
      <c r="T922" s="212" t="s">
        <v>144</v>
      </c>
      <c r="U922" s="213" t="s">
        <v>144</v>
      </c>
      <c r="V922" s="847">
        <v>6</v>
      </c>
      <c r="W922" s="415" t="s">
        <v>144</v>
      </c>
      <c r="X922" s="212">
        <v>40</v>
      </c>
      <c r="Y922" s="212" t="s">
        <v>144</v>
      </c>
      <c r="Z922" s="241" t="s">
        <v>144</v>
      </c>
      <c r="AA922" s="437" t="s">
        <v>7445</v>
      </c>
      <c r="AB922" s="206" t="s">
        <v>140</v>
      </c>
      <c r="AC922" s="847" t="s">
        <v>265</v>
      </c>
      <c r="AD922" s="847" t="s">
        <v>144</v>
      </c>
      <c r="AE922" s="847" t="s">
        <v>144</v>
      </c>
      <c r="AF922" s="848" t="s">
        <v>144</v>
      </c>
      <c r="AG922" s="838"/>
      <c r="AH922" s="866" t="s">
        <v>266</v>
      </c>
      <c r="AI922" s="273" t="s">
        <v>267</v>
      </c>
      <c r="AJ922" s="847">
        <v>7</v>
      </c>
      <c r="AK922" s="848" t="s">
        <v>1046</v>
      </c>
      <c r="AL922" s="867" t="s">
        <v>294</v>
      </c>
      <c r="AM922" s="273" t="s">
        <v>295</v>
      </c>
      <c r="AN922" s="847">
        <v>7</v>
      </c>
      <c r="AO922" s="187" t="s">
        <v>966</v>
      </c>
      <c r="AP922" s="867" t="s">
        <v>1521</v>
      </c>
      <c r="AQ922" s="273" t="s">
        <v>1522</v>
      </c>
      <c r="AR922" s="847">
        <v>7</v>
      </c>
      <c r="AS922" s="848" t="s">
        <v>1523</v>
      </c>
      <c r="AT922" s="303" t="s">
        <v>1524</v>
      </c>
      <c r="AU922" s="304" t="s">
        <v>1525</v>
      </c>
      <c r="AV922" s="305">
        <v>7</v>
      </c>
      <c r="AW922" s="306" t="s">
        <v>1526</v>
      </c>
      <c r="AX922" s="867" t="s">
        <v>7446</v>
      </c>
      <c r="AY922" s="273" t="s">
        <v>7447</v>
      </c>
      <c r="AZ922" s="847">
        <v>6</v>
      </c>
      <c r="BA922" s="848" t="s">
        <v>7448</v>
      </c>
      <c r="BB922" s="249" t="s">
        <v>3190</v>
      </c>
      <c r="BC922" s="135" t="s">
        <v>3191</v>
      </c>
      <c r="BD922" s="285">
        <v>6</v>
      </c>
      <c r="BE922" s="306" t="s">
        <v>3192</v>
      </c>
      <c r="BF922" s="838"/>
    </row>
    <row r="923" spans="1:58" s="87" customFormat="1" ht="54" hidden="1" customHeight="1" x14ac:dyDescent="0.25">
      <c r="A923" s="267" t="s">
        <v>7374</v>
      </c>
      <c r="B923" s="268">
        <v>25</v>
      </c>
      <c r="C923" s="240" t="s">
        <v>1022</v>
      </c>
      <c r="D923" s="211" t="s">
        <v>1023</v>
      </c>
      <c r="E923" s="268" t="s">
        <v>7449</v>
      </c>
      <c r="F923" s="861" t="s">
        <v>1804</v>
      </c>
      <c r="G923" s="269" t="s">
        <v>1805</v>
      </c>
      <c r="H923" s="845" t="s">
        <v>1806</v>
      </c>
      <c r="I923" s="269" t="s">
        <v>1807</v>
      </c>
      <c r="J923" s="296" t="s">
        <v>140</v>
      </c>
      <c r="K923" s="297" t="s">
        <v>140</v>
      </c>
      <c r="L923" s="862" t="s">
        <v>1808</v>
      </c>
      <c r="M923" s="206" t="s">
        <v>142</v>
      </c>
      <c r="N923" s="270" t="s">
        <v>143</v>
      </c>
      <c r="O923" s="240" t="s">
        <v>1809</v>
      </c>
      <c r="P923" s="240" t="s">
        <v>1810</v>
      </c>
      <c r="Q923" s="845" t="s">
        <v>144</v>
      </c>
      <c r="R923" s="208" t="s">
        <v>144</v>
      </c>
      <c r="S923" s="864" t="s">
        <v>147</v>
      </c>
      <c r="T923" s="212" t="s">
        <v>144</v>
      </c>
      <c r="U923" s="213" t="s">
        <v>144</v>
      </c>
      <c r="V923" s="847">
        <v>1</v>
      </c>
      <c r="W923" s="415" t="s">
        <v>144</v>
      </c>
      <c r="X923" s="212">
        <v>40</v>
      </c>
      <c r="Y923" s="212" t="s">
        <v>144</v>
      </c>
      <c r="Z923" s="433" t="s">
        <v>25</v>
      </c>
      <c r="AA923" s="407" t="s">
        <v>7450</v>
      </c>
      <c r="AB923" s="206" t="s">
        <v>140</v>
      </c>
      <c r="AC923" s="847" t="s">
        <v>265</v>
      </c>
      <c r="AD923" s="847" t="s">
        <v>144</v>
      </c>
      <c r="AE923" s="847" t="s">
        <v>144</v>
      </c>
      <c r="AF923" s="848" t="s">
        <v>144</v>
      </c>
      <c r="AG923" s="838"/>
      <c r="AH923" s="866" t="s">
        <v>266</v>
      </c>
      <c r="AI923" s="273" t="s">
        <v>267</v>
      </c>
      <c r="AJ923" s="847">
        <v>7</v>
      </c>
      <c r="AK923" s="848" t="s">
        <v>1046</v>
      </c>
      <c r="AL923" s="867" t="s">
        <v>294</v>
      </c>
      <c r="AM923" s="273" t="s">
        <v>295</v>
      </c>
      <c r="AN923" s="847">
        <v>7</v>
      </c>
      <c r="AO923" s="187" t="s">
        <v>966</v>
      </c>
      <c r="AP923" s="875"/>
      <c r="AQ923" s="301"/>
      <c r="AR923" s="847"/>
      <c r="AS923" s="848"/>
      <c r="AT923" s="867"/>
      <c r="AU923" s="273"/>
      <c r="AV923" s="847"/>
      <c r="AW923" s="848"/>
      <c r="AX923" s="867"/>
      <c r="AY923" s="273"/>
      <c r="AZ923" s="847"/>
      <c r="BA923" s="848"/>
      <c r="BB923" s="866"/>
      <c r="BC923" s="273"/>
      <c r="BD923" s="847"/>
      <c r="BE923" s="848"/>
      <c r="BF923" s="838"/>
    </row>
    <row r="924" spans="1:58" s="87" customFormat="1" ht="54" hidden="1" customHeight="1" x14ac:dyDescent="0.25">
      <c r="A924" s="267" t="s">
        <v>7374</v>
      </c>
      <c r="B924" s="268">
        <v>26</v>
      </c>
      <c r="C924" s="240" t="s">
        <v>1022</v>
      </c>
      <c r="D924" s="211" t="s">
        <v>1023</v>
      </c>
      <c r="E924" s="268" t="s">
        <v>7451</v>
      </c>
      <c r="F924" s="861" t="s">
        <v>1816</v>
      </c>
      <c r="G924" s="269" t="s">
        <v>1817</v>
      </c>
      <c r="H924" s="845" t="s">
        <v>1818</v>
      </c>
      <c r="I924" s="269" t="s">
        <v>1819</v>
      </c>
      <c r="J924" s="296" t="s">
        <v>140</v>
      </c>
      <c r="K924" s="297" t="s">
        <v>140</v>
      </c>
      <c r="L924" s="862" t="s">
        <v>1820</v>
      </c>
      <c r="M924" s="444" t="s">
        <v>1821</v>
      </c>
      <c r="N924" s="439" t="s">
        <v>1822</v>
      </c>
      <c r="O924" s="240" t="s">
        <v>1823</v>
      </c>
      <c r="P924" s="240" t="s">
        <v>1824</v>
      </c>
      <c r="Q924" s="882" t="s">
        <v>1825</v>
      </c>
      <c r="R924" s="613" t="s">
        <v>1826</v>
      </c>
      <c r="S924" s="864" t="s">
        <v>147</v>
      </c>
      <c r="T924" s="212" t="s">
        <v>144</v>
      </c>
      <c r="U924" s="213" t="s">
        <v>144</v>
      </c>
      <c r="V924" s="847">
        <v>5</v>
      </c>
      <c r="W924" s="415" t="s">
        <v>144</v>
      </c>
      <c r="X924" s="212">
        <v>40</v>
      </c>
      <c r="Y924" s="212" t="s">
        <v>144</v>
      </c>
      <c r="Z924" s="241" t="s">
        <v>25</v>
      </c>
      <c r="AA924" s="407" t="s">
        <v>7452</v>
      </c>
      <c r="AB924" s="206" t="s">
        <v>140</v>
      </c>
      <c r="AC924" s="847" t="s">
        <v>265</v>
      </c>
      <c r="AD924" s="847" t="s">
        <v>144</v>
      </c>
      <c r="AE924" s="847" t="s">
        <v>144</v>
      </c>
      <c r="AF924" s="848" t="s">
        <v>144</v>
      </c>
      <c r="AG924" s="838"/>
      <c r="AH924" s="866"/>
      <c r="AI924" s="273"/>
      <c r="AJ924" s="847"/>
      <c r="AK924" s="848"/>
      <c r="AL924" s="867" t="s">
        <v>294</v>
      </c>
      <c r="AM924" s="273" t="s">
        <v>295</v>
      </c>
      <c r="AN924" s="847">
        <v>7</v>
      </c>
      <c r="AO924" s="187" t="s">
        <v>966</v>
      </c>
      <c r="AP924" s="867"/>
      <c r="AQ924" s="273"/>
      <c r="AR924" s="847"/>
      <c r="AS924" s="848"/>
      <c r="AT924" s="867"/>
      <c r="AU924" s="273"/>
      <c r="AV924" s="847"/>
      <c r="AW924" s="848"/>
      <c r="AX924" s="867"/>
      <c r="AY924" s="273"/>
      <c r="AZ924" s="847"/>
      <c r="BA924" s="848"/>
      <c r="BB924" s="866"/>
      <c r="BC924" s="273"/>
      <c r="BD924" s="847"/>
      <c r="BE924" s="848"/>
      <c r="BF924" s="838"/>
    </row>
    <row r="925" spans="1:58" s="87" customFormat="1" ht="54" hidden="1" customHeight="1" x14ac:dyDescent="0.25">
      <c r="A925" s="267" t="s">
        <v>7374</v>
      </c>
      <c r="B925" s="268">
        <v>27</v>
      </c>
      <c r="C925" s="240" t="s">
        <v>684</v>
      </c>
      <c r="D925" s="211" t="s">
        <v>685</v>
      </c>
      <c r="E925" s="268" t="s">
        <v>7453</v>
      </c>
      <c r="F925" s="861" t="s">
        <v>1829</v>
      </c>
      <c r="G925" s="269" t="s">
        <v>1830</v>
      </c>
      <c r="H925" s="845" t="s">
        <v>1831</v>
      </c>
      <c r="I925" s="269" t="s">
        <v>1832</v>
      </c>
      <c r="J925" s="296" t="s">
        <v>140</v>
      </c>
      <c r="K925" s="297" t="s">
        <v>140</v>
      </c>
      <c r="L925" s="862" t="s">
        <v>1437</v>
      </c>
      <c r="M925" s="206" t="s">
        <v>142</v>
      </c>
      <c r="N925" s="270" t="s">
        <v>143</v>
      </c>
      <c r="O925" s="240" t="s">
        <v>1438</v>
      </c>
      <c r="P925" s="240" t="s">
        <v>1439</v>
      </c>
      <c r="Q925" s="845" t="s">
        <v>7454</v>
      </c>
      <c r="R925" s="208" t="s">
        <v>7455</v>
      </c>
      <c r="S925" s="864" t="s">
        <v>147</v>
      </c>
      <c r="T925" s="212" t="s">
        <v>144</v>
      </c>
      <c r="U925" s="213" t="s">
        <v>144</v>
      </c>
      <c r="V925" s="847">
        <v>3</v>
      </c>
      <c r="W925" s="415" t="s">
        <v>144</v>
      </c>
      <c r="X925" s="212">
        <v>40</v>
      </c>
      <c r="Y925" s="212" t="s">
        <v>144</v>
      </c>
      <c r="Z925" s="212" t="s">
        <v>25</v>
      </c>
      <c r="AA925" s="437" t="s">
        <v>7456</v>
      </c>
      <c r="AB925" s="206" t="s">
        <v>140</v>
      </c>
      <c r="AC925" s="847" t="s">
        <v>265</v>
      </c>
      <c r="AD925" s="847" t="s">
        <v>144</v>
      </c>
      <c r="AE925" s="847" t="s">
        <v>144</v>
      </c>
      <c r="AF925" s="848" t="s">
        <v>144</v>
      </c>
      <c r="AG925" s="838"/>
      <c r="AH925" s="866" t="s">
        <v>266</v>
      </c>
      <c r="AI925" s="273" t="s">
        <v>267</v>
      </c>
      <c r="AJ925" s="847">
        <v>7</v>
      </c>
      <c r="AK925" s="848" t="s">
        <v>1046</v>
      </c>
      <c r="AL925" s="867" t="s">
        <v>294</v>
      </c>
      <c r="AM925" s="273" t="s">
        <v>295</v>
      </c>
      <c r="AN925" s="847">
        <v>7</v>
      </c>
      <c r="AO925" s="187" t="s">
        <v>966</v>
      </c>
      <c r="AP925" s="932" t="s">
        <v>7457</v>
      </c>
      <c r="AQ925" s="729" t="s">
        <v>7458</v>
      </c>
      <c r="AR925" s="872">
        <v>7</v>
      </c>
      <c r="AS925" s="848" t="s">
        <v>7459</v>
      </c>
      <c r="AT925" s="867"/>
      <c r="AU925" s="273"/>
      <c r="AV925" s="847"/>
      <c r="AW925" s="848"/>
      <c r="AX925" s="867"/>
      <c r="AY925" s="273"/>
      <c r="AZ925" s="847"/>
      <c r="BA925" s="848"/>
      <c r="BB925" s="249" t="s">
        <v>1844</v>
      </c>
      <c r="BC925" s="135" t="s">
        <v>1845</v>
      </c>
      <c r="BD925" s="847">
        <v>6</v>
      </c>
      <c r="BE925" s="848" t="s">
        <v>1846</v>
      </c>
      <c r="BF925" s="838"/>
    </row>
    <row r="926" spans="1:58" s="87" customFormat="1" ht="54" hidden="1" customHeight="1" x14ac:dyDescent="0.25">
      <c r="A926" s="267" t="s">
        <v>7374</v>
      </c>
      <c r="B926" s="268">
        <v>28</v>
      </c>
      <c r="C926" s="240" t="s">
        <v>1022</v>
      </c>
      <c r="D926" s="211" t="s">
        <v>1023</v>
      </c>
      <c r="E926" s="268" t="s">
        <v>7460</v>
      </c>
      <c r="F926" s="861" t="s">
        <v>1848</v>
      </c>
      <c r="G926" s="269" t="s">
        <v>1849</v>
      </c>
      <c r="H926" s="845" t="s">
        <v>1850</v>
      </c>
      <c r="I926" s="269" t="s">
        <v>1851</v>
      </c>
      <c r="J926" s="296" t="s">
        <v>140</v>
      </c>
      <c r="K926" s="297" t="s">
        <v>140</v>
      </c>
      <c r="L926" s="862" t="s">
        <v>1852</v>
      </c>
      <c r="M926" s="206" t="s">
        <v>142</v>
      </c>
      <c r="N926" s="270" t="s">
        <v>143</v>
      </c>
      <c r="O926" s="240" t="s">
        <v>1853</v>
      </c>
      <c r="P926" s="240" t="s">
        <v>6728</v>
      </c>
      <c r="Q926" s="845" t="s">
        <v>1855</v>
      </c>
      <c r="R926" s="208" t="s">
        <v>7461</v>
      </c>
      <c r="S926" s="864" t="s">
        <v>147</v>
      </c>
      <c r="T926" s="212" t="s">
        <v>144</v>
      </c>
      <c r="U926" s="213" t="s">
        <v>144</v>
      </c>
      <c r="V926" s="847">
        <v>12</v>
      </c>
      <c r="W926" s="415" t="s">
        <v>144</v>
      </c>
      <c r="X926" s="212">
        <v>40</v>
      </c>
      <c r="Y926" s="212" t="s">
        <v>144</v>
      </c>
      <c r="Z926" s="433" t="s">
        <v>144</v>
      </c>
      <c r="AA926" s="437" t="s">
        <v>7462</v>
      </c>
      <c r="AB926" s="206" t="s">
        <v>140</v>
      </c>
      <c r="AC926" s="847" t="s">
        <v>265</v>
      </c>
      <c r="AD926" s="847" t="s">
        <v>144</v>
      </c>
      <c r="AE926" s="847" t="s">
        <v>144</v>
      </c>
      <c r="AF926" s="848" t="s">
        <v>144</v>
      </c>
      <c r="AG926" s="838"/>
      <c r="AH926" s="866" t="s">
        <v>266</v>
      </c>
      <c r="AI926" s="273" t="s">
        <v>267</v>
      </c>
      <c r="AJ926" s="847">
        <v>7</v>
      </c>
      <c r="AK926" s="848" t="s">
        <v>1046</v>
      </c>
      <c r="AL926" s="867" t="s">
        <v>294</v>
      </c>
      <c r="AM926" s="273" t="s">
        <v>295</v>
      </c>
      <c r="AN926" s="847">
        <v>7</v>
      </c>
      <c r="AO926" s="187" t="s">
        <v>966</v>
      </c>
      <c r="AP926" s="875" t="s">
        <v>7463</v>
      </c>
      <c r="AQ926" s="301" t="s">
        <v>7464</v>
      </c>
      <c r="AR926" s="847">
        <v>7</v>
      </c>
      <c r="AS926" s="848" t="s">
        <v>7465</v>
      </c>
      <c r="AT926" s="867"/>
      <c r="AU926" s="273"/>
      <c r="AV926" s="847"/>
      <c r="AW926" s="848"/>
      <c r="AX926" s="867"/>
      <c r="AY926" s="273"/>
      <c r="AZ926" s="847"/>
      <c r="BA926" s="848"/>
      <c r="BB926" s="249" t="s">
        <v>1861</v>
      </c>
      <c r="BC926" s="135" t="s">
        <v>1862</v>
      </c>
      <c r="BD926" s="847">
        <v>6</v>
      </c>
      <c r="BE926" s="306" t="s">
        <v>1863</v>
      </c>
      <c r="BF926" s="838"/>
    </row>
    <row r="927" spans="1:58" s="87" customFormat="1" ht="54" hidden="1" customHeight="1" x14ac:dyDescent="0.25">
      <c r="A927" s="267" t="s">
        <v>7374</v>
      </c>
      <c r="B927" s="268">
        <v>29</v>
      </c>
      <c r="C927" s="240" t="s">
        <v>1022</v>
      </c>
      <c r="D927" s="270" t="s">
        <v>1023</v>
      </c>
      <c r="E927" s="268" t="s">
        <v>7466</v>
      </c>
      <c r="F927" s="861" t="s">
        <v>1865</v>
      </c>
      <c r="G927" s="269" t="s">
        <v>1866</v>
      </c>
      <c r="H927" s="845" t="s">
        <v>1867</v>
      </c>
      <c r="I927" s="269" t="s">
        <v>1868</v>
      </c>
      <c r="J927" s="296" t="s">
        <v>140</v>
      </c>
      <c r="K927" s="297" t="s">
        <v>140</v>
      </c>
      <c r="L927" s="862" t="s">
        <v>1593</v>
      </c>
      <c r="M927" s="206" t="s">
        <v>142</v>
      </c>
      <c r="N927" s="270" t="s">
        <v>143</v>
      </c>
      <c r="O927" s="240" t="s">
        <v>144</v>
      </c>
      <c r="P927" s="240" t="s">
        <v>144</v>
      </c>
      <c r="Q927" s="845" t="s">
        <v>7467</v>
      </c>
      <c r="R927" s="208" t="s">
        <v>7468</v>
      </c>
      <c r="S927" s="181" t="s">
        <v>233</v>
      </c>
      <c r="T927" s="212" t="s">
        <v>234</v>
      </c>
      <c r="U927" s="213" t="s">
        <v>235</v>
      </c>
      <c r="V927" s="847">
        <v>8</v>
      </c>
      <c r="W927" s="415" t="s">
        <v>144</v>
      </c>
      <c r="X927" s="212">
        <v>40</v>
      </c>
      <c r="Y927" s="212" t="s">
        <v>144</v>
      </c>
      <c r="Z927" s="433" t="s">
        <v>25</v>
      </c>
      <c r="AA927" s="407" t="s">
        <v>7469</v>
      </c>
      <c r="AB927" s="206" t="s">
        <v>140</v>
      </c>
      <c r="AC927" s="847" t="s">
        <v>265</v>
      </c>
      <c r="AD927" s="847" t="s">
        <v>144</v>
      </c>
      <c r="AE927" s="847" t="s">
        <v>144</v>
      </c>
      <c r="AF927" s="848" t="s">
        <v>144</v>
      </c>
      <c r="AG927" s="838"/>
      <c r="AH927" s="866" t="s">
        <v>266</v>
      </c>
      <c r="AI927" s="273" t="s">
        <v>267</v>
      </c>
      <c r="AJ927" s="847">
        <v>7</v>
      </c>
      <c r="AK927" s="848" t="s">
        <v>1046</v>
      </c>
      <c r="AL927" s="867"/>
      <c r="AM927" s="273"/>
      <c r="AN927" s="847"/>
      <c r="AO927" s="848"/>
      <c r="AP927" s="867" t="s">
        <v>1160</v>
      </c>
      <c r="AQ927" s="273" t="s">
        <v>1161</v>
      </c>
      <c r="AR927" s="847">
        <v>7</v>
      </c>
      <c r="AS927" s="848" t="s">
        <v>1162</v>
      </c>
      <c r="AT927" s="867" t="s">
        <v>7470</v>
      </c>
      <c r="AU927" s="273" t="s">
        <v>7471</v>
      </c>
      <c r="AV927" s="847">
        <v>7</v>
      </c>
      <c r="AW927" s="848" t="s">
        <v>7472</v>
      </c>
      <c r="AX927" s="867"/>
      <c r="AY927" s="273"/>
      <c r="AZ927" s="847"/>
      <c r="BA927" s="848"/>
      <c r="BB927" s="866"/>
      <c r="BC927" s="273"/>
      <c r="BD927" s="847"/>
      <c r="BE927" s="848"/>
      <c r="BF927" s="838"/>
    </row>
    <row r="928" spans="1:58" s="87" customFormat="1" ht="54" hidden="1" customHeight="1" x14ac:dyDescent="0.25">
      <c r="A928" s="267" t="s">
        <v>7374</v>
      </c>
      <c r="B928" s="268">
        <v>30</v>
      </c>
      <c r="C928" s="240" t="s">
        <v>1022</v>
      </c>
      <c r="D928" s="270" t="s">
        <v>1023</v>
      </c>
      <c r="E928" s="268" t="s">
        <v>7473</v>
      </c>
      <c r="F928" s="861" t="s">
        <v>1876</v>
      </c>
      <c r="G928" s="269" t="s">
        <v>1877</v>
      </c>
      <c r="H928" s="845" t="s">
        <v>1878</v>
      </c>
      <c r="I928" s="269" t="s">
        <v>1879</v>
      </c>
      <c r="J928" s="296" t="s">
        <v>140</v>
      </c>
      <c r="K928" s="297" t="s">
        <v>140</v>
      </c>
      <c r="L928" s="862" t="s">
        <v>1613</v>
      </c>
      <c r="M928" s="206" t="s">
        <v>142</v>
      </c>
      <c r="N928" s="270" t="s">
        <v>143</v>
      </c>
      <c r="O928" s="240" t="s">
        <v>144</v>
      </c>
      <c r="P928" s="240" t="s">
        <v>144</v>
      </c>
      <c r="Q928" s="845" t="s">
        <v>7474</v>
      </c>
      <c r="R928" s="208" t="s">
        <v>7475</v>
      </c>
      <c r="S928" s="181" t="s">
        <v>233</v>
      </c>
      <c r="T928" s="212" t="s">
        <v>234</v>
      </c>
      <c r="U928" s="213" t="s">
        <v>235</v>
      </c>
      <c r="V928" s="847">
        <v>8</v>
      </c>
      <c r="W928" s="415" t="s">
        <v>144</v>
      </c>
      <c r="X928" s="212">
        <v>40</v>
      </c>
      <c r="Y928" s="212" t="s">
        <v>144</v>
      </c>
      <c r="Z928" s="241" t="s">
        <v>25</v>
      </c>
      <c r="AA928" s="407" t="s">
        <v>7476</v>
      </c>
      <c r="AB928" s="206" t="s">
        <v>140</v>
      </c>
      <c r="AC928" s="847" t="s">
        <v>265</v>
      </c>
      <c r="AD928" s="847" t="s">
        <v>144</v>
      </c>
      <c r="AE928" s="847" t="s">
        <v>144</v>
      </c>
      <c r="AF928" s="848" t="s">
        <v>144</v>
      </c>
      <c r="AG928" s="838"/>
      <c r="AH928" s="866" t="s">
        <v>266</v>
      </c>
      <c r="AI928" s="273" t="s">
        <v>267</v>
      </c>
      <c r="AJ928" s="847">
        <v>7</v>
      </c>
      <c r="AK928" s="848" t="s">
        <v>1046</v>
      </c>
      <c r="AL928" s="867"/>
      <c r="AM928" s="273"/>
      <c r="AN928" s="847"/>
      <c r="AO928" s="848"/>
      <c r="AP928" s="867" t="s">
        <v>1174</v>
      </c>
      <c r="AQ928" s="273" t="s">
        <v>1175</v>
      </c>
      <c r="AR928" s="847">
        <v>7</v>
      </c>
      <c r="AS928" s="293" t="s">
        <v>1176</v>
      </c>
      <c r="AT928" s="867" t="s">
        <v>1186</v>
      </c>
      <c r="AU928" s="273" t="s">
        <v>1187</v>
      </c>
      <c r="AV928" s="847">
        <v>7</v>
      </c>
      <c r="AW928" s="286" t="s">
        <v>1188</v>
      </c>
      <c r="AX928" s="867"/>
      <c r="AY928" s="273"/>
      <c r="AZ928" s="847"/>
      <c r="BA928" s="848"/>
      <c r="BB928" s="866"/>
      <c r="BC928" s="273"/>
      <c r="BD928" s="847"/>
      <c r="BE928" s="848"/>
      <c r="BF928" s="838"/>
    </row>
    <row r="929" spans="1:58" s="87" customFormat="1" ht="54" hidden="1" customHeight="1" x14ac:dyDescent="0.25">
      <c r="A929" s="267" t="s">
        <v>7374</v>
      </c>
      <c r="B929" s="268">
        <v>31</v>
      </c>
      <c r="C929" s="240" t="s">
        <v>684</v>
      </c>
      <c r="D929" s="270" t="s">
        <v>685</v>
      </c>
      <c r="E929" s="268" t="s">
        <v>7477</v>
      </c>
      <c r="F929" s="861" t="s">
        <v>1888</v>
      </c>
      <c r="G929" s="269" t="s">
        <v>1889</v>
      </c>
      <c r="H929" s="845" t="s">
        <v>1890</v>
      </c>
      <c r="I929" s="208" t="s">
        <v>1891</v>
      </c>
      <c r="J929" s="240" t="s">
        <v>140</v>
      </c>
      <c r="K929" s="270" t="s">
        <v>140</v>
      </c>
      <c r="L929" s="862" t="s">
        <v>1892</v>
      </c>
      <c r="M929" s="206" t="s">
        <v>973</v>
      </c>
      <c r="N929" s="270" t="s">
        <v>974</v>
      </c>
      <c r="O929" s="240" t="s">
        <v>144</v>
      </c>
      <c r="P929" s="240" t="s">
        <v>144</v>
      </c>
      <c r="Q929" s="845" t="s">
        <v>1893</v>
      </c>
      <c r="R929" s="208" t="s">
        <v>1894</v>
      </c>
      <c r="S929" s="864" t="s">
        <v>746</v>
      </c>
      <c r="T929" s="212" t="s">
        <v>1307</v>
      </c>
      <c r="U929" s="213" t="s">
        <v>1308</v>
      </c>
      <c r="V929" s="847">
        <v>10</v>
      </c>
      <c r="W929" s="415" t="s">
        <v>144</v>
      </c>
      <c r="X929" s="212">
        <v>40</v>
      </c>
      <c r="Y929" s="212" t="s">
        <v>144</v>
      </c>
      <c r="Z929" s="241" t="s">
        <v>144</v>
      </c>
      <c r="AA929" s="615" t="s">
        <v>733</v>
      </c>
      <c r="AB929" s="206" t="s">
        <v>140</v>
      </c>
      <c r="AC929" s="847" t="s">
        <v>265</v>
      </c>
      <c r="AD929" s="847" t="s">
        <v>144</v>
      </c>
      <c r="AE929" s="847" t="s">
        <v>144</v>
      </c>
      <c r="AF929" s="848" t="s">
        <v>144</v>
      </c>
      <c r="AG929" s="838"/>
      <c r="AH929" s="866" t="s">
        <v>7478</v>
      </c>
      <c r="AI929" s="273" t="s">
        <v>7479</v>
      </c>
      <c r="AJ929" s="847">
        <v>6</v>
      </c>
      <c r="AK929" s="848" t="s">
        <v>7480</v>
      </c>
      <c r="AL929" s="867"/>
      <c r="AM929" s="273"/>
      <c r="AN929" s="847"/>
      <c r="AO929" s="848"/>
      <c r="AP929" s="867" t="s">
        <v>1107</v>
      </c>
      <c r="AQ929" s="273" t="s">
        <v>1108</v>
      </c>
      <c r="AR929" s="847">
        <v>7</v>
      </c>
      <c r="AS929" s="286" t="s">
        <v>1109</v>
      </c>
      <c r="AT929" s="867"/>
      <c r="AU929" s="273"/>
      <c r="AV929" s="847"/>
      <c r="AW929" s="848"/>
      <c r="AX929" s="867"/>
      <c r="AY929" s="273"/>
      <c r="AZ929" s="847"/>
      <c r="BA929" s="848"/>
      <c r="BB929" s="866"/>
      <c r="BC929" s="273"/>
      <c r="BD929" s="847"/>
      <c r="BE929" s="848"/>
      <c r="BF929" s="838"/>
    </row>
    <row r="930" spans="1:58" s="87" customFormat="1" ht="54" hidden="1" customHeight="1" x14ac:dyDescent="0.25">
      <c r="A930" s="267" t="s">
        <v>7374</v>
      </c>
      <c r="B930" s="268">
        <v>32</v>
      </c>
      <c r="C930" s="240" t="s">
        <v>684</v>
      </c>
      <c r="D930" s="270" t="s">
        <v>685</v>
      </c>
      <c r="E930" s="268" t="s">
        <v>7481</v>
      </c>
      <c r="F930" s="861" t="s">
        <v>1900</v>
      </c>
      <c r="G930" s="269" t="s">
        <v>1900</v>
      </c>
      <c r="H930" s="845" t="s">
        <v>1901</v>
      </c>
      <c r="I930" s="269" t="s">
        <v>1902</v>
      </c>
      <c r="J930" s="296" t="s">
        <v>140</v>
      </c>
      <c r="K930" s="297" t="s">
        <v>140</v>
      </c>
      <c r="L930" s="862" t="s">
        <v>1903</v>
      </c>
      <c r="M930" s="206" t="s">
        <v>973</v>
      </c>
      <c r="N930" s="270" t="s">
        <v>974</v>
      </c>
      <c r="O930" s="240" t="s">
        <v>144</v>
      </c>
      <c r="P930" s="240" t="s">
        <v>144</v>
      </c>
      <c r="Q930" s="845" t="s">
        <v>7482</v>
      </c>
      <c r="R930" s="208" t="s">
        <v>7483</v>
      </c>
      <c r="S930" s="864" t="s">
        <v>746</v>
      </c>
      <c r="T930" s="212" t="s">
        <v>1307</v>
      </c>
      <c r="U930" s="213" t="s">
        <v>1308</v>
      </c>
      <c r="V930" s="847">
        <v>10</v>
      </c>
      <c r="W930" s="415" t="s">
        <v>144</v>
      </c>
      <c r="X930" s="212">
        <v>40</v>
      </c>
      <c r="Y930" s="212" t="s">
        <v>144</v>
      </c>
      <c r="Z930" s="241" t="s">
        <v>144</v>
      </c>
      <c r="AA930" s="615" t="s">
        <v>733</v>
      </c>
      <c r="AB930" s="206" t="s">
        <v>140</v>
      </c>
      <c r="AC930" s="847" t="s">
        <v>265</v>
      </c>
      <c r="AD930" s="847" t="s">
        <v>144</v>
      </c>
      <c r="AE930" s="847" t="s">
        <v>144</v>
      </c>
      <c r="AF930" s="848" t="s">
        <v>144</v>
      </c>
      <c r="AG930" s="838"/>
      <c r="AH930" s="866" t="s">
        <v>7484</v>
      </c>
      <c r="AI930" s="273" t="s">
        <v>7485</v>
      </c>
      <c r="AJ930" s="847">
        <v>6</v>
      </c>
      <c r="AK930" s="848" t="s">
        <v>7486</v>
      </c>
      <c r="AL930" s="867"/>
      <c r="AM930" s="273"/>
      <c r="AN930" s="847"/>
      <c r="AO930" s="848"/>
      <c r="AP930" s="867" t="s">
        <v>1911</v>
      </c>
      <c r="AQ930" s="273" t="s">
        <v>1912</v>
      </c>
      <c r="AR930" s="847">
        <v>7</v>
      </c>
      <c r="AS930" s="848" t="s">
        <v>1913</v>
      </c>
      <c r="AT930" s="867"/>
      <c r="AU930" s="273"/>
      <c r="AV930" s="847"/>
      <c r="AW930" s="848"/>
      <c r="AX930" s="867"/>
      <c r="AY930" s="273"/>
      <c r="AZ930" s="847"/>
      <c r="BA930" s="848"/>
      <c r="BB930" s="866"/>
      <c r="BC930" s="273"/>
      <c r="BD930" s="847"/>
      <c r="BE930" s="848"/>
      <c r="BF930" s="838"/>
    </row>
    <row r="931" spans="1:58" s="87" customFormat="1" ht="54" hidden="1" customHeight="1" x14ac:dyDescent="0.25">
      <c r="A931" s="267" t="s">
        <v>7374</v>
      </c>
      <c r="B931" s="268">
        <v>33</v>
      </c>
      <c r="C931" s="240" t="s">
        <v>684</v>
      </c>
      <c r="D931" s="270" t="s">
        <v>685</v>
      </c>
      <c r="E931" s="268" t="s">
        <v>7487</v>
      </c>
      <c r="F931" s="861" t="s">
        <v>1915</v>
      </c>
      <c r="G931" s="269" t="s">
        <v>1916</v>
      </c>
      <c r="H931" s="845" t="s">
        <v>1917</v>
      </c>
      <c r="I931" s="269" t="s">
        <v>1918</v>
      </c>
      <c r="J931" s="296" t="s">
        <v>140</v>
      </c>
      <c r="K931" s="297" t="s">
        <v>140</v>
      </c>
      <c r="L931" s="862" t="s">
        <v>1919</v>
      </c>
      <c r="M931" s="847" t="s">
        <v>1821</v>
      </c>
      <c r="N931" s="270" t="s">
        <v>1822</v>
      </c>
      <c r="O931" s="240" t="s">
        <v>144</v>
      </c>
      <c r="P931" s="240" t="s">
        <v>144</v>
      </c>
      <c r="Q931" s="845" t="s">
        <v>1920</v>
      </c>
      <c r="R931" s="208" t="s">
        <v>1921</v>
      </c>
      <c r="S931" s="864" t="s">
        <v>746</v>
      </c>
      <c r="T931" s="212" t="s">
        <v>1307</v>
      </c>
      <c r="U931" s="213" t="s">
        <v>1308</v>
      </c>
      <c r="V931" s="847">
        <v>10</v>
      </c>
      <c r="W931" s="415" t="s">
        <v>144</v>
      </c>
      <c r="X931" s="212">
        <v>40</v>
      </c>
      <c r="Y931" s="212" t="s">
        <v>144</v>
      </c>
      <c r="Z931" s="241" t="s">
        <v>144</v>
      </c>
      <c r="AA931" s="615" t="s">
        <v>733</v>
      </c>
      <c r="AB931" s="206" t="s">
        <v>140</v>
      </c>
      <c r="AC931" s="847" t="s">
        <v>265</v>
      </c>
      <c r="AD931" s="847" t="s">
        <v>144</v>
      </c>
      <c r="AE931" s="847" t="s">
        <v>144</v>
      </c>
      <c r="AF931" s="848" t="s">
        <v>144</v>
      </c>
      <c r="AG931" s="838"/>
      <c r="AH931" s="866"/>
      <c r="AI931" s="273"/>
      <c r="AJ931" s="847"/>
      <c r="AK931" s="848"/>
      <c r="AL931" s="867"/>
      <c r="AM931" s="273"/>
      <c r="AN931" s="847"/>
      <c r="AO931" s="848"/>
      <c r="AP931" s="867" t="s">
        <v>1107</v>
      </c>
      <c r="AQ931" s="301" t="s">
        <v>1108</v>
      </c>
      <c r="AR931" s="847">
        <v>7</v>
      </c>
      <c r="AS931" s="848" t="s">
        <v>1109</v>
      </c>
      <c r="AT931" s="867"/>
      <c r="AU931" s="273"/>
      <c r="AV931" s="847"/>
      <c r="AW931" s="848"/>
      <c r="AX931" s="867"/>
      <c r="AY931" s="273"/>
      <c r="AZ931" s="847"/>
      <c r="BA931" s="848"/>
      <c r="BB931" s="866"/>
      <c r="BC931" s="273"/>
      <c r="BD931" s="847"/>
      <c r="BE931" s="848"/>
      <c r="BF931" s="838"/>
    </row>
    <row r="932" spans="1:58" s="87" customFormat="1" ht="54" hidden="1" customHeight="1" x14ac:dyDescent="0.25">
      <c r="A932" s="267" t="s">
        <v>7374</v>
      </c>
      <c r="B932" s="268">
        <v>34</v>
      </c>
      <c r="C932" s="240" t="s">
        <v>684</v>
      </c>
      <c r="D932" s="270" t="s">
        <v>685</v>
      </c>
      <c r="E932" s="268" t="s">
        <v>7488</v>
      </c>
      <c r="F932" s="249" t="s">
        <v>1924</v>
      </c>
      <c r="G932" s="135" t="s">
        <v>1925</v>
      </c>
      <c r="H932" s="249" t="s">
        <v>1924</v>
      </c>
      <c r="I932" s="135" t="s">
        <v>1925</v>
      </c>
      <c r="J932" s="296" t="s">
        <v>140</v>
      </c>
      <c r="K932" s="297" t="s">
        <v>140</v>
      </c>
      <c r="L932" s="862" t="s">
        <v>1926</v>
      </c>
      <c r="M932" s="206" t="s">
        <v>973</v>
      </c>
      <c r="N932" s="253" t="s">
        <v>974</v>
      </c>
      <c r="O932" s="240" t="s">
        <v>144</v>
      </c>
      <c r="P932" s="240" t="s">
        <v>144</v>
      </c>
      <c r="Q932" s="845" t="s">
        <v>1927</v>
      </c>
      <c r="R932" s="208" t="s">
        <v>1928</v>
      </c>
      <c r="S932" s="864" t="s">
        <v>746</v>
      </c>
      <c r="T932" s="212" t="s">
        <v>1104</v>
      </c>
      <c r="U932" s="213" t="s">
        <v>1105</v>
      </c>
      <c r="V932" s="847">
        <v>19</v>
      </c>
      <c r="W932" s="415" t="s">
        <v>144</v>
      </c>
      <c r="X932" s="212">
        <v>40</v>
      </c>
      <c r="Y932" s="212" t="s">
        <v>144</v>
      </c>
      <c r="Z932" s="241" t="s">
        <v>144</v>
      </c>
      <c r="AA932" s="437" t="s">
        <v>1001</v>
      </c>
      <c r="AB932" s="206" t="s">
        <v>140</v>
      </c>
      <c r="AC932" s="847" t="s">
        <v>265</v>
      </c>
      <c r="AD932" s="847" t="s">
        <v>144</v>
      </c>
      <c r="AE932" s="847" t="s">
        <v>144</v>
      </c>
      <c r="AF932" s="848" t="s">
        <v>144</v>
      </c>
      <c r="AG932" s="838"/>
      <c r="AH932" s="866" t="s">
        <v>7489</v>
      </c>
      <c r="AI932" s="273" t="s">
        <v>7490</v>
      </c>
      <c r="AJ932" s="847">
        <v>6</v>
      </c>
      <c r="AK932" s="848" t="s">
        <v>7491</v>
      </c>
      <c r="AL932" s="867"/>
      <c r="AM932" s="273"/>
      <c r="AN932" s="847"/>
      <c r="AO932" s="848"/>
      <c r="AP932" s="867" t="s">
        <v>1107</v>
      </c>
      <c r="AQ932" s="273" t="s">
        <v>1108</v>
      </c>
      <c r="AR932" s="847">
        <v>7</v>
      </c>
      <c r="AS932" s="286" t="s">
        <v>1109</v>
      </c>
      <c r="AT932" s="867"/>
      <c r="AU932" s="273"/>
      <c r="AV932" s="847"/>
      <c r="AW932" s="848"/>
      <c r="AX932" s="867"/>
      <c r="AY932" s="273"/>
      <c r="AZ932" s="847"/>
      <c r="BA932" s="848"/>
      <c r="BB932" s="866"/>
      <c r="BC932" s="273"/>
      <c r="BD932" s="847"/>
      <c r="BE932" s="848"/>
      <c r="BF932" s="838"/>
    </row>
    <row r="933" spans="1:58" s="87" customFormat="1" ht="54" hidden="1" customHeight="1" x14ac:dyDescent="0.25">
      <c r="A933" s="267" t="s">
        <v>7374</v>
      </c>
      <c r="B933" s="268">
        <v>35</v>
      </c>
      <c r="C933" s="240" t="s">
        <v>684</v>
      </c>
      <c r="D933" s="270" t="s">
        <v>685</v>
      </c>
      <c r="E933" s="268" t="s">
        <v>7492</v>
      </c>
      <c r="F933" s="249" t="s">
        <v>1935</v>
      </c>
      <c r="G933" s="135" t="s">
        <v>1936</v>
      </c>
      <c r="H933" s="249" t="s">
        <v>1935</v>
      </c>
      <c r="I933" s="135" t="s">
        <v>1936</v>
      </c>
      <c r="J933" s="296" t="s">
        <v>140</v>
      </c>
      <c r="K933" s="297" t="s">
        <v>140</v>
      </c>
      <c r="L933" s="862" t="s">
        <v>1937</v>
      </c>
      <c r="M933" s="206" t="s">
        <v>973</v>
      </c>
      <c r="N933" s="253" t="s">
        <v>974</v>
      </c>
      <c r="O933" s="240" t="s">
        <v>814</v>
      </c>
      <c r="P933" s="240" t="s">
        <v>815</v>
      </c>
      <c r="Q933" s="845" t="s">
        <v>144</v>
      </c>
      <c r="R933" s="208" t="s">
        <v>144</v>
      </c>
      <c r="S933" s="864" t="s">
        <v>147</v>
      </c>
      <c r="T933" s="212" t="s">
        <v>144</v>
      </c>
      <c r="U933" s="213" t="s">
        <v>144</v>
      </c>
      <c r="V933" s="847">
        <v>3</v>
      </c>
      <c r="W933" s="415" t="s">
        <v>144</v>
      </c>
      <c r="X933" s="212">
        <v>40</v>
      </c>
      <c r="Y933" s="212" t="s">
        <v>144</v>
      </c>
      <c r="Z933" s="241" t="s">
        <v>144</v>
      </c>
      <c r="AA933" s="615" t="s">
        <v>733</v>
      </c>
      <c r="AB933" s="206" t="s">
        <v>140</v>
      </c>
      <c r="AC933" s="847" t="s">
        <v>265</v>
      </c>
      <c r="AD933" s="847" t="s">
        <v>144</v>
      </c>
      <c r="AE933" s="847" t="s">
        <v>144</v>
      </c>
      <c r="AF933" s="848" t="s">
        <v>144</v>
      </c>
      <c r="AG933" s="838"/>
      <c r="AH933" s="866" t="s">
        <v>7493</v>
      </c>
      <c r="AI933" s="273" t="s">
        <v>7494</v>
      </c>
      <c r="AJ933" s="847">
        <v>7</v>
      </c>
      <c r="AK933" s="848" t="s">
        <v>1280</v>
      </c>
      <c r="AL933" s="867" t="s">
        <v>294</v>
      </c>
      <c r="AM933" s="273" t="s">
        <v>295</v>
      </c>
      <c r="AN933" s="847">
        <v>7</v>
      </c>
      <c r="AO933" s="187" t="s">
        <v>966</v>
      </c>
      <c r="AP933" s="867"/>
      <c r="AQ933" s="273"/>
      <c r="AR933" s="847"/>
      <c r="AS933" s="848"/>
      <c r="AT933" s="867"/>
      <c r="AU933" s="273"/>
      <c r="AV933" s="847"/>
      <c r="AW933" s="848"/>
      <c r="AX933" s="867"/>
      <c r="AY933" s="273"/>
      <c r="AZ933" s="847"/>
      <c r="BA933" s="848"/>
      <c r="BB933" s="866"/>
      <c r="BC933" s="273"/>
      <c r="BD933" s="847"/>
      <c r="BE933" s="848"/>
      <c r="BF933" s="838"/>
    </row>
    <row r="934" spans="1:58" s="87" customFormat="1" ht="54" hidden="1" customHeight="1" x14ac:dyDescent="0.25">
      <c r="A934" s="267" t="s">
        <v>7374</v>
      </c>
      <c r="B934" s="268">
        <v>36</v>
      </c>
      <c r="C934" s="240" t="s">
        <v>1022</v>
      </c>
      <c r="D934" s="270" t="s">
        <v>1023</v>
      </c>
      <c r="E934" s="268" t="s">
        <v>7495</v>
      </c>
      <c r="F934" s="861" t="s">
        <v>1941</v>
      </c>
      <c r="G934" s="269" t="s">
        <v>1942</v>
      </c>
      <c r="H934" s="845" t="s">
        <v>1943</v>
      </c>
      <c r="I934" s="269" t="s">
        <v>1944</v>
      </c>
      <c r="J934" s="296" t="s">
        <v>140</v>
      </c>
      <c r="K934" s="297" t="s">
        <v>140</v>
      </c>
      <c r="L934" s="862" t="s">
        <v>1945</v>
      </c>
      <c r="M934" s="206" t="s">
        <v>142</v>
      </c>
      <c r="N934" s="270" t="s">
        <v>143</v>
      </c>
      <c r="O934" s="240" t="s">
        <v>814</v>
      </c>
      <c r="P934" s="240" t="s">
        <v>815</v>
      </c>
      <c r="Q934" s="845" t="s">
        <v>7496</v>
      </c>
      <c r="R934" s="208" t="s">
        <v>7497</v>
      </c>
      <c r="S934" s="864" t="s">
        <v>147</v>
      </c>
      <c r="T934" s="212" t="s">
        <v>144</v>
      </c>
      <c r="U934" s="213" t="s">
        <v>144</v>
      </c>
      <c r="V934" s="847">
        <v>3</v>
      </c>
      <c r="W934" s="415" t="s">
        <v>144</v>
      </c>
      <c r="X934" s="212">
        <v>40</v>
      </c>
      <c r="Y934" s="212" t="s">
        <v>144</v>
      </c>
      <c r="Z934" s="241" t="s">
        <v>25</v>
      </c>
      <c r="AA934" s="407" t="s">
        <v>7498</v>
      </c>
      <c r="AB934" s="206" t="s">
        <v>140</v>
      </c>
      <c r="AC934" s="847" t="s">
        <v>265</v>
      </c>
      <c r="AD934" s="847" t="s">
        <v>144</v>
      </c>
      <c r="AE934" s="847" t="s">
        <v>144</v>
      </c>
      <c r="AF934" s="848" t="s">
        <v>144</v>
      </c>
      <c r="AG934" s="838"/>
      <c r="AH934" s="866" t="s">
        <v>266</v>
      </c>
      <c r="AI934" s="273" t="s">
        <v>267</v>
      </c>
      <c r="AJ934" s="847">
        <v>7</v>
      </c>
      <c r="AK934" s="848" t="s">
        <v>1046</v>
      </c>
      <c r="AL934" s="867" t="s">
        <v>294</v>
      </c>
      <c r="AM934" s="273" t="s">
        <v>295</v>
      </c>
      <c r="AN934" s="847">
        <v>7</v>
      </c>
      <c r="AO934" s="187" t="s">
        <v>966</v>
      </c>
      <c r="AP934" s="867"/>
      <c r="AQ934" s="273"/>
      <c r="AR934" s="847"/>
      <c r="AS934" s="848"/>
      <c r="AT934" s="867"/>
      <c r="AU934" s="273"/>
      <c r="AV934" s="847"/>
      <c r="AW934" s="848"/>
      <c r="AX934" s="867"/>
      <c r="AY934" s="273"/>
      <c r="AZ934" s="847"/>
      <c r="BA934" s="848"/>
      <c r="BB934" s="866"/>
      <c r="BC934" s="273"/>
      <c r="BD934" s="847"/>
      <c r="BE934" s="848"/>
      <c r="BF934" s="838"/>
    </row>
    <row r="935" spans="1:58" s="87" customFormat="1" ht="54" hidden="1" customHeight="1" x14ac:dyDescent="0.25">
      <c r="A935" s="267" t="s">
        <v>7374</v>
      </c>
      <c r="B935" s="268">
        <v>37</v>
      </c>
      <c r="C935" s="240" t="s">
        <v>1022</v>
      </c>
      <c r="D935" s="270" t="s">
        <v>1023</v>
      </c>
      <c r="E935" s="268" t="s">
        <v>7499</v>
      </c>
      <c r="F935" s="861" t="s">
        <v>1950</v>
      </c>
      <c r="G935" s="269" t="s">
        <v>1951</v>
      </c>
      <c r="H935" s="845" t="s">
        <v>1950</v>
      </c>
      <c r="I935" s="269" t="s">
        <v>1951</v>
      </c>
      <c r="J935" s="296" t="s">
        <v>140</v>
      </c>
      <c r="K935" s="297" t="s">
        <v>140</v>
      </c>
      <c r="L935" s="862" t="s">
        <v>1952</v>
      </c>
      <c r="M935" s="206" t="s">
        <v>193</v>
      </c>
      <c r="N935" s="270" t="s">
        <v>194</v>
      </c>
      <c r="O935" s="240" t="s">
        <v>144</v>
      </c>
      <c r="P935" s="240" t="s">
        <v>144</v>
      </c>
      <c r="Q935" s="845" t="s">
        <v>1953</v>
      </c>
      <c r="R935" s="208" t="s">
        <v>7500</v>
      </c>
      <c r="S935" s="864" t="s">
        <v>147</v>
      </c>
      <c r="T935" s="212" t="s">
        <v>144</v>
      </c>
      <c r="U935" s="213" t="s">
        <v>144</v>
      </c>
      <c r="V935" s="847">
        <v>50</v>
      </c>
      <c r="W935" s="415" t="s">
        <v>144</v>
      </c>
      <c r="X935" s="212" t="s">
        <v>925</v>
      </c>
      <c r="Y935" s="212" t="s">
        <v>144</v>
      </c>
      <c r="Z935" s="212" t="s">
        <v>144</v>
      </c>
      <c r="AA935" s="343" t="s">
        <v>148</v>
      </c>
      <c r="AB935" s="206" t="s">
        <v>140</v>
      </c>
      <c r="AC935" s="847" t="s">
        <v>265</v>
      </c>
      <c r="AD935" s="847" t="s">
        <v>144</v>
      </c>
      <c r="AE935" s="847" t="s">
        <v>144</v>
      </c>
      <c r="AF935" s="848" t="s">
        <v>144</v>
      </c>
      <c r="AG935" s="838"/>
      <c r="AH935" s="866"/>
      <c r="AI935" s="273"/>
      <c r="AJ935" s="847"/>
      <c r="AK935" s="848"/>
      <c r="AL935" s="867"/>
      <c r="AM935" s="273"/>
      <c r="AN935" s="847"/>
      <c r="AO935" s="848"/>
      <c r="AP935" s="867"/>
      <c r="AQ935" s="273"/>
      <c r="AR935" s="847"/>
      <c r="AS935" s="848"/>
      <c r="AT935" s="867"/>
      <c r="AU935" s="273"/>
      <c r="AV935" s="847"/>
      <c r="AW935" s="848"/>
      <c r="AX935" s="867"/>
      <c r="AY935" s="273"/>
      <c r="AZ935" s="847"/>
      <c r="BA935" s="848"/>
      <c r="BB935" s="866"/>
      <c r="BC935" s="273"/>
      <c r="BD935" s="847"/>
      <c r="BE935" s="848"/>
      <c r="BF935" s="838"/>
    </row>
    <row r="936" spans="1:58" s="87" customFormat="1" ht="54" hidden="1" customHeight="1" x14ac:dyDescent="0.25">
      <c r="A936" s="267" t="s">
        <v>7374</v>
      </c>
      <c r="B936" s="268">
        <v>38</v>
      </c>
      <c r="C936" s="240" t="s">
        <v>1955</v>
      </c>
      <c r="D936" s="270" t="s">
        <v>1956</v>
      </c>
      <c r="E936" s="268" t="s">
        <v>7501</v>
      </c>
      <c r="F936" s="861" t="s">
        <v>1958</v>
      </c>
      <c r="G936" s="269" t="s">
        <v>1959</v>
      </c>
      <c r="H936" s="845" t="s">
        <v>1960</v>
      </c>
      <c r="I936" s="269" t="s">
        <v>1961</v>
      </c>
      <c r="J936" s="296" t="s">
        <v>140</v>
      </c>
      <c r="K936" s="297" t="s">
        <v>140</v>
      </c>
      <c r="L936" s="862" t="s">
        <v>1962</v>
      </c>
      <c r="M936" s="847" t="s">
        <v>193</v>
      </c>
      <c r="N936" s="270" t="s">
        <v>194</v>
      </c>
      <c r="O936" s="240" t="s">
        <v>1963</v>
      </c>
      <c r="P936" s="240" t="s">
        <v>1964</v>
      </c>
      <c r="Q936" s="845" t="s">
        <v>7502</v>
      </c>
      <c r="R936" s="208" t="s">
        <v>7503</v>
      </c>
      <c r="S936" s="864" t="s">
        <v>147</v>
      </c>
      <c r="T936" s="212" t="s">
        <v>144</v>
      </c>
      <c r="U936" s="213" t="s">
        <v>144</v>
      </c>
      <c r="V936" s="847">
        <v>2</v>
      </c>
      <c r="W936" s="415" t="s">
        <v>144</v>
      </c>
      <c r="X936" s="212">
        <v>40</v>
      </c>
      <c r="Y936" s="212" t="s">
        <v>144</v>
      </c>
      <c r="Z936" s="212" t="s">
        <v>144</v>
      </c>
      <c r="AA936" s="240" t="s">
        <v>1967</v>
      </c>
      <c r="AB936" s="206" t="s">
        <v>140</v>
      </c>
      <c r="AC936" s="847" t="s">
        <v>265</v>
      </c>
      <c r="AD936" s="847" t="s">
        <v>144</v>
      </c>
      <c r="AE936" s="847" t="s">
        <v>144</v>
      </c>
      <c r="AF936" s="848" t="s">
        <v>144</v>
      </c>
      <c r="AG936" s="838"/>
      <c r="AH936" s="866"/>
      <c r="AI936" s="273"/>
      <c r="AJ936" s="847"/>
      <c r="AK936" s="848"/>
      <c r="AL936" s="867" t="s">
        <v>294</v>
      </c>
      <c r="AM936" s="273" t="s">
        <v>295</v>
      </c>
      <c r="AN936" s="847">
        <v>7</v>
      </c>
      <c r="AO936" s="187" t="s">
        <v>966</v>
      </c>
      <c r="AP936" s="867"/>
      <c r="AQ936" s="273"/>
      <c r="AR936" s="847"/>
      <c r="AS936" s="848"/>
      <c r="AT936" s="867"/>
      <c r="AU936" s="273"/>
      <c r="AV936" s="847"/>
      <c r="AW936" s="848"/>
      <c r="AX936" s="867"/>
      <c r="AY936" s="273"/>
      <c r="AZ936" s="847"/>
      <c r="BA936" s="848"/>
      <c r="BB936" s="866"/>
      <c r="BC936" s="273"/>
      <c r="BD936" s="847"/>
      <c r="BE936" s="848"/>
      <c r="BF936" s="838"/>
    </row>
    <row r="937" spans="1:58" s="87" customFormat="1" ht="54" hidden="1" customHeight="1" x14ac:dyDescent="0.25">
      <c r="A937" s="267" t="s">
        <v>7374</v>
      </c>
      <c r="B937" s="268">
        <v>39</v>
      </c>
      <c r="C937" s="240" t="s">
        <v>1955</v>
      </c>
      <c r="D937" s="270" t="s">
        <v>1956</v>
      </c>
      <c r="E937" s="268" t="s">
        <v>7504</v>
      </c>
      <c r="F937" s="861" t="s">
        <v>1970</v>
      </c>
      <c r="G937" s="269" t="s">
        <v>1971</v>
      </c>
      <c r="H937" s="845" t="s">
        <v>1972</v>
      </c>
      <c r="I937" s="269" t="s">
        <v>1973</v>
      </c>
      <c r="J937" s="296" t="s">
        <v>140</v>
      </c>
      <c r="K937" s="297" t="s">
        <v>140</v>
      </c>
      <c r="L937" s="862" t="s">
        <v>1974</v>
      </c>
      <c r="M937" s="206" t="s">
        <v>973</v>
      </c>
      <c r="N937" s="270" t="s">
        <v>974</v>
      </c>
      <c r="O937" s="240" t="s">
        <v>144</v>
      </c>
      <c r="P937" s="240" t="s">
        <v>144</v>
      </c>
      <c r="Q937" s="845" t="s">
        <v>144</v>
      </c>
      <c r="R937" s="208" t="s">
        <v>144</v>
      </c>
      <c r="S937" s="181" t="s">
        <v>233</v>
      </c>
      <c r="T937" s="212" t="s">
        <v>234</v>
      </c>
      <c r="U937" s="213" t="s">
        <v>235</v>
      </c>
      <c r="V937" s="847">
        <v>8</v>
      </c>
      <c r="W937" s="415" t="s">
        <v>144</v>
      </c>
      <c r="X937" s="212">
        <v>40</v>
      </c>
      <c r="Y937" s="212" t="s">
        <v>144</v>
      </c>
      <c r="Z937" s="241" t="s">
        <v>25</v>
      </c>
      <c r="AA937" s="240" t="s">
        <v>1967</v>
      </c>
      <c r="AB937" s="206" t="s">
        <v>140</v>
      </c>
      <c r="AC937" s="847" t="s">
        <v>265</v>
      </c>
      <c r="AD937" s="847" t="s">
        <v>144</v>
      </c>
      <c r="AE937" s="847" t="s">
        <v>144</v>
      </c>
      <c r="AF937" s="848" t="s">
        <v>144</v>
      </c>
      <c r="AG937" s="838"/>
      <c r="AH937" s="866" t="s">
        <v>7505</v>
      </c>
      <c r="AI937" s="273" t="s">
        <v>7506</v>
      </c>
      <c r="AJ937" s="847">
        <v>6</v>
      </c>
      <c r="AK937" s="286" t="s">
        <v>7507</v>
      </c>
      <c r="AL937" s="867"/>
      <c r="AM937" s="273"/>
      <c r="AN937" s="847"/>
      <c r="AO937" s="848"/>
      <c r="AP937" s="873" t="s">
        <v>1160</v>
      </c>
      <c r="AQ937" s="406" t="s">
        <v>1161</v>
      </c>
      <c r="AR937" s="872">
        <v>7</v>
      </c>
      <c r="AS937" s="878" t="s">
        <v>1162</v>
      </c>
      <c r="AT937" s="867" t="s">
        <v>7508</v>
      </c>
      <c r="AU937" s="273" t="s">
        <v>7509</v>
      </c>
      <c r="AV937" s="847">
        <v>6</v>
      </c>
      <c r="AW937" s="848" t="s">
        <v>7510</v>
      </c>
      <c r="AX937" s="867"/>
      <c r="AY937" s="273"/>
      <c r="AZ937" s="847"/>
      <c r="BA937" s="848"/>
      <c r="BB937" s="866"/>
      <c r="BC937" s="273"/>
      <c r="BD937" s="847"/>
      <c r="BE937" s="848"/>
      <c r="BF937" s="838"/>
    </row>
    <row r="938" spans="1:58" s="87" customFormat="1" ht="54" hidden="1" customHeight="1" x14ac:dyDescent="0.25">
      <c r="A938" s="267" t="s">
        <v>7374</v>
      </c>
      <c r="B938" s="268">
        <v>40</v>
      </c>
      <c r="C938" s="240" t="s">
        <v>1955</v>
      </c>
      <c r="D938" s="270" t="s">
        <v>1956</v>
      </c>
      <c r="E938" s="268" t="s">
        <v>7511</v>
      </c>
      <c r="F938" s="429" t="s">
        <v>1997</v>
      </c>
      <c r="G938" s="426" t="s">
        <v>1998</v>
      </c>
      <c r="H938" s="845" t="s">
        <v>1999</v>
      </c>
      <c r="I938" s="269" t="s">
        <v>2000</v>
      </c>
      <c r="J938" s="296" t="s">
        <v>140</v>
      </c>
      <c r="K938" s="297" t="s">
        <v>140</v>
      </c>
      <c r="L938" s="862" t="s">
        <v>2001</v>
      </c>
      <c r="M938" s="872" t="s">
        <v>142</v>
      </c>
      <c r="N938" s="443" t="s">
        <v>143</v>
      </c>
      <c r="O938" s="240" t="s">
        <v>2002</v>
      </c>
      <c r="P938" s="240" t="s">
        <v>2003</v>
      </c>
      <c r="Q938" s="845" t="s">
        <v>7512</v>
      </c>
      <c r="R938" s="208" t="s">
        <v>7513</v>
      </c>
      <c r="S938" s="864" t="s">
        <v>147</v>
      </c>
      <c r="T938" s="212" t="s">
        <v>144</v>
      </c>
      <c r="U938" s="213" t="s">
        <v>144</v>
      </c>
      <c r="V938" s="847">
        <v>1</v>
      </c>
      <c r="W938" s="415" t="s">
        <v>144</v>
      </c>
      <c r="X938" s="212">
        <v>40</v>
      </c>
      <c r="Y938" s="212" t="s">
        <v>144</v>
      </c>
      <c r="Z938" s="241" t="s">
        <v>25</v>
      </c>
      <c r="AA938" s="437" t="s">
        <v>7514</v>
      </c>
      <c r="AB938" s="206" t="s">
        <v>140</v>
      </c>
      <c r="AC938" s="847" t="s">
        <v>265</v>
      </c>
      <c r="AD938" s="847" t="s">
        <v>144</v>
      </c>
      <c r="AE938" s="847" t="s">
        <v>144</v>
      </c>
      <c r="AF938" s="848" t="s">
        <v>144</v>
      </c>
      <c r="AG938" s="838"/>
      <c r="AH938" s="425" t="s">
        <v>266</v>
      </c>
      <c r="AI938" s="426" t="s">
        <v>267</v>
      </c>
      <c r="AJ938" s="427">
        <v>6</v>
      </c>
      <c r="AK938" s="777" t="s">
        <v>1046</v>
      </c>
      <c r="AL938" s="867" t="s">
        <v>294</v>
      </c>
      <c r="AM938" s="273" t="s">
        <v>295</v>
      </c>
      <c r="AN938" s="847">
        <v>7</v>
      </c>
      <c r="AO938" s="187" t="s">
        <v>966</v>
      </c>
      <c r="AP938" s="867"/>
      <c r="AQ938" s="273"/>
      <c r="AR938" s="847"/>
      <c r="AS938" s="848"/>
      <c r="AT938" s="867"/>
      <c r="AU938" s="273"/>
      <c r="AV938" s="847"/>
      <c r="AW938" s="848"/>
      <c r="AX938" s="867"/>
      <c r="AY938" s="273"/>
      <c r="AZ938" s="847"/>
      <c r="BA938" s="848"/>
      <c r="BB938" s="866"/>
      <c r="BC938" s="273"/>
      <c r="BD938" s="847"/>
      <c r="BE938" s="848"/>
      <c r="BF938" s="838"/>
    </row>
    <row r="939" spans="1:58" s="87" customFormat="1" ht="54" hidden="1" customHeight="1" x14ac:dyDescent="0.25">
      <c r="A939" s="267" t="s">
        <v>7374</v>
      </c>
      <c r="B939" s="268">
        <v>41</v>
      </c>
      <c r="C939" s="240" t="s">
        <v>1955</v>
      </c>
      <c r="D939" s="270" t="s">
        <v>1956</v>
      </c>
      <c r="E939" s="268" t="s">
        <v>7515</v>
      </c>
      <c r="F939" s="886" t="s">
        <v>2012</v>
      </c>
      <c r="G939" s="430" t="s">
        <v>2013</v>
      </c>
      <c r="H939" s="887" t="s">
        <v>2014</v>
      </c>
      <c r="I939" s="430" t="s">
        <v>7516</v>
      </c>
      <c r="J939" s="296" t="s">
        <v>140</v>
      </c>
      <c r="K939" s="297" t="s">
        <v>140</v>
      </c>
      <c r="L939" s="862" t="s">
        <v>2016</v>
      </c>
      <c r="M939" s="872" t="s">
        <v>142</v>
      </c>
      <c r="N939" s="443" t="s">
        <v>143</v>
      </c>
      <c r="O939" s="240" t="s">
        <v>2017</v>
      </c>
      <c r="P939" s="240" t="s">
        <v>2018</v>
      </c>
      <c r="Q939" s="845" t="s">
        <v>144</v>
      </c>
      <c r="R939" s="208" t="s">
        <v>144</v>
      </c>
      <c r="S939" s="864" t="s">
        <v>147</v>
      </c>
      <c r="T939" s="212" t="s">
        <v>144</v>
      </c>
      <c r="U939" s="213" t="s">
        <v>144</v>
      </c>
      <c r="V939" s="847">
        <v>1</v>
      </c>
      <c r="W939" s="415" t="s">
        <v>144</v>
      </c>
      <c r="X939" s="212">
        <v>40</v>
      </c>
      <c r="Y939" s="212" t="s">
        <v>144</v>
      </c>
      <c r="Z939" s="433" t="s">
        <v>29</v>
      </c>
      <c r="AA939" s="437" t="s">
        <v>7517</v>
      </c>
      <c r="AB939" s="206" t="s">
        <v>140</v>
      </c>
      <c r="AC939" s="847" t="s">
        <v>265</v>
      </c>
      <c r="AD939" s="847" t="s">
        <v>144</v>
      </c>
      <c r="AE939" s="847" t="s">
        <v>144</v>
      </c>
      <c r="AF939" s="848" t="s">
        <v>144</v>
      </c>
      <c r="AG939" s="838"/>
      <c r="AH939" s="885" t="s">
        <v>266</v>
      </c>
      <c r="AI939" s="406" t="s">
        <v>267</v>
      </c>
      <c r="AJ939" s="872">
        <v>7</v>
      </c>
      <c r="AK939" s="878" t="s">
        <v>1046</v>
      </c>
      <c r="AL939" s="875" t="s">
        <v>294</v>
      </c>
      <c r="AM939" s="301" t="s">
        <v>295</v>
      </c>
      <c r="AN939" s="847">
        <v>7</v>
      </c>
      <c r="AO939" s="187" t="s">
        <v>966</v>
      </c>
      <c r="AP939" s="888" t="s">
        <v>7518</v>
      </c>
      <c r="AQ939" s="733" t="s">
        <v>7519</v>
      </c>
      <c r="AR939" s="847">
        <v>7</v>
      </c>
      <c r="AS939" s="286" t="s">
        <v>7520</v>
      </c>
      <c r="AT939" s="312"/>
      <c r="AU939" s="313"/>
      <c r="AV939" s="289"/>
      <c r="AW939" s="848"/>
      <c r="AX939" s="867"/>
      <c r="AY939" s="273"/>
      <c r="AZ939" s="847"/>
      <c r="BA939" s="848"/>
      <c r="BB939" s="249" t="s">
        <v>2023</v>
      </c>
      <c r="BC939" s="135" t="s">
        <v>2024</v>
      </c>
      <c r="BD939" s="847">
        <v>6</v>
      </c>
      <c r="BE939" s="848" t="s">
        <v>2025</v>
      </c>
      <c r="BF939" s="838"/>
    </row>
    <row r="940" spans="1:58" s="87" customFormat="1" ht="54" hidden="1" customHeight="1" x14ac:dyDescent="0.25">
      <c r="A940" s="267" t="s">
        <v>7374</v>
      </c>
      <c r="B940" s="268">
        <v>42</v>
      </c>
      <c r="C940" s="240" t="s">
        <v>1955</v>
      </c>
      <c r="D940" s="270" t="s">
        <v>1956</v>
      </c>
      <c r="E940" s="268" t="s">
        <v>7521</v>
      </c>
      <c r="F940" s="886" t="s">
        <v>2027</v>
      </c>
      <c r="G940" s="430" t="s">
        <v>2028</v>
      </c>
      <c r="H940" s="887" t="s">
        <v>2029</v>
      </c>
      <c r="I940" s="430" t="s">
        <v>2030</v>
      </c>
      <c r="J940" s="296" t="s">
        <v>140</v>
      </c>
      <c r="K940" s="297" t="s">
        <v>140</v>
      </c>
      <c r="L940" s="862" t="s">
        <v>2031</v>
      </c>
      <c r="M940" s="847" t="s">
        <v>973</v>
      </c>
      <c r="N940" s="270" t="s">
        <v>974</v>
      </c>
      <c r="O940" s="240" t="s">
        <v>144</v>
      </c>
      <c r="P940" s="240" t="s">
        <v>144</v>
      </c>
      <c r="Q940" s="845" t="s">
        <v>144</v>
      </c>
      <c r="R940" s="208" t="s">
        <v>144</v>
      </c>
      <c r="S940" s="181" t="s">
        <v>233</v>
      </c>
      <c r="T940" s="212" t="s">
        <v>234</v>
      </c>
      <c r="U940" s="213" t="s">
        <v>235</v>
      </c>
      <c r="V940" s="847">
        <v>8</v>
      </c>
      <c r="W940" s="415" t="s">
        <v>144</v>
      </c>
      <c r="X940" s="212">
        <v>40</v>
      </c>
      <c r="Y940" s="212" t="s">
        <v>144</v>
      </c>
      <c r="Z940" s="241" t="s">
        <v>25</v>
      </c>
      <c r="AA940" s="437" t="s">
        <v>7522</v>
      </c>
      <c r="AB940" s="206" t="s">
        <v>140</v>
      </c>
      <c r="AC940" s="847" t="s">
        <v>265</v>
      </c>
      <c r="AD940" s="847" t="s">
        <v>144</v>
      </c>
      <c r="AE940" s="847" t="s">
        <v>144</v>
      </c>
      <c r="AF940" s="848" t="s">
        <v>144</v>
      </c>
      <c r="AG940" s="838"/>
      <c r="AH940" s="866" t="s">
        <v>7523</v>
      </c>
      <c r="AI940" s="273" t="s">
        <v>7524</v>
      </c>
      <c r="AJ940" s="847">
        <v>6</v>
      </c>
      <c r="AK940" s="286" t="s">
        <v>7525</v>
      </c>
      <c r="AL940" s="867"/>
      <c r="AM940" s="273"/>
      <c r="AN940" s="847"/>
      <c r="AO940" s="848"/>
      <c r="AP940" s="867" t="s">
        <v>1160</v>
      </c>
      <c r="AQ940" s="273" t="s">
        <v>1161</v>
      </c>
      <c r="AR940" s="847">
        <v>7</v>
      </c>
      <c r="AS940" s="848" t="s">
        <v>1162</v>
      </c>
      <c r="AT940" s="867" t="s">
        <v>1163</v>
      </c>
      <c r="AU940" s="273" t="s">
        <v>1164</v>
      </c>
      <c r="AV940" s="847">
        <v>6</v>
      </c>
      <c r="AW940" s="286" t="s">
        <v>1165</v>
      </c>
      <c r="AX940" s="867"/>
      <c r="AY940" s="273"/>
      <c r="AZ940" s="847"/>
      <c r="BA940" s="848"/>
      <c r="BB940" s="866"/>
      <c r="BC940" s="273"/>
      <c r="BD940" s="847"/>
      <c r="BE940" s="848"/>
      <c r="BF940" s="838"/>
    </row>
    <row r="941" spans="1:58" s="87" customFormat="1" ht="54" hidden="1" customHeight="1" x14ac:dyDescent="0.25">
      <c r="A941" s="267" t="s">
        <v>7374</v>
      </c>
      <c r="B941" s="268">
        <v>43</v>
      </c>
      <c r="C941" s="240" t="s">
        <v>1022</v>
      </c>
      <c r="D941" s="270" t="s">
        <v>1023</v>
      </c>
      <c r="E941" s="268" t="s">
        <v>7526</v>
      </c>
      <c r="F941" s="861" t="s">
        <v>7527</v>
      </c>
      <c r="G941" s="269" t="s">
        <v>7528</v>
      </c>
      <c r="H941" s="845" t="s">
        <v>7527</v>
      </c>
      <c r="I941" s="269" t="s">
        <v>7528</v>
      </c>
      <c r="J941" s="296" t="s">
        <v>140</v>
      </c>
      <c r="K941" s="297" t="s">
        <v>140</v>
      </c>
      <c r="L941" s="862" t="s">
        <v>7529</v>
      </c>
      <c r="M941" s="206" t="s">
        <v>142</v>
      </c>
      <c r="N941" s="270" t="s">
        <v>143</v>
      </c>
      <c r="O941" s="240" t="s">
        <v>144</v>
      </c>
      <c r="P941" s="240" t="s">
        <v>144</v>
      </c>
      <c r="Q941" s="845" t="s">
        <v>144</v>
      </c>
      <c r="R941" s="208" t="s">
        <v>144</v>
      </c>
      <c r="S941" s="864" t="s">
        <v>746</v>
      </c>
      <c r="T941" s="212" t="s">
        <v>1104</v>
      </c>
      <c r="U941" s="213" t="s">
        <v>1105</v>
      </c>
      <c r="V941" s="847">
        <v>19</v>
      </c>
      <c r="W941" s="415" t="s">
        <v>144</v>
      </c>
      <c r="X941" s="212">
        <v>40</v>
      </c>
      <c r="Y941" s="212" t="s">
        <v>144</v>
      </c>
      <c r="Z941" s="241" t="s">
        <v>144</v>
      </c>
      <c r="AA941" s="437" t="s">
        <v>7530</v>
      </c>
      <c r="AB941" s="206" t="s">
        <v>140</v>
      </c>
      <c r="AC941" s="847" t="s">
        <v>265</v>
      </c>
      <c r="AD941" s="847" t="s">
        <v>144</v>
      </c>
      <c r="AE941" s="847" t="s">
        <v>144</v>
      </c>
      <c r="AF941" s="848" t="s">
        <v>144</v>
      </c>
      <c r="AG941" s="838"/>
      <c r="AH941" s="866" t="s">
        <v>266</v>
      </c>
      <c r="AI941" s="273" t="s">
        <v>267</v>
      </c>
      <c r="AJ941" s="847">
        <v>7</v>
      </c>
      <c r="AK941" s="848" t="s">
        <v>1046</v>
      </c>
      <c r="AL941" s="867"/>
      <c r="AM941" s="273"/>
      <c r="AN941" s="847"/>
      <c r="AO941" s="848"/>
      <c r="AP941" s="867" t="s">
        <v>1107</v>
      </c>
      <c r="AQ941" s="273" t="s">
        <v>1108</v>
      </c>
      <c r="AR941" s="847">
        <v>7</v>
      </c>
      <c r="AS941" s="286" t="s">
        <v>1109</v>
      </c>
      <c r="AT941" s="867"/>
      <c r="AU941" s="273"/>
      <c r="AV941" s="847"/>
      <c r="AW941" s="848"/>
      <c r="AX941" s="867"/>
      <c r="AY941" s="273"/>
      <c r="AZ941" s="847"/>
      <c r="BA941" s="848"/>
      <c r="BB941" s="249"/>
      <c r="BC941" s="135"/>
      <c r="BD941" s="847"/>
      <c r="BE941" s="306"/>
      <c r="BF941" s="838"/>
    </row>
    <row r="942" spans="1:58" s="87" customFormat="1" ht="54" hidden="1" customHeight="1" x14ac:dyDescent="0.25">
      <c r="A942" s="267" t="s">
        <v>7374</v>
      </c>
      <c r="B942" s="268">
        <v>44</v>
      </c>
      <c r="C942" s="240" t="s">
        <v>1022</v>
      </c>
      <c r="D942" s="270" t="s">
        <v>1023</v>
      </c>
      <c r="E942" s="268" t="s">
        <v>7531</v>
      </c>
      <c r="F942" s="861" t="s">
        <v>7532</v>
      </c>
      <c r="G942" s="269" t="s">
        <v>7533</v>
      </c>
      <c r="H942" s="845" t="s">
        <v>7532</v>
      </c>
      <c r="I942" s="269" t="s">
        <v>7533</v>
      </c>
      <c r="J942" s="296" t="s">
        <v>140</v>
      </c>
      <c r="K942" s="297" t="s">
        <v>140</v>
      </c>
      <c r="L942" s="862" t="s">
        <v>7534</v>
      </c>
      <c r="M942" s="206" t="s">
        <v>973</v>
      </c>
      <c r="N942" s="270" t="s">
        <v>974</v>
      </c>
      <c r="O942" s="240" t="s">
        <v>814</v>
      </c>
      <c r="P942" s="240" t="s">
        <v>815</v>
      </c>
      <c r="Q942" s="845" t="s">
        <v>144</v>
      </c>
      <c r="R942" s="208" t="s">
        <v>144</v>
      </c>
      <c r="S942" s="864" t="s">
        <v>147</v>
      </c>
      <c r="T942" s="212" t="s">
        <v>144</v>
      </c>
      <c r="U942" s="213" t="s">
        <v>144</v>
      </c>
      <c r="V942" s="847">
        <v>3</v>
      </c>
      <c r="W942" s="415" t="s">
        <v>144</v>
      </c>
      <c r="X942" s="212">
        <v>40</v>
      </c>
      <c r="Y942" s="212" t="s">
        <v>144</v>
      </c>
      <c r="Z942" s="241" t="s">
        <v>144</v>
      </c>
      <c r="AA942" s="437" t="s">
        <v>7535</v>
      </c>
      <c r="AB942" s="206" t="s">
        <v>140</v>
      </c>
      <c r="AC942" s="847" t="s">
        <v>265</v>
      </c>
      <c r="AD942" s="847" t="s">
        <v>144</v>
      </c>
      <c r="AE942" s="847" t="s">
        <v>144</v>
      </c>
      <c r="AF942" s="848" t="s">
        <v>144</v>
      </c>
      <c r="AG942" s="838"/>
      <c r="AH942" s="866" t="s">
        <v>7536</v>
      </c>
      <c r="AI942" s="273" t="s">
        <v>7537</v>
      </c>
      <c r="AJ942" s="847">
        <v>7</v>
      </c>
      <c r="AK942" s="848" t="s">
        <v>1280</v>
      </c>
      <c r="AL942" s="867" t="s">
        <v>294</v>
      </c>
      <c r="AM942" s="273" t="s">
        <v>295</v>
      </c>
      <c r="AN942" s="847">
        <v>7</v>
      </c>
      <c r="AO942" s="187" t="s">
        <v>966</v>
      </c>
      <c r="AP942" s="867"/>
      <c r="AQ942" s="273"/>
      <c r="AR942" s="847"/>
      <c r="AS942" s="848"/>
      <c r="AT942" s="867"/>
      <c r="AU942" s="273"/>
      <c r="AV942" s="847"/>
      <c r="AW942" s="848"/>
      <c r="AX942" s="867"/>
      <c r="AY942" s="273"/>
      <c r="AZ942" s="847"/>
      <c r="BA942" s="848"/>
      <c r="BB942" s="866"/>
      <c r="BC942" s="273"/>
      <c r="BD942" s="847"/>
      <c r="BE942" s="848"/>
      <c r="BF942" s="838"/>
    </row>
    <row r="943" spans="1:58" s="55" customFormat="1" ht="54" hidden="1" customHeight="1" x14ac:dyDescent="0.25">
      <c r="A943" s="275" t="s">
        <v>7374</v>
      </c>
      <c r="B943" s="276">
        <v>45</v>
      </c>
      <c r="C943" s="253" t="s">
        <v>2135</v>
      </c>
      <c r="D943" s="253" t="s">
        <v>2136</v>
      </c>
      <c r="E943" s="276" t="s">
        <v>7538</v>
      </c>
      <c r="F943" s="277" t="s">
        <v>7539</v>
      </c>
      <c r="G943" s="277" t="s">
        <v>2139</v>
      </c>
      <c r="H943" s="279" t="s">
        <v>336</v>
      </c>
      <c r="I943" s="279" t="s">
        <v>337</v>
      </c>
      <c r="J943" s="278" t="s">
        <v>144</v>
      </c>
      <c r="K943" s="278" t="s">
        <v>144</v>
      </c>
      <c r="L943" s="718" t="s">
        <v>7540</v>
      </c>
      <c r="M943" s="253" t="s">
        <v>144</v>
      </c>
      <c r="N943" s="253" t="s">
        <v>144</v>
      </c>
      <c r="O943" s="253" t="s">
        <v>6167</v>
      </c>
      <c r="P943" s="253" t="s">
        <v>6168</v>
      </c>
      <c r="Q943" s="311" t="s">
        <v>338</v>
      </c>
      <c r="R943" s="218" t="s">
        <v>339</v>
      </c>
      <c r="S943" s="282" t="s">
        <v>147</v>
      </c>
      <c r="T943" s="229" t="s">
        <v>144</v>
      </c>
      <c r="U943" s="229" t="s">
        <v>144</v>
      </c>
      <c r="V943" s="278">
        <v>12</v>
      </c>
      <c r="W943" s="217" t="s">
        <v>144</v>
      </c>
      <c r="X943" s="221" t="s">
        <v>144</v>
      </c>
      <c r="Y943" s="229" t="s">
        <v>144</v>
      </c>
      <c r="Z943" s="221" t="s">
        <v>144</v>
      </c>
      <c r="AA943" s="253" t="s">
        <v>144</v>
      </c>
      <c r="AB943" s="217" t="s">
        <v>144</v>
      </c>
      <c r="AC943" s="253" t="s">
        <v>265</v>
      </c>
      <c r="AD943" s="253" t="s">
        <v>144</v>
      </c>
      <c r="AE943" s="253" t="s">
        <v>144</v>
      </c>
      <c r="AF943" s="254" t="s">
        <v>144</v>
      </c>
      <c r="AG943" s="838"/>
      <c r="AH943" s="280"/>
      <c r="AI943" s="281"/>
      <c r="AJ943" s="253"/>
      <c r="AK943" s="254"/>
      <c r="AL943" s="281"/>
      <c r="AM943" s="281"/>
      <c r="AN943" s="253"/>
      <c r="AO943" s="254"/>
      <c r="AP943" s="281"/>
      <c r="AQ943" s="281"/>
      <c r="AR943" s="253"/>
      <c r="AS943" s="254"/>
      <c r="AT943" s="281"/>
      <c r="AU943" s="281"/>
      <c r="AV943" s="253"/>
      <c r="AW943" s="254"/>
      <c r="AX943" s="281"/>
      <c r="AY943" s="281"/>
      <c r="AZ943" s="253"/>
      <c r="BA943" s="254"/>
      <c r="BB943" s="280"/>
      <c r="BC943" s="281"/>
      <c r="BD943" s="253"/>
      <c r="BE943" s="254"/>
      <c r="BF943" s="838"/>
    </row>
    <row r="944" spans="1:58" s="87" customFormat="1" ht="54" hidden="1" customHeight="1" x14ac:dyDescent="0.25">
      <c r="A944" s="267" t="s">
        <v>7374</v>
      </c>
      <c r="B944" s="268">
        <v>46</v>
      </c>
      <c r="C944" s="240" t="s">
        <v>1022</v>
      </c>
      <c r="D944" s="270" t="s">
        <v>1023</v>
      </c>
      <c r="E944" s="268" t="s">
        <v>7541</v>
      </c>
      <c r="F944" s="861" t="s">
        <v>2200</v>
      </c>
      <c r="G944" s="269" t="s">
        <v>2201</v>
      </c>
      <c r="H944" s="845" t="s">
        <v>2200</v>
      </c>
      <c r="I944" s="269" t="s">
        <v>2201</v>
      </c>
      <c r="J944" s="296" t="s">
        <v>140</v>
      </c>
      <c r="K944" s="297" t="s">
        <v>140</v>
      </c>
      <c r="L944" s="862" t="s">
        <v>2202</v>
      </c>
      <c r="M944" s="847" t="s">
        <v>193</v>
      </c>
      <c r="N944" s="270" t="s">
        <v>194</v>
      </c>
      <c r="O944" s="240" t="s">
        <v>2203</v>
      </c>
      <c r="P944" s="240" t="s">
        <v>2204</v>
      </c>
      <c r="Q944" s="845" t="s">
        <v>144</v>
      </c>
      <c r="R944" s="208" t="s">
        <v>144</v>
      </c>
      <c r="S944" s="864" t="s">
        <v>147</v>
      </c>
      <c r="T944" s="212" t="s">
        <v>144</v>
      </c>
      <c r="U944" s="213" t="s">
        <v>144</v>
      </c>
      <c r="V944" s="847">
        <v>2</v>
      </c>
      <c r="W944" s="415" t="s">
        <v>144</v>
      </c>
      <c r="X944" s="212">
        <v>40</v>
      </c>
      <c r="Y944" s="212" t="s">
        <v>144</v>
      </c>
      <c r="Z944" s="433" t="s">
        <v>144</v>
      </c>
      <c r="AA944" s="437" t="s">
        <v>1603</v>
      </c>
      <c r="AB944" s="206" t="s">
        <v>140</v>
      </c>
      <c r="AC944" s="847" t="s">
        <v>265</v>
      </c>
      <c r="AD944" s="847" t="s">
        <v>144</v>
      </c>
      <c r="AE944" s="847" t="s">
        <v>144</v>
      </c>
      <c r="AF944" s="848" t="s">
        <v>144</v>
      </c>
      <c r="AG944" s="838"/>
      <c r="AH944" s="866"/>
      <c r="AI944" s="273"/>
      <c r="AJ944" s="847"/>
      <c r="AK944" s="848"/>
      <c r="AL944" s="867" t="s">
        <v>294</v>
      </c>
      <c r="AM944" s="273" t="s">
        <v>295</v>
      </c>
      <c r="AN944" s="847">
        <v>7</v>
      </c>
      <c r="AO944" s="187" t="s">
        <v>966</v>
      </c>
      <c r="AP944" s="867"/>
      <c r="AQ944" s="273"/>
      <c r="AR944" s="847"/>
      <c r="AS944" s="848"/>
      <c r="AT944" s="867"/>
      <c r="AU944" s="273"/>
      <c r="AV944" s="847"/>
      <c r="AW944" s="848"/>
      <c r="AX944" s="867"/>
      <c r="AY944" s="273"/>
      <c r="AZ944" s="847"/>
      <c r="BA944" s="848"/>
      <c r="BB944" s="866"/>
      <c r="BC944" s="273"/>
      <c r="BD944" s="847"/>
      <c r="BE944" s="848"/>
      <c r="BF944" s="838"/>
    </row>
    <row r="945" spans="1:58" s="87" customFormat="1" ht="54" hidden="1" customHeight="1" x14ac:dyDescent="0.25">
      <c r="A945" s="267" t="s">
        <v>7374</v>
      </c>
      <c r="B945" s="268">
        <v>47</v>
      </c>
      <c r="C945" s="240" t="s">
        <v>2206</v>
      </c>
      <c r="D945" s="270" t="s">
        <v>2207</v>
      </c>
      <c r="E945" s="268" t="s">
        <v>7542</v>
      </c>
      <c r="F945" s="861" t="s">
        <v>2209</v>
      </c>
      <c r="G945" s="294" t="s">
        <v>2210</v>
      </c>
      <c r="H945" s="845" t="s">
        <v>2211</v>
      </c>
      <c r="I945" s="269" t="s">
        <v>2212</v>
      </c>
      <c r="J945" s="296" t="s">
        <v>140</v>
      </c>
      <c r="K945" s="297" t="s">
        <v>140</v>
      </c>
      <c r="L945" s="862" t="s">
        <v>2213</v>
      </c>
      <c r="M945" s="206" t="s">
        <v>193</v>
      </c>
      <c r="N945" s="270" t="s">
        <v>194</v>
      </c>
      <c r="O945" s="240" t="s">
        <v>2214</v>
      </c>
      <c r="P945" s="240" t="s">
        <v>2215</v>
      </c>
      <c r="Q945" s="845" t="s">
        <v>144</v>
      </c>
      <c r="R945" s="208" t="s">
        <v>144</v>
      </c>
      <c r="S945" s="864" t="s">
        <v>147</v>
      </c>
      <c r="T945" s="212" t="s">
        <v>144</v>
      </c>
      <c r="U945" s="213" t="s">
        <v>144</v>
      </c>
      <c r="V945" s="847">
        <v>1</v>
      </c>
      <c r="W945" s="415" t="s">
        <v>144</v>
      </c>
      <c r="X945" s="212">
        <v>40</v>
      </c>
      <c r="Y945" s="212" t="s">
        <v>144</v>
      </c>
      <c r="Z945" s="212" t="s">
        <v>144</v>
      </c>
      <c r="AA945" s="240" t="s">
        <v>1255</v>
      </c>
      <c r="AB945" s="206" t="s">
        <v>140</v>
      </c>
      <c r="AC945" s="847" t="s">
        <v>265</v>
      </c>
      <c r="AD945" s="847" t="s">
        <v>144</v>
      </c>
      <c r="AE945" s="847" t="s">
        <v>144</v>
      </c>
      <c r="AF945" s="848" t="s">
        <v>144</v>
      </c>
      <c r="AG945" s="838"/>
      <c r="AH945" s="866"/>
      <c r="AI945" s="273"/>
      <c r="AJ945" s="847"/>
      <c r="AK945" s="848"/>
      <c r="AL945" s="867" t="s">
        <v>294</v>
      </c>
      <c r="AM945" s="273" t="s">
        <v>295</v>
      </c>
      <c r="AN945" s="847">
        <v>7</v>
      </c>
      <c r="AO945" s="187" t="s">
        <v>966</v>
      </c>
      <c r="AP945" s="867"/>
      <c r="AQ945" s="273"/>
      <c r="AR945" s="847"/>
      <c r="AS945" s="848"/>
      <c r="AT945" s="867"/>
      <c r="AU945" s="273"/>
      <c r="AV945" s="847"/>
      <c r="AW945" s="848"/>
      <c r="AX945" s="867"/>
      <c r="AY945" s="273"/>
      <c r="AZ945" s="847"/>
      <c r="BA945" s="848"/>
      <c r="BB945" s="866"/>
      <c r="BC945" s="273"/>
      <c r="BD945" s="847"/>
      <c r="BE945" s="848"/>
      <c r="BF945" s="838"/>
    </row>
    <row r="946" spans="1:58" s="87" customFormat="1" ht="54" hidden="1" customHeight="1" x14ac:dyDescent="0.25">
      <c r="A946" s="267" t="s">
        <v>7374</v>
      </c>
      <c r="B946" s="268">
        <v>48</v>
      </c>
      <c r="C946" s="240" t="s">
        <v>2206</v>
      </c>
      <c r="D946" s="270" t="s">
        <v>2207</v>
      </c>
      <c r="E946" s="268" t="s">
        <v>7543</v>
      </c>
      <c r="F946" s="861" t="s">
        <v>1552</v>
      </c>
      <c r="G946" s="269" t="s">
        <v>2218</v>
      </c>
      <c r="H946" s="845" t="s">
        <v>1554</v>
      </c>
      <c r="I946" s="208" t="s">
        <v>1555</v>
      </c>
      <c r="J946" s="296" t="s">
        <v>140</v>
      </c>
      <c r="K946" s="297" t="s">
        <v>140</v>
      </c>
      <c r="L946" s="862" t="s">
        <v>1556</v>
      </c>
      <c r="M946" s="206" t="s">
        <v>193</v>
      </c>
      <c r="N946" s="270" t="s">
        <v>194</v>
      </c>
      <c r="O946" s="240" t="s">
        <v>144</v>
      </c>
      <c r="P946" s="240" t="s">
        <v>144</v>
      </c>
      <c r="Q946" s="845" t="s">
        <v>2219</v>
      </c>
      <c r="R946" s="208" t="s">
        <v>7544</v>
      </c>
      <c r="S946" s="864" t="s">
        <v>147</v>
      </c>
      <c r="T946" s="212" t="s">
        <v>144</v>
      </c>
      <c r="U946" s="213" t="s">
        <v>144</v>
      </c>
      <c r="V946" s="847">
        <v>20</v>
      </c>
      <c r="W946" s="415" t="s">
        <v>144</v>
      </c>
      <c r="X946" s="212">
        <v>40</v>
      </c>
      <c r="Y946" s="212" t="s">
        <v>144</v>
      </c>
      <c r="Z946" s="241" t="s">
        <v>144</v>
      </c>
      <c r="AA946" s="437" t="s">
        <v>1545</v>
      </c>
      <c r="AB946" s="206" t="s">
        <v>140</v>
      </c>
      <c r="AC946" s="847" t="s">
        <v>265</v>
      </c>
      <c r="AD946" s="847" t="s">
        <v>144</v>
      </c>
      <c r="AE946" s="847" t="s">
        <v>144</v>
      </c>
      <c r="AF946" s="848" t="s">
        <v>144</v>
      </c>
      <c r="AG946" s="838"/>
      <c r="AH946" s="866"/>
      <c r="AI946" s="273"/>
      <c r="AJ946" s="847"/>
      <c r="AK946" s="848"/>
      <c r="AL946" s="867"/>
      <c r="AM946" s="273"/>
      <c r="AN946" s="847"/>
      <c r="AO946" s="848"/>
      <c r="AP946" s="867"/>
      <c r="AQ946" s="273"/>
      <c r="AR946" s="847"/>
      <c r="AS946" s="848"/>
      <c r="AT946" s="867"/>
      <c r="AU946" s="273"/>
      <c r="AV946" s="847"/>
      <c r="AW946" s="848"/>
      <c r="AX946" s="867" t="s">
        <v>7401</v>
      </c>
      <c r="AY946" s="273" t="s">
        <v>7402</v>
      </c>
      <c r="AZ946" s="847">
        <v>6</v>
      </c>
      <c r="BA946" s="848" t="s">
        <v>7403</v>
      </c>
      <c r="BB946" s="866"/>
      <c r="BC946" s="273"/>
      <c r="BD946" s="847"/>
      <c r="BE946" s="848"/>
      <c r="BF946" s="838"/>
    </row>
    <row r="947" spans="1:58" s="87" customFormat="1" ht="54" hidden="1" customHeight="1" x14ac:dyDescent="0.25">
      <c r="A947" s="267" t="s">
        <v>7374</v>
      </c>
      <c r="B947" s="268">
        <v>49</v>
      </c>
      <c r="C947" s="240" t="s">
        <v>2206</v>
      </c>
      <c r="D947" s="270" t="s">
        <v>2207</v>
      </c>
      <c r="E947" s="268" t="s">
        <v>7545</v>
      </c>
      <c r="F947" s="861" t="s">
        <v>1560</v>
      </c>
      <c r="G947" s="269" t="s">
        <v>2223</v>
      </c>
      <c r="H947" s="845" t="s">
        <v>1562</v>
      </c>
      <c r="I947" s="269" t="s">
        <v>2224</v>
      </c>
      <c r="J947" s="296" t="s">
        <v>140</v>
      </c>
      <c r="K947" s="297" t="s">
        <v>140</v>
      </c>
      <c r="L947" s="862" t="s">
        <v>1564</v>
      </c>
      <c r="M947" s="206" t="s">
        <v>193</v>
      </c>
      <c r="N947" s="270" t="s">
        <v>194</v>
      </c>
      <c r="O947" s="240" t="s">
        <v>144</v>
      </c>
      <c r="P947" s="240" t="s">
        <v>144</v>
      </c>
      <c r="Q947" s="845" t="s">
        <v>1397</v>
      </c>
      <c r="R947" s="208" t="s">
        <v>1398</v>
      </c>
      <c r="S947" s="864" t="s">
        <v>147</v>
      </c>
      <c r="T947" s="212" t="s">
        <v>144</v>
      </c>
      <c r="U947" s="213" t="s">
        <v>144</v>
      </c>
      <c r="V947" s="847">
        <v>10</v>
      </c>
      <c r="W947" s="415" t="s">
        <v>144</v>
      </c>
      <c r="X947" s="212">
        <v>40</v>
      </c>
      <c r="Y947" s="212" t="s">
        <v>144</v>
      </c>
      <c r="Z947" s="433" t="s">
        <v>25</v>
      </c>
      <c r="AA947" s="437" t="s">
        <v>7546</v>
      </c>
      <c r="AB947" s="206" t="s">
        <v>140</v>
      </c>
      <c r="AC947" s="847" t="s">
        <v>265</v>
      </c>
      <c r="AD947" s="847" t="s">
        <v>144</v>
      </c>
      <c r="AE947" s="847" t="s">
        <v>144</v>
      </c>
      <c r="AF947" s="848" t="s">
        <v>144</v>
      </c>
      <c r="AG947" s="838"/>
      <c r="AH947" s="866"/>
      <c r="AI947" s="273"/>
      <c r="AJ947" s="847"/>
      <c r="AK947" s="848"/>
      <c r="AL947" s="867"/>
      <c r="AM947" s="273"/>
      <c r="AN947" s="847"/>
      <c r="AO947" s="848"/>
      <c r="AP947" s="867"/>
      <c r="AQ947" s="273"/>
      <c r="AR947" s="847"/>
      <c r="AS947" s="848"/>
      <c r="AT947" s="867"/>
      <c r="AU947" s="273"/>
      <c r="AV947" s="847"/>
      <c r="AW947" s="848"/>
      <c r="AX947" s="873" t="s">
        <v>7547</v>
      </c>
      <c r="AY947" s="406" t="s">
        <v>7548</v>
      </c>
      <c r="AZ947" s="872" t="s">
        <v>1061</v>
      </c>
      <c r="BA947" s="878" t="s">
        <v>1732</v>
      </c>
      <c r="BB947" s="866"/>
      <c r="BC947" s="273"/>
      <c r="BD947" s="847"/>
      <c r="BE947" s="848"/>
      <c r="BF947" s="838"/>
    </row>
    <row r="948" spans="1:58" s="87" customFormat="1" ht="54" hidden="1" customHeight="1" x14ac:dyDescent="0.25">
      <c r="A948" s="267" t="s">
        <v>7374</v>
      </c>
      <c r="B948" s="268">
        <v>50</v>
      </c>
      <c r="C948" s="240" t="s">
        <v>2206</v>
      </c>
      <c r="D948" s="270" t="s">
        <v>2207</v>
      </c>
      <c r="E948" s="268" t="s">
        <v>7549</v>
      </c>
      <c r="F948" s="861" t="s">
        <v>2231</v>
      </c>
      <c r="G948" s="269" t="s">
        <v>2232</v>
      </c>
      <c r="H948" s="845" t="s">
        <v>2233</v>
      </c>
      <c r="I948" s="269" t="s">
        <v>2234</v>
      </c>
      <c r="J948" s="296" t="s">
        <v>140</v>
      </c>
      <c r="K948" s="297" t="s">
        <v>140</v>
      </c>
      <c r="L948" s="862" t="s">
        <v>2235</v>
      </c>
      <c r="M948" s="847" t="s">
        <v>193</v>
      </c>
      <c r="N948" s="270" t="s">
        <v>194</v>
      </c>
      <c r="O948" s="240" t="s">
        <v>2236</v>
      </c>
      <c r="P948" s="240" t="s">
        <v>2237</v>
      </c>
      <c r="Q948" s="845" t="s">
        <v>7550</v>
      </c>
      <c r="R948" s="208" t="s">
        <v>7551</v>
      </c>
      <c r="S948" s="864" t="s">
        <v>147</v>
      </c>
      <c r="T948" s="212" t="s">
        <v>144</v>
      </c>
      <c r="U948" s="213" t="s">
        <v>144</v>
      </c>
      <c r="V948" s="847">
        <v>2</v>
      </c>
      <c r="W948" s="415" t="s">
        <v>144</v>
      </c>
      <c r="X948" s="212">
        <v>40</v>
      </c>
      <c r="Y948" s="212" t="s">
        <v>144</v>
      </c>
      <c r="Z948" s="241" t="s">
        <v>144</v>
      </c>
      <c r="AA948" s="616" t="s">
        <v>148</v>
      </c>
      <c r="AB948" s="206" t="s">
        <v>140</v>
      </c>
      <c r="AC948" s="847" t="s">
        <v>265</v>
      </c>
      <c r="AD948" s="847" t="s">
        <v>144</v>
      </c>
      <c r="AE948" s="847" t="s">
        <v>144</v>
      </c>
      <c r="AF948" s="848" t="s">
        <v>144</v>
      </c>
      <c r="AG948" s="838"/>
      <c r="AH948" s="866"/>
      <c r="AI948" s="273"/>
      <c r="AJ948" s="847"/>
      <c r="AK948" s="848"/>
      <c r="AL948" s="867" t="s">
        <v>294</v>
      </c>
      <c r="AM948" s="273" t="s">
        <v>295</v>
      </c>
      <c r="AN948" s="847">
        <v>7</v>
      </c>
      <c r="AO948" s="187" t="s">
        <v>966</v>
      </c>
      <c r="AP948" s="867"/>
      <c r="AQ948" s="273"/>
      <c r="AR948" s="847"/>
      <c r="AS948" s="848"/>
      <c r="AT948" s="867"/>
      <c r="AU948" s="273"/>
      <c r="AV948" s="847"/>
      <c r="AW948" s="848"/>
      <c r="AX948" s="867"/>
      <c r="AY948" s="273"/>
      <c r="AZ948" s="847"/>
      <c r="BA948" s="848"/>
      <c r="BB948" s="866"/>
      <c r="BC948" s="273"/>
      <c r="BD948" s="847"/>
      <c r="BE948" s="848"/>
      <c r="BF948" s="838"/>
    </row>
    <row r="949" spans="1:58" s="87" customFormat="1" ht="54" hidden="1" customHeight="1" x14ac:dyDescent="0.25">
      <c r="A949" s="267" t="s">
        <v>7374</v>
      </c>
      <c r="B949" s="268">
        <v>51</v>
      </c>
      <c r="C949" s="240" t="s">
        <v>2206</v>
      </c>
      <c r="D949" s="270" t="s">
        <v>2207</v>
      </c>
      <c r="E949" s="268" t="s">
        <v>7552</v>
      </c>
      <c r="F949" s="861" t="s">
        <v>2241</v>
      </c>
      <c r="G949" s="269" t="s">
        <v>2242</v>
      </c>
      <c r="H949" s="845" t="s">
        <v>2243</v>
      </c>
      <c r="I949" s="208" t="s">
        <v>2244</v>
      </c>
      <c r="J949" s="240" t="s">
        <v>140</v>
      </c>
      <c r="K949" s="270" t="s">
        <v>140</v>
      </c>
      <c r="L949" s="862" t="s">
        <v>2245</v>
      </c>
      <c r="M949" s="206" t="s">
        <v>193</v>
      </c>
      <c r="N949" s="270" t="s">
        <v>194</v>
      </c>
      <c r="O949" s="240" t="s">
        <v>2246</v>
      </c>
      <c r="P949" s="240" t="s">
        <v>2247</v>
      </c>
      <c r="Q949" s="845" t="s">
        <v>144</v>
      </c>
      <c r="R949" s="208" t="s">
        <v>144</v>
      </c>
      <c r="S949" s="864" t="s">
        <v>147</v>
      </c>
      <c r="T949" s="212" t="s">
        <v>144</v>
      </c>
      <c r="U949" s="213" t="s">
        <v>144</v>
      </c>
      <c r="V949" s="847">
        <v>1</v>
      </c>
      <c r="W949" s="415" t="s">
        <v>144</v>
      </c>
      <c r="X949" s="212">
        <v>40</v>
      </c>
      <c r="Y949" s="212" t="s">
        <v>144</v>
      </c>
      <c r="Z949" s="252" t="s">
        <v>144</v>
      </c>
      <c r="AA949" s="240" t="s">
        <v>148</v>
      </c>
      <c r="AB949" s="206" t="s">
        <v>140</v>
      </c>
      <c r="AC949" s="847" t="s">
        <v>265</v>
      </c>
      <c r="AD949" s="847" t="s">
        <v>144</v>
      </c>
      <c r="AE949" s="847" t="s">
        <v>144</v>
      </c>
      <c r="AF949" s="848" t="s">
        <v>144</v>
      </c>
      <c r="AG949" s="838"/>
      <c r="AH949" s="866"/>
      <c r="AI949" s="273"/>
      <c r="AJ949" s="847"/>
      <c r="AK949" s="848"/>
      <c r="AL949" s="933" t="s">
        <v>294</v>
      </c>
      <c r="AM949" s="376" t="s">
        <v>295</v>
      </c>
      <c r="AN949" s="891">
        <v>7</v>
      </c>
      <c r="AO949" s="187" t="s">
        <v>966</v>
      </c>
      <c r="AP949" s="312"/>
      <c r="AQ949" s="313"/>
      <c r="AR949" s="289"/>
      <c r="AS949" s="314"/>
      <c r="AT949" s="867"/>
      <c r="AU949" s="273"/>
      <c r="AV949" s="847"/>
      <c r="AW949" s="848"/>
      <c r="AX949" s="867"/>
      <c r="AY949" s="273"/>
      <c r="AZ949" s="847"/>
      <c r="BA949" s="848"/>
      <c r="BB949" s="866"/>
      <c r="BC949" s="273"/>
      <c r="BD949" s="847"/>
      <c r="BE949" s="848"/>
      <c r="BF949" s="838"/>
    </row>
    <row r="950" spans="1:58" s="87" customFormat="1" ht="54" hidden="1" customHeight="1" x14ac:dyDescent="0.25">
      <c r="A950" s="267" t="s">
        <v>7374</v>
      </c>
      <c r="B950" s="268">
        <v>52</v>
      </c>
      <c r="C950" s="240" t="s">
        <v>256</v>
      </c>
      <c r="D950" s="270" t="s">
        <v>257</v>
      </c>
      <c r="E950" s="268" t="s">
        <v>7553</v>
      </c>
      <c r="F950" s="861" t="s">
        <v>2249</v>
      </c>
      <c r="G950" s="269" t="s">
        <v>2250</v>
      </c>
      <c r="H950" s="845" t="s">
        <v>2251</v>
      </c>
      <c r="I950" s="269" t="s">
        <v>2252</v>
      </c>
      <c r="J950" s="296" t="s">
        <v>140</v>
      </c>
      <c r="K950" s="297" t="s">
        <v>140</v>
      </c>
      <c r="L950" s="862" t="s">
        <v>2253</v>
      </c>
      <c r="M950" s="206" t="s">
        <v>193</v>
      </c>
      <c r="N950" s="270" t="s">
        <v>194</v>
      </c>
      <c r="O950" s="240" t="s">
        <v>144</v>
      </c>
      <c r="P950" s="240" t="s">
        <v>144</v>
      </c>
      <c r="Q950" s="845" t="s">
        <v>144</v>
      </c>
      <c r="R950" s="208" t="s">
        <v>144</v>
      </c>
      <c r="S950" s="864" t="s">
        <v>147</v>
      </c>
      <c r="T950" s="212" t="s">
        <v>144</v>
      </c>
      <c r="U950" s="213" t="s">
        <v>144</v>
      </c>
      <c r="V950" s="847">
        <v>25</v>
      </c>
      <c r="W950" s="415" t="s">
        <v>144</v>
      </c>
      <c r="X950" s="212">
        <v>40</v>
      </c>
      <c r="Y950" s="212" t="s">
        <v>144</v>
      </c>
      <c r="Z950" s="212" t="s">
        <v>144</v>
      </c>
      <c r="AA950" s="240" t="s">
        <v>148</v>
      </c>
      <c r="AB950" s="206" t="s">
        <v>140</v>
      </c>
      <c r="AC950" s="847" t="s">
        <v>265</v>
      </c>
      <c r="AD950" s="847" t="s">
        <v>144</v>
      </c>
      <c r="AE950" s="847" t="s">
        <v>144</v>
      </c>
      <c r="AF950" s="848" t="s">
        <v>144</v>
      </c>
      <c r="AG950" s="838"/>
      <c r="AH950" s="866"/>
      <c r="AI950" s="273"/>
      <c r="AJ950" s="847"/>
      <c r="AK950" s="286"/>
      <c r="AL950" s="867"/>
      <c r="AM950" s="273"/>
      <c r="AN950" s="847"/>
      <c r="AO950" s="848"/>
      <c r="AP950" s="867"/>
      <c r="AQ950" s="273"/>
      <c r="AR950" s="847"/>
      <c r="AS950" s="848"/>
      <c r="AT950" s="867"/>
      <c r="AU950" s="273"/>
      <c r="AV950" s="847"/>
      <c r="AW950" s="848"/>
      <c r="AX950" s="867"/>
      <c r="AY950" s="273"/>
      <c r="AZ950" s="847"/>
      <c r="BA950" s="848"/>
      <c r="BB950" s="866"/>
      <c r="BC950" s="273"/>
      <c r="BD950" s="847"/>
      <c r="BE950" s="848"/>
      <c r="BF950" s="838"/>
    </row>
    <row r="951" spans="1:58" s="87" customFormat="1" ht="54" hidden="1" customHeight="1" x14ac:dyDescent="0.25">
      <c r="A951" s="267" t="s">
        <v>7374</v>
      </c>
      <c r="B951" s="268">
        <v>53</v>
      </c>
      <c r="C951" s="240" t="s">
        <v>1372</v>
      </c>
      <c r="D951" s="270" t="s">
        <v>1373</v>
      </c>
      <c r="E951" s="268" t="s">
        <v>7554</v>
      </c>
      <c r="F951" s="861" t="s">
        <v>1403</v>
      </c>
      <c r="G951" s="269" t="s">
        <v>2930</v>
      </c>
      <c r="H951" s="845" t="s">
        <v>2931</v>
      </c>
      <c r="I951" s="269" t="s">
        <v>2932</v>
      </c>
      <c r="J951" s="296" t="s">
        <v>140</v>
      </c>
      <c r="K951" s="297" t="s">
        <v>140</v>
      </c>
      <c r="L951" s="862" t="s">
        <v>1407</v>
      </c>
      <c r="M951" s="240" t="s">
        <v>973</v>
      </c>
      <c r="N951" s="270" t="s">
        <v>974</v>
      </c>
      <c r="O951" s="240" t="s">
        <v>1408</v>
      </c>
      <c r="P951" s="240" t="s">
        <v>1409</v>
      </c>
      <c r="Q951" s="845" t="s">
        <v>144</v>
      </c>
      <c r="R951" s="208" t="s">
        <v>144</v>
      </c>
      <c r="S951" s="864" t="s">
        <v>147</v>
      </c>
      <c r="T951" s="212" t="s">
        <v>144</v>
      </c>
      <c r="U951" s="213" t="s">
        <v>144</v>
      </c>
      <c r="V951" s="847">
        <v>3</v>
      </c>
      <c r="W951" s="415" t="s">
        <v>144</v>
      </c>
      <c r="X951" s="212">
        <v>40</v>
      </c>
      <c r="Y951" s="212" t="s">
        <v>144</v>
      </c>
      <c r="Z951" s="241" t="s">
        <v>144</v>
      </c>
      <c r="AA951" s="437" t="s">
        <v>7555</v>
      </c>
      <c r="AB951" s="206" t="s">
        <v>140</v>
      </c>
      <c r="AC951" s="847" t="s">
        <v>265</v>
      </c>
      <c r="AD951" s="847" t="s">
        <v>144</v>
      </c>
      <c r="AE951" s="847" t="s">
        <v>144</v>
      </c>
      <c r="AF951" s="848" t="s">
        <v>144</v>
      </c>
      <c r="AG951" s="838"/>
      <c r="AH951" s="291" t="s">
        <v>7478</v>
      </c>
      <c r="AI951" s="273" t="s">
        <v>7479</v>
      </c>
      <c r="AJ951" s="240">
        <v>6</v>
      </c>
      <c r="AK951" s="848" t="s">
        <v>7480</v>
      </c>
      <c r="AL951" s="875" t="s">
        <v>294</v>
      </c>
      <c r="AM951" s="301" t="s">
        <v>295</v>
      </c>
      <c r="AN951" s="847">
        <v>7</v>
      </c>
      <c r="AO951" s="187" t="s">
        <v>966</v>
      </c>
      <c r="AP951" s="867"/>
      <c r="AQ951" s="273"/>
      <c r="AR951" s="847"/>
      <c r="AS951" s="848"/>
      <c r="AT951" s="867"/>
      <c r="AU951" s="273"/>
      <c r="AV951" s="847"/>
      <c r="AW951" s="848"/>
      <c r="AX951" s="867"/>
      <c r="AY951" s="273"/>
      <c r="AZ951" s="847"/>
      <c r="BA951" s="848"/>
      <c r="BB951" s="866"/>
      <c r="BC951" s="273"/>
      <c r="BD951" s="847"/>
      <c r="BE951" s="848"/>
      <c r="BF951" s="838"/>
    </row>
    <row r="952" spans="1:58" s="55" customFormat="1" ht="54" hidden="1" customHeight="1" x14ac:dyDescent="0.25">
      <c r="A952" s="275" t="s">
        <v>7374</v>
      </c>
      <c r="B952" s="276">
        <v>54</v>
      </c>
      <c r="C952" s="253" t="s">
        <v>1372</v>
      </c>
      <c r="D952" s="253" t="s">
        <v>1373</v>
      </c>
      <c r="E952" s="276" t="s">
        <v>7556</v>
      </c>
      <c r="F952" s="277" t="s">
        <v>2936</v>
      </c>
      <c r="G952" s="277" t="s">
        <v>2937</v>
      </c>
      <c r="H952" s="218" t="s">
        <v>2938</v>
      </c>
      <c r="I952" s="277" t="s">
        <v>2939</v>
      </c>
      <c r="J952" s="253" t="s">
        <v>144</v>
      </c>
      <c r="K952" s="253" t="s">
        <v>144</v>
      </c>
      <c r="L952" s="718" t="s">
        <v>2940</v>
      </c>
      <c r="M952" s="253" t="s">
        <v>144</v>
      </c>
      <c r="N952" s="253" t="s">
        <v>144</v>
      </c>
      <c r="O952" s="253" t="s">
        <v>2941</v>
      </c>
      <c r="P952" s="253" t="s">
        <v>2942</v>
      </c>
      <c r="Q952" s="218" t="s">
        <v>144</v>
      </c>
      <c r="R952" s="218" t="s">
        <v>144</v>
      </c>
      <c r="S952" s="276" t="s">
        <v>147</v>
      </c>
      <c r="T952" s="221" t="s">
        <v>144</v>
      </c>
      <c r="U952" s="221" t="s">
        <v>144</v>
      </c>
      <c r="V952" s="253">
        <v>5</v>
      </c>
      <c r="W952" s="217" t="s">
        <v>144</v>
      </c>
      <c r="X952" s="221">
        <v>40</v>
      </c>
      <c r="Y952" s="221">
        <v>43</v>
      </c>
      <c r="Z952" s="221" t="s">
        <v>144</v>
      </c>
      <c r="AA952" s="253" t="s">
        <v>2943</v>
      </c>
      <c r="AB952" s="217" t="s">
        <v>144</v>
      </c>
      <c r="AC952" s="253" t="s">
        <v>265</v>
      </c>
      <c r="AD952" s="253" t="s">
        <v>144</v>
      </c>
      <c r="AE952" s="253" t="s">
        <v>144</v>
      </c>
      <c r="AF952" s="254" t="s">
        <v>144</v>
      </c>
      <c r="AG952" s="838"/>
      <c r="AH952" s="320"/>
      <c r="AI952" s="321"/>
      <c r="AJ952" s="322"/>
      <c r="AK952" s="323"/>
      <c r="AL952" s="324"/>
      <c r="AM952" s="324"/>
      <c r="AN952" s="322"/>
      <c r="AO952" s="323"/>
      <c r="AP952" s="281"/>
      <c r="AQ952" s="281"/>
      <c r="AR952" s="253"/>
      <c r="AS952" s="254"/>
      <c r="AT952" s="281"/>
      <c r="AU952" s="281"/>
      <c r="AV952" s="253"/>
      <c r="AW952" s="254"/>
      <c r="AX952" s="281"/>
      <c r="AY952" s="281"/>
      <c r="AZ952" s="253"/>
      <c r="BA952" s="254"/>
      <c r="BB952" s="280"/>
      <c r="BC952" s="281"/>
      <c r="BD952" s="253"/>
      <c r="BE952" s="254"/>
      <c r="BF952" s="838"/>
    </row>
    <row r="953" spans="1:58" s="55" customFormat="1" ht="54" hidden="1" customHeight="1" x14ac:dyDescent="0.25">
      <c r="A953" s="275" t="s">
        <v>7374</v>
      </c>
      <c r="B953" s="276">
        <v>55</v>
      </c>
      <c r="C953" s="253" t="s">
        <v>144</v>
      </c>
      <c r="D953" s="253" t="s">
        <v>144</v>
      </c>
      <c r="E953" s="276" t="s">
        <v>7557</v>
      </c>
      <c r="F953" s="277" t="s">
        <v>2945</v>
      </c>
      <c r="G953" s="277" t="s">
        <v>2946</v>
      </c>
      <c r="H953" s="218" t="s">
        <v>2945</v>
      </c>
      <c r="I953" s="277" t="s">
        <v>2946</v>
      </c>
      <c r="J953" s="302" t="s">
        <v>144</v>
      </c>
      <c r="K953" s="302" t="s">
        <v>144</v>
      </c>
      <c r="L953" s="718" t="s">
        <v>2947</v>
      </c>
      <c r="M953" s="217" t="s">
        <v>144</v>
      </c>
      <c r="N953" s="253" t="s">
        <v>144</v>
      </c>
      <c r="O953" s="253" t="s">
        <v>144</v>
      </c>
      <c r="P953" s="253" t="s">
        <v>144</v>
      </c>
      <c r="Q953" s="218" t="s">
        <v>7558</v>
      </c>
      <c r="R953" s="218" t="s">
        <v>2949</v>
      </c>
      <c r="S953" s="276" t="s">
        <v>147</v>
      </c>
      <c r="T953" s="221" t="s">
        <v>144</v>
      </c>
      <c r="U953" s="221" t="s">
        <v>144</v>
      </c>
      <c r="V953" s="253">
        <v>2</v>
      </c>
      <c r="W953" s="217" t="s">
        <v>144</v>
      </c>
      <c r="X953" s="221">
        <v>40</v>
      </c>
      <c r="Y953" s="221">
        <v>43</v>
      </c>
      <c r="Z953" s="221" t="s">
        <v>144</v>
      </c>
      <c r="AA953" s="253" t="s">
        <v>2943</v>
      </c>
      <c r="AB953" s="217" t="s">
        <v>144</v>
      </c>
      <c r="AC953" s="253" t="s">
        <v>265</v>
      </c>
      <c r="AD953" s="253" t="s">
        <v>144</v>
      </c>
      <c r="AE953" s="253" t="s">
        <v>144</v>
      </c>
      <c r="AF953" s="254" t="s">
        <v>144</v>
      </c>
      <c r="AG953" s="838"/>
      <c r="AH953" s="320"/>
      <c r="AI953" s="281"/>
      <c r="AJ953" s="322"/>
      <c r="AK953" s="254"/>
      <c r="AL953" s="281"/>
      <c r="AM953" s="281"/>
      <c r="AN953" s="253"/>
      <c r="AO953" s="254"/>
      <c r="AP953" s="321"/>
      <c r="AQ953" s="321"/>
      <c r="AR953" s="322"/>
      <c r="AS953" s="314"/>
      <c r="AT953" s="281"/>
      <c r="AU953" s="281"/>
      <c r="AV953" s="253"/>
      <c r="AW953" s="254"/>
      <c r="AX953" s="281"/>
      <c r="AY953" s="281"/>
      <c r="AZ953" s="253"/>
      <c r="BA953" s="254"/>
      <c r="BB953" s="280"/>
      <c r="BC953" s="281"/>
      <c r="BD953" s="253"/>
      <c r="BE953" s="254"/>
      <c r="BF953" s="838"/>
    </row>
    <row r="954" spans="1:58" s="87" customFormat="1" ht="54" hidden="1" customHeight="1" x14ac:dyDescent="0.25">
      <c r="A954" s="267" t="s">
        <v>7374</v>
      </c>
      <c r="B954" s="268">
        <v>56</v>
      </c>
      <c r="C954" s="240" t="s">
        <v>1372</v>
      </c>
      <c r="D954" s="270" t="s">
        <v>1373</v>
      </c>
      <c r="E954" s="268" t="s">
        <v>7559</v>
      </c>
      <c r="F954" s="861" t="s">
        <v>2951</v>
      </c>
      <c r="G954" s="294" t="s">
        <v>2952</v>
      </c>
      <c r="H954" s="845" t="s">
        <v>2953</v>
      </c>
      <c r="I954" s="269" t="s">
        <v>2954</v>
      </c>
      <c r="J954" s="296" t="s">
        <v>140</v>
      </c>
      <c r="K954" s="297" t="s">
        <v>140</v>
      </c>
      <c r="L954" s="862" t="s">
        <v>2955</v>
      </c>
      <c r="M954" s="206" t="s">
        <v>193</v>
      </c>
      <c r="N954" s="270" t="s">
        <v>194</v>
      </c>
      <c r="O954" s="240" t="s">
        <v>144</v>
      </c>
      <c r="P954" s="240" t="s">
        <v>144</v>
      </c>
      <c r="Q954" s="845" t="s">
        <v>7560</v>
      </c>
      <c r="R954" s="208" t="s">
        <v>7561</v>
      </c>
      <c r="S954" s="864" t="s">
        <v>147</v>
      </c>
      <c r="T954" s="212" t="s">
        <v>144</v>
      </c>
      <c r="U954" s="213" t="s">
        <v>144</v>
      </c>
      <c r="V954" s="847">
        <v>1</v>
      </c>
      <c r="W954" s="415" t="s">
        <v>144</v>
      </c>
      <c r="X954" s="212">
        <v>40</v>
      </c>
      <c r="Y954" s="212" t="s">
        <v>144</v>
      </c>
      <c r="Z954" s="212" t="s">
        <v>144</v>
      </c>
      <c r="AA954" s="240" t="s">
        <v>398</v>
      </c>
      <c r="AB954" s="206" t="s">
        <v>140</v>
      </c>
      <c r="AC954" s="847" t="s">
        <v>265</v>
      </c>
      <c r="AD954" s="847" t="s">
        <v>144</v>
      </c>
      <c r="AE954" s="847" t="s">
        <v>144</v>
      </c>
      <c r="AF954" s="848" t="s">
        <v>144</v>
      </c>
      <c r="AG954" s="838"/>
      <c r="AH954" s="340"/>
      <c r="AI954" s="273"/>
      <c r="AJ954" s="341"/>
      <c r="AK954" s="848"/>
      <c r="AL954" s="867"/>
      <c r="AM954" s="273"/>
      <c r="AN954" s="847"/>
      <c r="AO954" s="848"/>
      <c r="AP954" s="704"/>
      <c r="AQ954" s="313"/>
      <c r="AR954" s="341"/>
      <c r="AS954" s="295"/>
      <c r="AT954" s="867"/>
      <c r="AU954" s="273"/>
      <c r="AV954" s="847"/>
      <c r="AW954" s="848"/>
      <c r="AX954" s="867"/>
      <c r="AY954" s="273"/>
      <c r="AZ954" s="847"/>
      <c r="BA954" s="848"/>
      <c r="BB954" s="866"/>
      <c r="BC954" s="273"/>
      <c r="BD954" s="847"/>
      <c r="BE954" s="848"/>
      <c r="BF954" s="838"/>
    </row>
    <row r="955" spans="1:58" s="87" customFormat="1" ht="54" hidden="1" customHeight="1" x14ac:dyDescent="0.25">
      <c r="A955" s="267" t="s">
        <v>7374</v>
      </c>
      <c r="B955" s="268">
        <v>57</v>
      </c>
      <c r="C955" s="240" t="s">
        <v>1372</v>
      </c>
      <c r="D955" s="270" t="s">
        <v>1373</v>
      </c>
      <c r="E955" s="268" t="s">
        <v>7562</v>
      </c>
      <c r="F955" s="861" t="s">
        <v>2959</v>
      </c>
      <c r="G955" s="269" t="s">
        <v>2960</v>
      </c>
      <c r="H955" s="845" t="s">
        <v>7563</v>
      </c>
      <c r="I955" s="269" t="s">
        <v>2962</v>
      </c>
      <c r="J955" s="296" t="s">
        <v>140</v>
      </c>
      <c r="K955" s="297" t="s">
        <v>140</v>
      </c>
      <c r="L955" s="862" t="s">
        <v>2963</v>
      </c>
      <c r="M955" s="240" t="s">
        <v>973</v>
      </c>
      <c r="N955" s="270" t="s">
        <v>974</v>
      </c>
      <c r="O955" s="240" t="s">
        <v>2964</v>
      </c>
      <c r="P955" s="240" t="s">
        <v>2965</v>
      </c>
      <c r="Q955" s="845" t="s">
        <v>144</v>
      </c>
      <c r="R955" s="208" t="s">
        <v>144</v>
      </c>
      <c r="S955" s="864" t="s">
        <v>147</v>
      </c>
      <c r="T955" s="212" t="s">
        <v>144</v>
      </c>
      <c r="U955" s="213" t="s">
        <v>144</v>
      </c>
      <c r="V955" s="847">
        <v>1</v>
      </c>
      <c r="W955" s="415" t="s">
        <v>144</v>
      </c>
      <c r="X955" s="212">
        <v>40</v>
      </c>
      <c r="Y955" s="212" t="s">
        <v>144</v>
      </c>
      <c r="Z955" s="241" t="s">
        <v>144</v>
      </c>
      <c r="AA955" s="437" t="s">
        <v>2966</v>
      </c>
      <c r="AB955" s="206" t="s">
        <v>140</v>
      </c>
      <c r="AC955" s="847" t="s">
        <v>265</v>
      </c>
      <c r="AD955" s="847" t="s">
        <v>144</v>
      </c>
      <c r="AE955" s="847" t="s">
        <v>144</v>
      </c>
      <c r="AF955" s="848" t="s">
        <v>144</v>
      </c>
      <c r="AG955" s="838"/>
      <c r="AH955" s="291" t="s">
        <v>7478</v>
      </c>
      <c r="AI955" s="273" t="s">
        <v>7479</v>
      </c>
      <c r="AJ955" s="240">
        <v>6</v>
      </c>
      <c r="AK955" s="848" t="s">
        <v>7480</v>
      </c>
      <c r="AL955" s="875" t="s">
        <v>294</v>
      </c>
      <c r="AM955" s="301" t="s">
        <v>295</v>
      </c>
      <c r="AN955" s="847">
        <v>7</v>
      </c>
      <c r="AO955" s="187" t="s">
        <v>966</v>
      </c>
      <c r="AP955" s="867"/>
      <c r="AQ955" s="273"/>
      <c r="AR955" s="847"/>
      <c r="AS955" s="848"/>
      <c r="AT955" s="867"/>
      <c r="AU955" s="273"/>
      <c r="AV955" s="847"/>
      <c r="AW955" s="848"/>
      <c r="AX955" s="867"/>
      <c r="AY955" s="273"/>
      <c r="AZ955" s="847"/>
      <c r="BA955" s="848"/>
      <c r="BB955" s="866"/>
      <c r="BC955" s="273"/>
      <c r="BD955" s="847"/>
      <c r="BE955" s="848"/>
      <c r="BF955" s="838"/>
    </row>
    <row r="956" spans="1:58" s="87" customFormat="1" ht="54" hidden="1" customHeight="1" x14ac:dyDescent="0.25">
      <c r="A956" s="267" t="s">
        <v>7374</v>
      </c>
      <c r="B956" s="268">
        <v>58</v>
      </c>
      <c r="C956" s="240" t="s">
        <v>1372</v>
      </c>
      <c r="D956" s="270" t="s">
        <v>1373</v>
      </c>
      <c r="E956" s="268" t="s">
        <v>7564</v>
      </c>
      <c r="F956" s="861" t="s">
        <v>2968</v>
      </c>
      <c r="G956" s="294" t="s">
        <v>2969</v>
      </c>
      <c r="H956" s="845" t="s">
        <v>2970</v>
      </c>
      <c r="I956" s="269" t="s">
        <v>2971</v>
      </c>
      <c r="J956" s="296" t="s">
        <v>140</v>
      </c>
      <c r="K956" s="297" t="s">
        <v>140</v>
      </c>
      <c r="L956" s="862" t="s">
        <v>2972</v>
      </c>
      <c r="M956" s="206" t="s">
        <v>973</v>
      </c>
      <c r="N956" s="270" t="s">
        <v>974</v>
      </c>
      <c r="O956" s="240" t="s">
        <v>2973</v>
      </c>
      <c r="P956" s="240" t="s">
        <v>2974</v>
      </c>
      <c r="Q956" s="845" t="s">
        <v>7565</v>
      </c>
      <c r="R956" s="208" t="s">
        <v>7566</v>
      </c>
      <c r="S956" s="864" t="s">
        <v>147</v>
      </c>
      <c r="T956" s="212" t="s">
        <v>144</v>
      </c>
      <c r="U956" s="213" t="s">
        <v>144</v>
      </c>
      <c r="V956" s="847">
        <v>1</v>
      </c>
      <c r="W956" s="415" t="s">
        <v>144</v>
      </c>
      <c r="X956" s="212">
        <v>40</v>
      </c>
      <c r="Y956" s="212" t="s">
        <v>144</v>
      </c>
      <c r="Z956" s="241" t="s">
        <v>144</v>
      </c>
      <c r="AA956" s="437" t="s">
        <v>1545</v>
      </c>
      <c r="AB956" s="206" t="s">
        <v>140</v>
      </c>
      <c r="AC956" s="847" t="s">
        <v>265</v>
      </c>
      <c r="AD956" s="847" t="s">
        <v>144</v>
      </c>
      <c r="AE956" s="847" t="s">
        <v>144</v>
      </c>
      <c r="AF956" s="848" t="s">
        <v>144</v>
      </c>
      <c r="AG956" s="838"/>
      <c r="AH956" s="866" t="s">
        <v>7478</v>
      </c>
      <c r="AI956" s="273" t="s">
        <v>7479</v>
      </c>
      <c r="AJ956" s="847">
        <v>6</v>
      </c>
      <c r="AK956" s="848" t="s">
        <v>7480</v>
      </c>
      <c r="AL956" s="867" t="s">
        <v>294</v>
      </c>
      <c r="AM956" s="273" t="s">
        <v>295</v>
      </c>
      <c r="AN956" s="847">
        <v>7</v>
      </c>
      <c r="AO956" s="187" t="s">
        <v>966</v>
      </c>
      <c r="AP956" s="312"/>
      <c r="AQ956" s="313"/>
      <c r="AR956" s="289"/>
      <c r="AS956" s="314"/>
      <c r="AT956" s="867"/>
      <c r="AU956" s="273"/>
      <c r="AV956" s="847"/>
      <c r="AW956" s="848"/>
      <c r="AX956" s="867"/>
      <c r="AY956" s="273"/>
      <c r="AZ956" s="847"/>
      <c r="BA956" s="848"/>
      <c r="BB956" s="866"/>
      <c r="BC956" s="273"/>
      <c r="BD956" s="847"/>
      <c r="BE956" s="848"/>
      <c r="BF956" s="838"/>
    </row>
    <row r="957" spans="1:58" s="55" customFormat="1" ht="54" hidden="1" customHeight="1" x14ac:dyDescent="0.25">
      <c r="A957" s="275" t="s">
        <v>7374</v>
      </c>
      <c r="B957" s="276">
        <v>59</v>
      </c>
      <c r="C957" s="253" t="s">
        <v>1372</v>
      </c>
      <c r="D957" s="253" t="s">
        <v>1373</v>
      </c>
      <c r="E957" s="276" t="s">
        <v>7567</v>
      </c>
      <c r="F957" s="277" t="s">
        <v>2981</v>
      </c>
      <c r="G957" s="277" t="s">
        <v>2982</v>
      </c>
      <c r="H957" s="218" t="s">
        <v>2983</v>
      </c>
      <c r="I957" s="277" t="s">
        <v>2984</v>
      </c>
      <c r="J957" s="302" t="s">
        <v>144</v>
      </c>
      <c r="K957" s="302" t="s">
        <v>144</v>
      </c>
      <c r="L957" s="718" t="s">
        <v>2985</v>
      </c>
      <c r="M957" s="253" t="s">
        <v>144</v>
      </c>
      <c r="N957" s="253" t="s">
        <v>144</v>
      </c>
      <c r="O957" s="253" t="s">
        <v>2986</v>
      </c>
      <c r="P957" s="253" t="s">
        <v>2987</v>
      </c>
      <c r="Q957" s="218" t="s">
        <v>144</v>
      </c>
      <c r="R957" s="218" t="s">
        <v>144</v>
      </c>
      <c r="S957" s="276" t="s">
        <v>147</v>
      </c>
      <c r="T957" s="221" t="s">
        <v>144</v>
      </c>
      <c r="U957" s="221" t="s">
        <v>144</v>
      </c>
      <c r="V957" s="253">
        <v>7</v>
      </c>
      <c r="W957" s="217" t="s">
        <v>144</v>
      </c>
      <c r="X957" s="221">
        <v>40</v>
      </c>
      <c r="Y957" s="221">
        <v>43</v>
      </c>
      <c r="Z957" s="221" t="s">
        <v>144</v>
      </c>
      <c r="AA957" s="253" t="s">
        <v>2943</v>
      </c>
      <c r="AB957" s="217" t="s">
        <v>144</v>
      </c>
      <c r="AC957" s="253" t="s">
        <v>265</v>
      </c>
      <c r="AD957" s="253" t="s">
        <v>144</v>
      </c>
      <c r="AE957" s="253" t="s">
        <v>144</v>
      </c>
      <c r="AF957" s="254" t="s">
        <v>144</v>
      </c>
      <c r="AG957" s="838"/>
      <c r="AH957" s="320"/>
      <c r="AI957" s="321"/>
      <c r="AJ957" s="322"/>
      <c r="AK957" s="323"/>
      <c r="AL957" s="324"/>
      <c r="AM957" s="324"/>
      <c r="AN957" s="322"/>
      <c r="AO957" s="323"/>
      <c r="AP957" s="281"/>
      <c r="AQ957" s="281"/>
      <c r="AR957" s="253"/>
      <c r="AS957" s="254"/>
      <c r="AT957" s="281"/>
      <c r="AU957" s="281"/>
      <c r="AV957" s="253"/>
      <c r="AW957" s="254"/>
      <c r="AX957" s="281"/>
      <c r="AY957" s="281"/>
      <c r="AZ957" s="253"/>
      <c r="BA957" s="254"/>
      <c r="BB957" s="280"/>
      <c r="BC957" s="281"/>
      <c r="BD957" s="253"/>
      <c r="BE957" s="254"/>
      <c r="BF957" s="838"/>
    </row>
    <row r="958" spans="1:58" s="87" customFormat="1" ht="54" hidden="1" customHeight="1" x14ac:dyDescent="0.25">
      <c r="A958" s="267" t="s">
        <v>7374</v>
      </c>
      <c r="B958" s="268">
        <v>60</v>
      </c>
      <c r="C958" s="240" t="s">
        <v>1372</v>
      </c>
      <c r="D958" s="270" t="s">
        <v>1373</v>
      </c>
      <c r="E958" s="268" t="s">
        <v>7568</v>
      </c>
      <c r="F958" s="861" t="s">
        <v>2989</v>
      </c>
      <c r="G958" s="269" t="s">
        <v>2990</v>
      </c>
      <c r="H958" s="845" t="s">
        <v>2991</v>
      </c>
      <c r="I958" s="269" t="s">
        <v>2992</v>
      </c>
      <c r="J958" s="296" t="s">
        <v>140</v>
      </c>
      <c r="K958" s="297" t="s">
        <v>140</v>
      </c>
      <c r="L958" s="862" t="s">
        <v>2993</v>
      </c>
      <c r="M958" s="240" t="s">
        <v>973</v>
      </c>
      <c r="N958" s="270" t="s">
        <v>974</v>
      </c>
      <c r="O958" s="240" t="s">
        <v>2994</v>
      </c>
      <c r="P958" s="240" t="s">
        <v>2995</v>
      </c>
      <c r="Q958" s="845" t="s">
        <v>144</v>
      </c>
      <c r="R958" s="208" t="s">
        <v>144</v>
      </c>
      <c r="S958" s="864" t="s">
        <v>147</v>
      </c>
      <c r="T958" s="212" t="s">
        <v>144</v>
      </c>
      <c r="U958" s="213" t="s">
        <v>144</v>
      </c>
      <c r="V958" s="847">
        <v>1</v>
      </c>
      <c r="W958" s="415" t="s">
        <v>144</v>
      </c>
      <c r="X958" s="212">
        <v>40</v>
      </c>
      <c r="Y958" s="212" t="s">
        <v>144</v>
      </c>
      <c r="Z958" s="241" t="s">
        <v>144</v>
      </c>
      <c r="AA958" s="437" t="s">
        <v>398</v>
      </c>
      <c r="AB958" s="206" t="s">
        <v>140</v>
      </c>
      <c r="AC958" s="847" t="s">
        <v>265</v>
      </c>
      <c r="AD958" s="847" t="s">
        <v>144</v>
      </c>
      <c r="AE958" s="847" t="s">
        <v>144</v>
      </c>
      <c r="AF958" s="848" t="s">
        <v>144</v>
      </c>
      <c r="AG958" s="838"/>
      <c r="AH958" s="291" t="s">
        <v>7569</v>
      </c>
      <c r="AI958" s="273" t="s">
        <v>7570</v>
      </c>
      <c r="AJ958" s="240">
        <v>6</v>
      </c>
      <c r="AK958" s="848" t="s">
        <v>7571</v>
      </c>
      <c r="AL958" s="875" t="s">
        <v>294</v>
      </c>
      <c r="AM958" s="301" t="s">
        <v>295</v>
      </c>
      <c r="AN958" s="847">
        <v>7</v>
      </c>
      <c r="AO958" s="187" t="s">
        <v>966</v>
      </c>
      <c r="AP958" s="867"/>
      <c r="AQ958" s="273"/>
      <c r="AR958" s="847"/>
      <c r="AS958" s="848"/>
      <c r="AT958" s="867"/>
      <c r="AU958" s="273"/>
      <c r="AV958" s="847"/>
      <c r="AW958" s="848"/>
      <c r="AX958" s="867"/>
      <c r="AY958" s="273"/>
      <c r="AZ958" s="847"/>
      <c r="BA958" s="848"/>
      <c r="BB958" s="866"/>
      <c r="BC958" s="273"/>
      <c r="BD958" s="847"/>
      <c r="BE958" s="848"/>
      <c r="BF958" s="838"/>
    </row>
    <row r="959" spans="1:58" s="87" customFormat="1" ht="54" hidden="1" customHeight="1" x14ac:dyDescent="0.25">
      <c r="A959" s="267" t="s">
        <v>7374</v>
      </c>
      <c r="B959" s="268">
        <v>61</v>
      </c>
      <c r="C959" s="240" t="s">
        <v>1372</v>
      </c>
      <c r="D959" s="270" t="s">
        <v>1373</v>
      </c>
      <c r="E959" s="268" t="s">
        <v>7572</v>
      </c>
      <c r="F959" s="861" t="s">
        <v>3002</v>
      </c>
      <c r="G959" s="269" t="s">
        <v>3003</v>
      </c>
      <c r="H959" s="845" t="s">
        <v>3004</v>
      </c>
      <c r="I959" s="269" t="s">
        <v>3005</v>
      </c>
      <c r="J959" s="296" t="s">
        <v>140</v>
      </c>
      <c r="K959" s="297" t="s">
        <v>140</v>
      </c>
      <c r="L959" s="862" t="s">
        <v>3006</v>
      </c>
      <c r="M959" s="240" t="s">
        <v>973</v>
      </c>
      <c r="N959" s="270" t="s">
        <v>974</v>
      </c>
      <c r="O959" s="240" t="s">
        <v>3007</v>
      </c>
      <c r="P959" s="240" t="s">
        <v>3008</v>
      </c>
      <c r="Q959" s="845" t="s">
        <v>144</v>
      </c>
      <c r="R959" s="208" t="s">
        <v>144</v>
      </c>
      <c r="S959" s="864" t="s">
        <v>147</v>
      </c>
      <c r="T959" s="212" t="s">
        <v>144</v>
      </c>
      <c r="U959" s="213" t="s">
        <v>144</v>
      </c>
      <c r="V959" s="847">
        <v>1</v>
      </c>
      <c r="W959" s="415" t="s">
        <v>144</v>
      </c>
      <c r="X959" s="212">
        <v>40</v>
      </c>
      <c r="Y959" s="212" t="s">
        <v>144</v>
      </c>
      <c r="Z959" s="241" t="s">
        <v>144</v>
      </c>
      <c r="AA959" s="437" t="s">
        <v>2966</v>
      </c>
      <c r="AB959" s="206" t="s">
        <v>140</v>
      </c>
      <c r="AC959" s="847" t="s">
        <v>265</v>
      </c>
      <c r="AD959" s="847" t="s">
        <v>144</v>
      </c>
      <c r="AE959" s="847" t="s">
        <v>144</v>
      </c>
      <c r="AF959" s="848" t="s">
        <v>144</v>
      </c>
      <c r="AG959" s="838"/>
      <c r="AH959" s="291" t="s">
        <v>7478</v>
      </c>
      <c r="AI959" s="273" t="s">
        <v>7479</v>
      </c>
      <c r="AJ959" s="240">
        <v>6</v>
      </c>
      <c r="AK959" s="848" t="s">
        <v>7480</v>
      </c>
      <c r="AL959" s="867" t="s">
        <v>294</v>
      </c>
      <c r="AM959" s="273" t="s">
        <v>295</v>
      </c>
      <c r="AN959" s="847">
        <v>7</v>
      </c>
      <c r="AO959" s="187" t="s">
        <v>966</v>
      </c>
      <c r="AP959" s="867"/>
      <c r="AQ959" s="273"/>
      <c r="AR959" s="847"/>
      <c r="AS959" s="848"/>
      <c r="AT959" s="867"/>
      <c r="AU959" s="273"/>
      <c r="AV959" s="847"/>
      <c r="AW959" s="848"/>
      <c r="AX959" s="867"/>
      <c r="AY959" s="273"/>
      <c r="AZ959" s="847"/>
      <c r="BA959" s="848"/>
      <c r="BB959" s="249"/>
      <c r="BC959" s="135"/>
      <c r="BD959" s="847"/>
      <c r="BE959" s="848"/>
      <c r="BF959" s="838"/>
    </row>
    <row r="960" spans="1:58" s="87" customFormat="1" ht="54" hidden="1" customHeight="1" x14ac:dyDescent="0.25">
      <c r="A960" s="267" t="s">
        <v>7374</v>
      </c>
      <c r="B960" s="268">
        <v>62</v>
      </c>
      <c r="C960" s="240" t="s">
        <v>1372</v>
      </c>
      <c r="D960" s="270" t="s">
        <v>1373</v>
      </c>
      <c r="E960" s="268" t="s">
        <v>7573</v>
      </c>
      <c r="F960" s="861" t="s">
        <v>3010</v>
      </c>
      <c r="G960" s="269" t="s">
        <v>3011</v>
      </c>
      <c r="H960" s="845" t="s">
        <v>3010</v>
      </c>
      <c r="I960" s="269" t="s">
        <v>3011</v>
      </c>
      <c r="J960" s="296" t="s">
        <v>140</v>
      </c>
      <c r="K960" s="297" t="s">
        <v>140</v>
      </c>
      <c r="L960" s="862" t="s">
        <v>7574</v>
      </c>
      <c r="M960" s="240" t="s">
        <v>193</v>
      </c>
      <c r="N960" s="270" t="s">
        <v>194</v>
      </c>
      <c r="O960" s="240" t="s">
        <v>3013</v>
      </c>
      <c r="P960" s="240" t="s">
        <v>3014</v>
      </c>
      <c r="Q960" s="845" t="s">
        <v>144</v>
      </c>
      <c r="R960" s="208" t="s">
        <v>144</v>
      </c>
      <c r="S960" s="864" t="s">
        <v>147</v>
      </c>
      <c r="T960" s="212" t="s">
        <v>144</v>
      </c>
      <c r="U960" s="213" t="s">
        <v>144</v>
      </c>
      <c r="V960" s="847">
        <v>1</v>
      </c>
      <c r="W960" s="415" t="s">
        <v>144</v>
      </c>
      <c r="X960" s="212">
        <v>40</v>
      </c>
      <c r="Y960" s="212" t="s">
        <v>144</v>
      </c>
      <c r="Z960" s="241" t="s">
        <v>144</v>
      </c>
      <c r="AA960" s="437" t="s">
        <v>398</v>
      </c>
      <c r="AB960" s="206" t="s">
        <v>140</v>
      </c>
      <c r="AC960" s="847" t="s">
        <v>265</v>
      </c>
      <c r="AD960" s="847" t="s">
        <v>144</v>
      </c>
      <c r="AE960" s="847" t="s">
        <v>144</v>
      </c>
      <c r="AF960" s="848" t="s">
        <v>144</v>
      </c>
      <c r="AG960" s="838"/>
      <c r="AH960" s="340"/>
      <c r="AI960" s="273"/>
      <c r="AJ960" s="341"/>
      <c r="AK960" s="848"/>
      <c r="AL960" s="875" t="s">
        <v>294</v>
      </c>
      <c r="AM960" s="301" t="s">
        <v>295</v>
      </c>
      <c r="AN960" s="847">
        <v>7</v>
      </c>
      <c r="AO960" s="187" t="s">
        <v>966</v>
      </c>
      <c r="AP960" s="867"/>
      <c r="AQ960" s="273"/>
      <c r="AR960" s="847"/>
      <c r="AS960" s="848"/>
      <c r="AT960" s="867"/>
      <c r="AU960" s="273"/>
      <c r="AV960" s="847"/>
      <c r="AW960" s="848"/>
      <c r="AX960" s="867"/>
      <c r="AY960" s="273"/>
      <c r="AZ960" s="847"/>
      <c r="BA960" s="848"/>
      <c r="BB960" s="866"/>
      <c r="BC960" s="273"/>
      <c r="BD960" s="847"/>
      <c r="BE960" s="848"/>
      <c r="BF960" s="838"/>
    </row>
    <row r="961" spans="1:58" s="55" customFormat="1" ht="54" hidden="1" customHeight="1" x14ac:dyDescent="0.25">
      <c r="A961" s="275" t="s">
        <v>7374</v>
      </c>
      <c r="B961" s="276">
        <v>63</v>
      </c>
      <c r="C961" s="253" t="s">
        <v>1372</v>
      </c>
      <c r="D961" s="253" t="s">
        <v>1373</v>
      </c>
      <c r="E961" s="276" t="s">
        <v>7575</v>
      </c>
      <c r="F961" s="277" t="s">
        <v>3017</v>
      </c>
      <c r="G961" s="277" t="s">
        <v>7576</v>
      </c>
      <c r="H961" s="218" t="s">
        <v>3019</v>
      </c>
      <c r="I961" s="277" t="s">
        <v>3020</v>
      </c>
      <c r="J961" s="253" t="s">
        <v>144</v>
      </c>
      <c r="K961" s="253" t="s">
        <v>144</v>
      </c>
      <c r="L961" s="718" t="s">
        <v>3021</v>
      </c>
      <c r="M961" s="253" t="s">
        <v>144</v>
      </c>
      <c r="N961" s="253" t="s">
        <v>144</v>
      </c>
      <c r="O961" s="253" t="s">
        <v>144</v>
      </c>
      <c r="P961" s="253" t="s">
        <v>144</v>
      </c>
      <c r="Q961" s="218" t="s">
        <v>144</v>
      </c>
      <c r="R961" s="218" t="s">
        <v>144</v>
      </c>
      <c r="S961" s="276" t="s">
        <v>746</v>
      </c>
      <c r="T961" s="221" t="s">
        <v>1307</v>
      </c>
      <c r="U961" s="221" t="s">
        <v>1308</v>
      </c>
      <c r="V961" s="253">
        <v>10</v>
      </c>
      <c r="W961" s="217" t="s">
        <v>144</v>
      </c>
      <c r="X961" s="221">
        <v>40</v>
      </c>
      <c r="Y961" s="221">
        <v>43</v>
      </c>
      <c r="Z961" s="221" t="s">
        <v>144</v>
      </c>
      <c r="AA961" s="253" t="s">
        <v>3022</v>
      </c>
      <c r="AB961" s="217" t="s">
        <v>144</v>
      </c>
      <c r="AC961" s="253" t="s">
        <v>265</v>
      </c>
      <c r="AD961" s="253" t="s">
        <v>144</v>
      </c>
      <c r="AE961" s="253" t="s">
        <v>144</v>
      </c>
      <c r="AF961" s="254" t="s">
        <v>144</v>
      </c>
      <c r="AG961" s="838"/>
      <c r="AH961" s="320"/>
      <c r="AI961" s="321"/>
      <c r="AJ961" s="322"/>
      <c r="AK961" s="323"/>
      <c r="AL961" s="281"/>
      <c r="AM961" s="281"/>
      <c r="AN961" s="253"/>
      <c r="AO961" s="254"/>
      <c r="AP961" s="321"/>
      <c r="AQ961" s="321"/>
      <c r="AR961" s="322"/>
      <c r="AS961" s="314"/>
      <c r="AT961" s="281"/>
      <c r="AU961" s="281"/>
      <c r="AV961" s="253"/>
      <c r="AW961" s="254"/>
      <c r="AX961" s="281"/>
      <c r="AY961" s="281"/>
      <c r="AZ961" s="253"/>
      <c r="BA961" s="254"/>
      <c r="BB961" s="280"/>
      <c r="BC961" s="281"/>
      <c r="BD961" s="253"/>
      <c r="BE961" s="254"/>
      <c r="BF961" s="838"/>
    </row>
    <row r="962" spans="1:58" s="87" customFormat="1" ht="54" hidden="1" customHeight="1" x14ac:dyDescent="0.25">
      <c r="A962" s="267" t="s">
        <v>7374</v>
      </c>
      <c r="B962" s="268">
        <v>64</v>
      </c>
      <c r="C962" s="240" t="s">
        <v>1372</v>
      </c>
      <c r="D962" s="270" t="s">
        <v>1373</v>
      </c>
      <c r="E962" s="268" t="s">
        <v>7577</v>
      </c>
      <c r="F962" s="861" t="s">
        <v>3025</v>
      </c>
      <c r="G962" s="269" t="s">
        <v>3026</v>
      </c>
      <c r="H962" s="845" t="s">
        <v>3027</v>
      </c>
      <c r="I962" s="269" t="s">
        <v>3028</v>
      </c>
      <c r="J962" s="296" t="s">
        <v>140</v>
      </c>
      <c r="K962" s="297" t="s">
        <v>140</v>
      </c>
      <c r="L962" s="862" t="s">
        <v>3029</v>
      </c>
      <c r="M962" s="240" t="s">
        <v>973</v>
      </c>
      <c r="N962" s="270" t="s">
        <v>974</v>
      </c>
      <c r="O962" s="240" t="s">
        <v>3030</v>
      </c>
      <c r="P962" s="240" t="s">
        <v>3031</v>
      </c>
      <c r="Q962" s="845" t="s">
        <v>144</v>
      </c>
      <c r="R962" s="208" t="s">
        <v>144</v>
      </c>
      <c r="S962" s="864" t="s">
        <v>147</v>
      </c>
      <c r="T962" s="212" t="s">
        <v>144</v>
      </c>
      <c r="U962" s="213" t="s">
        <v>144</v>
      </c>
      <c r="V962" s="847">
        <v>1</v>
      </c>
      <c r="W962" s="415" t="s">
        <v>144</v>
      </c>
      <c r="X962" s="212">
        <v>43</v>
      </c>
      <c r="Y962" s="212" t="s">
        <v>144</v>
      </c>
      <c r="Z962" s="241" t="s">
        <v>144</v>
      </c>
      <c r="AA962" s="615" t="s">
        <v>733</v>
      </c>
      <c r="AB962" s="206" t="s">
        <v>140</v>
      </c>
      <c r="AC962" s="847" t="s">
        <v>265</v>
      </c>
      <c r="AD962" s="847" t="s">
        <v>144</v>
      </c>
      <c r="AE962" s="847" t="s">
        <v>144</v>
      </c>
      <c r="AF962" s="848" t="s">
        <v>144</v>
      </c>
      <c r="AG962" s="838"/>
      <c r="AH962" s="291" t="s">
        <v>7478</v>
      </c>
      <c r="AI962" s="273" t="s">
        <v>7479</v>
      </c>
      <c r="AJ962" s="847">
        <v>6</v>
      </c>
      <c r="AK962" s="848" t="s">
        <v>7480</v>
      </c>
      <c r="AL962" s="875" t="s">
        <v>294</v>
      </c>
      <c r="AM962" s="301" t="s">
        <v>295</v>
      </c>
      <c r="AN962" s="847">
        <v>7</v>
      </c>
      <c r="AO962" s="187" t="s">
        <v>966</v>
      </c>
      <c r="AP962" s="867"/>
      <c r="AQ962" s="273"/>
      <c r="AR962" s="847"/>
      <c r="AS962" s="848"/>
      <c r="AT962" s="867"/>
      <c r="AU962" s="273"/>
      <c r="AV962" s="847"/>
      <c r="AW962" s="848"/>
      <c r="AX962" s="867"/>
      <c r="AY962" s="273"/>
      <c r="AZ962" s="847"/>
      <c r="BA962" s="848"/>
      <c r="BB962" s="866"/>
      <c r="BC962" s="273"/>
      <c r="BD962" s="847"/>
      <c r="BE962" s="848"/>
      <c r="BF962" s="838"/>
    </row>
    <row r="963" spans="1:58" s="87" customFormat="1" ht="54" hidden="1" customHeight="1" x14ac:dyDescent="0.25">
      <c r="A963" s="267" t="s">
        <v>7374</v>
      </c>
      <c r="B963" s="268">
        <v>65</v>
      </c>
      <c r="C963" s="240" t="s">
        <v>1372</v>
      </c>
      <c r="D963" s="270" t="s">
        <v>1373</v>
      </c>
      <c r="E963" s="268" t="s">
        <v>7578</v>
      </c>
      <c r="F963" s="861" t="s">
        <v>3033</v>
      </c>
      <c r="G963" s="269" t="s">
        <v>3034</v>
      </c>
      <c r="H963" s="845" t="s">
        <v>3035</v>
      </c>
      <c r="I963" s="269" t="s">
        <v>3036</v>
      </c>
      <c r="J963" s="296" t="s">
        <v>140</v>
      </c>
      <c r="K963" s="297" t="s">
        <v>140</v>
      </c>
      <c r="L963" s="862" t="s">
        <v>3037</v>
      </c>
      <c r="M963" s="240" t="s">
        <v>973</v>
      </c>
      <c r="N963" s="270" t="s">
        <v>974</v>
      </c>
      <c r="O963" s="240" t="s">
        <v>3038</v>
      </c>
      <c r="P963" s="240" t="s">
        <v>3039</v>
      </c>
      <c r="Q963" s="845" t="s">
        <v>144</v>
      </c>
      <c r="R963" s="208" t="s">
        <v>144</v>
      </c>
      <c r="S963" s="864" t="s">
        <v>147</v>
      </c>
      <c r="T963" s="212" t="s">
        <v>144</v>
      </c>
      <c r="U963" s="213" t="s">
        <v>144</v>
      </c>
      <c r="V963" s="847">
        <v>1</v>
      </c>
      <c r="W963" s="415" t="s">
        <v>144</v>
      </c>
      <c r="X963" s="212">
        <v>43</v>
      </c>
      <c r="Y963" s="212" t="s">
        <v>144</v>
      </c>
      <c r="Z963" s="241" t="s">
        <v>144</v>
      </c>
      <c r="AA963" s="615" t="s">
        <v>733</v>
      </c>
      <c r="AB963" s="206" t="s">
        <v>140</v>
      </c>
      <c r="AC963" s="847" t="s">
        <v>265</v>
      </c>
      <c r="AD963" s="847" t="s">
        <v>144</v>
      </c>
      <c r="AE963" s="847" t="s">
        <v>144</v>
      </c>
      <c r="AF963" s="848" t="s">
        <v>144</v>
      </c>
      <c r="AG963" s="838"/>
      <c r="AH963" s="291" t="s">
        <v>7478</v>
      </c>
      <c r="AI963" s="273" t="s">
        <v>7479</v>
      </c>
      <c r="AJ963" s="847">
        <v>6</v>
      </c>
      <c r="AK963" s="848" t="s">
        <v>7480</v>
      </c>
      <c r="AL963" s="867" t="s">
        <v>294</v>
      </c>
      <c r="AM963" s="273" t="s">
        <v>295</v>
      </c>
      <c r="AN963" s="847">
        <v>7</v>
      </c>
      <c r="AO963" s="187" t="s">
        <v>966</v>
      </c>
      <c r="AP963" s="867"/>
      <c r="AQ963" s="273"/>
      <c r="AR963" s="847"/>
      <c r="AS963" s="848"/>
      <c r="AT963" s="867"/>
      <c r="AU963" s="273"/>
      <c r="AV963" s="847"/>
      <c r="AW963" s="848"/>
      <c r="AX963" s="867"/>
      <c r="AY963" s="273"/>
      <c r="AZ963" s="847"/>
      <c r="BA963" s="848"/>
      <c r="BB963" s="866"/>
      <c r="BC963" s="273"/>
      <c r="BD963" s="847"/>
      <c r="BE963" s="848"/>
      <c r="BF963" s="838"/>
    </row>
    <row r="964" spans="1:58" s="87" customFormat="1" ht="54" hidden="1" customHeight="1" x14ac:dyDescent="0.25">
      <c r="A964" s="267" t="s">
        <v>7374</v>
      </c>
      <c r="B964" s="268">
        <v>66</v>
      </c>
      <c r="C964" s="240" t="s">
        <v>1372</v>
      </c>
      <c r="D964" s="270" t="s">
        <v>1373</v>
      </c>
      <c r="E964" s="268" t="s">
        <v>7579</v>
      </c>
      <c r="F964" s="861" t="s">
        <v>3041</v>
      </c>
      <c r="G964" s="269" t="s">
        <v>3042</v>
      </c>
      <c r="H964" s="845" t="s">
        <v>3043</v>
      </c>
      <c r="I964" s="269" t="s">
        <v>3044</v>
      </c>
      <c r="J964" s="296" t="s">
        <v>140</v>
      </c>
      <c r="K964" s="297" t="s">
        <v>140</v>
      </c>
      <c r="L964" s="862" t="s">
        <v>3045</v>
      </c>
      <c r="M964" s="240" t="s">
        <v>973</v>
      </c>
      <c r="N964" s="270" t="s">
        <v>974</v>
      </c>
      <c r="O964" s="240" t="s">
        <v>3046</v>
      </c>
      <c r="P964" s="240" t="s">
        <v>3047</v>
      </c>
      <c r="Q964" s="845" t="s">
        <v>144</v>
      </c>
      <c r="R964" s="208" t="s">
        <v>144</v>
      </c>
      <c r="S964" s="864" t="s">
        <v>147</v>
      </c>
      <c r="T964" s="212" t="s">
        <v>144</v>
      </c>
      <c r="U964" s="213" t="s">
        <v>144</v>
      </c>
      <c r="V964" s="847">
        <v>1</v>
      </c>
      <c r="W964" s="415" t="s">
        <v>144</v>
      </c>
      <c r="X964" s="212">
        <v>43</v>
      </c>
      <c r="Y964" s="212" t="s">
        <v>144</v>
      </c>
      <c r="Z964" s="241" t="s">
        <v>144</v>
      </c>
      <c r="AA964" s="615" t="s">
        <v>733</v>
      </c>
      <c r="AB964" s="206" t="s">
        <v>140</v>
      </c>
      <c r="AC964" s="847" t="s">
        <v>265</v>
      </c>
      <c r="AD964" s="847" t="s">
        <v>144</v>
      </c>
      <c r="AE964" s="847" t="s">
        <v>144</v>
      </c>
      <c r="AF964" s="848" t="s">
        <v>144</v>
      </c>
      <c r="AG964" s="838"/>
      <c r="AH964" s="291" t="s">
        <v>7478</v>
      </c>
      <c r="AI964" s="273" t="s">
        <v>7479</v>
      </c>
      <c r="AJ964" s="847">
        <v>6</v>
      </c>
      <c r="AK964" s="848" t="s">
        <v>7480</v>
      </c>
      <c r="AL964" s="867" t="s">
        <v>294</v>
      </c>
      <c r="AM964" s="273" t="s">
        <v>295</v>
      </c>
      <c r="AN964" s="847">
        <v>7</v>
      </c>
      <c r="AO964" s="187" t="s">
        <v>966</v>
      </c>
      <c r="AP964" s="867"/>
      <c r="AQ964" s="273"/>
      <c r="AR964" s="847"/>
      <c r="AS964" s="848"/>
      <c r="AT964" s="867"/>
      <c r="AU964" s="273"/>
      <c r="AV964" s="847"/>
      <c r="AW964" s="848"/>
      <c r="AX964" s="867"/>
      <c r="AY964" s="273"/>
      <c r="AZ964" s="847"/>
      <c r="BA964" s="848"/>
      <c r="BB964" s="866"/>
      <c r="BC964" s="273"/>
      <c r="BD964" s="847"/>
      <c r="BE964" s="848"/>
      <c r="BF964" s="838"/>
    </row>
    <row r="965" spans="1:58" s="87" customFormat="1" ht="54" hidden="1" customHeight="1" x14ac:dyDescent="0.25">
      <c r="A965" s="267" t="s">
        <v>7374</v>
      </c>
      <c r="B965" s="268">
        <v>67</v>
      </c>
      <c r="C965" s="240" t="s">
        <v>1372</v>
      </c>
      <c r="D965" s="270" t="s">
        <v>1373</v>
      </c>
      <c r="E965" s="268" t="s">
        <v>7580</v>
      </c>
      <c r="F965" s="861" t="s">
        <v>3049</v>
      </c>
      <c r="G965" s="269" t="s">
        <v>3050</v>
      </c>
      <c r="H965" s="845" t="s">
        <v>3051</v>
      </c>
      <c r="I965" s="269" t="s">
        <v>3052</v>
      </c>
      <c r="J965" s="296" t="s">
        <v>140</v>
      </c>
      <c r="K965" s="297" t="s">
        <v>140</v>
      </c>
      <c r="L965" s="862" t="s">
        <v>3053</v>
      </c>
      <c r="M965" s="240" t="s">
        <v>973</v>
      </c>
      <c r="N965" s="270" t="s">
        <v>974</v>
      </c>
      <c r="O965" s="240" t="s">
        <v>3054</v>
      </c>
      <c r="P965" s="240" t="s">
        <v>3055</v>
      </c>
      <c r="Q965" s="845" t="s">
        <v>144</v>
      </c>
      <c r="R965" s="208" t="s">
        <v>144</v>
      </c>
      <c r="S965" s="864" t="s">
        <v>147</v>
      </c>
      <c r="T965" s="212" t="s">
        <v>144</v>
      </c>
      <c r="U965" s="213" t="s">
        <v>144</v>
      </c>
      <c r="V965" s="847">
        <v>2</v>
      </c>
      <c r="W965" s="415" t="s">
        <v>144</v>
      </c>
      <c r="X965" s="212">
        <v>43</v>
      </c>
      <c r="Y965" s="212" t="s">
        <v>144</v>
      </c>
      <c r="Z965" s="241" t="s">
        <v>144</v>
      </c>
      <c r="AA965" s="615" t="s">
        <v>733</v>
      </c>
      <c r="AB965" s="206" t="s">
        <v>140</v>
      </c>
      <c r="AC965" s="847" t="s">
        <v>265</v>
      </c>
      <c r="AD965" s="847" t="s">
        <v>144</v>
      </c>
      <c r="AE965" s="847" t="s">
        <v>144</v>
      </c>
      <c r="AF965" s="848" t="s">
        <v>144</v>
      </c>
      <c r="AG965" s="838"/>
      <c r="AH965" s="291" t="s">
        <v>7581</v>
      </c>
      <c r="AI965" s="273" t="s">
        <v>7582</v>
      </c>
      <c r="AJ965" s="847">
        <v>6</v>
      </c>
      <c r="AK965" s="848" t="s">
        <v>7583</v>
      </c>
      <c r="AL965" s="867" t="s">
        <v>294</v>
      </c>
      <c r="AM965" s="273" t="s">
        <v>295</v>
      </c>
      <c r="AN965" s="847">
        <v>7</v>
      </c>
      <c r="AO965" s="187" t="s">
        <v>966</v>
      </c>
      <c r="AP965" s="867"/>
      <c r="AQ965" s="273"/>
      <c r="AR965" s="847"/>
      <c r="AS965" s="848"/>
      <c r="AT965" s="867"/>
      <c r="AU965" s="273"/>
      <c r="AV965" s="847"/>
      <c r="AW965" s="848"/>
      <c r="AX965" s="867"/>
      <c r="AY965" s="273"/>
      <c r="AZ965" s="847"/>
      <c r="BA965" s="848"/>
      <c r="BB965" s="866"/>
      <c r="BC965" s="273"/>
      <c r="BD965" s="847"/>
      <c r="BE965" s="848"/>
      <c r="BF965" s="838"/>
    </row>
    <row r="966" spans="1:58" s="55" customFormat="1" ht="54" customHeight="1" x14ac:dyDescent="0.25">
      <c r="A966" s="275" t="s">
        <v>7374</v>
      </c>
      <c r="B966" s="276">
        <v>68</v>
      </c>
      <c r="C966" s="253" t="s">
        <v>144</v>
      </c>
      <c r="D966" s="253" t="s">
        <v>144</v>
      </c>
      <c r="E966" s="276" t="s">
        <v>7584</v>
      </c>
      <c r="F966" s="277" t="s">
        <v>251</v>
      </c>
      <c r="G966" s="277" t="s">
        <v>251</v>
      </c>
      <c r="H966" s="220" t="s">
        <v>336</v>
      </c>
      <c r="I966" s="277" t="s">
        <v>337</v>
      </c>
      <c r="J966" s="302" t="s">
        <v>144</v>
      </c>
      <c r="K966" s="302" t="s">
        <v>144</v>
      </c>
      <c r="L966" s="718" t="s">
        <v>7585</v>
      </c>
      <c r="M966" s="253" t="s">
        <v>144</v>
      </c>
      <c r="N966" s="253" t="s">
        <v>144</v>
      </c>
      <c r="O966" s="253" t="s">
        <v>144</v>
      </c>
      <c r="P966" s="253" t="s">
        <v>144</v>
      </c>
      <c r="Q966" s="220" t="s">
        <v>338</v>
      </c>
      <c r="R966" s="220" t="s">
        <v>339</v>
      </c>
      <c r="S966" s="276" t="s">
        <v>147</v>
      </c>
      <c r="T966" s="221" t="s">
        <v>144</v>
      </c>
      <c r="U966" s="221" t="s">
        <v>144</v>
      </c>
      <c r="V966" s="253">
        <v>3</v>
      </c>
      <c r="W966" s="217" t="s">
        <v>144</v>
      </c>
      <c r="X966" s="221" t="s">
        <v>144</v>
      </c>
      <c r="Y966" s="221" t="s">
        <v>144</v>
      </c>
      <c r="Z966" s="221" t="s">
        <v>144</v>
      </c>
      <c r="AA966" s="253" t="s">
        <v>144</v>
      </c>
      <c r="AB966" s="217" t="s">
        <v>144</v>
      </c>
      <c r="AC966" s="253" t="s">
        <v>265</v>
      </c>
      <c r="AD966" s="253" t="s">
        <v>144</v>
      </c>
      <c r="AE966" s="253" t="s">
        <v>144</v>
      </c>
      <c r="AF966" s="254" t="s">
        <v>144</v>
      </c>
      <c r="AG966" s="838"/>
      <c r="AH966" s="280"/>
      <c r="AI966" s="281"/>
      <c r="AJ966" s="253"/>
      <c r="AK966" s="254"/>
      <c r="AL966" s="281"/>
      <c r="AM966" s="281"/>
      <c r="AN966" s="253"/>
      <c r="AO966" s="254"/>
      <c r="AP966" s="281"/>
      <c r="AQ966" s="281"/>
      <c r="AR966" s="253"/>
      <c r="AS966" s="254"/>
      <c r="AT966" s="281"/>
      <c r="AU966" s="281"/>
      <c r="AV966" s="253"/>
      <c r="AW966" s="254"/>
      <c r="AX966" s="281"/>
      <c r="AY966" s="281"/>
      <c r="AZ966" s="253"/>
      <c r="BA966" s="254"/>
      <c r="BB966" s="280"/>
      <c r="BC966" s="281"/>
      <c r="BD966" s="253"/>
      <c r="BE966" s="254"/>
      <c r="BF966" s="838"/>
    </row>
    <row r="967" spans="1:58" s="87" customFormat="1" ht="54" hidden="1" customHeight="1" x14ac:dyDescent="0.25">
      <c r="A967" s="267" t="s">
        <v>7374</v>
      </c>
      <c r="B967" s="268">
        <v>69</v>
      </c>
      <c r="C967" s="240" t="s">
        <v>2513</v>
      </c>
      <c r="D967" s="270" t="s">
        <v>2514</v>
      </c>
      <c r="E967" s="268" t="s">
        <v>7586</v>
      </c>
      <c r="F967" s="861" t="s">
        <v>3062</v>
      </c>
      <c r="G967" s="269" t="s">
        <v>3063</v>
      </c>
      <c r="H967" s="861" t="s">
        <v>3064</v>
      </c>
      <c r="I967" s="269" t="s">
        <v>3065</v>
      </c>
      <c r="J967" s="240" t="s">
        <v>140</v>
      </c>
      <c r="K967" s="270" t="s">
        <v>140</v>
      </c>
      <c r="L967" s="862" t="s">
        <v>3066</v>
      </c>
      <c r="M967" s="206" t="s">
        <v>142</v>
      </c>
      <c r="N967" s="270" t="s">
        <v>143</v>
      </c>
      <c r="O967" s="240" t="s">
        <v>3067</v>
      </c>
      <c r="P967" s="240" t="s">
        <v>3068</v>
      </c>
      <c r="Q967" s="845" t="s">
        <v>7587</v>
      </c>
      <c r="R967" s="208" t="s">
        <v>7588</v>
      </c>
      <c r="S967" s="864" t="s">
        <v>147</v>
      </c>
      <c r="T967" s="212" t="s">
        <v>144</v>
      </c>
      <c r="U967" s="213" t="s">
        <v>144</v>
      </c>
      <c r="V967" s="847">
        <v>1</v>
      </c>
      <c r="W967" s="415" t="s">
        <v>144</v>
      </c>
      <c r="X967" s="212">
        <v>40</v>
      </c>
      <c r="Y967" s="212" t="s">
        <v>144</v>
      </c>
      <c r="Z967" s="212" t="s">
        <v>144</v>
      </c>
      <c r="AA967" s="240" t="s">
        <v>1790</v>
      </c>
      <c r="AB967" s="206" t="s">
        <v>140</v>
      </c>
      <c r="AC967" s="847" t="s">
        <v>265</v>
      </c>
      <c r="AD967" s="847" t="s">
        <v>144</v>
      </c>
      <c r="AE967" s="847" t="s">
        <v>144</v>
      </c>
      <c r="AF967" s="848" t="s">
        <v>144</v>
      </c>
      <c r="AG967" s="838"/>
      <c r="AH967" s="866" t="s">
        <v>266</v>
      </c>
      <c r="AI967" s="273" t="s">
        <v>267</v>
      </c>
      <c r="AJ967" s="847">
        <v>7</v>
      </c>
      <c r="AK967" s="848" t="s">
        <v>1046</v>
      </c>
      <c r="AL967" s="867" t="s">
        <v>294</v>
      </c>
      <c r="AM967" s="273" t="s">
        <v>295</v>
      </c>
      <c r="AN967" s="847">
        <v>7</v>
      </c>
      <c r="AO967" s="187" t="s">
        <v>966</v>
      </c>
      <c r="AP967" s="287"/>
      <c r="AQ967" s="288"/>
      <c r="AR967" s="289"/>
      <c r="AS967" s="314"/>
      <c r="AT967" s="867"/>
      <c r="AU967" s="273"/>
      <c r="AV967" s="847"/>
      <c r="AW967" s="848"/>
      <c r="AX967" s="867"/>
      <c r="AY967" s="273"/>
      <c r="AZ967" s="847"/>
      <c r="BA967" s="848"/>
      <c r="BB967" s="866"/>
      <c r="BC967" s="273"/>
      <c r="BD967" s="847"/>
      <c r="BE967" s="848"/>
      <c r="BF967" s="838"/>
    </row>
    <row r="968" spans="1:58" s="55" customFormat="1" ht="54" hidden="1" customHeight="1" x14ac:dyDescent="0.25">
      <c r="A968" s="275" t="s">
        <v>7374</v>
      </c>
      <c r="B968" s="276">
        <v>70</v>
      </c>
      <c r="C968" s="253" t="s">
        <v>144</v>
      </c>
      <c r="D968" s="253" t="s">
        <v>144</v>
      </c>
      <c r="E968" s="276" t="s">
        <v>7589</v>
      </c>
      <c r="F968" s="277" t="s">
        <v>3076</v>
      </c>
      <c r="G968" s="277" t="s">
        <v>3077</v>
      </c>
      <c r="H968" s="218" t="s">
        <v>3076</v>
      </c>
      <c r="I968" s="218" t="s">
        <v>3077</v>
      </c>
      <c r="J968" s="253" t="s">
        <v>144</v>
      </c>
      <c r="K968" s="253" t="s">
        <v>144</v>
      </c>
      <c r="L968" s="718" t="s">
        <v>3078</v>
      </c>
      <c r="M968" s="253" t="s">
        <v>144</v>
      </c>
      <c r="N968" s="253" t="s">
        <v>144</v>
      </c>
      <c r="O968" s="253" t="s">
        <v>3079</v>
      </c>
      <c r="P968" s="253" t="s">
        <v>3080</v>
      </c>
      <c r="Q968" s="220" t="s">
        <v>338</v>
      </c>
      <c r="R968" s="220" t="s">
        <v>339</v>
      </c>
      <c r="S968" s="276" t="s">
        <v>147</v>
      </c>
      <c r="T968" s="221" t="s">
        <v>144</v>
      </c>
      <c r="U968" s="221" t="s">
        <v>144</v>
      </c>
      <c r="V968" s="253">
        <v>1</v>
      </c>
      <c r="W968" s="217" t="s">
        <v>144</v>
      </c>
      <c r="X968" s="221">
        <v>40</v>
      </c>
      <c r="Y968" s="221">
        <v>42</v>
      </c>
      <c r="Z968" s="221" t="s">
        <v>144</v>
      </c>
      <c r="AA968" s="253" t="s">
        <v>144</v>
      </c>
      <c r="AB968" s="217" t="s">
        <v>144</v>
      </c>
      <c r="AC968" s="253" t="s">
        <v>265</v>
      </c>
      <c r="AD968" s="253" t="s">
        <v>144</v>
      </c>
      <c r="AE968" s="253" t="s">
        <v>144</v>
      </c>
      <c r="AF968" s="254" t="s">
        <v>144</v>
      </c>
      <c r="AG968" s="838"/>
      <c r="AH968" s="280"/>
      <c r="AI968" s="281"/>
      <c r="AJ968" s="253"/>
      <c r="AK968" s="254"/>
      <c r="AL968" s="281"/>
      <c r="AM968" s="281"/>
      <c r="AN968" s="253"/>
      <c r="AO968" s="254"/>
      <c r="AP968" s="281"/>
      <c r="AQ968" s="281"/>
      <c r="AR968" s="253"/>
      <c r="AS968" s="254"/>
      <c r="AT968" s="281"/>
      <c r="AU968" s="281"/>
      <c r="AV968" s="253"/>
      <c r="AW968" s="254"/>
      <c r="AX968" s="281"/>
      <c r="AY968" s="281"/>
      <c r="AZ968" s="253"/>
      <c r="BA968" s="254"/>
      <c r="BB968" s="280"/>
      <c r="BC968" s="281"/>
      <c r="BD968" s="253"/>
      <c r="BE968" s="254"/>
      <c r="BF968" s="838"/>
    </row>
    <row r="969" spans="1:58" s="87" customFormat="1" ht="54" hidden="1" customHeight="1" x14ac:dyDescent="0.25">
      <c r="A969" s="267" t="s">
        <v>7374</v>
      </c>
      <c r="B969" s="268">
        <v>71</v>
      </c>
      <c r="C969" s="240" t="s">
        <v>1022</v>
      </c>
      <c r="D969" s="270" t="s">
        <v>1023</v>
      </c>
      <c r="E969" s="268" t="s">
        <v>7590</v>
      </c>
      <c r="F969" s="861" t="s">
        <v>3088</v>
      </c>
      <c r="G969" s="269" t="s">
        <v>3089</v>
      </c>
      <c r="H969" s="861" t="s">
        <v>3090</v>
      </c>
      <c r="I969" s="269" t="s">
        <v>3091</v>
      </c>
      <c r="J969" s="240" t="s">
        <v>140</v>
      </c>
      <c r="K969" s="270" t="s">
        <v>140</v>
      </c>
      <c r="L969" s="862" t="s">
        <v>3092</v>
      </c>
      <c r="M969" s="206" t="s">
        <v>973</v>
      </c>
      <c r="N969" s="270" t="s">
        <v>974</v>
      </c>
      <c r="O969" s="240" t="s">
        <v>144</v>
      </c>
      <c r="P969" s="240" t="s">
        <v>144</v>
      </c>
      <c r="Q969" s="845" t="s">
        <v>7591</v>
      </c>
      <c r="R969" s="208" t="s">
        <v>7592</v>
      </c>
      <c r="S969" s="864" t="s">
        <v>746</v>
      </c>
      <c r="T969" s="212" t="s">
        <v>1307</v>
      </c>
      <c r="U969" s="213" t="s">
        <v>1308</v>
      </c>
      <c r="V969" s="847">
        <v>10</v>
      </c>
      <c r="W969" s="415" t="s">
        <v>144</v>
      </c>
      <c r="X969" s="212">
        <v>40</v>
      </c>
      <c r="Y969" s="212" t="s">
        <v>144</v>
      </c>
      <c r="Z969" s="241" t="s">
        <v>144</v>
      </c>
      <c r="AA969" s="437" t="s">
        <v>2575</v>
      </c>
      <c r="AB969" s="206" t="s">
        <v>140</v>
      </c>
      <c r="AC969" s="847" t="s">
        <v>265</v>
      </c>
      <c r="AD969" s="847" t="s">
        <v>144</v>
      </c>
      <c r="AE969" s="847" t="s">
        <v>144</v>
      </c>
      <c r="AF969" s="848" t="s">
        <v>144</v>
      </c>
      <c r="AG969" s="838"/>
      <c r="AH969" s="866" t="s">
        <v>7478</v>
      </c>
      <c r="AI969" s="273" t="s">
        <v>7479</v>
      </c>
      <c r="AJ969" s="847">
        <v>6</v>
      </c>
      <c r="AK969" s="848" t="s">
        <v>7480</v>
      </c>
      <c r="AL969" s="867"/>
      <c r="AM969" s="273"/>
      <c r="AN969" s="847"/>
      <c r="AO969" s="848"/>
      <c r="AP969" s="867" t="s">
        <v>1107</v>
      </c>
      <c r="AQ969" s="273" t="s">
        <v>1108</v>
      </c>
      <c r="AR969" s="847">
        <v>7</v>
      </c>
      <c r="AS969" s="848" t="s">
        <v>1109</v>
      </c>
      <c r="AT969" s="867"/>
      <c r="AU969" s="273"/>
      <c r="AV969" s="847"/>
      <c r="AW969" s="848"/>
      <c r="AX969" s="867"/>
      <c r="AY969" s="273"/>
      <c r="AZ969" s="847"/>
      <c r="BA969" s="848"/>
      <c r="BB969" s="866"/>
      <c r="BC969" s="273"/>
      <c r="BD969" s="847"/>
      <c r="BE969" s="848"/>
      <c r="BF969" s="838"/>
    </row>
    <row r="970" spans="1:58" s="87" customFormat="1" ht="54" hidden="1" customHeight="1" x14ac:dyDescent="0.25">
      <c r="A970" s="267" t="s">
        <v>7374</v>
      </c>
      <c r="B970" s="268">
        <v>72</v>
      </c>
      <c r="C970" s="240" t="s">
        <v>1022</v>
      </c>
      <c r="D970" s="270" t="s">
        <v>1023</v>
      </c>
      <c r="E970" s="268" t="s">
        <v>7593</v>
      </c>
      <c r="F970" s="861" t="s">
        <v>3100</v>
      </c>
      <c r="G970" s="269" t="s">
        <v>3101</v>
      </c>
      <c r="H970" s="861" t="s">
        <v>3102</v>
      </c>
      <c r="I970" s="269" t="s">
        <v>3103</v>
      </c>
      <c r="J970" s="240" t="s">
        <v>140</v>
      </c>
      <c r="K970" s="270" t="s">
        <v>140</v>
      </c>
      <c r="L970" s="862" t="s">
        <v>3104</v>
      </c>
      <c r="M970" s="206" t="s">
        <v>973</v>
      </c>
      <c r="N970" s="270" t="s">
        <v>974</v>
      </c>
      <c r="O970" s="240" t="s">
        <v>144</v>
      </c>
      <c r="P970" s="240" t="s">
        <v>144</v>
      </c>
      <c r="Q970" s="845" t="s">
        <v>7594</v>
      </c>
      <c r="R970" s="208" t="s">
        <v>3299</v>
      </c>
      <c r="S970" s="864" t="s">
        <v>746</v>
      </c>
      <c r="T970" s="212" t="s">
        <v>1307</v>
      </c>
      <c r="U970" s="213" t="s">
        <v>1308</v>
      </c>
      <c r="V970" s="847">
        <v>10</v>
      </c>
      <c r="W970" s="415" t="s">
        <v>144</v>
      </c>
      <c r="X970" s="212">
        <v>40</v>
      </c>
      <c r="Y970" s="212" t="s">
        <v>144</v>
      </c>
      <c r="Z970" s="241" t="s">
        <v>144</v>
      </c>
      <c r="AA970" s="437" t="s">
        <v>2575</v>
      </c>
      <c r="AB970" s="206" t="s">
        <v>140</v>
      </c>
      <c r="AC970" s="847" t="s">
        <v>265</v>
      </c>
      <c r="AD970" s="847" t="s">
        <v>144</v>
      </c>
      <c r="AE970" s="847" t="s">
        <v>144</v>
      </c>
      <c r="AF970" s="848" t="s">
        <v>144</v>
      </c>
      <c r="AG970" s="838"/>
      <c r="AH970" s="866" t="s">
        <v>7478</v>
      </c>
      <c r="AI970" s="273" t="s">
        <v>7479</v>
      </c>
      <c r="AJ970" s="847">
        <v>6</v>
      </c>
      <c r="AK970" s="848" t="s">
        <v>7480</v>
      </c>
      <c r="AL970" s="867"/>
      <c r="AM970" s="273"/>
      <c r="AN970" s="847"/>
      <c r="AO970" s="848"/>
      <c r="AP970" s="867" t="s">
        <v>1107</v>
      </c>
      <c r="AQ970" s="273" t="s">
        <v>1108</v>
      </c>
      <c r="AR970" s="847">
        <v>7</v>
      </c>
      <c r="AS970" s="848" t="s">
        <v>1109</v>
      </c>
      <c r="AT970" s="867"/>
      <c r="AU970" s="273"/>
      <c r="AV970" s="847"/>
      <c r="AW970" s="848"/>
      <c r="AX970" s="867"/>
      <c r="AY970" s="273"/>
      <c r="AZ970" s="847"/>
      <c r="BA970" s="848"/>
      <c r="BB970" s="866"/>
      <c r="BC970" s="273"/>
      <c r="BD970" s="847"/>
      <c r="BE970" s="848"/>
      <c r="BF970" s="838"/>
    </row>
    <row r="971" spans="1:58" s="55" customFormat="1" ht="54" hidden="1" customHeight="1" x14ac:dyDescent="0.25">
      <c r="A971" s="275" t="s">
        <v>7374</v>
      </c>
      <c r="B971" s="276">
        <v>73</v>
      </c>
      <c r="C971" s="253" t="s">
        <v>1022</v>
      </c>
      <c r="D971" s="253" t="s">
        <v>1023</v>
      </c>
      <c r="E971" s="276" t="s">
        <v>7595</v>
      </c>
      <c r="F971" s="277" t="s">
        <v>3108</v>
      </c>
      <c r="G971" s="277" t="s">
        <v>3109</v>
      </c>
      <c r="H971" s="218" t="s">
        <v>3108</v>
      </c>
      <c r="I971" s="218" t="s">
        <v>3109</v>
      </c>
      <c r="J971" s="253" t="s">
        <v>144</v>
      </c>
      <c r="K971" s="253" t="s">
        <v>144</v>
      </c>
      <c r="L971" s="718" t="s">
        <v>3110</v>
      </c>
      <c r="M971" s="253" t="s">
        <v>144</v>
      </c>
      <c r="N971" s="253" t="s">
        <v>144</v>
      </c>
      <c r="O971" s="253" t="s">
        <v>144</v>
      </c>
      <c r="P971" s="253" t="s">
        <v>144</v>
      </c>
      <c r="Q971" s="218" t="s">
        <v>144</v>
      </c>
      <c r="R971" s="218" t="s">
        <v>144</v>
      </c>
      <c r="S971" s="219" t="s">
        <v>233</v>
      </c>
      <c r="T971" s="221" t="s">
        <v>234</v>
      </c>
      <c r="U971" s="221" t="s">
        <v>235</v>
      </c>
      <c r="V971" s="253">
        <v>8</v>
      </c>
      <c r="W971" s="217" t="s">
        <v>144</v>
      </c>
      <c r="X971" s="221">
        <v>40</v>
      </c>
      <c r="Y971" s="221">
        <v>42</v>
      </c>
      <c r="Z971" s="221" t="s">
        <v>144</v>
      </c>
      <c r="AA971" s="253" t="s">
        <v>1790</v>
      </c>
      <c r="AB971" s="217" t="s">
        <v>144</v>
      </c>
      <c r="AC971" s="253" t="s">
        <v>265</v>
      </c>
      <c r="AD971" s="253" t="s">
        <v>144</v>
      </c>
      <c r="AE971" s="253" t="s">
        <v>144</v>
      </c>
      <c r="AF971" s="254" t="s">
        <v>144</v>
      </c>
      <c r="AG971" s="838"/>
      <c r="AH971" s="280"/>
      <c r="AI971" s="281"/>
      <c r="AJ971" s="253"/>
      <c r="AK971" s="254"/>
      <c r="AL971" s="281"/>
      <c r="AM971" s="281"/>
      <c r="AN971" s="253"/>
      <c r="AO971" s="254"/>
      <c r="AP971" s="281"/>
      <c r="AQ971" s="281"/>
      <c r="AR971" s="253"/>
      <c r="AS971" s="254"/>
      <c r="AT971" s="281"/>
      <c r="AU971" s="281"/>
      <c r="AV971" s="253"/>
      <c r="AW971" s="254"/>
      <c r="AX971" s="281"/>
      <c r="AY971" s="281"/>
      <c r="AZ971" s="253"/>
      <c r="BA971" s="254"/>
      <c r="BB971" s="280"/>
      <c r="BC971" s="281"/>
      <c r="BD971" s="253"/>
      <c r="BE971" s="254"/>
      <c r="BF971" s="838"/>
    </row>
    <row r="972" spans="1:58" s="87" customFormat="1" ht="54" hidden="1" customHeight="1" x14ac:dyDescent="0.25">
      <c r="A972" s="267" t="s">
        <v>7374</v>
      </c>
      <c r="B972" s="268">
        <v>74</v>
      </c>
      <c r="C972" s="240" t="s">
        <v>1022</v>
      </c>
      <c r="D972" s="270" t="s">
        <v>1023</v>
      </c>
      <c r="E972" s="268" t="s">
        <v>7596</v>
      </c>
      <c r="F972" s="861" t="s">
        <v>3116</v>
      </c>
      <c r="G972" s="269" t="s">
        <v>7597</v>
      </c>
      <c r="H972" s="845" t="s">
        <v>3116</v>
      </c>
      <c r="I972" s="208" t="s">
        <v>7597</v>
      </c>
      <c r="J972" s="240" t="s">
        <v>140</v>
      </c>
      <c r="K972" s="270" t="s">
        <v>140</v>
      </c>
      <c r="L972" s="862" t="s">
        <v>3118</v>
      </c>
      <c r="M972" s="206" t="s">
        <v>973</v>
      </c>
      <c r="N972" s="270" t="s">
        <v>974</v>
      </c>
      <c r="O972" s="240" t="s">
        <v>3119</v>
      </c>
      <c r="P972" s="240" t="s">
        <v>3120</v>
      </c>
      <c r="Q972" s="845" t="s">
        <v>7598</v>
      </c>
      <c r="R972" s="208" t="s">
        <v>7599</v>
      </c>
      <c r="S972" s="864" t="s">
        <v>147</v>
      </c>
      <c r="T972" s="212" t="s">
        <v>144</v>
      </c>
      <c r="U972" s="213" t="s">
        <v>144</v>
      </c>
      <c r="V972" s="847">
        <v>1</v>
      </c>
      <c r="W972" s="415" t="s">
        <v>144</v>
      </c>
      <c r="X972" s="212">
        <v>40</v>
      </c>
      <c r="Y972" s="212" t="s">
        <v>144</v>
      </c>
      <c r="Z972" s="212" t="s">
        <v>144</v>
      </c>
      <c r="AA972" s="240" t="s">
        <v>1790</v>
      </c>
      <c r="AB972" s="206" t="s">
        <v>140</v>
      </c>
      <c r="AC972" s="847" t="s">
        <v>265</v>
      </c>
      <c r="AD972" s="847" t="s">
        <v>144</v>
      </c>
      <c r="AE972" s="847" t="s">
        <v>144</v>
      </c>
      <c r="AF972" s="848" t="s">
        <v>144</v>
      </c>
      <c r="AG972" s="838"/>
      <c r="AH972" s="866" t="s">
        <v>7600</v>
      </c>
      <c r="AI972" s="273" t="s">
        <v>7601</v>
      </c>
      <c r="AJ972" s="847">
        <v>6</v>
      </c>
      <c r="AK972" s="286" t="s">
        <v>7602</v>
      </c>
      <c r="AL972" s="867" t="s">
        <v>294</v>
      </c>
      <c r="AM972" s="273" t="s">
        <v>295</v>
      </c>
      <c r="AN972" s="847">
        <v>7</v>
      </c>
      <c r="AO972" s="187" t="s">
        <v>966</v>
      </c>
      <c r="AP972" s="867"/>
      <c r="AQ972" s="273"/>
      <c r="AR972" s="847"/>
      <c r="AS972" s="848"/>
      <c r="AT972" s="867"/>
      <c r="AU972" s="273"/>
      <c r="AV972" s="847"/>
      <c r="AW972" s="848"/>
      <c r="AX972" s="867"/>
      <c r="AY972" s="273"/>
      <c r="AZ972" s="847"/>
      <c r="BA972" s="848"/>
      <c r="BB972" s="866"/>
      <c r="BC972" s="273"/>
      <c r="BD972" s="847"/>
      <c r="BE972" s="848"/>
      <c r="BF972" s="838"/>
    </row>
    <row r="973" spans="1:58" s="87" customFormat="1" ht="54" hidden="1" customHeight="1" x14ac:dyDescent="0.25">
      <c r="A973" s="267" t="s">
        <v>7374</v>
      </c>
      <c r="B973" s="268">
        <v>75</v>
      </c>
      <c r="C973" s="240" t="s">
        <v>1022</v>
      </c>
      <c r="D973" s="270" t="s">
        <v>1023</v>
      </c>
      <c r="E973" s="298" t="s">
        <v>7603</v>
      </c>
      <c r="F973" s="861" t="s">
        <v>3127</v>
      </c>
      <c r="G973" s="269" t="s">
        <v>3128</v>
      </c>
      <c r="H973" s="846" t="s">
        <v>3129</v>
      </c>
      <c r="I973" s="294" t="s">
        <v>3130</v>
      </c>
      <c r="J973" s="325" t="s">
        <v>140</v>
      </c>
      <c r="K973" s="326" t="s">
        <v>140</v>
      </c>
      <c r="L973" s="862" t="s">
        <v>3131</v>
      </c>
      <c r="M973" s="240" t="s">
        <v>973</v>
      </c>
      <c r="N973" s="270" t="s">
        <v>974</v>
      </c>
      <c r="O973" s="240" t="s">
        <v>3132</v>
      </c>
      <c r="P973" s="240" t="s">
        <v>3133</v>
      </c>
      <c r="Q973" s="845" t="s">
        <v>144</v>
      </c>
      <c r="R973" s="208" t="s">
        <v>144</v>
      </c>
      <c r="S973" s="864" t="s">
        <v>147</v>
      </c>
      <c r="T973" s="212" t="s">
        <v>144</v>
      </c>
      <c r="U973" s="213" t="s">
        <v>144</v>
      </c>
      <c r="V973" s="847">
        <v>1</v>
      </c>
      <c r="W973" s="415" t="s">
        <v>144</v>
      </c>
      <c r="X973" s="212">
        <v>43</v>
      </c>
      <c r="Y973" s="212" t="s">
        <v>144</v>
      </c>
      <c r="Z973" s="241" t="s">
        <v>144</v>
      </c>
      <c r="AA973" s="437" t="s">
        <v>2575</v>
      </c>
      <c r="AB973" s="206" t="s">
        <v>140</v>
      </c>
      <c r="AC973" s="847" t="s">
        <v>265</v>
      </c>
      <c r="AD973" s="847" t="s">
        <v>144</v>
      </c>
      <c r="AE973" s="847" t="s">
        <v>144</v>
      </c>
      <c r="AF973" s="848" t="s">
        <v>144</v>
      </c>
      <c r="AG973" s="838"/>
      <c r="AH973" s="291" t="s">
        <v>7604</v>
      </c>
      <c r="AI973" s="273" t="s">
        <v>7605</v>
      </c>
      <c r="AJ973" s="847">
        <v>6</v>
      </c>
      <c r="AK973" s="848" t="s">
        <v>7606</v>
      </c>
      <c r="AL973" s="875" t="s">
        <v>294</v>
      </c>
      <c r="AM973" s="301" t="s">
        <v>295</v>
      </c>
      <c r="AN973" s="847">
        <v>7</v>
      </c>
      <c r="AO973" s="187" t="s">
        <v>966</v>
      </c>
      <c r="AP973" s="867"/>
      <c r="AQ973" s="273"/>
      <c r="AR973" s="847"/>
      <c r="AS973" s="848"/>
      <c r="AT973" s="867"/>
      <c r="AU973" s="273"/>
      <c r="AV973" s="847"/>
      <c r="AW973" s="848"/>
      <c r="AX973" s="867"/>
      <c r="AY973" s="273"/>
      <c r="AZ973" s="847"/>
      <c r="BA973" s="848"/>
      <c r="BB973" s="866"/>
      <c r="BC973" s="273"/>
      <c r="BD973" s="847"/>
      <c r="BE973" s="848"/>
      <c r="BF973" s="838"/>
    </row>
    <row r="974" spans="1:58" s="55" customFormat="1" ht="54" customHeight="1" x14ac:dyDescent="0.25">
      <c r="A974" s="275" t="s">
        <v>7374</v>
      </c>
      <c r="B974" s="276">
        <v>76</v>
      </c>
      <c r="C974" s="253" t="s">
        <v>144</v>
      </c>
      <c r="D974" s="253" t="s">
        <v>144</v>
      </c>
      <c r="E974" s="276" t="s">
        <v>7607</v>
      </c>
      <c r="F974" s="277" t="s">
        <v>251</v>
      </c>
      <c r="G974" s="277" t="s">
        <v>251</v>
      </c>
      <c r="H974" s="220" t="s">
        <v>336</v>
      </c>
      <c r="I974" s="218" t="s">
        <v>337</v>
      </c>
      <c r="J974" s="253" t="s">
        <v>144</v>
      </c>
      <c r="K974" s="253" t="s">
        <v>144</v>
      </c>
      <c r="L974" s="718" t="s">
        <v>7608</v>
      </c>
      <c r="M974" s="253" t="s">
        <v>144</v>
      </c>
      <c r="N974" s="253" t="s">
        <v>144</v>
      </c>
      <c r="O974" s="253" t="s">
        <v>144</v>
      </c>
      <c r="P974" s="253" t="s">
        <v>144</v>
      </c>
      <c r="Q974" s="220" t="s">
        <v>338</v>
      </c>
      <c r="R974" s="220" t="s">
        <v>339</v>
      </c>
      <c r="S974" s="276" t="s">
        <v>147</v>
      </c>
      <c r="T974" s="221" t="s">
        <v>144</v>
      </c>
      <c r="U974" s="221" t="s">
        <v>144</v>
      </c>
      <c r="V974" s="253">
        <v>29</v>
      </c>
      <c r="W974" s="217" t="s">
        <v>144</v>
      </c>
      <c r="X974" s="221" t="s">
        <v>144</v>
      </c>
      <c r="Y974" s="221" t="s">
        <v>144</v>
      </c>
      <c r="Z974" s="221" t="s">
        <v>144</v>
      </c>
      <c r="AA974" s="253" t="s">
        <v>144</v>
      </c>
      <c r="AB974" s="217" t="s">
        <v>144</v>
      </c>
      <c r="AC974" s="253" t="s">
        <v>265</v>
      </c>
      <c r="AD974" s="253" t="s">
        <v>144</v>
      </c>
      <c r="AE974" s="253" t="s">
        <v>144</v>
      </c>
      <c r="AF974" s="254" t="s">
        <v>144</v>
      </c>
      <c r="AG974" s="838"/>
      <c r="AH974" s="280"/>
      <c r="AI974" s="281"/>
      <c r="AJ974" s="253"/>
      <c r="AK974" s="254"/>
      <c r="AL974" s="281"/>
      <c r="AM974" s="281"/>
      <c r="AN974" s="253"/>
      <c r="AO974" s="254"/>
      <c r="AP974" s="281"/>
      <c r="AQ974" s="281"/>
      <c r="AR974" s="253"/>
      <c r="AS974" s="254"/>
      <c r="AT974" s="281"/>
      <c r="AU974" s="281"/>
      <c r="AV974" s="253"/>
      <c r="AW974" s="254"/>
      <c r="AX974" s="281"/>
      <c r="AY974" s="281"/>
      <c r="AZ974" s="253"/>
      <c r="BA974" s="254"/>
      <c r="BB974" s="280"/>
      <c r="BC974" s="281"/>
      <c r="BD974" s="253"/>
      <c r="BE974" s="254"/>
      <c r="BF974" s="838"/>
    </row>
    <row r="975" spans="1:58" s="87" customFormat="1" ht="54" hidden="1" customHeight="1" x14ac:dyDescent="0.25">
      <c r="A975" s="267" t="s">
        <v>7374</v>
      </c>
      <c r="B975" s="268">
        <v>77</v>
      </c>
      <c r="C975" s="240" t="s">
        <v>1022</v>
      </c>
      <c r="D975" s="270" t="s">
        <v>1023</v>
      </c>
      <c r="E975" s="268" t="s">
        <v>7609</v>
      </c>
      <c r="F975" s="861" t="s">
        <v>3150</v>
      </c>
      <c r="G975" s="269" t="s">
        <v>3151</v>
      </c>
      <c r="H975" s="861" t="s">
        <v>3150</v>
      </c>
      <c r="I975" s="269" t="s">
        <v>3151</v>
      </c>
      <c r="J975" s="296" t="s">
        <v>140</v>
      </c>
      <c r="K975" s="297" t="s">
        <v>140</v>
      </c>
      <c r="L975" s="862" t="s">
        <v>3152</v>
      </c>
      <c r="M975" s="847" t="s">
        <v>193</v>
      </c>
      <c r="N975" s="270" t="s">
        <v>194</v>
      </c>
      <c r="O975" s="240" t="s">
        <v>144</v>
      </c>
      <c r="P975" s="240" t="s">
        <v>144</v>
      </c>
      <c r="Q975" s="845" t="s">
        <v>7610</v>
      </c>
      <c r="R975" s="208" t="s">
        <v>7611</v>
      </c>
      <c r="S975" s="864" t="s">
        <v>746</v>
      </c>
      <c r="T975" s="212" t="s">
        <v>3155</v>
      </c>
      <c r="U975" s="213" t="s">
        <v>3156</v>
      </c>
      <c r="V975" s="847">
        <v>6</v>
      </c>
      <c r="W975" s="415" t="s">
        <v>144</v>
      </c>
      <c r="X975" s="212">
        <v>40</v>
      </c>
      <c r="Y975" s="212" t="s">
        <v>144</v>
      </c>
      <c r="Z975" s="433" t="s">
        <v>144</v>
      </c>
      <c r="AA975" s="437" t="s">
        <v>7612</v>
      </c>
      <c r="AB975" s="206" t="s">
        <v>140</v>
      </c>
      <c r="AC975" s="847" t="s">
        <v>265</v>
      </c>
      <c r="AD975" s="847" t="s">
        <v>144</v>
      </c>
      <c r="AE975" s="847" t="s">
        <v>144</v>
      </c>
      <c r="AF975" s="848" t="s">
        <v>144</v>
      </c>
      <c r="AG975" s="838"/>
      <c r="AH975" s="866"/>
      <c r="AI975" s="273"/>
      <c r="AJ975" s="847"/>
      <c r="AK975" s="848"/>
      <c r="AL975" s="867"/>
      <c r="AM975" s="273"/>
      <c r="AN975" s="847"/>
      <c r="AO975" s="848"/>
      <c r="AP975" s="867"/>
      <c r="AQ975" s="273"/>
      <c r="AR975" s="847"/>
      <c r="AS975" s="848"/>
      <c r="AT975" s="867"/>
      <c r="AU975" s="273"/>
      <c r="AV975" s="847"/>
      <c r="AW975" s="848"/>
      <c r="AX975" s="867"/>
      <c r="AY975" s="273"/>
      <c r="AZ975" s="847"/>
      <c r="BA975" s="848"/>
      <c r="BB975" s="866"/>
      <c r="BC975" s="273"/>
      <c r="BD975" s="847"/>
      <c r="BE975" s="848"/>
      <c r="BF975" s="838"/>
    </row>
    <row r="976" spans="1:58" s="87" customFormat="1" ht="54" hidden="1" customHeight="1" x14ac:dyDescent="0.25">
      <c r="A976" s="267" t="s">
        <v>7374</v>
      </c>
      <c r="B976" s="268">
        <v>78</v>
      </c>
      <c r="C976" s="240" t="s">
        <v>1022</v>
      </c>
      <c r="D976" s="270" t="s">
        <v>1023</v>
      </c>
      <c r="E976" s="268" t="s">
        <v>7613</v>
      </c>
      <c r="F976" s="861" t="s">
        <v>3159</v>
      </c>
      <c r="G976" s="269" t="s">
        <v>3160</v>
      </c>
      <c r="H976" s="845" t="s">
        <v>3161</v>
      </c>
      <c r="I976" s="269" t="s">
        <v>3160</v>
      </c>
      <c r="J976" s="296" t="s">
        <v>140</v>
      </c>
      <c r="K976" s="297" t="s">
        <v>140</v>
      </c>
      <c r="L976" s="862" t="s">
        <v>3162</v>
      </c>
      <c r="M976" s="206" t="s">
        <v>142</v>
      </c>
      <c r="N976" s="270" t="s">
        <v>143</v>
      </c>
      <c r="O976" s="240" t="s">
        <v>3163</v>
      </c>
      <c r="P976" s="240" t="s">
        <v>3164</v>
      </c>
      <c r="Q976" s="845" t="s">
        <v>144</v>
      </c>
      <c r="R976" s="208" t="s">
        <v>144</v>
      </c>
      <c r="S976" s="864" t="s">
        <v>147</v>
      </c>
      <c r="T976" s="212" t="s">
        <v>144</v>
      </c>
      <c r="U976" s="213" t="s">
        <v>144</v>
      </c>
      <c r="V976" s="847">
        <v>1</v>
      </c>
      <c r="W976" s="415" t="s">
        <v>144</v>
      </c>
      <c r="X976" s="212">
        <v>40</v>
      </c>
      <c r="Y976" s="212" t="s">
        <v>144</v>
      </c>
      <c r="Z976" s="241" t="s">
        <v>144</v>
      </c>
      <c r="AA976" s="437" t="s">
        <v>7614</v>
      </c>
      <c r="AB976" s="206" t="s">
        <v>140</v>
      </c>
      <c r="AC976" s="847" t="s">
        <v>265</v>
      </c>
      <c r="AD976" s="847" t="s">
        <v>144</v>
      </c>
      <c r="AE976" s="847" t="s">
        <v>144</v>
      </c>
      <c r="AF976" s="848" t="s">
        <v>144</v>
      </c>
      <c r="AG976" s="838"/>
      <c r="AH976" s="866" t="s">
        <v>266</v>
      </c>
      <c r="AI976" s="273" t="s">
        <v>267</v>
      </c>
      <c r="AJ976" s="847">
        <v>7</v>
      </c>
      <c r="AK976" s="848" t="s">
        <v>1046</v>
      </c>
      <c r="AL976" s="867" t="s">
        <v>294</v>
      </c>
      <c r="AM976" s="273" t="s">
        <v>295</v>
      </c>
      <c r="AN976" s="847">
        <v>7</v>
      </c>
      <c r="AO976" s="187" t="s">
        <v>966</v>
      </c>
      <c r="AP976" s="867" t="s">
        <v>7615</v>
      </c>
      <c r="AQ976" s="273" t="s">
        <v>7616</v>
      </c>
      <c r="AR976" s="847">
        <v>6</v>
      </c>
      <c r="AS976" s="848" t="s">
        <v>7617</v>
      </c>
      <c r="AT976" s="867"/>
      <c r="AU976" s="273"/>
      <c r="AV976" s="847"/>
      <c r="AW976" s="848"/>
      <c r="AX976" s="867"/>
      <c r="AY976" s="273"/>
      <c r="AZ976" s="847"/>
      <c r="BA976" s="848"/>
      <c r="BB976" s="866"/>
      <c r="BC976" s="273"/>
      <c r="BD976" s="847"/>
      <c r="BE976" s="848"/>
      <c r="BF976" s="838"/>
    </row>
    <row r="977" spans="1:58" s="87" customFormat="1" ht="54" hidden="1" customHeight="1" x14ac:dyDescent="0.25">
      <c r="A977" s="267" t="s">
        <v>7374</v>
      </c>
      <c r="B977" s="268">
        <v>79</v>
      </c>
      <c r="C977" s="240" t="s">
        <v>1022</v>
      </c>
      <c r="D977" s="270" t="s">
        <v>1023</v>
      </c>
      <c r="E977" s="268" t="s">
        <v>7618</v>
      </c>
      <c r="F977" s="861" t="s">
        <v>7619</v>
      </c>
      <c r="G977" s="269" t="s">
        <v>1426</v>
      </c>
      <c r="H977" s="611" t="s">
        <v>3167</v>
      </c>
      <c r="I977" s="317" t="s">
        <v>3168</v>
      </c>
      <c r="J977" s="296" t="s">
        <v>140</v>
      </c>
      <c r="K977" s="297" t="s">
        <v>140</v>
      </c>
      <c r="L977" s="862" t="s">
        <v>1429</v>
      </c>
      <c r="M977" s="206" t="s">
        <v>193</v>
      </c>
      <c r="N977" s="270" t="s">
        <v>194</v>
      </c>
      <c r="O977" s="240" t="s">
        <v>1408</v>
      </c>
      <c r="P977" s="240" t="s">
        <v>1409</v>
      </c>
      <c r="Q977" s="845" t="s">
        <v>144</v>
      </c>
      <c r="R977" s="208" t="s">
        <v>144</v>
      </c>
      <c r="S977" s="864" t="s">
        <v>147</v>
      </c>
      <c r="T977" s="212" t="s">
        <v>144</v>
      </c>
      <c r="U977" s="213" t="s">
        <v>144</v>
      </c>
      <c r="V977" s="847">
        <v>3</v>
      </c>
      <c r="W977" s="415" t="s">
        <v>144</v>
      </c>
      <c r="X977" s="212">
        <v>40</v>
      </c>
      <c r="Y977" s="212" t="s">
        <v>144</v>
      </c>
      <c r="Z977" s="241" t="s">
        <v>144</v>
      </c>
      <c r="AA977" s="437" t="s">
        <v>1550</v>
      </c>
      <c r="AB977" s="206" t="s">
        <v>140</v>
      </c>
      <c r="AC977" s="847" t="s">
        <v>265</v>
      </c>
      <c r="AD977" s="847" t="s">
        <v>144</v>
      </c>
      <c r="AE977" s="847" t="s">
        <v>144</v>
      </c>
      <c r="AF977" s="848" t="s">
        <v>144</v>
      </c>
      <c r="AG977" s="838"/>
      <c r="AH977" s="866"/>
      <c r="AI977" s="273"/>
      <c r="AJ977" s="847"/>
      <c r="AK977" s="848"/>
      <c r="AL977" s="867" t="s">
        <v>294</v>
      </c>
      <c r="AM977" s="273" t="s">
        <v>295</v>
      </c>
      <c r="AN977" s="847">
        <v>7</v>
      </c>
      <c r="AO977" s="187" t="s">
        <v>966</v>
      </c>
      <c r="AP977" s="867"/>
      <c r="AQ977" s="273"/>
      <c r="AR977" s="847"/>
      <c r="AS977" s="848"/>
      <c r="AT977" s="867"/>
      <c r="AU977" s="273"/>
      <c r="AV977" s="847"/>
      <c r="AW977" s="848"/>
      <c r="AX977" s="867"/>
      <c r="AY977" s="273"/>
      <c r="AZ977" s="847"/>
      <c r="BA977" s="848"/>
      <c r="BB977" s="866"/>
      <c r="BC977" s="273"/>
      <c r="BD977" s="847"/>
      <c r="BE977" s="848"/>
      <c r="BF977" s="838"/>
    </row>
    <row r="978" spans="1:58" s="87" customFormat="1" ht="54" hidden="1" customHeight="1" x14ac:dyDescent="0.25">
      <c r="A978" s="267" t="s">
        <v>7374</v>
      </c>
      <c r="B978" s="268">
        <v>80</v>
      </c>
      <c r="C978" s="240" t="s">
        <v>532</v>
      </c>
      <c r="D978" s="270" t="s">
        <v>533</v>
      </c>
      <c r="E978" s="268" t="s">
        <v>7620</v>
      </c>
      <c r="F978" s="861" t="s">
        <v>3206</v>
      </c>
      <c r="G978" s="269" t="s">
        <v>3207</v>
      </c>
      <c r="H978" s="845" t="s">
        <v>3208</v>
      </c>
      <c r="I978" s="269" t="s">
        <v>3209</v>
      </c>
      <c r="J978" s="296" t="s">
        <v>140</v>
      </c>
      <c r="K978" s="297" t="s">
        <v>140</v>
      </c>
      <c r="L978" s="862" t="s">
        <v>3210</v>
      </c>
      <c r="M978" s="206" t="s">
        <v>193</v>
      </c>
      <c r="N978" s="270" t="s">
        <v>194</v>
      </c>
      <c r="O978" s="240" t="s">
        <v>3211</v>
      </c>
      <c r="P978" s="240" t="s">
        <v>3212</v>
      </c>
      <c r="Q978" s="845" t="s">
        <v>144</v>
      </c>
      <c r="R978" s="208" t="s">
        <v>144</v>
      </c>
      <c r="S978" s="864" t="s">
        <v>147</v>
      </c>
      <c r="T978" s="212" t="s">
        <v>144</v>
      </c>
      <c r="U978" s="213" t="s">
        <v>144</v>
      </c>
      <c r="V978" s="847">
        <v>2</v>
      </c>
      <c r="W978" s="415" t="s">
        <v>144</v>
      </c>
      <c r="X978" s="212">
        <v>41</v>
      </c>
      <c r="Y978" s="212" t="s">
        <v>144</v>
      </c>
      <c r="Z978" s="212" t="s">
        <v>144</v>
      </c>
      <c r="AA978" s="240" t="s">
        <v>2588</v>
      </c>
      <c r="AB978" s="206" t="s">
        <v>140</v>
      </c>
      <c r="AC978" s="847" t="s">
        <v>265</v>
      </c>
      <c r="AD978" s="847" t="s">
        <v>144</v>
      </c>
      <c r="AE978" s="847" t="s">
        <v>144</v>
      </c>
      <c r="AF978" s="848" t="s">
        <v>144</v>
      </c>
      <c r="AG978" s="838"/>
      <c r="AH978" s="866"/>
      <c r="AI978" s="273"/>
      <c r="AJ978" s="847"/>
      <c r="AK978" s="848"/>
      <c r="AL978" s="867" t="s">
        <v>294</v>
      </c>
      <c r="AM978" s="273" t="s">
        <v>295</v>
      </c>
      <c r="AN978" s="847">
        <v>7</v>
      </c>
      <c r="AO978" s="187" t="s">
        <v>966</v>
      </c>
      <c r="AP978" s="867"/>
      <c r="AQ978" s="273"/>
      <c r="AR978" s="847"/>
      <c r="AS978" s="848"/>
      <c r="AT978" s="867"/>
      <c r="AU978" s="273"/>
      <c r="AV978" s="847"/>
      <c r="AW978" s="848"/>
      <c r="AX978" s="867"/>
      <c r="AY978" s="273"/>
      <c r="AZ978" s="847"/>
      <c r="BA978" s="848"/>
      <c r="BB978" s="866"/>
      <c r="BC978" s="273"/>
      <c r="BD978" s="847"/>
      <c r="BE978" s="848"/>
      <c r="BF978" s="838"/>
    </row>
    <row r="979" spans="1:58" s="87" customFormat="1" ht="54" hidden="1" customHeight="1" x14ac:dyDescent="0.25">
      <c r="A979" s="267" t="s">
        <v>7374</v>
      </c>
      <c r="B979" s="268">
        <v>81</v>
      </c>
      <c r="C979" s="240" t="s">
        <v>1022</v>
      </c>
      <c r="D979" s="270" t="s">
        <v>1023</v>
      </c>
      <c r="E979" s="268" t="s">
        <v>7621</v>
      </c>
      <c r="F979" s="861" t="s">
        <v>3216</v>
      </c>
      <c r="G979" s="269" t="s">
        <v>3217</v>
      </c>
      <c r="H979" s="845" t="s">
        <v>3218</v>
      </c>
      <c r="I979" s="269" t="s">
        <v>3219</v>
      </c>
      <c r="J979" s="296" t="s">
        <v>140</v>
      </c>
      <c r="K979" s="297" t="s">
        <v>140</v>
      </c>
      <c r="L979" s="862" t="s">
        <v>3220</v>
      </c>
      <c r="M979" s="872" t="s">
        <v>1821</v>
      </c>
      <c r="N979" s="443" t="s">
        <v>1822</v>
      </c>
      <c r="O979" s="240" t="s">
        <v>144</v>
      </c>
      <c r="P979" s="240" t="s">
        <v>144</v>
      </c>
      <c r="Q979" s="887" t="s">
        <v>3221</v>
      </c>
      <c r="R979" s="445" t="s">
        <v>3222</v>
      </c>
      <c r="S979" s="864" t="s">
        <v>147</v>
      </c>
      <c r="T979" s="212" t="s">
        <v>144</v>
      </c>
      <c r="U979" s="213" t="s">
        <v>144</v>
      </c>
      <c r="V979" s="847">
        <v>5</v>
      </c>
      <c r="W979" s="415" t="s">
        <v>144</v>
      </c>
      <c r="X979" s="212">
        <v>41</v>
      </c>
      <c r="Y979" s="212" t="s">
        <v>144</v>
      </c>
      <c r="Z979" s="241" t="s">
        <v>25</v>
      </c>
      <c r="AA979" s="437" t="s">
        <v>2966</v>
      </c>
      <c r="AB979" s="206" t="s">
        <v>140</v>
      </c>
      <c r="AC979" s="847" t="s">
        <v>265</v>
      </c>
      <c r="AD979" s="847" t="s">
        <v>144</v>
      </c>
      <c r="AE979" s="847" t="s">
        <v>144</v>
      </c>
      <c r="AF979" s="848" t="s">
        <v>144</v>
      </c>
      <c r="AG979" s="838"/>
      <c r="AH979" s="866"/>
      <c r="AI979" s="273"/>
      <c r="AJ979" s="847"/>
      <c r="AK979" s="848"/>
      <c r="AL979" s="867"/>
      <c r="AM979" s="273"/>
      <c r="AN979" s="847"/>
      <c r="AO979" s="848"/>
      <c r="AP979" s="867"/>
      <c r="AQ979" s="273"/>
      <c r="AR979" s="847"/>
      <c r="AS979" s="848"/>
      <c r="AT979" s="867"/>
      <c r="AU979" s="273"/>
      <c r="AV979" s="847"/>
      <c r="AW979" s="848"/>
      <c r="AX979" s="867"/>
      <c r="AY979" s="273"/>
      <c r="AZ979" s="847"/>
      <c r="BA979" s="848"/>
      <c r="BB979" s="866"/>
      <c r="BC979" s="273"/>
      <c r="BD979" s="847"/>
      <c r="BE979" s="848"/>
      <c r="BF979" s="838"/>
    </row>
    <row r="980" spans="1:58" s="55" customFormat="1" ht="54" customHeight="1" x14ac:dyDescent="0.25">
      <c r="A980" s="275" t="s">
        <v>7374</v>
      </c>
      <c r="B980" s="276">
        <v>82</v>
      </c>
      <c r="C980" s="253" t="s">
        <v>144</v>
      </c>
      <c r="D980" s="253" t="s">
        <v>144</v>
      </c>
      <c r="E980" s="276" t="s">
        <v>7622</v>
      </c>
      <c r="F980" s="277" t="s">
        <v>251</v>
      </c>
      <c r="G980" s="277" t="s">
        <v>251</v>
      </c>
      <c r="H980" s="220" t="s">
        <v>336</v>
      </c>
      <c r="I980" s="277" t="s">
        <v>337</v>
      </c>
      <c r="J980" s="302" t="s">
        <v>144</v>
      </c>
      <c r="K980" s="302" t="s">
        <v>144</v>
      </c>
      <c r="L980" s="718" t="s">
        <v>144</v>
      </c>
      <c r="M980" s="253" t="s">
        <v>144</v>
      </c>
      <c r="N980" s="253" t="s">
        <v>144</v>
      </c>
      <c r="O980" s="253" t="s">
        <v>144</v>
      </c>
      <c r="P980" s="253" t="s">
        <v>144</v>
      </c>
      <c r="Q980" s="220" t="s">
        <v>338</v>
      </c>
      <c r="R980" s="220" t="s">
        <v>339</v>
      </c>
      <c r="S980" s="276" t="s">
        <v>147</v>
      </c>
      <c r="T980" s="221" t="s">
        <v>144</v>
      </c>
      <c r="U980" s="221" t="s">
        <v>144</v>
      </c>
      <c r="V980" s="253">
        <v>3</v>
      </c>
      <c r="W980" s="217" t="s">
        <v>144</v>
      </c>
      <c r="X980" s="221" t="s">
        <v>144</v>
      </c>
      <c r="Y980" s="221" t="s">
        <v>144</v>
      </c>
      <c r="Z980" s="221" t="s">
        <v>144</v>
      </c>
      <c r="AA980" s="253" t="s">
        <v>144</v>
      </c>
      <c r="AB980" s="217" t="s">
        <v>144</v>
      </c>
      <c r="AC980" s="253" t="s">
        <v>265</v>
      </c>
      <c r="AD980" s="253" t="s">
        <v>144</v>
      </c>
      <c r="AE980" s="253" t="s">
        <v>144</v>
      </c>
      <c r="AF980" s="254" t="s">
        <v>144</v>
      </c>
      <c r="AG980" s="838"/>
      <c r="AH980" s="280"/>
      <c r="AI980" s="281"/>
      <c r="AJ980" s="253"/>
      <c r="AK980" s="254"/>
      <c r="AL980" s="281"/>
      <c r="AM980" s="281"/>
      <c r="AN980" s="253"/>
      <c r="AO980" s="254"/>
      <c r="AP980" s="281"/>
      <c r="AQ980" s="281"/>
      <c r="AR980" s="253"/>
      <c r="AS980" s="254"/>
      <c r="AT980" s="281"/>
      <c r="AU980" s="281"/>
      <c r="AV980" s="253"/>
      <c r="AW980" s="254"/>
      <c r="AX980" s="281"/>
      <c r="AY980" s="281"/>
      <c r="AZ980" s="253"/>
      <c r="BA980" s="254"/>
      <c r="BB980" s="280"/>
      <c r="BC980" s="281"/>
      <c r="BD980" s="253"/>
      <c r="BE980" s="254"/>
      <c r="BF980" s="838"/>
    </row>
    <row r="981" spans="1:58" s="87" customFormat="1" ht="54" hidden="1" customHeight="1" x14ac:dyDescent="0.25">
      <c r="A981" s="267" t="s">
        <v>7374</v>
      </c>
      <c r="B981" s="268">
        <v>83</v>
      </c>
      <c r="C981" s="240" t="s">
        <v>1022</v>
      </c>
      <c r="D981" s="270" t="s">
        <v>1023</v>
      </c>
      <c r="E981" s="268" t="s">
        <v>7623</v>
      </c>
      <c r="F981" s="861" t="s">
        <v>2268</v>
      </c>
      <c r="G981" s="269" t="s">
        <v>2269</v>
      </c>
      <c r="H981" s="845" t="s">
        <v>2270</v>
      </c>
      <c r="I981" s="269" t="s">
        <v>2271</v>
      </c>
      <c r="J981" s="296" t="s">
        <v>140</v>
      </c>
      <c r="K981" s="297" t="s">
        <v>140</v>
      </c>
      <c r="L981" s="862" t="s">
        <v>2272</v>
      </c>
      <c r="M981" s="847" t="s">
        <v>1821</v>
      </c>
      <c r="N981" s="270" t="s">
        <v>1822</v>
      </c>
      <c r="O981" s="240" t="s">
        <v>2273</v>
      </c>
      <c r="P981" s="240" t="s">
        <v>2274</v>
      </c>
      <c r="Q981" s="845" t="s">
        <v>2275</v>
      </c>
      <c r="R981" s="208" t="s">
        <v>2276</v>
      </c>
      <c r="S981" s="864" t="s">
        <v>147</v>
      </c>
      <c r="T981" s="212" t="s">
        <v>144</v>
      </c>
      <c r="U981" s="213" t="s">
        <v>144</v>
      </c>
      <c r="V981" s="847">
        <v>1</v>
      </c>
      <c r="W981" s="415" t="s">
        <v>144</v>
      </c>
      <c r="X981" s="212">
        <v>40</v>
      </c>
      <c r="Y981" s="212" t="s">
        <v>144</v>
      </c>
      <c r="Z981" s="241" t="s">
        <v>144</v>
      </c>
      <c r="AA981" s="615" t="s">
        <v>733</v>
      </c>
      <c r="AB981" s="206" t="s">
        <v>140</v>
      </c>
      <c r="AC981" s="847" t="s">
        <v>265</v>
      </c>
      <c r="AD981" s="847" t="s">
        <v>144</v>
      </c>
      <c r="AE981" s="847" t="s">
        <v>144</v>
      </c>
      <c r="AF981" s="848" t="s">
        <v>144</v>
      </c>
      <c r="AG981" s="838"/>
      <c r="AH981" s="866"/>
      <c r="AI981" s="273"/>
      <c r="AJ981" s="847"/>
      <c r="AK981" s="848"/>
      <c r="AL981" s="867" t="s">
        <v>294</v>
      </c>
      <c r="AM981" s="273" t="s">
        <v>295</v>
      </c>
      <c r="AN981" s="847">
        <v>7</v>
      </c>
      <c r="AO981" s="187" t="s">
        <v>966</v>
      </c>
      <c r="AP981" s="867"/>
      <c r="AQ981" s="273"/>
      <c r="AR981" s="847"/>
      <c r="AS981" s="848"/>
      <c r="AT981" s="867"/>
      <c r="AU981" s="273"/>
      <c r="AV981" s="847"/>
      <c r="AW981" s="848"/>
      <c r="AX981" s="867"/>
      <c r="AY981" s="273"/>
      <c r="AZ981" s="847"/>
      <c r="BA981" s="848"/>
      <c r="BB981" s="866"/>
      <c r="BC981" s="273"/>
      <c r="BD981" s="847"/>
      <c r="BE981" s="848"/>
      <c r="BF981" s="838"/>
    </row>
    <row r="982" spans="1:58" s="55" customFormat="1" ht="54" hidden="1" customHeight="1" x14ac:dyDescent="0.25">
      <c r="A982" s="275" t="s">
        <v>7374</v>
      </c>
      <c r="B982" s="276">
        <v>84</v>
      </c>
      <c r="C982" s="253" t="s">
        <v>1022</v>
      </c>
      <c r="D982" s="253" t="s">
        <v>1023</v>
      </c>
      <c r="E982" s="276" t="s">
        <v>7624</v>
      </c>
      <c r="F982" s="277" t="s">
        <v>2278</v>
      </c>
      <c r="G982" s="277" t="s">
        <v>2279</v>
      </c>
      <c r="H982" s="218" t="s">
        <v>2278</v>
      </c>
      <c r="I982" s="277" t="s">
        <v>2279</v>
      </c>
      <c r="J982" s="302" t="s">
        <v>144</v>
      </c>
      <c r="K982" s="302" t="s">
        <v>144</v>
      </c>
      <c r="L982" s="718" t="s">
        <v>2280</v>
      </c>
      <c r="M982" s="217" t="s">
        <v>144</v>
      </c>
      <c r="N982" s="253" t="s">
        <v>144</v>
      </c>
      <c r="O982" s="253" t="s">
        <v>2281</v>
      </c>
      <c r="P982" s="253" t="s">
        <v>2282</v>
      </c>
      <c r="Q982" s="218" t="s">
        <v>7625</v>
      </c>
      <c r="R982" s="218" t="s">
        <v>7626</v>
      </c>
      <c r="S982" s="276" t="s">
        <v>147</v>
      </c>
      <c r="T982" s="221" t="s">
        <v>144</v>
      </c>
      <c r="U982" s="221" t="s">
        <v>144</v>
      </c>
      <c r="V982" s="253">
        <v>1</v>
      </c>
      <c r="W982" s="217" t="s">
        <v>144</v>
      </c>
      <c r="X982" s="221">
        <v>40</v>
      </c>
      <c r="Y982" s="221" t="s">
        <v>2285</v>
      </c>
      <c r="Z982" s="250" t="s">
        <v>25</v>
      </c>
      <c r="AA982" s="438" t="s">
        <v>733</v>
      </c>
      <c r="AB982" s="217" t="s">
        <v>144</v>
      </c>
      <c r="AC982" s="253" t="s">
        <v>265</v>
      </c>
      <c r="AD982" s="253" t="s">
        <v>144</v>
      </c>
      <c r="AE982" s="253" t="s">
        <v>144</v>
      </c>
      <c r="AF982" s="254" t="s">
        <v>144</v>
      </c>
      <c r="AG982" s="681"/>
      <c r="AH982" s="420"/>
      <c r="AI982" s="421"/>
      <c r="AJ982" s="422"/>
      <c r="AK982" s="423"/>
      <c r="AL982" s="421"/>
      <c r="AM982" s="421"/>
      <c r="AN982" s="422"/>
      <c r="AO982" s="424"/>
      <c r="AP982" s="281"/>
      <c r="AQ982" s="281"/>
      <c r="AR982" s="253"/>
      <c r="AS982" s="254"/>
      <c r="AT982" s="281"/>
      <c r="AU982" s="281"/>
      <c r="AV982" s="253"/>
      <c r="AW982" s="254"/>
      <c r="AX982" s="281"/>
      <c r="AY982" s="281"/>
      <c r="AZ982" s="253"/>
      <c r="BA982" s="254"/>
      <c r="BB982" s="280"/>
      <c r="BC982" s="281"/>
      <c r="BD982" s="253"/>
      <c r="BE982" s="254"/>
      <c r="BF982" s="838"/>
    </row>
    <row r="983" spans="1:58" s="87" customFormat="1" ht="54" hidden="1" customHeight="1" x14ac:dyDescent="0.25">
      <c r="A983" s="267" t="s">
        <v>7374</v>
      </c>
      <c r="B983" s="268">
        <v>85</v>
      </c>
      <c r="C983" s="240" t="s">
        <v>3271</v>
      </c>
      <c r="D983" s="270" t="s">
        <v>3272</v>
      </c>
      <c r="E983" s="268" t="s">
        <v>7627</v>
      </c>
      <c r="F983" s="861" t="s">
        <v>1651</v>
      </c>
      <c r="G983" s="269" t="s">
        <v>1652</v>
      </c>
      <c r="H983" s="861" t="s">
        <v>1651</v>
      </c>
      <c r="I983" s="269" t="s">
        <v>1652</v>
      </c>
      <c r="J983" s="296" t="s">
        <v>140</v>
      </c>
      <c r="K983" s="297" t="s">
        <v>140</v>
      </c>
      <c r="L983" s="862" t="s">
        <v>1654</v>
      </c>
      <c r="M983" s="206" t="s">
        <v>973</v>
      </c>
      <c r="N983" s="270" t="s">
        <v>974</v>
      </c>
      <c r="O983" s="240" t="s">
        <v>144</v>
      </c>
      <c r="P983" s="240" t="s">
        <v>144</v>
      </c>
      <c r="Q983" s="845" t="s">
        <v>7628</v>
      </c>
      <c r="R983" s="208" t="s">
        <v>7629</v>
      </c>
      <c r="S983" s="864" t="s">
        <v>746</v>
      </c>
      <c r="T983" s="212" t="s">
        <v>1104</v>
      </c>
      <c r="U983" s="213" t="s">
        <v>1105</v>
      </c>
      <c r="V983" s="307">
        <v>19</v>
      </c>
      <c r="W983" s="415" t="s">
        <v>144</v>
      </c>
      <c r="X983" s="212">
        <v>40</v>
      </c>
      <c r="Y983" s="212" t="s">
        <v>144</v>
      </c>
      <c r="Z983" s="241" t="s">
        <v>144</v>
      </c>
      <c r="AA983" s="437" t="s">
        <v>2966</v>
      </c>
      <c r="AB983" s="206" t="s">
        <v>140</v>
      </c>
      <c r="AC983" s="847" t="s">
        <v>265</v>
      </c>
      <c r="AD983" s="847" t="s">
        <v>144</v>
      </c>
      <c r="AE983" s="847" t="s">
        <v>144</v>
      </c>
      <c r="AF983" s="848" t="s">
        <v>144</v>
      </c>
      <c r="AG983" s="838"/>
      <c r="AH983" s="866" t="s">
        <v>7630</v>
      </c>
      <c r="AI983" s="273" t="s">
        <v>7631</v>
      </c>
      <c r="AJ983" s="847">
        <v>5</v>
      </c>
      <c r="AK983" s="848" t="s">
        <v>7632</v>
      </c>
      <c r="AL983" s="867"/>
      <c r="AM983" s="273"/>
      <c r="AN983" s="847"/>
      <c r="AO983" s="848"/>
      <c r="AP983" s="867" t="s">
        <v>1107</v>
      </c>
      <c r="AQ983" s="273" t="s">
        <v>1108</v>
      </c>
      <c r="AR983" s="847">
        <v>7</v>
      </c>
      <c r="AS983" s="286" t="s">
        <v>1109</v>
      </c>
      <c r="AT983" s="867"/>
      <c r="AU983" s="273"/>
      <c r="AV983" s="847"/>
      <c r="AW983" s="848"/>
      <c r="AX983" s="867"/>
      <c r="AY983" s="273"/>
      <c r="AZ983" s="847"/>
      <c r="BA983" s="848"/>
      <c r="BB983" s="866"/>
      <c r="BC983" s="273"/>
      <c r="BD983" s="847"/>
      <c r="BE983" s="848"/>
      <c r="BF983" s="838"/>
    </row>
    <row r="984" spans="1:58" s="87" customFormat="1" ht="54" hidden="1" customHeight="1" x14ac:dyDescent="0.25">
      <c r="A984" s="267" t="s">
        <v>7374</v>
      </c>
      <c r="B984" s="268">
        <v>86</v>
      </c>
      <c r="C984" s="240" t="s">
        <v>3271</v>
      </c>
      <c r="D984" s="270" t="s">
        <v>3272</v>
      </c>
      <c r="E984" s="268" t="s">
        <v>7633</v>
      </c>
      <c r="F984" s="861" t="s">
        <v>1661</v>
      </c>
      <c r="G984" s="269" t="s">
        <v>1662</v>
      </c>
      <c r="H984" s="845" t="s">
        <v>3277</v>
      </c>
      <c r="I984" s="269" t="s">
        <v>7634</v>
      </c>
      <c r="J984" s="296" t="s">
        <v>140</v>
      </c>
      <c r="K984" s="297" t="s">
        <v>140</v>
      </c>
      <c r="L984" s="862" t="s">
        <v>1664</v>
      </c>
      <c r="M984" s="206" t="s">
        <v>973</v>
      </c>
      <c r="N984" s="270" t="s">
        <v>974</v>
      </c>
      <c r="O984" s="240" t="s">
        <v>814</v>
      </c>
      <c r="P984" s="240" t="s">
        <v>815</v>
      </c>
      <c r="Q984" s="845" t="s">
        <v>144</v>
      </c>
      <c r="R984" s="208" t="s">
        <v>144</v>
      </c>
      <c r="S984" s="864" t="s">
        <v>147</v>
      </c>
      <c r="T984" s="212" t="s">
        <v>144</v>
      </c>
      <c r="U984" s="213" t="s">
        <v>144</v>
      </c>
      <c r="V984" s="307">
        <v>3</v>
      </c>
      <c r="W984" s="415" t="s">
        <v>144</v>
      </c>
      <c r="X984" s="212">
        <v>40</v>
      </c>
      <c r="Y984" s="212" t="s">
        <v>144</v>
      </c>
      <c r="Z984" s="212" t="s">
        <v>144</v>
      </c>
      <c r="AA984" s="240" t="s">
        <v>398</v>
      </c>
      <c r="AB984" s="206" t="s">
        <v>140</v>
      </c>
      <c r="AC984" s="847" t="s">
        <v>265</v>
      </c>
      <c r="AD984" s="847" t="s">
        <v>144</v>
      </c>
      <c r="AE984" s="847" t="s">
        <v>144</v>
      </c>
      <c r="AF984" s="848" t="s">
        <v>144</v>
      </c>
      <c r="AG984" s="838"/>
      <c r="AH984" s="866" t="s">
        <v>7635</v>
      </c>
      <c r="AI984" s="273" t="s">
        <v>7636</v>
      </c>
      <c r="AJ984" s="847">
        <v>7</v>
      </c>
      <c r="AK984" s="848" t="s">
        <v>1280</v>
      </c>
      <c r="AL984" s="867" t="s">
        <v>294</v>
      </c>
      <c r="AM984" s="273" t="s">
        <v>295</v>
      </c>
      <c r="AN984" s="847">
        <v>7</v>
      </c>
      <c r="AO984" s="187" t="s">
        <v>966</v>
      </c>
      <c r="AP984" s="867"/>
      <c r="AQ984" s="273"/>
      <c r="AR984" s="847"/>
      <c r="AS984" s="848"/>
      <c r="AT984" s="867"/>
      <c r="AU984" s="273"/>
      <c r="AV984" s="847"/>
      <c r="AW984" s="848"/>
      <c r="AX984" s="867"/>
      <c r="AY984" s="273"/>
      <c r="AZ984" s="847"/>
      <c r="BA984" s="848"/>
      <c r="BB984" s="866"/>
      <c r="BC984" s="273"/>
      <c r="BD984" s="847"/>
      <c r="BE984" s="848"/>
      <c r="BF984" s="838"/>
    </row>
    <row r="985" spans="1:58" s="87" customFormat="1" ht="54" hidden="1" customHeight="1" x14ac:dyDescent="0.25">
      <c r="A985" s="267" t="s">
        <v>7374</v>
      </c>
      <c r="B985" s="268">
        <v>87</v>
      </c>
      <c r="C985" s="240" t="s">
        <v>3271</v>
      </c>
      <c r="D985" s="270" t="s">
        <v>3272</v>
      </c>
      <c r="E985" s="268" t="s">
        <v>7637</v>
      </c>
      <c r="F985" s="861" t="s">
        <v>3281</v>
      </c>
      <c r="G985" s="269" t="s">
        <v>3282</v>
      </c>
      <c r="H985" s="861" t="s">
        <v>3281</v>
      </c>
      <c r="I985" s="269" t="s">
        <v>3282</v>
      </c>
      <c r="J985" s="296" t="s">
        <v>140</v>
      </c>
      <c r="K985" s="297" t="s">
        <v>140</v>
      </c>
      <c r="L985" s="862" t="s">
        <v>3284</v>
      </c>
      <c r="M985" s="206" t="s">
        <v>973</v>
      </c>
      <c r="N985" s="270" t="s">
        <v>974</v>
      </c>
      <c r="O985" s="240" t="s">
        <v>144</v>
      </c>
      <c r="P985" s="240" t="s">
        <v>144</v>
      </c>
      <c r="Q985" s="845" t="s">
        <v>7638</v>
      </c>
      <c r="R985" s="208" t="s">
        <v>7639</v>
      </c>
      <c r="S985" s="864" t="s">
        <v>746</v>
      </c>
      <c r="T985" s="212" t="s">
        <v>1104</v>
      </c>
      <c r="U985" s="213" t="s">
        <v>1105</v>
      </c>
      <c r="V985" s="307">
        <v>19</v>
      </c>
      <c r="W985" s="415" t="s">
        <v>144</v>
      </c>
      <c r="X985" s="212">
        <v>40</v>
      </c>
      <c r="Y985" s="212" t="s">
        <v>144</v>
      </c>
      <c r="Z985" s="212" t="s">
        <v>144</v>
      </c>
      <c r="AA985" s="240" t="s">
        <v>398</v>
      </c>
      <c r="AB985" s="206" t="s">
        <v>140</v>
      </c>
      <c r="AC985" s="847" t="s">
        <v>265</v>
      </c>
      <c r="AD985" s="847" t="s">
        <v>144</v>
      </c>
      <c r="AE985" s="847" t="s">
        <v>144</v>
      </c>
      <c r="AF985" s="848" t="s">
        <v>144</v>
      </c>
      <c r="AG985" s="838"/>
      <c r="AH985" s="866" t="s">
        <v>7640</v>
      </c>
      <c r="AI985" s="273" t="s">
        <v>7641</v>
      </c>
      <c r="AJ985" s="847">
        <v>5</v>
      </c>
      <c r="AK985" s="848" t="s">
        <v>7642</v>
      </c>
      <c r="AL985" s="867"/>
      <c r="AM985" s="273"/>
      <c r="AN985" s="847"/>
      <c r="AO985" s="848"/>
      <c r="AP985" s="867" t="s">
        <v>1107</v>
      </c>
      <c r="AQ985" s="273" t="s">
        <v>1108</v>
      </c>
      <c r="AR985" s="847">
        <v>7</v>
      </c>
      <c r="AS985" s="286" t="s">
        <v>1109</v>
      </c>
      <c r="AT985" s="867"/>
      <c r="AU985" s="273"/>
      <c r="AV985" s="847"/>
      <c r="AW985" s="848"/>
      <c r="AX985" s="867"/>
      <c r="AY985" s="273"/>
      <c r="AZ985" s="847"/>
      <c r="BA985" s="848"/>
      <c r="BB985" s="866"/>
      <c r="BC985" s="273"/>
      <c r="BD985" s="847"/>
      <c r="BE985" s="848"/>
      <c r="BF985" s="838"/>
    </row>
    <row r="986" spans="1:58" s="87" customFormat="1" ht="54" hidden="1" customHeight="1" x14ac:dyDescent="0.25">
      <c r="A986" s="267" t="s">
        <v>7374</v>
      </c>
      <c r="B986" s="268">
        <v>88</v>
      </c>
      <c r="C986" s="240" t="s">
        <v>3271</v>
      </c>
      <c r="D986" s="270" t="s">
        <v>3272</v>
      </c>
      <c r="E986" s="268" t="s">
        <v>7643</v>
      </c>
      <c r="F986" s="861" t="s">
        <v>7644</v>
      </c>
      <c r="G986" s="269" t="s">
        <v>3289</v>
      </c>
      <c r="H986" s="845" t="s">
        <v>7645</v>
      </c>
      <c r="I986" s="269" t="s">
        <v>3291</v>
      </c>
      <c r="J986" s="296" t="s">
        <v>140</v>
      </c>
      <c r="K986" s="297" t="s">
        <v>140</v>
      </c>
      <c r="L986" s="862" t="s">
        <v>3292</v>
      </c>
      <c r="M986" s="206" t="s">
        <v>973</v>
      </c>
      <c r="N986" s="270" t="s">
        <v>974</v>
      </c>
      <c r="O986" s="240" t="s">
        <v>814</v>
      </c>
      <c r="P986" s="240" t="s">
        <v>815</v>
      </c>
      <c r="Q986" s="845" t="s">
        <v>144</v>
      </c>
      <c r="R986" s="208" t="s">
        <v>144</v>
      </c>
      <c r="S986" s="864" t="s">
        <v>147</v>
      </c>
      <c r="T986" s="212" t="s">
        <v>144</v>
      </c>
      <c r="U986" s="213" t="s">
        <v>144</v>
      </c>
      <c r="V986" s="307">
        <v>3</v>
      </c>
      <c r="W986" s="415" t="s">
        <v>144</v>
      </c>
      <c r="X986" s="212">
        <v>40</v>
      </c>
      <c r="Y986" s="212" t="s">
        <v>144</v>
      </c>
      <c r="Z986" s="212" t="s">
        <v>144</v>
      </c>
      <c r="AA986" s="240" t="s">
        <v>398</v>
      </c>
      <c r="AB986" s="206" t="s">
        <v>140</v>
      </c>
      <c r="AC986" s="847" t="s">
        <v>265</v>
      </c>
      <c r="AD986" s="847" t="s">
        <v>144</v>
      </c>
      <c r="AE986" s="847" t="s">
        <v>144</v>
      </c>
      <c r="AF986" s="848" t="s">
        <v>144</v>
      </c>
      <c r="AG986" s="838"/>
      <c r="AH986" s="866" t="s">
        <v>7646</v>
      </c>
      <c r="AI986" s="273" t="s">
        <v>7647</v>
      </c>
      <c r="AJ986" s="847">
        <v>7</v>
      </c>
      <c r="AK986" s="848" t="s">
        <v>1280</v>
      </c>
      <c r="AL986" s="867" t="s">
        <v>294</v>
      </c>
      <c r="AM986" s="273" t="s">
        <v>295</v>
      </c>
      <c r="AN986" s="847">
        <v>7</v>
      </c>
      <c r="AO986" s="187" t="s">
        <v>966</v>
      </c>
      <c r="AP986" s="867"/>
      <c r="AQ986" s="273"/>
      <c r="AR986" s="847"/>
      <c r="AS986" s="848"/>
      <c r="AT986" s="867"/>
      <c r="AU986" s="273"/>
      <c r="AV986" s="847"/>
      <c r="AW986" s="848"/>
      <c r="AX986" s="867"/>
      <c r="AY986" s="273"/>
      <c r="AZ986" s="847"/>
      <c r="BA986" s="848"/>
      <c r="BB986" s="866"/>
      <c r="BC986" s="273"/>
      <c r="BD986" s="847"/>
      <c r="BE986" s="848"/>
      <c r="BF986" s="838"/>
    </row>
    <row r="987" spans="1:58" s="87" customFormat="1" ht="54" hidden="1" customHeight="1" x14ac:dyDescent="0.25">
      <c r="A987" s="267" t="s">
        <v>7374</v>
      </c>
      <c r="B987" s="268">
        <v>89</v>
      </c>
      <c r="C987" s="240" t="s">
        <v>3271</v>
      </c>
      <c r="D987" s="270" t="s">
        <v>3272</v>
      </c>
      <c r="E987" s="268" t="s">
        <v>7648</v>
      </c>
      <c r="F987" s="861" t="s">
        <v>2255</v>
      </c>
      <c r="G987" s="269" t="s">
        <v>2256</v>
      </c>
      <c r="H987" s="845" t="s">
        <v>2257</v>
      </c>
      <c r="I987" s="269" t="s">
        <v>2258</v>
      </c>
      <c r="J987" s="296" t="s">
        <v>140</v>
      </c>
      <c r="K987" s="297" t="s">
        <v>140</v>
      </c>
      <c r="L987" s="862" t="s">
        <v>7649</v>
      </c>
      <c r="M987" s="206" t="s">
        <v>973</v>
      </c>
      <c r="N987" s="270" t="s">
        <v>974</v>
      </c>
      <c r="O987" s="240" t="s">
        <v>2260</v>
      </c>
      <c r="P987" s="240" t="s">
        <v>2261</v>
      </c>
      <c r="Q987" s="845" t="s">
        <v>7650</v>
      </c>
      <c r="R987" s="208" t="s">
        <v>7651</v>
      </c>
      <c r="S987" s="864" t="s">
        <v>147</v>
      </c>
      <c r="T987" s="212" t="s">
        <v>144</v>
      </c>
      <c r="U987" s="213" t="s">
        <v>144</v>
      </c>
      <c r="V987" s="847">
        <v>2</v>
      </c>
      <c r="W987" s="415" t="s">
        <v>144</v>
      </c>
      <c r="X987" s="212">
        <v>40</v>
      </c>
      <c r="Y987" s="212" t="s">
        <v>144</v>
      </c>
      <c r="Z987" s="212" t="s">
        <v>144</v>
      </c>
      <c r="AA987" s="240" t="s">
        <v>398</v>
      </c>
      <c r="AB987" s="206" t="s">
        <v>140</v>
      </c>
      <c r="AC987" s="847" t="s">
        <v>265</v>
      </c>
      <c r="AD987" s="847" t="s">
        <v>144</v>
      </c>
      <c r="AE987" s="847" t="s">
        <v>144</v>
      </c>
      <c r="AF987" s="848" t="s">
        <v>144</v>
      </c>
      <c r="AG987" s="838"/>
      <c r="AH987" s="866" t="s">
        <v>7640</v>
      </c>
      <c r="AI987" s="273" t="s">
        <v>7641</v>
      </c>
      <c r="AJ987" s="847">
        <v>6</v>
      </c>
      <c r="AK987" s="848" t="s">
        <v>7642</v>
      </c>
      <c r="AL987" s="867" t="s">
        <v>294</v>
      </c>
      <c r="AM987" s="273" t="s">
        <v>295</v>
      </c>
      <c r="AN987" s="847">
        <v>7</v>
      </c>
      <c r="AO987" s="187" t="s">
        <v>966</v>
      </c>
      <c r="AP987" s="867"/>
      <c r="AQ987" s="273"/>
      <c r="AR987" s="847"/>
      <c r="AS987" s="848"/>
      <c r="AT987" s="867"/>
      <c r="AU987" s="273"/>
      <c r="AV987" s="847"/>
      <c r="AW987" s="848"/>
      <c r="AX987" s="867"/>
      <c r="AY987" s="273"/>
      <c r="AZ987" s="847"/>
      <c r="BA987" s="848"/>
      <c r="BB987" s="866"/>
      <c r="BC987" s="273"/>
      <c r="BD987" s="847"/>
      <c r="BE987" s="848"/>
      <c r="BF987" s="838"/>
    </row>
    <row r="988" spans="1:58" s="91" customFormat="1" ht="54" hidden="1" customHeight="1" x14ac:dyDescent="0.25">
      <c r="A988" s="267" t="s">
        <v>7374</v>
      </c>
      <c r="B988" s="268">
        <v>90</v>
      </c>
      <c r="C988" s="240" t="s">
        <v>3271</v>
      </c>
      <c r="D988" s="270" t="s">
        <v>3272</v>
      </c>
      <c r="E988" s="298" t="s">
        <v>7652</v>
      </c>
      <c r="F988" s="896" t="s">
        <v>3296</v>
      </c>
      <c r="G988" s="269" t="s">
        <v>3297</v>
      </c>
      <c r="H988" s="863" t="s">
        <v>3298</v>
      </c>
      <c r="I988" s="269" t="s">
        <v>3299</v>
      </c>
      <c r="J988" s="296" t="s">
        <v>140</v>
      </c>
      <c r="K988" s="297" t="s">
        <v>140</v>
      </c>
      <c r="L988" s="862" t="s">
        <v>3300</v>
      </c>
      <c r="M988" s="847" t="s">
        <v>193</v>
      </c>
      <c r="N988" s="270" t="s">
        <v>194</v>
      </c>
      <c r="O988" s="240" t="s">
        <v>144</v>
      </c>
      <c r="P988" s="240" t="s">
        <v>144</v>
      </c>
      <c r="Q988" s="845" t="s">
        <v>3301</v>
      </c>
      <c r="R988" s="208" t="s">
        <v>7653</v>
      </c>
      <c r="S988" s="897" t="s">
        <v>746</v>
      </c>
      <c r="T988" s="230" t="s">
        <v>1307</v>
      </c>
      <c r="U988" s="231" t="s">
        <v>1308</v>
      </c>
      <c r="V988" s="865">
        <v>10</v>
      </c>
      <c r="W988" s="415" t="s">
        <v>144</v>
      </c>
      <c r="X988" s="212">
        <v>42</v>
      </c>
      <c r="Y988" s="230" t="s">
        <v>144</v>
      </c>
      <c r="Z988" s="241" t="s">
        <v>144</v>
      </c>
      <c r="AA988" s="615" t="s">
        <v>733</v>
      </c>
      <c r="AB988" s="206" t="s">
        <v>140</v>
      </c>
      <c r="AC988" s="847" t="s">
        <v>265</v>
      </c>
      <c r="AD988" s="847" t="s">
        <v>144</v>
      </c>
      <c r="AE988" s="847" t="s">
        <v>144</v>
      </c>
      <c r="AF988" s="848" t="s">
        <v>144</v>
      </c>
      <c r="AG988" s="838"/>
      <c r="AH988" s="866"/>
      <c r="AI988" s="273"/>
      <c r="AJ988" s="847"/>
      <c r="AK988" s="848"/>
      <c r="AL988" s="867"/>
      <c r="AM988" s="273"/>
      <c r="AN988" s="847"/>
      <c r="AO988" s="848"/>
      <c r="AP988" s="867" t="s">
        <v>7654</v>
      </c>
      <c r="AQ988" s="273" t="s">
        <v>7655</v>
      </c>
      <c r="AR988" s="847" t="s">
        <v>1724</v>
      </c>
      <c r="AS988" s="848" t="s">
        <v>4711</v>
      </c>
      <c r="AT988" s="867"/>
      <c r="AU988" s="273"/>
      <c r="AV988" s="847"/>
      <c r="AW988" s="848"/>
      <c r="AX988" s="867"/>
      <c r="AY988" s="273"/>
      <c r="AZ988" s="847"/>
      <c r="BA988" s="848"/>
      <c r="BB988" s="866"/>
      <c r="BC988" s="273"/>
      <c r="BD988" s="847"/>
      <c r="BE988" s="848"/>
      <c r="BF988" s="838"/>
    </row>
    <row r="989" spans="1:58" s="114" customFormat="1" ht="54" hidden="1" customHeight="1" x14ac:dyDescent="0.25">
      <c r="A989" s="267" t="s">
        <v>7374</v>
      </c>
      <c r="B989" s="268">
        <v>91</v>
      </c>
      <c r="C989" s="240" t="s">
        <v>684</v>
      </c>
      <c r="D989" s="270" t="s">
        <v>685</v>
      </c>
      <c r="E989" s="268" t="s">
        <v>7656</v>
      </c>
      <c r="F989" s="299" t="s">
        <v>2581</v>
      </c>
      <c r="G989" s="269" t="s">
        <v>2582</v>
      </c>
      <c r="H989" s="845" t="s">
        <v>2583</v>
      </c>
      <c r="I989" s="269" t="s">
        <v>2584</v>
      </c>
      <c r="J989" s="296" t="s">
        <v>140</v>
      </c>
      <c r="K989" s="297" t="s">
        <v>140</v>
      </c>
      <c r="L989" s="721" t="s">
        <v>2585</v>
      </c>
      <c r="M989" s="206" t="s">
        <v>1821</v>
      </c>
      <c r="N989" s="253" t="s">
        <v>1822</v>
      </c>
      <c r="O989" s="240" t="s">
        <v>144</v>
      </c>
      <c r="P989" s="240" t="s">
        <v>144</v>
      </c>
      <c r="Q989" s="209" t="s">
        <v>2586</v>
      </c>
      <c r="R989" s="210" t="s">
        <v>2587</v>
      </c>
      <c r="S989" s="268" t="s">
        <v>147</v>
      </c>
      <c r="T989" s="212" t="s">
        <v>144</v>
      </c>
      <c r="U989" s="213" t="s">
        <v>144</v>
      </c>
      <c r="V989" s="240">
        <v>20</v>
      </c>
      <c r="W989" s="206" t="s">
        <v>144</v>
      </c>
      <c r="X989" s="212" t="s">
        <v>144</v>
      </c>
      <c r="Y989" s="212" t="s">
        <v>144</v>
      </c>
      <c r="Z989" s="212" t="s">
        <v>144</v>
      </c>
      <c r="AA989" s="240" t="s">
        <v>2588</v>
      </c>
      <c r="AB989" s="206" t="s">
        <v>140</v>
      </c>
      <c r="AC989" s="240" t="s">
        <v>265</v>
      </c>
      <c r="AD989" s="240" t="s">
        <v>144</v>
      </c>
      <c r="AE989" s="240" t="s">
        <v>144</v>
      </c>
      <c r="AF989" s="295" t="s">
        <v>144</v>
      </c>
      <c r="AG989" s="680"/>
      <c r="AH989" s="291"/>
      <c r="AI989" s="292"/>
      <c r="AJ989" s="240"/>
      <c r="AK989" s="295"/>
      <c r="AL989" s="292"/>
      <c r="AM989" s="292"/>
      <c r="AN989" s="240"/>
      <c r="AO989" s="295"/>
      <c r="AP989" s="292"/>
      <c r="AQ989" s="292"/>
      <c r="AR989" s="240"/>
      <c r="AS989" s="295"/>
      <c r="AT989" s="292"/>
      <c r="AU989" s="292"/>
      <c r="AV989" s="240"/>
      <c r="AW989" s="295"/>
      <c r="AX989" s="292"/>
      <c r="AY989" s="292"/>
      <c r="AZ989" s="240"/>
      <c r="BA989" s="295"/>
      <c r="BB989" s="291"/>
      <c r="BC989" s="292"/>
      <c r="BD989" s="240"/>
      <c r="BE989" s="295"/>
      <c r="BF989" s="838"/>
    </row>
    <row r="990" spans="1:58" s="87" customFormat="1" ht="54" hidden="1" customHeight="1" x14ac:dyDescent="0.25">
      <c r="A990" s="267" t="s">
        <v>7374</v>
      </c>
      <c r="B990" s="268">
        <v>92</v>
      </c>
      <c r="C990" s="240" t="s">
        <v>1372</v>
      </c>
      <c r="D990" s="270" t="s">
        <v>1373</v>
      </c>
      <c r="E990" s="268" t="s">
        <v>7657</v>
      </c>
      <c r="F990" s="861" t="s">
        <v>3308</v>
      </c>
      <c r="G990" s="269" t="s">
        <v>3309</v>
      </c>
      <c r="H990" s="845" t="s">
        <v>3308</v>
      </c>
      <c r="I990" s="269" t="s">
        <v>3309</v>
      </c>
      <c r="J990" s="296" t="s">
        <v>140</v>
      </c>
      <c r="K990" s="297" t="s">
        <v>140</v>
      </c>
      <c r="L990" s="862" t="s">
        <v>3310</v>
      </c>
      <c r="M990" s="847" t="s">
        <v>193</v>
      </c>
      <c r="N990" s="270" t="s">
        <v>194</v>
      </c>
      <c r="O990" s="240" t="s">
        <v>1380</v>
      </c>
      <c r="P990" s="240" t="s">
        <v>1381</v>
      </c>
      <c r="Q990" s="845" t="s">
        <v>144</v>
      </c>
      <c r="R990" s="208" t="s">
        <v>144</v>
      </c>
      <c r="S990" s="864" t="s">
        <v>147</v>
      </c>
      <c r="T990" s="212" t="s">
        <v>144</v>
      </c>
      <c r="U990" s="213" t="s">
        <v>144</v>
      </c>
      <c r="V990" s="847">
        <v>1</v>
      </c>
      <c r="W990" s="415" t="s">
        <v>144</v>
      </c>
      <c r="X990" s="212">
        <v>40</v>
      </c>
      <c r="Y990" s="212" t="s">
        <v>144</v>
      </c>
      <c r="Z990" s="241" t="s">
        <v>144</v>
      </c>
      <c r="AA990" s="437" t="s">
        <v>398</v>
      </c>
      <c r="AB990" s="206" t="s">
        <v>140</v>
      </c>
      <c r="AC990" s="847" t="s">
        <v>265</v>
      </c>
      <c r="AD990" s="847" t="s">
        <v>144</v>
      </c>
      <c r="AE990" s="847" t="s">
        <v>144</v>
      </c>
      <c r="AF990" s="848" t="s">
        <v>144</v>
      </c>
      <c r="AG990" s="838"/>
      <c r="AH990" s="866"/>
      <c r="AI990" s="273"/>
      <c r="AJ990" s="847"/>
      <c r="AK990" s="848"/>
      <c r="AL990" s="867" t="s">
        <v>294</v>
      </c>
      <c r="AM990" s="273" t="s">
        <v>295</v>
      </c>
      <c r="AN990" s="847">
        <v>7</v>
      </c>
      <c r="AO990" s="187" t="s">
        <v>966</v>
      </c>
      <c r="AP990" s="867" t="s">
        <v>7658</v>
      </c>
      <c r="AQ990" s="273" t="s">
        <v>7659</v>
      </c>
      <c r="AR990" s="847">
        <v>6</v>
      </c>
      <c r="AS990" s="848" t="s">
        <v>7660</v>
      </c>
      <c r="AT990" s="867"/>
      <c r="AU990" s="273"/>
      <c r="AV990" s="847"/>
      <c r="AW990" s="848"/>
      <c r="AX990" s="867"/>
      <c r="AY990" s="273"/>
      <c r="AZ990" s="847"/>
      <c r="BA990" s="848"/>
      <c r="BB990" s="866"/>
      <c r="BC990" s="273"/>
      <c r="BD990" s="847"/>
      <c r="BE990" s="848"/>
      <c r="BF990" s="838"/>
    </row>
    <row r="991" spans="1:58" s="87" customFormat="1" ht="54" hidden="1" customHeight="1" x14ac:dyDescent="0.25">
      <c r="A991" s="267" t="s">
        <v>7374</v>
      </c>
      <c r="B991" s="268">
        <v>93</v>
      </c>
      <c r="C991" s="240" t="s">
        <v>1372</v>
      </c>
      <c r="D991" s="270" t="s">
        <v>1373</v>
      </c>
      <c r="E991" s="268" t="s">
        <v>7661</v>
      </c>
      <c r="F991" s="861" t="s">
        <v>3318</v>
      </c>
      <c r="G991" s="269" t="s">
        <v>3319</v>
      </c>
      <c r="H991" s="845" t="s">
        <v>3320</v>
      </c>
      <c r="I991" s="208" t="s">
        <v>3321</v>
      </c>
      <c r="J991" s="240" t="s">
        <v>140</v>
      </c>
      <c r="K991" s="270" t="s">
        <v>140</v>
      </c>
      <c r="L991" s="862" t="s">
        <v>3322</v>
      </c>
      <c r="M991" s="847" t="s">
        <v>193</v>
      </c>
      <c r="N991" s="270" t="s">
        <v>194</v>
      </c>
      <c r="O991" s="240" t="s">
        <v>144</v>
      </c>
      <c r="P991" s="240" t="s">
        <v>144</v>
      </c>
      <c r="Q991" s="845" t="s">
        <v>7662</v>
      </c>
      <c r="R991" s="208" t="s">
        <v>7663</v>
      </c>
      <c r="S991" s="864" t="s">
        <v>147</v>
      </c>
      <c r="T991" s="212" t="s">
        <v>144</v>
      </c>
      <c r="U991" s="213" t="s">
        <v>144</v>
      </c>
      <c r="V991" s="847">
        <v>3</v>
      </c>
      <c r="W991" s="415" t="s">
        <v>144</v>
      </c>
      <c r="X991" s="212">
        <v>40</v>
      </c>
      <c r="Y991" s="212" t="s">
        <v>144</v>
      </c>
      <c r="Z991" s="212" t="s">
        <v>144</v>
      </c>
      <c r="AA991" s="240" t="s">
        <v>3015</v>
      </c>
      <c r="AB991" s="206" t="s">
        <v>140</v>
      </c>
      <c r="AC991" s="847" t="s">
        <v>265</v>
      </c>
      <c r="AD991" s="847" t="s">
        <v>144</v>
      </c>
      <c r="AE991" s="847" t="s">
        <v>144</v>
      </c>
      <c r="AF991" s="848" t="s">
        <v>144</v>
      </c>
      <c r="AG991" s="838"/>
      <c r="AH991" s="866"/>
      <c r="AI991" s="273"/>
      <c r="AJ991" s="847"/>
      <c r="AK991" s="848"/>
      <c r="AL991" s="867"/>
      <c r="AM991" s="273"/>
      <c r="AN991" s="847"/>
      <c r="AO991" s="848"/>
      <c r="AP991" s="867"/>
      <c r="AQ991" s="273"/>
      <c r="AR991" s="847"/>
      <c r="AS991" s="848"/>
      <c r="AT991" s="867"/>
      <c r="AU991" s="273"/>
      <c r="AV991" s="847"/>
      <c r="AW991" s="848"/>
      <c r="AX991" s="867"/>
      <c r="AY991" s="273"/>
      <c r="AZ991" s="847"/>
      <c r="BA991" s="848"/>
      <c r="BB991" s="866"/>
      <c r="BC991" s="273"/>
      <c r="BD991" s="847"/>
      <c r="BE991" s="848"/>
      <c r="BF991" s="838"/>
    </row>
    <row r="992" spans="1:58" s="87" customFormat="1" ht="54" hidden="1" customHeight="1" x14ac:dyDescent="0.25">
      <c r="A992" s="267" t="s">
        <v>7374</v>
      </c>
      <c r="B992" s="268">
        <v>94</v>
      </c>
      <c r="C992" s="240" t="s">
        <v>1372</v>
      </c>
      <c r="D992" s="270" t="s">
        <v>1373</v>
      </c>
      <c r="E992" s="268" t="s">
        <v>7664</v>
      </c>
      <c r="F992" s="861" t="s">
        <v>3326</v>
      </c>
      <c r="G992" s="269" t="s">
        <v>3327</v>
      </c>
      <c r="H992" s="845" t="s">
        <v>3328</v>
      </c>
      <c r="I992" s="208" t="s">
        <v>3329</v>
      </c>
      <c r="J992" s="240" t="s">
        <v>140</v>
      </c>
      <c r="K992" s="270" t="s">
        <v>140</v>
      </c>
      <c r="L992" s="862" t="s">
        <v>3330</v>
      </c>
      <c r="M992" s="206" t="s">
        <v>973</v>
      </c>
      <c r="N992" s="270" t="s">
        <v>974</v>
      </c>
      <c r="O992" s="240" t="s">
        <v>3331</v>
      </c>
      <c r="P992" s="240" t="s">
        <v>3332</v>
      </c>
      <c r="Q992" s="845" t="s">
        <v>3323</v>
      </c>
      <c r="R992" s="208" t="s">
        <v>7663</v>
      </c>
      <c r="S992" s="864" t="s">
        <v>147</v>
      </c>
      <c r="T992" s="212" t="s">
        <v>144</v>
      </c>
      <c r="U992" s="213" t="s">
        <v>144</v>
      </c>
      <c r="V992" s="847">
        <v>1</v>
      </c>
      <c r="W992" s="415" t="s">
        <v>144</v>
      </c>
      <c r="X992" s="212">
        <v>40</v>
      </c>
      <c r="Y992" s="212" t="s">
        <v>144</v>
      </c>
      <c r="Z992" s="241" t="s">
        <v>144</v>
      </c>
      <c r="AA992" s="437" t="s">
        <v>2588</v>
      </c>
      <c r="AB992" s="206" t="s">
        <v>140</v>
      </c>
      <c r="AC992" s="847" t="s">
        <v>265</v>
      </c>
      <c r="AD992" s="847" t="s">
        <v>144</v>
      </c>
      <c r="AE992" s="847" t="s">
        <v>144</v>
      </c>
      <c r="AF992" s="848" t="s">
        <v>144</v>
      </c>
      <c r="AG992" s="838"/>
      <c r="AH992" s="866" t="s">
        <v>7665</v>
      </c>
      <c r="AI992" s="273" t="s">
        <v>7666</v>
      </c>
      <c r="AJ992" s="847">
        <v>7</v>
      </c>
      <c r="AK992" s="848" t="s">
        <v>7667</v>
      </c>
      <c r="AL992" s="867" t="s">
        <v>294</v>
      </c>
      <c r="AM992" s="273" t="s">
        <v>295</v>
      </c>
      <c r="AN992" s="847">
        <v>7</v>
      </c>
      <c r="AO992" s="187" t="s">
        <v>966</v>
      </c>
      <c r="AP992" s="867"/>
      <c r="AQ992" s="273"/>
      <c r="AR992" s="847"/>
      <c r="AS992" s="848"/>
      <c r="AT992" s="867"/>
      <c r="AU992" s="273"/>
      <c r="AV992" s="847"/>
      <c r="AW992" s="848"/>
      <c r="AX992" s="867"/>
      <c r="AY992" s="273"/>
      <c r="AZ992" s="847"/>
      <c r="BA992" s="848"/>
      <c r="BB992" s="866"/>
      <c r="BC992" s="273"/>
      <c r="BD992" s="847"/>
      <c r="BE992" s="848"/>
      <c r="BF992" s="838"/>
    </row>
    <row r="993" spans="1:58" s="87" customFormat="1" ht="54" hidden="1" customHeight="1" x14ac:dyDescent="0.25">
      <c r="A993" s="267" t="s">
        <v>7374</v>
      </c>
      <c r="B993" s="268">
        <v>95</v>
      </c>
      <c r="C993" s="240" t="s">
        <v>1372</v>
      </c>
      <c r="D993" s="270" t="s">
        <v>1373</v>
      </c>
      <c r="E993" s="298" t="s">
        <v>7668</v>
      </c>
      <c r="F993" s="863" t="s">
        <v>3337</v>
      </c>
      <c r="G993" s="269" t="s">
        <v>3338</v>
      </c>
      <c r="H993" s="845" t="s">
        <v>3339</v>
      </c>
      <c r="I993" s="208" t="s">
        <v>3340</v>
      </c>
      <c r="J993" s="240" t="s">
        <v>140</v>
      </c>
      <c r="K993" s="270" t="s">
        <v>140</v>
      </c>
      <c r="L993" s="862" t="s">
        <v>3341</v>
      </c>
      <c r="M993" s="847" t="s">
        <v>973</v>
      </c>
      <c r="N993" s="270" t="s">
        <v>974</v>
      </c>
      <c r="O993" s="240" t="s">
        <v>3342</v>
      </c>
      <c r="P993" s="240" t="s">
        <v>3343</v>
      </c>
      <c r="Q993" s="845" t="s">
        <v>144</v>
      </c>
      <c r="R993" s="208" t="s">
        <v>144</v>
      </c>
      <c r="S993" s="864" t="s">
        <v>147</v>
      </c>
      <c r="T993" s="212" t="s">
        <v>144</v>
      </c>
      <c r="U993" s="213" t="s">
        <v>144</v>
      </c>
      <c r="V993" s="307">
        <v>1</v>
      </c>
      <c r="W993" s="415" t="s">
        <v>144</v>
      </c>
      <c r="X993" s="212">
        <v>43</v>
      </c>
      <c r="Y993" s="212" t="s">
        <v>144</v>
      </c>
      <c r="Z993" s="241" t="s">
        <v>144</v>
      </c>
      <c r="AA993" s="437" t="s">
        <v>3344</v>
      </c>
      <c r="AB993" s="206" t="s">
        <v>140</v>
      </c>
      <c r="AC993" s="847" t="s">
        <v>265</v>
      </c>
      <c r="AD993" s="847" t="s">
        <v>144</v>
      </c>
      <c r="AE993" s="847" t="s">
        <v>144</v>
      </c>
      <c r="AF993" s="848" t="s">
        <v>144</v>
      </c>
      <c r="AG993" s="838"/>
      <c r="AH993" s="291" t="s">
        <v>7669</v>
      </c>
      <c r="AI993" s="273" t="s">
        <v>7670</v>
      </c>
      <c r="AJ993" s="847">
        <v>6</v>
      </c>
      <c r="AK993" s="848" t="s">
        <v>7671</v>
      </c>
      <c r="AL993" s="875" t="s">
        <v>294</v>
      </c>
      <c r="AM993" s="301" t="s">
        <v>295</v>
      </c>
      <c r="AN993" s="240">
        <v>7</v>
      </c>
      <c r="AO993" s="187" t="s">
        <v>966</v>
      </c>
      <c r="AP993" s="867"/>
      <c r="AQ993" s="273"/>
      <c r="AR993" s="847"/>
      <c r="AS993" s="848"/>
      <c r="AT993" s="867"/>
      <c r="AU993" s="273"/>
      <c r="AV993" s="847"/>
      <c r="AW993" s="848"/>
      <c r="AX993" s="867"/>
      <c r="AY993" s="273"/>
      <c r="AZ993" s="847"/>
      <c r="BA993" s="848"/>
      <c r="BB993" s="866"/>
      <c r="BC993" s="273"/>
      <c r="BD993" s="847"/>
      <c r="BE993" s="848"/>
      <c r="BF993" s="838"/>
    </row>
    <row r="994" spans="1:58" s="55" customFormat="1" ht="54" hidden="1" customHeight="1" x14ac:dyDescent="0.25">
      <c r="A994" s="275" t="s">
        <v>7374</v>
      </c>
      <c r="B994" s="276">
        <v>96</v>
      </c>
      <c r="C994" s="253" t="s">
        <v>1372</v>
      </c>
      <c r="D994" s="253" t="s">
        <v>1373</v>
      </c>
      <c r="E994" s="276" t="s">
        <v>7672</v>
      </c>
      <c r="F994" s="277" t="s">
        <v>3349</v>
      </c>
      <c r="G994" s="277" t="s">
        <v>3350</v>
      </c>
      <c r="H994" s="218" t="s">
        <v>3349</v>
      </c>
      <c r="I994" s="218" t="s">
        <v>3350</v>
      </c>
      <c r="J994" s="278" t="s">
        <v>144</v>
      </c>
      <c r="K994" s="278" t="s">
        <v>144</v>
      </c>
      <c r="L994" s="718" t="s">
        <v>3351</v>
      </c>
      <c r="M994" s="253" t="s">
        <v>144</v>
      </c>
      <c r="N994" s="253" t="s">
        <v>144</v>
      </c>
      <c r="O994" s="253" t="s">
        <v>144</v>
      </c>
      <c r="P994" s="253" t="s">
        <v>144</v>
      </c>
      <c r="Q994" s="218" t="s">
        <v>144</v>
      </c>
      <c r="R994" s="218" t="s">
        <v>144</v>
      </c>
      <c r="S994" s="276" t="s">
        <v>147</v>
      </c>
      <c r="T994" s="221" t="s">
        <v>144</v>
      </c>
      <c r="U994" s="221" t="s">
        <v>144</v>
      </c>
      <c r="V994" s="253">
        <v>45</v>
      </c>
      <c r="W994" s="217" t="s">
        <v>144</v>
      </c>
      <c r="X994" s="221" t="s">
        <v>144</v>
      </c>
      <c r="Y994" s="221" t="s">
        <v>144</v>
      </c>
      <c r="Z994" s="221" t="s">
        <v>144</v>
      </c>
      <c r="AA994" s="253" t="s">
        <v>144</v>
      </c>
      <c r="AB994" s="217" t="s">
        <v>144</v>
      </c>
      <c r="AC994" s="253" t="s">
        <v>265</v>
      </c>
      <c r="AD994" s="253" t="s">
        <v>144</v>
      </c>
      <c r="AE994" s="253" t="s">
        <v>144</v>
      </c>
      <c r="AF994" s="254" t="s">
        <v>144</v>
      </c>
      <c r="AG994" s="838"/>
      <c r="AH994" s="280"/>
      <c r="AI994" s="281"/>
      <c r="AJ994" s="253"/>
      <c r="AK994" s="254"/>
      <c r="AL994" s="281"/>
      <c r="AM994" s="281"/>
      <c r="AN994" s="253"/>
      <c r="AO994" s="254"/>
      <c r="AP994" s="281"/>
      <c r="AQ994" s="281"/>
      <c r="AR994" s="253"/>
      <c r="AS994" s="254"/>
      <c r="AT994" s="281"/>
      <c r="AU994" s="281"/>
      <c r="AV994" s="253"/>
      <c r="AW994" s="254"/>
      <c r="AX994" s="281"/>
      <c r="AY994" s="281"/>
      <c r="AZ994" s="253"/>
      <c r="BA994" s="254"/>
      <c r="BB994" s="280"/>
      <c r="BC994" s="281"/>
      <c r="BD994" s="253"/>
      <c r="BE994" s="254"/>
      <c r="BF994" s="838"/>
    </row>
    <row r="995" spans="1:58" s="55" customFormat="1" ht="54" customHeight="1" x14ac:dyDescent="0.25">
      <c r="A995" s="275" t="s">
        <v>7374</v>
      </c>
      <c r="B995" s="276">
        <v>97</v>
      </c>
      <c r="C995" s="253" t="s">
        <v>144</v>
      </c>
      <c r="D995" s="253" t="s">
        <v>144</v>
      </c>
      <c r="E995" s="276" t="s">
        <v>7673</v>
      </c>
      <c r="F995" s="277" t="s">
        <v>251</v>
      </c>
      <c r="G995" s="277" t="s">
        <v>251</v>
      </c>
      <c r="H995" s="220" t="s">
        <v>336</v>
      </c>
      <c r="I995" s="218" t="s">
        <v>337</v>
      </c>
      <c r="J995" s="253" t="s">
        <v>144</v>
      </c>
      <c r="K995" s="253" t="s">
        <v>144</v>
      </c>
      <c r="L995" s="718" t="s">
        <v>7674</v>
      </c>
      <c r="M995" s="253" t="s">
        <v>144</v>
      </c>
      <c r="N995" s="253" t="s">
        <v>144</v>
      </c>
      <c r="O995" s="253" t="s">
        <v>144</v>
      </c>
      <c r="P995" s="253" t="s">
        <v>144</v>
      </c>
      <c r="Q995" s="220" t="s">
        <v>338</v>
      </c>
      <c r="R995" s="220" t="s">
        <v>339</v>
      </c>
      <c r="S995" s="276" t="s">
        <v>147</v>
      </c>
      <c r="T995" s="221" t="s">
        <v>144</v>
      </c>
      <c r="U995" s="221" t="s">
        <v>144</v>
      </c>
      <c r="V995" s="253">
        <v>10</v>
      </c>
      <c r="W995" s="217" t="s">
        <v>144</v>
      </c>
      <c r="X995" s="221" t="s">
        <v>144</v>
      </c>
      <c r="Y995" s="221" t="s">
        <v>144</v>
      </c>
      <c r="Z995" s="221" t="s">
        <v>144</v>
      </c>
      <c r="AA995" s="253" t="s">
        <v>144</v>
      </c>
      <c r="AB995" s="217" t="s">
        <v>144</v>
      </c>
      <c r="AC995" s="253" t="s">
        <v>265</v>
      </c>
      <c r="AD995" s="253" t="s">
        <v>144</v>
      </c>
      <c r="AE995" s="253" t="s">
        <v>144</v>
      </c>
      <c r="AF995" s="254" t="s">
        <v>144</v>
      </c>
      <c r="AG995" s="838"/>
      <c r="AH995" s="280"/>
      <c r="AI995" s="281"/>
      <c r="AJ995" s="253"/>
      <c r="AK995" s="254"/>
      <c r="AL995" s="281"/>
      <c r="AM995" s="281"/>
      <c r="AN995" s="253"/>
      <c r="AO995" s="254"/>
      <c r="AP995" s="281"/>
      <c r="AQ995" s="281"/>
      <c r="AR995" s="253"/>
      <c r="AS995" s="254"/>
      <c r="AT995" s="281"/>
      <c r="AU995" s="281"/>
      <c r="AV995" s="253"/>
      <c r="AW995" s="254"/>
      <c r="AX995" s="281"/>
      <c r="AY995" s="281"/>
      <c r="AZ995" s="253"/>
      <c r="BA995" s="254"/>
      <c r="BB995" s="280"/>
      <c r="BC995" s="281"/>
      <c r="BD995" s="253"/>
      <c r="BE995" s="254"/>
      <c r="BF995" s="838"/>
    </row>
    <row r="996" spans="1:58" s="87" customFormat="1" ht="54" hidden="1" customHeight="1" x14ac:dyDescent="0.25">
      <c r="A996" s="267" t="s">
        <v>7374</v>
      </c>
      <c r="B996" s="268">
        <v>98</v>
      </c>
      <c r="C996" s="240" t="s">
        <v>1022</v>
      </c>
      <c r="D996" s="270" t="s">
        <v>1023</v>
      </c>
      <c r="E996" s="268" t="s">
        <v>7675</v>
      </c>
      <c r="F996" s="861" t="s">
        <v>3399</v>
      </c>
      <c r="G996" s="269" t="s">
        <v>3400</v>
      </c>
      <c r="H996" s="845" t="s">
        <v>3401</v>
      </c>
      <c r="I996" s="269" t="s">
        <v>3402</v>
      </c>
      <c r="J996" s="296" t="s">
        <v>140</v>
      </c>
      <c r="K996" s="297" t="s">
        <v>140</v>
      </c>
      <c r="L996" s="862" t="s">
        <v>3403</v>
      </c>
      <c r="M996" s="206" t="s">
        <v>973</v>
      </c>
      <c r="N996" s="270" t="s">
        <v>974</v>
      </c>
      <c r="O996" s="240" t="s">
        <v>3404</v>
      </c>
      <c r="P996" s="240" t="s">
        <v>3405</v>
      </c>
      <c r="Q996" s="845" t="s">
        <v>144</v>
      </c>
      <c r="R996" s="208" t="s">
        <v>144</v>
      </c>
      <c r="S996" s="864" t="s">
        <v>147</v>
      </c>
      <c r="T996" s="212" t="s">
        <v>144</v>
      </c>
      <c r="U996" s="213" t="s">
        <v>144</v>
      </c>
      <c r="V996" s="307">
        <v>1</v>
      </c>
      <c r="W996" s="415" t="s">
        <v>144</v>
      </c>
      <c r="X996" s="212">
        <v>40</v>
      </c>
      <c r="Y996" s="212" t="s">
        <v>144</v>
      </c>
      <c r="Z996" s="241" t="s">
        <v>144</v>
      </c>
      <c r="AA996" s="615" t="s">
        <v>733</v>
      </c>
      <c r="AB996" s="206" t="s">
        <v>140</v>
      </c>
      <c r="AC996" s="847" t="s">
        <v>265</v>
      </c>
      <c r="AD996" s="847" t="s">
        <v>144</v>
      </c>
      <c r="AE996" s="847" t="s">
        <v>144</v>
      </c>
      <c r="AF996" s="848" t="s">
        <v>144</v>
      </c>
      <c r="AG996" s="838"/>
      <c r="AH996" s="866" t="s">
        <v>7676</v>
      </c>
      <c r="AI996" s="273" t="s">
        <v>7677</v>
      </c>
      <c r="AJ996" s="847">
        <v>6</v>
      </c>
      <c r="AK996" s="286" t="s">
        <v>7678</v>
      </c>
      <c r="AL996" s="867" t="s">
        <v>294</v>
      </c>
      <c r="AM996" s="273" t="s">
        <v>295</v>
      </c>
      <c r="AN996" s="847">
        <v>7</v>
      </c>
      <c r="AO996" s="187" t="s">
        <v>966</v>
      </c>
      <c r="AP996" s="867"/>
      <c r="AQ996" s="273"/>
      <c r="AR996" s="847"/>
      <c r="AS996" s="848"/>
      <c r="AT996" s="867"/>
      <c r="AU996" s="273"/>
      <c r="AV996" s="847"/>
      <c r="AW996" s="848"/>
      <c r="AX996" s="867"/>
      <c r="AY996" s="273"/>
      <c r="AZ996" s="847"/>
      <c r="BA996" s="848"/>
      <c r="BB996" s="866"/>
      <c r="BC996" s="273"/>
      <c r="BD996" s="847"/>
      <c r="BE996" s="848"/>
      <c r="BF996" s="838"/>
    </row>
    <row r="997" spans="1:58" s="55" customFormat="1" ht="54" customHeight="1" x14ac:dyDescent="0.25">
      <c r="A997" s="275" t="s">
        <v>7374</v>
      </c>
      <c r="B997" s="276">
        <v>99</v>
      </c>
      <c r="C997" s="253" t="s">
        <v>144</v>
      </c>
      <c r="D997" s="253" t="s">
        <v>144</v>
      </c>
      <c r="E997" s="276" t="s">
        <v>7679</v>
      </c>
      <c r="F997" s="277" t="s">
        <v>251</v>
      </c>
      <c r="G997" s="277" t="s">
        <v>251</v>
      </c>
      <c r="H997" s="220" t="s">
        <v>336</v>
      </c>
      <c r="I997" s="277" t="s">
        <v>337</v>
      </c>
      <c r="J997" s="302" t="s">
        <v>144</v>
      </c>
      <c r="K997" s="302" t="s">
        <v>144</v>
      </c>
      <c r="L997" s="718" t="s">
        <v>7680</v>
      </c>
      <c r="M997" s="253" t="s">
        <v>144</v>
      </c>
      <c r="N997" s="253" t="s">
        <v>144</v>
      </c>
      <c r="O997" s="253" t="s">
        <v>144</v>
      </c>
      <c r="P997" s="253" t="s">
        <v>144</v>
      </c>
      <c r="Q997" s="220" t="s">
        <v>338</v>
      </c>
      <c r="R997" s="220" t="s">
        <v>339</v>
      </c>
      <c r="S997" s="276" t="s">
        <v>147</v>
      </c>
      <c r="T997" s="221" t="s">
        <v>144</v>
      </c>
      <c r="U997" s="221" t="s">
        <v>144</v>
      </c>
      <c r="V997" s="253">
        <v>17</v>
      </c>
      <c r="W997" s="217" t="s">
        <v>144</v>
      </c>
      <c r="X997" s="221" t="s">
        <v>144</v>
      </c>
      <c r="Y997" s="221" t="s">
        <v>144</v>
      </c>
      <c r="Z997" s="221" t="s">
        <v>144</v>
      </c>
      <c r="AA997" s="253" t="s">
        <v>144</v>
      </c>
      <c r="AB997" s="217" t="s">
        <v>144</v>
      </c>
      <c r="AC997" s="253" t="s">
        <v>265</v>
      </c>
      <c r="AD997" s="253" t="s">
        <v>144</v>
      </c>
      <c r="AE997" s="253" t="s">
        <v>144</v>
      </c>
      <c r="AF997" s="254" t="s">
        <v>144</v>
      </c>
      <c r="AG997" s="838"/>
      <c r="AH997" s="280"/>
      <c r="AI997" s="281"/>
      <c r="AJ997" s="253"/>
      <c r="AK997" s="254"/>
      <c r="AL997" s="281"/>
      <c r="AM997" s="281"/>
      <c r="AN997" s="253"/>
      <c r="AO997" s="254"/>
      <c r="AP997" s="281"/>
      <c r="AQ997" s="281"/>
      <c r="AR997" s="253"/>
      <c r="AS997" s="254"/>
      <c r="AT997" s="281"/>
      <c r="AU997" s="281"/>
      <c r="AV997" s="253"/>
      <c r="AW997" s="254"/>
      <c r="AX997" s="281"/>
      <c r="AY997" s="281"/>
      <c r="AZ997" s="253"/>
      <c r="BA997" s="254"/>
      <c r="BB997" s="280"/>
      <c r="BC997" s="281"/>
      <c r="BD997" s="253"/>
      <c r="BE997" s="254"/>
      <c r="BF997" s="838"/>
    </row>
    <row r="998" spans="1:58" s="87" customFormat="1" ht="54" hidden="1" customHeight="1" x14ac:dyDescent="0.25">
      <c r="A998" s="267" t="s">
        <v>7374</v>
      </c>
      <c r="B998" s="268">
        <v>100</v>
      </c>
      <c r="C998" s="240" t="s">
        <v>2135</v>
      </c>
      <c r="D998" s="270" t="s">
        <v>2136</v>
      </c>
      <c r="E998" s="268" t="s">
        <v>7681</v>
      </c>
      <c r="F998" s="861" t="s">
        <v>7682</v>
      </c>
      <c r="G998" s="269" t="s">
        <v>2364</v>
      </c>
      <c r="H998" s="845" t="s">
        <v>2365</v>
      </c>
      <c r="I998" s="269" t="s">
        <v>2366</v>
      </c>
      <c r="J998" s="296" t="s">
        <v>140</v>
      </c>
      <c r="K998" s="297" t="s">
        <v>140</v>
      </c>
      <c r="L998" s="862" t="s">
        <v>7683</v>
      </c>
      <c r="M998" s="206" t="s">
        <v>142</v>
      </c>
      <c r="N998" s="270" t="s">
        <v>143</v>
      </c>
      <c r="O998" s="240" t="s">
        <v>2368</v>
      </c>
      <c r="P998" s="240" t="s">
        <v>2369</v>
      </c>
      <c r="Q998" s="845" t="s">
        <v>144</v>
      </c>
      <c r="R998" s="208" t="s">
        <v>144</v>
      </c>
      <c r="S998" s="864" t="s">
        <v>147</v>
      </c>
      <c r="T998" s="212" t="s">
        <v>144</v>
      </c>
      <c r="U998" s="213" t="s">
        <v>144</v>
      </c>
      <c r="V998" s="307">
        <v>3</v>
      </c>
      <c r="W998" s="415" t="s">
        <v>144</v>
      </c>
      <c r="X998" s="212" t="s">
        <v>925</v>
      </c>
      <c r="Y998" s="212" t="s">
        <v>144</v>
      </c>
      <c r="Z998" s="212" t="s">
        <v>29</v>
      </c>
      <c r="AA998" s="728" t="s">
        <v>2370</v>
      </c>
      <c r="AB998" s="206" t="s">
        <v>140</v>
      </c>
      <c r="AC998" s="847" t="s">
        <v>265</v>
      </c>
      <c r="AD998" s="847" t="s">
        <v>144</v>
      </c>
      <c r="AE998" s="847" t="s">
        <v>144</v>
      </c>
      <c r="AF998" s="848" t="s">
        <v>144</v>
      </c>
      <c r="AG998" s="838"/>
      <c r="AH998" s="866" t="s">
        <v>266</v>
      </c>
      <c r="AI998" s="273" t="s">
        <v>267</v>
      </c>
      <c r="AJ998" s="847">
        <v>7</v>
      </c>
      <c r="AK998" s="848" t="s">
        <v>1046</v>
      </c>
      <c r="AL998" s="875" t="s">
        <v>294</v>
      </c>
      <c r="AM998" s="301" t="s">
        <v>295</v>
      </c>
      <c r="AN998" s="847">
        <v>7</v>
      </c>
      <c r="AO998" s="187" t="s">
        <v>966</v>
      </c>
      <c r="AP998" s="867"/>
      <c r="AQ998" s="273"/>
      <c r="AR998" s="847"/>
      <c r="AS998" s="848"/>
      <c r="AT998" s="867" t="s">
        <v>7684</v>
      </c>
      <c r="AU998" s="273" t="s">
        <v>7685</v>
      </c>
      <c r="AV998" s="847">
        <v>6</v>
      </c>
      <c r="AW998" s="848" t="s">
        <v>7686</v>
      </c>
      <c r="AX998" s="867"/>
      <c r="AY998" s="273"/>
      <c r="AZ998" s="847"/>
      <c r="BA998" s="848"/>
      <c r="BB998" s="866"/>
      <c r="BC998" s="273"/>
      <c r="BD998" s="847"/>
      <c r="BE998" s="848"/>
      <c r="BF998" s="838"/>
    </row>
    <row r="999" spans="1:58" s="87" customFormat="1" ht="54" hidden="1" customHeight="1" x14ac:dyDescent="0.25">
      <c r="A999" s="267" t="s">
        <v>7374</v>
      </c>
      <c r="B999" s="268">
        <v>101</v>
      </c>
      <c r="C999" s="240" t="s">
        <v>1955</v>
      </c>
      <c r="D999" s="270" t="s">
        <v>1956</v>
      </c>
      <c r="E999" s="268" t="s">
        <v>7687</v>
      </c>
      <c r="F999" s="861" t="s">
        <v>3846</v>
      </c>
      <c r="G999" s="269" t="s">
        <v>3847</v>
      </c>
      <c r="H999" s="845" t="s">
        <v>3848</v>
      </c>
      <c r="I999" s="269" t="s">
        <v>3849</v>
      </c>
      <c r="J999" s="296" t="s">
        <v>140</v>
      </c>
      <c r="K999" s="297" t="s">
        <v>140</v>
      </c>
      <c r="L999" s="862" t="s">
        <v>3850</v>
      </c>
      <c r="M999" s="206" t="s">
        <v>973</v>
      </c>
      <c r="N999" s="270" t="s">
        <v>974</v>
      </c>
      <c r="O999" s="240" t="s">
        <v>3851</v>
      </c>
      <c r="P999" s="240" t="s">
        <v>3852</v>
      </c>
      <c r="Q999" s="845" t="s">
        <v>3853</v>
      </c>
      <c r="R999" s="208" t="s">
        <v>7688</v>
      </c>
      <c r="S999" s="864" t="s">
        <v>147</v>
      </c>
      <c r="T999" s="346" t="s">
        <v>144</v>
      </c>
      <c r="U999" s="347" t="s">
        <v>144</v>
      </c>
      <c r="V999" s="348">
        <v>1</v>
      </c>
      <c r="W999" s="415" t="s">
        <v>144</v>
      </c>
      <c r="X999" s="212">
        <v>41</v>
      </c>
      <c r="Y999" s="212" t="s">
        <v>144</v>
      </c>
      <c r="Z999" s="212" t="s">
        <v>144</v>
      </c>
      <c r="AA999" s="240" t="s">
        <v>1967</v>
      </c>
      <c r="AB999" s="206" t="s">
        <v>140</v>
      </c>
      <c r="AC999" s="847" t="s">
        <v>265</v>
      </c>
      <c r="AD999" s="847" t="s">
        <v>144</v>
      </c>
      <c r="AE999" s="847" t="s">
        <v>144</v>
      </c>
      <c r="AF999" s="848" t="s">
        <v>144</v>
      </c>
      <c r="AG999" s="838"/>
      <c r="AH999" s="866" t="s">
        <v>7689</v>
      </c>
      <c r="AI999" s="273" t="s">
        <v>7690</v>
      </c>
      <c r="AJ999" s="847">
        <v>6</v>
      </c>
      <c r="AK999" s="848" t="s">
        <v>7691</v>
      </c>
      <c r="AL999" s="867" t="s">
        <v>294</v>
      </c>
      <c r="AM999" s="273" t="s">
        <v>295</v>
      </c>
      <c r="AN999" s="847">
        <v>7</v>
      </c>
      <c r="AO999" s="187" t="s">
        <v>966</v>
      </c>
      <c r="AP999" s="867"/>
      <c r="AQ999" s="273"/>
      <c r="AR999" s="847"/>
      <c r="AS999" s="848"/>
      <c r="AT999" s="867"/>
      <c r="AU999" s="273"/>
      <c r="AV999" s="847"/>
      <c r="AW999" s="848"/>
      <c r="AX999" s="867"/>
      <c r="AY999" s="273"/>
      <c r="AZ999" s="847"/>
      <c r="BA999" s="848"/>
      <c r="BB999" s="866"/>
      <c r="BC999" s="273"/>
      <c r="BD999" s="847"/>
      <c r="BE999" s="848"/>
      <c r="BF999" s="838"/>
    </row>
    <row r="1000" spans="1:58" s="87" customFormat="1" ht="54" hidden="1" customHeight="1" x14ac:dyDescent="0.25">
      <c r="A1000" s="267" t="s">
        <v>7374</v>
      </c>
      <c r="B1000" s="268">
        <v>102</v>
      </c>
      <c r="C1000" s="240" t="s">
        <v>1955</v>
      </c>
      <c r="D1000" s="270" t="s">
        <v>1956</v>
      </c>
      <c r="E1000" s="268" t="s">
        <v>7692</v>
      </c>
      <c r="F1000" s="861" t="s">
        <v>7693</v>
      </c>
      <c r="G1000" s="269" t="s">
        <v>3862</v>
      </c>
      <c r="H1000" s="845" t="s">
        <v>7694</v>
      </c>
      <c r="I1000" s="269" t="s">
        <v>3864</v>
      </c>
      <c r="J1000" s="296" t="s">
        <v>140</v>
      </c>
      <c r="K1000" s="297" t="s">
        <v>140</v>
      </c>
      <c r="L1000" s="862" t="s">
        <v>3865</v>
      </c>
      <c r="M1000" s="206" t="s">
        <v>973</v>
      </c>
      <c r="N1000" s="270" t="s">
        <v>974</v>
      </c>
      <c r="O1000" s="240" t="s">
        <v>3866</v>
      </c>
      <c r="P1000" s="240" t="s">
        <v>3867</v>
      </c>
      <c r="Q1000" s="845" t="s">
        <v>3868</v>
      </c>
      <c r="R1000" s="208" t="s">
        <v>3869</v>
      </c>
      <c r="S1000" s="864" t="s">
        <v>147</v>
      </c>
      <c r="T1000" s="212" t="s">
        <v>144</v>
      </c>
      <c r="U1000" s="213" t="s">
        <v>144</v>
      </c>
      <c r="V1000" s="847">
        <v>1</v>
      </c>
      <c r="W1000" s="415" t="s">
        <v>144</v>
      </c>
      <c r="X1000" s="212">
        <v>41</v>
      </c>
      <c r="Y1000" s="212" t="s">
        <v>144</v>
      </c>
      <c r="Z1000" s="212" t="s">
        <v>144</v>
      </c>
      <c r="AA1000" s="240" t="s">
        <v>1967</v>
      </c>
      <c r="AB1000" s="206" t="s">
        <v>140</v>
      </c>
      <c r="AC1000" s="847" t="s">
        <v>265</v>
      </c>
      <c r="AD1000" s="847" t="s">
        <v>144</v>
      </c>
      <c r="AE1000" s="847" t="s">
        <v>144</v>
      </c>
      <c r="AF1000" s="848" t="s">
        <v>144</v>
      </c>
      <c r="AG1000" s="838"/>
      <c r="AH1000" s="866" t="s">
        <v>7689</v>
      </c>
      <c r="AI1000" s="273" t="s">
        <v>7690</v>
      </c>
      <c r="AJ1000" s="847">
        <v>6</v>
      </c>
      <c r="AK1000" s="848" t="s">
        <v>7691</v>
      </c>
      <c r="AL1000" s="867" t="s">
        <v>294</v>
      </c>
      <c r="AM1000" s="273" t="s">
        <v>295</v>
      </c>
      <c r="AN1000" s="847">
        <v>7</v>
      </c>
      <c r="AO1000" s="187" t="s">
        <v>966</v>
      </c>
      <c r="AP1000" s="867"/>
      <c r="AQ1000" s="273"/>
      <c r="AR1000" s="847"/>
      <c r="AS1000" s="848"/>
      <c r="AT1000" s="867"/>
      <c r="AU1000" s="273"/>
      <c r="AV1000" s="847"/>
      <c r="AW1000" s="848"/>
      <c r="AX1000" s="867"/>
      <c r="AY1000" s="273"/>
      <c r="AZ1000" s="847"/>
      <c r="BA1000" s="848"/>
      <c r="BB1000" s="866"/>
      <c r="BC1000" s="273"/>
      <c r="BD1000" s="847"/>
      <c r="BE1000" s="848"/>
      <c r="BF1000" s="838"/>
    </row>
    <row r="1001" spans="1:58" s="87" customFormat="1" ht="54" hidden="1" customHeight="1" x14ac:dyDescent="0.25">
      <c r="A1001" s="267" t="s">
        <v>7374</v>
      </c>
      <c r="B1001" s="268">
        <v>103</v>
      </c>
      <c r="C1001" s="240" t="s">
        <v>1955</v>
      </c>
      <c r="D1001" s="270" t="s">
        <v>1956</v>
      </c>
      <c r="E1001" s="268" t="s">
        <v>7695</v>
      </c>
      <c r="F1001" s="861" t="s">
        <v>3871</v>
      </c>
      <c r="G1001" s="269" t="s">
        <v>3872</v>
      </c>
      <c r="H1001" s="887" t="s">
        <v>3873</v>
      </c>
      <c r="I1001" s="430" t="s">
        <v>3874</v>
      </c>
      <c r="J1001" s="296" t="s">
        <v>140</v>
      </c>
      <c r="K1001" s="297" t="s">
        <v>140</v>
      </c>
      <c r="L1001" s="862" t="s">
        <v>3875</v>
      </c>
      <c r="M1001" s="206" t="s">
        <v>973</v>
      </c>
      <c r="N1001" s="270" t="s">
        <v>974</v>
      </c>
      <c r="O1001" s="240" t="s">
        <v>3876</v>
      </c>
      <c r="P1001" s="240" t="s">
        <v>3877</v>
      </c>
      <c r="Q1001" s="845" t="s">
        <v>3868</v>
      </c>
      <c r="R1001" s="208" t="s">
        <v>3869</v>
      </c>
      <c r="S1001" s="864" t="s">
        <v>147</v>
      </c>
      <c r="T1001" s="212" t="s">
        <v>144</v>
      </c>
      <c r="U1001" s="213" t="s">
        <v>144</v>
      </c>
      <c r="V1001" s="847">
        <v>1</v>
      </c>
      <c r="W1001" s="415" t="s">
        <v>144</v>
      </c>
      <c r="X1001" s="212">
        <v>41</v>
      </c>
      <c r="Y1001" s="212" t="s">
        <v>144</v>
      </c>
      <c r="Z1001" s="241" t="s">
        <v>25</v>
      </c>
      <c r="AA1001" s="240" t="s">
        <v>1967</v>
      </c>
      <c r="AB1001" s="206" t="s">
        <v>140</v>
      </c>
      <c r="AC1001" s="847" t="s">
        <v>265</v>
      </c>
      <c r="AD1001" s="847" t="s">
        <v>144</v>
      </c>
      <c r="AE1001" s="847" t="s">
        <v>144</v>
      </c>
      <c r="AF1001" s="848" t="s">
        <v>144</v>
      </c>
      <c r="AG1001" s="838"/>
      <c r="AH1001" s="866" t="s">
        <v>7689</v>
      </c>
      <c r="AI1001" s="273" t="s">
        <v>7690</v>
      </c>
      <c r="AJ1001" s="847">
        <v>6</v>
      </c>
      <c r="AK1001" s="848" t="s">
        <v>7691</v>
      </c>
      <c r="AL1001" s="867" t="s">
        <v>294</v>
      </c>
      <c r="AM1001" s="273" t="s">
        <v>295</v>
      </c>
      <c r="AN1001" s="847">
        <v>7</v>
      </c>
      <c r="AO1001" s="187" t="s">
        <v>966</v>
      </c>
      <c r="AP1001" s="867" t="s">
        <v>7696</v>
      </c>
      <c r="AQ1001" s="273" t="s">
        <v>7697</v>
      </c>
      <c r="AR1001" s="847">
        <v>6</v>
      </c>
      <c r="AS1001" s="848" t="s">
        <v>7698</v>
      </c>
      <c r="AT1001" s="867"/>
      <c r="AU1001" s="273"/>
      <c r="AV1001" s="847"/>
      <c r="AW1001" s="848"/>
      <c r="AX1001" s="867"/>
      <c r="AY1001" s="273"/>
      <c r="AZ1001" s="847"/>
      <c r="BA1001" s="848"/>
      <c r="BB1001" s="249" t="s">
        <v>3881</v>
      </c>
      <c r="BC1001" s="135" t="s">
        <v>3882</v>
      </c>
      <c r="BD1001" s="847">
        <v>6</v>
      </c>
      <c r="BE1001" s="306" t="s">
        <v>3883</v>
      </c>
      <c r="BF1001" s="838"/>
    </row>
    <row r="1002" spans="1:58" s="87" customFormat="1" ht="54" hidden="1" customHeight="1" x14ac:dyDescent="0.25">
      <c r="A1002" s="267" t="s">
        <v>7374</v>
      </c>
      <c r="B1002" s="268">
        <v>104</v>
      </c>
      <c r="C1002" s="240" t="s">
        <v>1955</v>
      </c>
      <c r="D1002" s="270" t="s">
        <v>1956</v>
      </c>
      <c r="E1002" s="268" t="s">
        <v>7699</v>
      </c>
      <c r="F1002" s="861" t="s">
        <v>3885</v>
      </c>
      <c r="G1002" s="269" t="s">
        <v>3886</v>
      </c>
      <c r="H1002" s="845" t="s">
        <v>3887</v>
      </c>
      <c r="I1002" s="269" t="s">
        <v>3888</v>
      </c>
      <c r="J1002" s="296" t="s">
        <v>140</v>
      </c>
      <c r="K1002" s="297" t="s">
        <v>140</v>
      </c>
      <c r="L1002" s="862" t="s">
        <v>3889</v>
      </c>
      <c r="M1002" s="206" t="s">
        <v>973</v>
      </c>
      <c r="N1002" s="270" t="s">
        <v>974</v>
      </c>
      <c r="O1002" s="240" t="s">
        <v>3890</v>
      </c>
      <c r="P1002" s="240" t="s">
        <v>3891</v>
      </c>
      <c r="Q1002" s="845" t="s">
        <v>3868</v>
      </c>
      <c r="R1002" s="208" t="s">
        <v>3869</v>
      </c>
      <c r="S1002" s="864" t="s">
        <v>147</v>
      </c>
      <c r="T1002" s="212" t="s">
        <v>144</v>
      </c>
      <c r="U1002" s="213" t="s">
        <v>144</v>
      </c>
      <c r="V1002" s="847">
        <v>2</v>
      </c>
      <c r="W1002" s="415" t="s">
        <v>144</v>
      </c>
      <c r="X1002" s="212">
        <v>41</v>
      </c>
      <c r="Y1002" s="212" t="s">
        <v>144</v>
      </c>
      <c r="Z1002" s="212" t="s">
        <v>144</v>
      </c>
      <c r="AA1002" s="240" t="s">
        <v>7700</v>
      </c>
      <c r="AB1002" s="206" t="s">
        <v>140</v>
      </c>
      <c r="AC1002" s="847" t="s">
        <v>265</v>
      </c>
      <c r="AD1002" s="847" t="s">
        <v>144</v>
      </c>
      <c r="AE1002" s="847" t="s">
        <v>144</v>
      </c>
      <c r="AF1002" s="848" t="s">
        <v>144</v>
      </c>
      <c r="AG1002" s="838"/>
      <c r="AH1002" s="866" t="s">
        <v>7701</v>
      </c>
      <c r="AI1002" s="273" t="s">
        <v>7702</v>
      </c>
      <c r="AJ1002" s="847">
        <v>6</v>
      </c>
      <c r="AK1002" s="286" t="s">
        <v>7703</v>
      </c>
      <c r="AL1002" s="875" t="s">
        <v>294</v>
      </c>
      <c r="AM1002" s="301" t="s">
        <v>295</v>
      </c>
      <c r="AN1002" s="847">
        <v>7</v>
      </c>
      <c r="AO1002" s="187" t="s">
        <v>966</v>
      </c>
      <c r="AP1002" s="867" t="s">
        <v>7704</v>
      </c>
      <c r="AQ1002" s="273" t="s">
        <v>7705</v>
      </c>
      <c r="AR1002" s="847">
        <v>6</v>
      </c>
      <c r="AS1002" s="286" t="s">
        <v>7706</v>
      </c>
      <c r="AT1002" s="867"/>
      <c r="AU1002" s="273"/>
      <c r="AV1002" s="847"/>
      <c r="AW1002" s="848"/>
      <c r="AX1002" s="867"/>
      <c r="AY1002" s="273"/>
      <c r="AZ1002" s="847"/>
      <c r="BA1002" s="848"/>
      <c r="BB1002" s="866"/>
      <c r="BC1002" s="273"/>
      <c r="BD1002" s="847"/>
      <c r="BE1002" s="848"/>
      <c r="BF1002" s="838"/>
    </row>
    <row r="1003" spans="1:58" s="87" customFormat="1" ht="54" hidden="1" customHeight="1" x14ac:dyDescent="0.25">
      <c r="A1003" s="267" t="s">
        <v>7374</v>
      </c>
      <c r="B1003" s="268">
        <v>105</v>
      </c>
      <c r="C1003" s="240" t="s">
        <v>1955</v>
      </c>
      <c r="D1003" s="270" t="s">
        <v>1956</v>
      </c>
      <c r="E1003" s="268" t="s">
        <v>7707</v>
      </c>
      <c r="F1003" s="861" t="s">
        <v>3900</v>
      </c>
      <c r="G1003" s="269" t="s">
        <v>3901</v>
      </c>
      <c r="H1003" s="845" t="s">
        <v>3902</v>
      </c>
      <c r="I1003" s="269" t="s">
        <v>3903</v>
      </c>
      <c r="J1003" s="296" t="s">
        <v>140</v>
      </c>
      <c r="K1003" s="297" t="s">
        <v>140</v>
      </c>
      <c r="L1003" s="862" t="s">
        <v>3904</v>
      </c>
      <c r="M1003" s="206" t="s">
        <v>973</v>
      </c>
      <c r="N1003" s="270" t="s">
        <v>974</v>
      </c>
      <c r="O1003" s="240" t="s">
        <v>144</v>
      </c>
      <c r="P1003" s="240" t="s">
        <v>144</v>
      </c>
      <c r="Q1003" s="845" t="s">
        <v>3905</v>
      </c>
      <c r="R1003" s="208" t="s">
        <v>7708</v>
      </c>
      <c r="S1003" s="181" t="s">
        <v>233</v>
      </c>
      <c r="T1003" s="212" t="s">
        <v>234</v>
      </c>
      <c r="U1003" s="213" t="s">
        <v>235</v>
      </c>
      <c r="V1003" s="847">
        <v>8</v>
      </c>
      <c r="W1003" s="415" t="s">
        <v>144</v>
      </c>
      <c r="X1003" s="212">
        <v>41</v>
      </c>
      <c r="Y1003" s="212" t="s">
        <v>144</v>
      </c>
      <c r="Z1003" s="212" t="s">
        <v>144</v>
      </c>
      <c r="AA1003" s="240" t="s">
        <v>3947</v>
      </c>
      <c r="AB1003" s="206" t="s">
        <v>140</v>
      </c>
      <c r="AC1003" s="847" t="s">
        <v>265</v>
      </c>
      <c r="AD1003" s="847" t="s">
        <v>144</v>
      </c>
      <c r="AE1003" s="847" t="s">
        <v>144</v>
      </c>
      <c r="AF1003" s="848" t="s">
        <v>144</v>
      </c>
      <c r="AG1003" s="838"/>
      <c r="AH1003" s="866" t="s">
        <v>7709</v>
      </c>
      <c r="AI1003" s="273" t="s">
        <v>7710</v>
      </c>
      <c r="AJ1003" s="847">
        <v>6</v>
      </c>
      <c r="AK1003" s="286" t="s">
        <v>7711</v>
      </c>
      <c r="AL1003" s="867"/>
      <c r="AM1003" s="273"/>
      <c r="AN1003" s="847"/>
      <c r="AO1003" s="848"/>
      <c r="AP1003" s="867" t="s">
        <v>1160</v>
      </c>
      <c r="AQ1003" s="273" t="s">
        <v>1161</v>
      </c>
      <c r="AR1003" s="847">
        <v>7</v>
      </c>
      <c r="AS1003" s="848" t="s">
        <v>1162</v>
      </c>
      <c r="AT1003" s="867"/>
      <c r="AU1003" s="273"/>
      <c r="AV1003" s="847"/>
      <c r="AW1003" s="848"/>
      <c r="AX1003" s="867"/>
      <c r="AY1003" s="273"/>
      <c r="AZ1003" s="847"/>
      <c r="BA1003" s="848"/>
      <c r="BB1003" s="866"/>
      <c r="BC1003" s="273"/>
      <c r="BD1003" s="847"/>
      <c r="BE1003" s="848"/>
      <c r="BF1003" s="838"/>
    </row>
    <row r="1004" spans="1:58" s="87" customFormat="1" ht="54" hidden="1" customHeight="1" x14ac:dyDescent="0.25">
      <c r="A1004" s="267" t="s">
        <v>7374</v>
      </c>
      <c r="B1004" s="268">
        <v>106</v>
      </c>
      <c r="C1004" s="240" t="s">
        <v>1955</v>
      </c>
      <c r="D1004" s="270" t="s">
        <v>1956</v>
      </c>
      <c r="E1004" s="268" t="s">
        <v>7712</v>
      </c>
      <c r="F1004" s="861" t="s">
        <v>3912</v>
      </c>
      <c r="G1004" s="269" t="s">
        <v>3913</v>
      </c>
      <c r="H1004" s="845" t="s">
        <v>3912</v>
      </c>
      <c r="I1004" s="269" t="s">
        <v>3913</v>
      </c>
      <c r="J1004" s="296" t="s">
        <v>140</v>
      </c>
      <c r="K1004" s="297" t="s">
        <v>140</v>
      </c>
      <c r="L1004" s="862" t="s">
        <v>3914</v>
      </c>
      <c r="M1004" s="206" t="s">
        <v>973</v>
      </c>
      <c r="N1004" s="270" t="s">
        <v>974</v>
      </c>
      <c r="O1004" s="240" t="s">
        <v>144</v>
      </c>
      <c r="P1004" s="240" t="s">
        <v>144</v>
      </c>
      <c r="Q1004" s="845" t="s">
        <v>3915</v>
      </c>
      <c r="R1004" s="208" t="s">
        <v>7713</v>
      </c>
      <c r="S1004" s="181" t="s">
        <v>233</v>
      </c>
      <c r="T1004" s="212" t="s">
        <v>234</v>
      </c>
      <c r="U1004" s="213" t="s">
        <v>235</v>
      </c>
      <c r="V1004" s="847">
        <v>8</v>
      </c>
      <c r="W1004" s="415" t="s">
        <v>144</v>
      </c>
      <c r="X1004" s="212">
        <v>41</v>
      </c>
      <c r="Y1004" s="212" t="s">
        <v>144</v>
      </c>
      <c r="Z1004" s="212" t="s">
        <v>144</v>
      </c>
      <c r="AA1004" s="240" t="s">
        <v>1967</v>
      </c>
      <c r="AB1004" s="206" t="s">
        <v>140</v>
      </c>
      <c r="AC1004" s="847" t="s">
        <v>265</v>
      </c>
      <c r="AD1004" s="847" t="s">
        <v>144</v>
      </c>
      <c r="AE1004" s="847" t="s">
        <v>144</v>
      </c>
      <c r="AF1004" s="848" t="s">
        <v>144</v>
      </c>
      <c r="AG1004" s="838"/>
      <c r="AH1004" s="866" t="s">
        <v>7714</v>
      </c>
      <c r="AI1004" s="273" t="s">
        <v>7715</v>
      </c>
      <c r="AJ1004" s="847">
        <v>6</v>
      </c>
      <c r="AK1004" s="286" t="s">
        <v>7716</v>
      </c>
      <c r="AL1004" s="867"/>
      <c r="AM1004" s="273"/>
      <c r="AN1004" s="847"/>
      <c r="AO1004" s="848"/>
      <c r="AP1004" s="867"/>
      <c r="AQ1004" s="273"/>
      <c r="AR1004" s="847"/>
      <c r="AS1004" s="848"/>
      <c r="AT1004" s="867"/>
      <c r="AU1004" s="273"/>
      <c r="AV1004" s="847"/>
      <c r="AW1004" s="848"/>
      <c r="AX1004" s="867"/>
      <c r="AY1004" s="273"/>
      <c r="AZ1004" s="847"/>
      <c r="BA1004" s="848"/>
      <c r="BB1004" s="866"/>
      <c r="BC1004" s="273"/>
      <c r="BD1004" s="847"/>
      <c r="BE1004" s="848"/>
      <c r="BF1004" s="838"/>
    </row>
    <row r="1005" spans="1:58" s="87" customFormat="1" ht="54" hidden="1" customHeight="1" x14ac:dyDescent="0.25">
      <c r="A1005" s="267" t="s">
        <v>7374</v>
      </c>
      <c r="B1005" s="268">
        <v>107</v>
      </c>
      <c r="C1005" s="240" t="s">
        <v>1955</v>
      </c>
      <c r="D1005" s="270" t="s">
        <v>1956</v>
      </c>
      <c r="E1005" s="268" t="s">
        <v>7717</v>
      </c>
      <c r="F1005" s="861" t="s">
        <v>3921</v>
      </c>
      <c r="G1005" s="269" t="s">
        <v>3922</v>
      </c>
      <c r="H1005" s="845" t="s">
        <v>3923</v>
      </c>
      <c r="I1005" s="269" t="s">
        <v>3924</v>
      </c>
      <c r="J1005" s="296" t="s">
        <v>140</v>
      </c>
      <c r="K1005" s="297" t="s">
        <v>140</v>
      </c>
      <c r="L1005" s="862" t="s">
        <v>3925</v>
      </c>
      <c r="M1005" s="206" t="s">
        <v>973</v>
      </c>
      <c r="N1005" s="270" t="s">
        <v>974</v>
      </c>
      <c r="O1005" s="240" t="s">
        <v>144</v>
      </c>
      <c r="P1005" s="240" t="s">
        <v>144</v>
      </c>
      <c r="Q1005" s="845" t="s">
        <v>3926</v>
      </c>
      <c r="R1005" s="208" t="s">
        <v>7718</v>
      </c>
      <c r="S1005" s="181" t="s">
        <v>233</v>
      </c>
      <c r="T1005" s="212" t="s">
        <v>234</v>
      </c>
      <c r="U1005" s="213" t="s">
        <v>235</v>
      </c>
      <c r="V1005" s="847">
        <v>8</v>
      </c>
      <c r="W1005" s="415" t="s">
        <v>144</v>
      </c>
      <c r="X1005" s="212">
        <v>41</v>
      </c>
      <c r="Y1005" s="212" t="s">
        <v>144</v>
      </c>
      <c r="Z1005" s="212" t="s">
        <v>144</v>
      </c>
      <c r="AA1005" s="240" t="s">
        <v>1967</v>
      </c>
      <c r="AB1005" s="206" t="s">
        <v>140</v>
      </c>
      <c r="AC1005" s="847" t="s">
        <v>265</v>
      </c>
      <c r="AD1005" s="847" t="s">
        <v>144</v>
      </c>
      <c r="AE1005" s="847" t="s">
        <v>144</v>
      </c>
      <c r="AF1005" s="848" t="s">
        <v>144</v>
      </c>
      <c r="AG1005" s="838"/>
      <c r="AH1005" s="866" t="s">
        <v>7719</v>
      </c>
      <c r="AI1005" s="273" t="s">
        <v>7720</v>
      </c>
      <c r="AJ1005" s="847">
        <v>6</v>
      </c>
      <c r="AK1005" s="286" t="s">
        <v>7721</v>
      </c>
      <c r="AL1005" s="867"/>
      <c r="AM1005" s="273"/>
      <c r="AN1005" s="847"/>
      <c r="AO1005" s="848"/>
      <c r="AP1005" s="867"/>
      <c r="AQ1005" s="273"/>
      <c r="AR1005" s="847"/>
      <c r="AS1005" s="848"/>
      <c r="AT1005" s="867"/>
      <c r="AU1005" s="273"/>
      <c r="AV1005" s="847"/>
      <c r="AW1005" s="848"/>
      <c r="AX1005" s="867"/>
      <c r="AY1005" s="273"/>
      <c r="AZ1005" s="847"/>
      <c r="BA1005" s="848"/>
      <c r="BB1005" s="866"/>
      <c r="BC1005" s="273"/>
      <c r="BD1005" s="847"/>
      <c r="BE1005" s="848"/>
      <c r="BF1005" s="838"/>
    </row>
    <row r="1006" spans="1:58" s="87" customFormat="1" ht="54" hidden="1" customHeight="1" x14ac:dyDescent="0.25">
      <c r="A1006" s="267" t="s">
        <v>7374</v>
      </c>
      <c r="B1006" s="268">
        <v>108</v>
      </c>
      <c r="C1006" s="240" t="s">
        <v>1955</v>
      </c>
      <c r="D1006" s="270" t="s">
        <v>1956</v>
      </c>
      <c r="E1006" s="268" t="s">
        <v>7722</v>
      </c>
      <c r="F1006" s="861" t="s">
        <v>3932</v>
      </c>
      <c r="G1006" s="269" t="s">
        <v>3933</v>
      </c>
      <c r="H1006" s="845" t="s">
        <v>3934</v>
      </c>
      <c r="I1006" s="269" t="s">
        <v>3935</v>
      </c>
      <c r="J1006" s="296" t="s">
        <v>140</v>
      </c>
      <c r="K1006" s="297" t="s">
        <v>140</v>
      </c>
      <c r="L1006" s="862" t="s">
        <v>3936</v>
      </c>
      <c r="M1006" s="206" t="s">
        <v>973</v>
      </c>
      <c r="N1006" s="270" t="s">
        <v>974</v>
      </c>
      <c r="O1006" s="240" t="s">
        <v>144</v>
      </c>
      <c r="P1006" s="240" t="s">
        <v>144</v>
      </c>
      <c r="Q1006" s="845" t="s">
        <v>144</v>
      </c>
      <c r="R1006" s="208" t="s">
        <v>144</v>
      </c>
      <c r="S1006" s="181" t="s">
        <v>233</v>
      </c>
      <c r="T1006" s="212" t="s">
        <v>234</v>
      </c>
      <c r="U1006" s="213" t="s">
        <v>235</v>
      </c>
      <c r="V1006" s="847">
        <v>8</v>
      </c>
      <c r="W1006" s="415" t="s">
        <v>144</v>
      </c>
      <c r="X1006" s="212">
        <v>41</v>
      </c>
      <c r="Y1006" s="212" t="s">
        <v>144</v>
      </c>
      <c r="Z1006" s="212" t="s">
        <v>144</v>
      </c>
      <c r="AA1006" s="240" t="s">
        <v>3947</v>
      </c>
      <c r="AB1006" s="206" t="s">
        <v>140</v>
      </c>
      <c r="AC1006" s="847" t="s">
        <v>265</v>
      </c>
      <c r="AD1006" s="847" t="s">
        <v>144</v>
      </c>
      <c r="AE1006" s="847" t="s">
        <v>144</v>
      </c>
      <c r="AF1006" s="848" t="s">
        <v>144</v>
      </c>
      <c r="AG1006" s="838"/>
      <c r="AH1006" s="866" t="s">
        <v>7723</v>
      </c>
      <c r="AI1006" s="273" t="s">
        <v>7724</v>
      </c>
      <c r="AJ1006" s="847">
        <v>6</v>
      </c>
      <c r="AK1006" s="848" t="s">
        <v>7725</v>
      </c>
      <c r="AL1006" s="867"/>
      <c r="AM1006" s="273"/>
      <c r="AN1006" s="847"/>
      <c r="AO1006" s="848"/>
      <c r="AP1006" s="867" t="s">
        <v>1160</v>
      </c>
      <c r="AQ1006" s="273" t="s">
        <v>1161</v>
      </c>
      <c r="AR1006" s="847">
        <v>7</v>
      </c>
      <c r="AS1006" s="848" t="s">
        <v>1162</v>
      </c>
      <c r="AT1006" s="867"/>
      <c r="AU1006" s="273"/>
      <c r="AV1006" s="847"/>
      <c r="AW1006" s="848"/>
      <c r="AX1006" s="867"/>
      <c r="AY1006" s="273"/>
      <c r="AZ1006" s="847"/>
      <c r="BA1006" s="848"/>
      <c r="BB1006" s="866"/>
      <c r="BC1006" s="273"/>
      <c r="BD1006" s="847"/>
      <c r="BE1006" s="848"/>
      <c r="BF1006" s="838"/>
    </row>
    <row r="1007" spans="1:58" s="87" customFormat="1" ht="54" hidden="1" customHeight="1" x14ac:dyDescent="0.25">
      <c r="A1007" s="267" t="s">
        <v>7374</v>
      </c>
      <c r="B1007" s="268">
        <v>109</v>
      </c>
      <c r="C1007" s="240" t="s">
        <v>1955</v>
      </c>
      <c r="D1007" s="270" t="s">
        <v>1956</v>
      </c>
      <c r="E1007" s="268" t="s">
        <v>7726</v>
      </c>
      <c r="F1007" s="861" t="s">
        <v>3942</v>
      </c>
      <c r="G1007" s="269" t="s">
        <v>3943</v>
      </c>
      <c r="H1007" s="845" t="s">
        <v>3944</v>
      </c>
      <c r="I1007" s="269" t="s">
        <v>3945</v>
      </c>
      <c r="J1007" s="296" t="s">
        <v>140</v>
      </c>
      <c r="K1007" s="297" t="s">
        <v>140</v>
      </c>
      <c r="L1007" s="862" t="s">
        <v>3946</v>
      </c>
      <c r="M1007" s="206" t="s">
        <v>973</v>
      </c>
      <c r="N1007" s="270" t="s">
        <v>974</v>
      </c>
      <c r="O1007" s="240" t="s">
        <v>144</v>
      </c>
      <c r="P1007" s="240" t="s">
        <v>144</v>
      </c>
      <c r="Q1007" s="845" t="s">
        <v>144</v>
      </c>
      <c r="R1007" s="208" t="s">
        <v>144</v>
      </c>
      <c r="S1007" s="181" t="s">
        <v>233</v>
      </c>
      <c r="T1007" s="212" t="s">
        <v>234</v>
      </c>
      <c r="U1007" s="213" t="s">
        <v>235</v>
      </c>
      <c r="V1007" s="847">
        <v>8</v>
      </c>
      <c r="W1007" s="415" t="s">
        <v>144</v>
      </c>
      <c r="X1007" s="212">
        <v>41</v>
      </c>
      <c r="Y1007" s="212" t="s">
        <v>144</v>
      </c>
      <c r="Z1007" s="212" t="s">
        <v>144</v>
      </c>
      <c r="AA1007" s="240" t="s">
        <v>3947</v>
      </c>
      <c r="AB1007" s="206" t="s">
        <v>140</v>
      </c>
      <c r="AC1007" s="847" t="s">
        <v>265</v>
      </c>
      <c r="AD1007" s="847" t="s">
        <v>144</v>
      </c>
      <c r="AE1007" s="847" t="s">
        <v>144</v>
      </c>
      <c r="AF1007" s="848" t="s">
        <v>144</v>
      </c>
      <c r="AG1007" s="838"/>
      <c r="AH1007" s="866" t="s">
        <v>7723</v>
      </c>
      <c r="AI1007" s="273" t="s">
        <v>7724</v>
      </c>
      <c r="AJ1007" s="847">
        <v>6</v>
      </c>
      <c r="AK1007" s="848" t="s">
        <v>7725</v>
      </c>
      <c r="AL1007" s="867"/>
      <c r="AM1007" s="273"/>
      <c r="AN1007" s="847"/>
      <c r="AO1007" s="848"/>
      <c r="AP1007" s="867"/>
      <c r="AQ1007" s="273"/>
      <c r="AR1007" s="847"/>
      <c r="AS1007" s="848"/>
      <c r="AT1007" s="867" t="s">
        <v>7727</v>
      </c>
      <c r="AU1007" s="273" t="s">
        <v>7728</v>
      </c>
      <c r="AV1007" s="847">
        <v>7</v>
      </c>
      <c r="AW1007" s="286" t="s">
        <v>7729</v>
      </c>
      <c r="AX1007" s="867"/>
      <c r="AY1007" s="273"/>
      <c r="AZ1007" s="847"/>
      <c r="BA1007" s="848"/>
      <c r="BB1007" s="866"/>
      <c r="BC1007" s="273"/>
      <c r="BD1007" s="847"/>
      <c r="BE1007" s="848"/>
      <c r="BF1007" s="838"/>
    </row>
    <row r="1008" spans="1:58" s="87" customFormat="1" ht="54" hidden="1" customHeight="1" x14ac:dyDescent="0.25">
      <c r="A1008" s="267" t="s">
        <v>7374</v>
      </c>
      <c r="B1008" s="268">
        <v>110</v>
      </c>
      <c r="C1008" s="240" t="s">
        <v>1955</v>
      </c>
      <c r="D1008" s="270" t="s">
        <v>1956</v>
      </c>
      <c r="E1008" s="268" t="s">
        <v>7730</v>
      </c>
      <c r="F1008" s="861" t="s">
        <v>3953</v>
      </c>
      <c r="G1008" s="269" t="s">
        <v>3954</v>
      </c>
      <c r="H1008" s="845" t="s">
        <v>3955</v>
      </c>
      <c r="I1008" s="269" t="s">
        <v>3956</v>
      </c>
      <c r="J1008" s="296" t="s">
        <v>140</v>
      </c>
      <c r="K1008" s="297" t="s">
        <v>140</v>
      </c>
      <c r="L1008" s="862" t="s">
        <v>3957</v>
      </c>
      <c r="M1008" s="206" t="s">
        <v>973</v>
      </c>
      <c r="N1008" s="270" t="s">
        <v>974</v>
      </c>
      <c r="O1008" s="240" t="s">
        <v>144</v>
      </c>
      <c r="P1008" s="240" t="s">
        <v>144</v>
      </c>
      <c r="Q1008" s="845" t="s">
        <v>144</v>
      </c>
      <c r="R1008" s="208" t="s">
        <v>144</v>
      </c>
      <c r="S1008" s="181" t="s">
        <v>233</v>
      </c>
      <c r="T1008" s="212" t="s">
        <v>234</v>
      </c>
      <c r="U1008" s="213" t="s">
        <v>235</v>
      </c>
      <c r="V1008" s="847">
        <v>8</v>
      </c>
      <c r="W1008" s="415" t="s">
        <v>144</v>
      </c>
      <c r="X1008" s="212">
        <v>41</v>
      </c>
      <c r="Y1008" s="212" t="s">
        <v>144</v>
      </c>
      <c r="Z1008" s="212" t="s">
        <v>144</v>
      </c>
      <c r="AA1008" s="240" t="s">
        <v>3947</v>
      </c>
      <c r="AB1008" s="206" t="s">
        <v>140</v>
      </c>
      <c r="AC1008" s="847" t="s">
        <v>265</v>
      </c>
      <c r="AD1008" s="847" t="s">
        <v>144</v>
      </c>
      <c r="AE1008" s="847" t="s">
        <v>144</v>
      </c>
      <c r="AF1008" s="848" t="s">
        <v>144</v>
      </c>
      <c r="AG1008" s="838"/>
      <c r="AH1008" s="866" t="s">
        <v>7731</v>
      </c>
      <c r="AI1008" s="273" t="s">
        <v>7732</v>
      </c>
      <c r="AJ1008" s="847">
        <v>6</v>
      </c>
      <c r="AK1008" s="848" t="s">
        <v>7733</v>
      </c>
      <c r="AL1008" s="867"/>
      <c r="AM1008" s="273"/>
      <c r="AN1008" s="847"/>
      <c r="AO1008" s="848"/>
      <c r="AP1008" s="867" t="s">
        <v>1160</v>
      </c>
      <c r="AQ1008" s="273" t="s">
        <v>1161</v>
      </c>
      <c r="AR1008" s="847">
        <v>7</v>
      </c>
      <c r="AS1008" s="848" t="s">
        <v>1162</v>
      </c>
      <c r="AT1008" s="867"/>
      <c r="AU1008" s="273"/>
      <c r="AV1008" s="847"/>
      <c r="AW1008" s="848"/>
      <c r="AX1008" s="867"/>
      <c r="AY1008" s="273"/>
      <c r="AZ1008" s="847"/>
      <c r="BA1008" s="848"/>
      <c r="BB1008" s="866"/>
      <c r="BC1008" s="273"/>
      <c r="BD1008" s="847"/>
      <c r="BE1008" s="848"/>
      <c r="BF1008" s="838"/>
    </row>
    <row r="1009" spans="1:58" s="87" customFormat="1" ht="54" hidden="1" customHeight="1" x14ac:dyDescent="0.25">
      <c r="A1009" s="267" t="s">
        <v>7374</v>
      </c>
      <c r="B1009" s="268">
        <v>111</v>
      </c>
      <c r="C1009" s="240" t="s">
        <v>1955</v>
      </c>
      <c r="D1009" s="270" t="s">
        <v>1956</v>
      </c>
      <c r="E1009" s="268" t="s">
        <v>7734</v>
      </c>
      <c r="F1009" s="861" t="s">
        <v>3963</v>
      </c>
      <c r="G1009" s="269" t="s">
        <v>3964</v>
      </c>
      <c r="H1009" s="845" t="s">
        <v>3965</v>
      </c>
      <c r="I1009" s="269" t="s">
        <v>3966</v>
      </c>
      <c r="J1009" s="296" t="s">
        <v>140</v>
      </c>
      <c r="K1009" s="297" t="s">
        <v>140</v>
      </c>
      <c r="L1009" s="862" t="s">
        <v>3967</v>
      </c>
      <c r="M1009" s="206" t="s">
        <v>973</v>
      </c>
      <c r="N1009" s="270" t="s">
        <v>974</v>
      </c>
      <c r="O1009" s="240" t="s">
        <v>144</v>
      </c>
      <c r="P1009" s="240" t="s">
        <v>144</v>
      </c>
      <c r="Q1009" s="845" t="s">
        <v>144</v>
      </c>
      <c r="R1009" s="208" t="s">
        <v>144</v>
      </c>
      <c r="S1009" s="181" t="s">
        <v>233</v>
      </c>
      <c r="T1009" s="212" t="s">
        <v>234</v>
      </c>
      <c r="U1009" s="213" t="s">
        <v>235</v>
      </c>
      <c r="V1009" s="847">
        <v>8</v>
      </c>
      <c r="W1009" s="415" t="s">
        <v>144</v>
      </c>
      <c r="X1009" s="212">
        <v>41</v>
      </c>
      <c r="Y1009" s="212" t="s">
        <v>144</v>
      </c>
      <c r="Z1009" s="212" t="s">
        <v>144</v>
      </c>
      <c r="AA1009" s="240" t="s">
        <v>3968</v>
      </c>
      <c r="AB1009" s="206" t="s">
        <v>140</v>
      </c>
      <c r="AC1009" s="847" t="s">
        <v>265</v>
      </c>
      <c r="AD1009" s="847" t="s">
        <v>144</v>
      </c>
      <c r="AE1009" s="847" t="s">
        <v>144</v>
      </c>
      <c r="AF1009" s="848" t="s">
        <v>144</v>
      </c>
      <c r="AG1009" s="838"/>
      <c r="AH1009" s="866" t="s">
        <v>7731</v>
      </c>
      <c r="AI1009" s="273" t="s">
        <v>7732</v>
      </c>
      <c r="AJ1009" s="847">
        <v>6</v>
      </c>
      <c r="AK1009" s="848" t="s">
        <v>7733</v>
      </c>
      <c r="AL1009" s="867"/>
      <c r="AM1009" s="273"/>
      <c r="AN1009" s="847"/>
      <c r="AO1009" s="848"/>
      <c r="AP1009" s="867"/>
      <c r="AQ1009" s="273"/>
      <c r="AR1009" s="847"/>
      <c r="AS1009" s="848"/>
      <c r="AT1009" s="867" t="s">
        <v>7735</v>
      </c>
      <c r="AU1009" s="273" t="s">
        <v>7736</v>
      </c>
      <c r="AV1009" s="847">
        <v>7</v>
      </c>
      <c r="AW1009" s="286" t="s">
        <v>7737</v>
      </c>
      <c r="AX1009" s="867"/>
      <c r="AY1009" s="273"/>
      <c r="AZ1009" s="847"/>
      <c r="BA1009" s="848"/>
      <c r="BB1009" s="866"/>
      <c r="BC1009" s="273"/>
      <c r="BD1009" s="847"/>
      <c r="BE1009" s="848"/>
      <c r="BF1009" s="838"/>
    </row>
    <row r="1010" spans="1:58" s="87" customFormat="1" ht="54" hidden="1" customHeight="1" x14ac:dyDescent="0.25">
      <c r="A1010" s="267" t="s">
        <v>7374</v>
      </c>
      <c r="B1010" s="268">
        <v>112</v>
      </c>
      <c r="C1010" s="240" t="s">
        <v>1955</v>
      </c>
      <c r="D1010" s="270" t="s">
        <v>1956</v>
      </c>
      <c r="E1010" s="268" t="s">
        <v>7738</v>
      </c>
      <c r="F1010" s="861" t="s">
        <v>3973</v>
      </c>
      <c r="G1010" s="269" t="s">
        <v>3974</v>
      </c>
      <c r="H1010" s="845" t="s">
        <v>3975</v>
      </c>
      <c r="I1010" s="269" t="s">
        <v>3976</v>
      </c>
      <c r="J1010" s="296" t="s">
        <v>140</v>
      </c>
      <c r="K1010" s="297" t="s">
        <v>140</v>
      </c>
      <c r="L1010" s="862" t="s">
        <v>3977</v>
      </c>
      <c r="M1010" s="206" t="s">
        <v>973</v>
      </c>
      <c r="N1010" s="270" t="s">
        <v>974</v>
      </c>
      <c r="O1010" s="240" t="s">
        <v>144</v>
      </c>
      <c r="P1010" s="240" t="s">
        <v>144</v>
      </c>
      <c r="Q1010" s="845" t="s">
        <v>144</v>
      </c>
      <c r="R1010" s="208" t="s">
        <v>144</v>
      </c>
      <c r="S1010" s="181" t="s">
        <v>233</v>
      </c>
      <c r="T1010" s="212" t="s">
        <v>234</v>
      </c>
      <c r="U1010" s="213" t="s">
        <v>235</v>
      </c>
      <c r="V1010" s="847">
        <v>8</v>
      </c>
      <c r="W1010" s="415" t="s">
        <v>144</v>
      </c>
      <c r="X1010" s="212">
        <v>41</v>
      </c>
      <c r="Y1010" s="212" t="s">
        <v>144</v>
      </c>
      <c r="Z1010" s="212" t="s">
        <v>144</v>
      </c>
      <c r="AA1010" s="240" t="s">
        <v>3947</v>
      </c>
      <c r="AB1010" s="206" t="s">
        <v>140</v>
      </c>
      <c r="AC1010" s="847" t="s">
        <v>265</v>
      </c>
      <c r="AD1010" s="847" t="s">
        <v>144</v>
      </c>
      <c r="AE1010" s="847" t="s">
        <v>144</v>
      </c>
      <c r="AF1010" s="848" t="s">
        <v>144</v>
      </c>
      <c r="AG1010" s="838"/>
      <c r="AH1010" s="866" t="s">
        <v>7739</v>
      </c>
      <c r="AI1010" s="273" t="s">
        <v>7740</v>
      </c>
      <c r="AJ1010" s="847">
        <v>6</v>
      </c>
      <c r="AK1010" s="286" t="s">
        <v>7741</v>
      </c>
      <c r="AL1010" s="867"/>
      <c r="AM1010" s="273"/>
      <c r="AN1010" s="847"/>
      <c r="AO1010" s="848"/>
      <c r="AP1010" s="867"/>
      <c r="AQ1010" s="273"/>
      <c r="AR1010" s="847"/>
      <c r="AS1010" s="848"/>
      <c r="AT1010" s="867"/>
      <c r="AU1010" s="273"/>
      <c r="AV1010" s="847"/>
      <c r="AW1010" s="848"/>
      <c r="AX1010" s="867"/>
      <c r="AY1010" s="273"/>
      <c r="AZ1010" s="847"/>
      <c r="BA1010" s="848"/>
      <c r="BB1010" s="866"/>
      <c r="BC1010" s="273"/>
      <c r="BD1010" s="847"/>
      <c r="BE1010" s="848"/>
      <c r="BF1010" s="838"/>
    </row>
    <row r="1011" spans="1:58" s="87" customFormat="1" ht="54" hidden="1" customHeight="1" x14ac:dyDescent="0.25">
      <c r="A1011" s="267" t="s">
        <v>7374</v>
      </c>
      <c r="B1011" s="268">
        <v>113</v>
      </c>
      <c r="C1011" s="240" t="s">
        <v>1955</v>
      </c>
      <c r="D1011" s="270" t="s">
        <v>1956</v>
      </c>
      <c r="E1011" s="268" t="s">
        <v>7742</v>
      </c>
      <c r="F1011" s="861" t="s">
        <v>3982</v>
      </c>
      <c r="G1011" s="269" t="s">
        <v>3983</v>
      </c>
      <c r="H1011" s="845" t="s">
        <v>3984</v>
      </c>
      <c r="I1011" s="269" t="s">
        <v>3985</v>
      </c>
      <c r="J1011" s="296" t="s">
        <v>140</v>
      </c>
      <c r="K1011" s="297" t="s">
        <v>140</v>
      </c>
      <c r="L1011" s="862" t="s">
        <v>3986</v>
      </c>
      <c r="M1011" s="847" t="s">
        <v>193</v>
      </c>
      <c r="N1011" s="270" t="s">
        <v>194</v>
      </c>
      <c r="O1011" s="240" t="s">
        <v>144</v>
      </c>
      <c r="P1011" s="240" t="s">
        <v>144</v>
      </c>
      <c r="Q1011" s="845" t="s">
        <v>7743</v>
      </c>
      <c r="R1011" s="208" t="s">
        <v>7744</v>
      </c>
      <c r="S1011" s="181" t="s">
        <v>233</v>
      </c>
      <c r="T1011" s="212" t="s">
        <v>234</v>
      </c>
      <c r="U1011" s="213" t="s">
        <v>235</v>
      </c>
      <c r="V1011" s="847">
        <v>8</v>
      </c>
      <c r="W1011" s="415" t="s">
        <v>144</v>
      </c>
      <c r="X1011" s="212">
        <v>41</v>
      </c>
      <c r="Y1011" s="212" t="s">
        <v>144</v>
      </c>
      <c r="Z1011" s="212" t="s">
        <v>144</v>
      </c>
      <c r="AA1011" s="240" t="s">
        <v>3947</v>
      </c>
      <c r="AB1011" s="206" t="s">
        <v>140</v>
      </c>
      <c r="AC1011" s="847" t="s">
        <v>265</v>
      </c>
      <c r="AD1011" s="847" t="s">
        <v>144</v>
      </c>
      <c r="AE1011" s="847" t="s">
        <v>144</v>
      </c>
      <c r="AF1011" s="848" t="s">
        <v>144</v>
      </c>
      <c r="AG1011" s="838"/>
      <c r="AH1011" s="866"/>
      <c r="AI1011" s="273"/>
      <c r="AJ1011" s="847"/>
      <c r="AK1011" s="848"/>
      <c r="AL1011" s="867"/>
      <c r="AM1011" s="273"/>
      <c r="AN1011" s="847"/>
      <c r="AO1011" s="848"/>
      <c r="AP1011" s="867"/>
      <c r="AQ1011" s="273"/>
      <c r="AR1011" s="847"/>
      <c r="AS1011" s="848"/>
      <c r="AT1011" s="867"/>
      <c r="AU1011" s="273"/>
      <c r="AV1011" s="847"/>
      <c r="AW1011" s="848"/>
      <c r="AX1011" s="867"/>
      <c r="AY1011" s="273"/>
      <c r="AZ1011" s="847"/>
      <c r="BA1011" s="848"/>
      <c r="BB1011" s="866"/>
      <c r="BC1011" s="273"/>
      <c r="BD1011" s="847"/>
      <c r="BE1011" s="848"/>
      <c r="BF1011" s="838"/>
    </row>
    <row r="1012" spans="1:58" s="87" customFormat="1" ht="54" hidden="1" customHeight="1" x14ac:dyDescent="0.25">
      <c r="A1012" s="267" t="s">
        <v>7374</v>
      </c>
      <c r="B1012" s="268">
        <v>114</v>
      </c>
      <c r="C1012" s="240" t="s">
        <v>1955</v>
      </c>
      <c r="D1012" s="270" t="s">
        <v>1956</v>
      </c>
      <c r="E1012" s="298" t="s">
        <v>7745</v>
      </c>
      <c r="F1012" s="861" t="s">
        <v>3991</v>
      </c>
      <c r="G1012" s="269" t="s">
        <v>3992</v>
      </c>
      <c r="H1012" s="845" t="s">
        <v>3991</v>
      </c>
      <c r="I1012" s="269" t="s">
        <v>3992</v>
      </c>
      <c r="J1012" s="296" t="s">
        <v>140</v>
      </c>
      <c r="K1012" s="297" t="s">
        <v>140</v>
      </c>
      <c r="L1012" s="862" t="s">
        <v>3994</v>
      </c>
      <c r="M1012" s="206" t="s">
        <v>973</v>
      </c>
      <c r="N1012" s="270" t="s">
        <v>974</v>
      </c>
      <c r="O1012" s="240" t="s">
        <v>144</v>
      </c>
      <c r="P1012" s="240" t="s">
        <v>144</v>
      </c>
      <c r="Q1012" s="845" t="s">
        <v>3995</v>
      </c>
      <c r="R1012" s="208" t="s">
        <v>7746</v>
      </c>
      <c r="S1012" s="181" t="s">
        <v>233</v>
      </c>
      <c r="T1012" s="212" t="s">
        <v>234</v>
      </c>
      <c r="U1012" s="213" t="s">
        <v>235</v>
      </c>
      <c r="V1012" s="847">
        <v>8</v>
      </c>
      <c r="W1012" s="415" t="s">
        <v>144</v>
      </c>
      <c r="X1012" s="212">
        <v>42</v>
      </c>
      <c r="Y1012" s="212" t="s">
        <v>144</v>
      </c>
      <c r="Z1012" s="212" t="s">
        <v>144</v>
      </c>
      <c r="AA1012" s="240" t="s">
        <v>7747</v>
      </c>
      <c r="AB1012" s="206" t="s">
        <v>140</v>
      </c>
      <c r="AC1012" s="847" t="s">
        <v>265</v>
      </c>
      <c r="AD1012" s="847" t="s">
        <v>144</v>
      </c>
      <c r="AE1012" s="847" t="s">
        <v>144</v>
      </c>
      <c r="AF1012" s="848" t="s">
        <v>144</v>
      </c>
      <c r="AG1012" s="838"/>
      <c r="AH1012" s="866" t="s">
        <v>7748</v>
      </c>
      <c r="AI1012" s="273" t="s">
        <v>7749</v>
      </c>
      <c r="AJ1012" s="240">
        <v>6</v>
      </c>
      <c r="AK1012" s="286" t="s">
        <v>7750</v>
      </c>
      <c r="AL1012" s="867"/>
      <c r="AM1012" s="273"/>
      <c r="AN1012" s="847"/>
      <c r="AO1012" s="848"/>
      <c r="AP1012" s="867" t="s">
        <v>1160</v>
      </c>
      <c r="AQ1012" s="273" t="s">
        <v>1161</v>
      </c>
      <c r="AR1012" s="847">
        <v>7</v>
      </c>
      <c r="AS1012" s="848" t="s">
        <v>1162</v>
      </c>
      <c r="AT1012" s="867" t="s">
        <v>7751</v>
      </c>
      <c r="AU1012" s="273" t="s">
        <v>7752</v>
      </c>
      <c r="AV1012" s="900">
        <v>6</v>
      </c>
      <c r="AW1012" s="848" t="s">
        <v>7753</v>
      </c>
      <c r="AX1012" s="867"/>
      <c r="AY1012" s="273"/>
      <c r="AZ1012" s="847"/>
      <c r="BA1012" s="848"/>
      <c r="BB1012" s="866"/>
      <c r="BC1012" s="273"/>
      <c r="BD1012" s="847"/>
      <c r="BE1012" s="848"/>
      <c r="BF1012" s="838"/>
    </row>
    <row r="1013" spans="1:58" s="55" customFormat="1" ht="54" hidden="1" customHeight="1" x14ac:dyDescent="0.25">
      <c r="A1013" s="275" t="s">
        <v>7374</v>
      </c>
      <c r="B1013" s="276">
        <v>115</v>
      </c>
      <c r="C1013" s="253" t="s">
        <v>1955</v>
      </c>
      <c r="D1013" s="253" t="s">
        <v>1956</v>
      </c>
      <c r="E1013" s="276" t="s">
        <v>7754</v>
      </c>
      <c r="F1013" s="277" t="s">
        <v>4005</v>
      </c>
      <c r="G1013" s="277" t="s">
        <v>4006</v>
      </c>
      <c r="H1013" s="218" t="s">
        <v>336</v>
      </c>
      <c r="I1013" s="218" t="s">
        <v>337</v>
      </c>
      <c r="J1013" s="278" t="s">
        <v>144</v>
      </c>
      <c r="K1013" s="278" t="s">
        <v>144</v>
      </c>
      <c r="L1013" s="718" t="s">
        <v>4007</v>
      </c>
      <c r="M1013" s="253" t="s">
        <v>144</v>
      </c>
      <c r="N1013" s="253" t="s">
        <v>144</v>
      </c>
      <c r="O1013" s="253" t="s">
        <v>144</v>
      </c>
      <c r="P1013" s="253" t="s">
        <v>144</v>
      </c>
      <c r="Q1013" s="311" t="s">
        <v>338</v>
      </c>
      <c r="R1013" s="218" t="s">
        <v>339</v>
      </c>
      <c r="S1013" s="276" t="s">
        <v>147</v>
      </c>
      <c r="T1013" s="221" t="s">
        <v>144</v>
      </c>
      <c r="U1013" s="221" t="s">
        <v>144</v>
      </c>
      <c r="V1013" s="253">
        <v>2</v>
      </c>
      <c r="W1013" s="217" t="s">
        <v>144</v>
      </c>
      <c r="X1013" s="221">
        <v>42</v>
      </c>
      <c r="Y1013" s="221" t="s">
        <v>144</v>
      </c>
      <c r="Z1013" s="221" t="s">
        <v>144</v>
      </c>
      <c r="AA1013" s="253" t="s">
        <v>144</v>
      </c>
      <c r="AB1013" s="217" t="s">
        <v>144</v>
      </c>
      <c r="AC1013" s="253" t="s">
        <v>265</v>
      </c>
      <c r="AD1013" s="253" t="s">
        <v>144</v>
      </c>
      <c r="AE1013" s="253" t="s">
        <v>144</v>
      </c>
      <c r="AF1013" s="254" t="s">
        <v>144</v>
      </c>
      <c r="AG1013" s="838"/>
      <c r="AH1013" s="280"/>
      <c r="AI1013" s="281"/>
      <c r="AJ1013" s="253"/>
      <c r="AK1013" s="254"/>
      <c r="AL1013" s="281"/>
      <c r="AM1013" s="281"/>
      <c r="AN1013" s="253"/>
      <c r="AO1013" s="254"/>
      <c r="AP1013" s="281"/>
      <c r="AQ1013" s="281"/>
      <c r="AR1013" s="253"/>
      <c r="AS1013" s="254"/>
      <c r="AT1013" s="281"/>
      <c r="AU1013" s="281"/>
      <c r="AV1013" s="253"/>
      <c r="AW1013" s="254"/>
      <c r="AX1013" s="281"/>
      <c r="AY1013" s="281"/>
      <c r="AZ1013" s="253"/>
      <c r="BA1013" s="254"/>
      <c r="BB1013" s="280"/>
      <c r="BC1013" s="281"/>
      <c r="BD1013" s="253"/>
      <c r="BE1013" s="254"/>
      <c r="BF1013" s="838"/>
    </row>
    <row r="1014" spans="1:58" s="87" customFormat="1" ht="54" hidden="1" customHeight="1" x14ac:dyDescent="0.25">
      <c r="A1014" s="267" t="s">
        <v>7374</v>
      </c>
      <c r="B1014" s="268">
        <v>116</v>
      </c>
      <c r="C1014" s="240" t="s">
        <v>1955</v>
      </c>
      <c r="D1014" s="270" t="s">
        <v>1956</v>
      </c>
      <c r="E1014" s="298" t="s">
        <v>7755</v>
      </c>
      <c r="F1014" s="863" t="s">
        <v>4009</v>
      </c>
      <c r="G1014" s="271" t="s">
        <v>4010</v>
      </c>
      <c r="H1014" s="845" t="s">
        <v>4011</v>
      </c>
      <c r="I1014" s="269" t="s">
        <v>4012</v>
      </c>
      <c r="J1014" s="296" t="s">
        <v>140</v>
      </c>
      <c r="K1014" s="297" t="s">
        <v>140</v>
      </c>
      <c r="L1014" s="862" t="s">
        <v>4013</v>
      </c>
      <c r="M1014" s="206" t="s">
        <v>973</v>
      </c>
      <c r="N1014" s="270" t="s">
        <v>974</v>
      </c>
      <c r="O1014" s="240" t="s">
        <v>144</v>
      </c>
      <c r="P1014" s="240" t="s">
        <v>144</v>
      </c>
      <c r="Q1014" s="845" t="s">
        <v>144</v>
      </c>
      <c r="R1014" s="208" t="s">
        <v>144</v>
      </c>
      <c r="S1014" s="240" t="s">
        <v>746</v>
      </c>
      <c r="T1014" s="212" t="s">
        <v>144</v>
      </c>
      <c r="U1014" s="213" t="s">
        <v>144</v>
      </c>
      <c r="V1014" s="847">
        <v>2</v>
      </c>
      <c r="W1014" s="415" t="s">
        <v>144</v>
      </c>
      <c r="X1014" s="212">
        <v>43</v>
      </c>
      <c r="Y1014" s="212" t="s">
        <v>144</v>
      </c>
      <c r="Z1014" s="214" t="s">
        <v>144</v>
      </c>
      <c r="AA1014" s="240" t="s">
        <v>148</v>
      </c>
      <c r="AB1014" s="206" t="s">
        <v>140</v>
      </c>
      <c r="AC1014" s="847" t="s">
        <v>265</v>
      </c>
      <c r="AD1014" s="847" t="s">
        <v>144</v>
      </c>
      <c r="AE1014" s="847" t="s">
        <v>144</v>
      </c>
      <c r="AF1014" s="848" t="s">
        <v>144</v>
      </c>
      <c r="AG1014" s="838"/>
      <c r="AH1014" s="866" t="s">
        <v>7756</v>
      </c>
      <c r="AI1014" s="273" t="s">
        <v>7757</v>
      </c>
      <c r="AJ1014" s="847">
        <v>6</v>
      </c>
      <c r="AK1014" s="848" t="s">
        <v>7758</v>
      </c>
      <c r="AL1014" s="867"/>
      <c r="AM1014" s="273"/>
      <c r="AN1014" s="847"/>
      <c r="AO1014" s="848"/>
      <c r="AP1014" s="867"/>
      <c r="AQ1014" s="273"/>
      <c r="AR1014" s="847"/>
      <c r="AS1014" s="848"/>
      <c r="AT1014" s="867"/>
      <c r="AU1014" s="273"/>
      <c r="AV1014" s="847"/>
      <c r="AW1014" s="848"/>
      <c r="AX1014" s="867"/>
      <c r="AY1014" s="273"/>
      <c r="AZ1014" s="847"/>
      <c r="BA1014" s="848"/>
      <c r="BB1014" s="866"/>
      <c r="BC1014" s="273"/>
      <c r="BD1014" s="847"/>
      <c r="BE1014" s="848"/>
      <c r="BF1014" s="838"/>
    </row>
    <row r="1015" spans="1:58" s="87" customFormat="1" ht="54" hidden="1" customHeight="1" x14ac:dyDescent="0.25">
      <c r="A1015" s="267" t="s">
        <v>7374</v>
      </c>
      <c r="B1015" s="268">
        <v>117</v>
      </c>
      <c r="C1015" s="240" t="s">
        <v>1955</v>
      </c>
      <c r="D1015" s="270" t="s">
        <v>1956</v>
      </c>
      <c r="E1015" s="298" t="s">
        <v>7759</v>
      </c>
      <c r="F1015" s="863" t="s">
        <v>4018</v>
      </c>
      <c r="G1015" s="271" t="s">
        <v>4019</v>
      </c>
      <c r="H1015" s="861" t="s">
        <v>4020</v>
      </c>
      <c r="I1015" s="269" t="s">
        <v>4021</v>
      </c>
      <c r="J1015" s="296" t="s">
        <v>140</v>
      </c>
      <c r="K1015" s="297" t="s">
        <v>140</v>
      </c>
      <c r="L1015" s="862" t="s">
        <v>4022</v>
      </c>
      <c r="M1015" s="206" t="s">
        <v>973</v>
      </c>
      <c r="N1015" s="270" t="s">
        <v>974</v>
      </c>
      <c r="O1015" s="240" t="s">
        <v>4023</v>
      </c>
      <c r="P1015" s="240" t="s">
        <v>4024</v>
      </c>
      <c r="Q1015" s="845" t="s">
        <v>144</v>
      </c>
      <c r="R1015" s="208" t="s">
        <v>144</v>
      </c>
      <c r="S1015" s="864" t="s">
        <v>147</v>
      </c>
      <c r="T1015" s="212" t="s">
        <v>144</v>
      </c>
      <c r="U1015" s="213" t="s">
        <v>144</v>
      </c>
      <c r="V1015" s="847">
        <v>2</v>
      </c>
      <c r="W1015" s="415" t="s">
        <v>144</v>
      </c>
      <c r="X1015" s="212">
        <v>43</v>
      </c>
      <c r="Y1015" s="212" t="s">
        <v>144</v>
      </c>
      <c r="Z1015" s="214" t="s">
        <v>144</v>
      </c>
      <c r="AA1015" s="343" t="s">
        <v>1440</v>
      </c>
      <c r="AB1015" s="206" t="s">
        <v>140</v>
      </c>
      <c r="AC1015" s="847" t="s">
        <v>265</v>
      </c>
      <c r="AD1015" s="847" t="s">
        <v>144</v>
      </c>
      <c r="AE1015" s="847" t="s">
        <v>144</v>
      </c>
      <c r="AF1015" s="848" t="s">
        <v>144</v>
      </c>
      <c r="AG1015" s="838"/>
      <c r="AH1015" s="866" t="s">
        <v>7756</v>
      </c>
      <c r="AI1015" s="273" t="s">
        <v>7757</v>
      </c>
      <c r="AJ1015" s="847">
        <v>5</v>
      </c>
      <c r="AK1015" s="848" t="s">
        <v>7758</v>
      </c>
      <c r="AL1015" s="875" t="s">
        <v>294</v>
      </c>
      <c r="AM1015" s="301" t="s">
        <v>295</v>
      </c>
      <c r="AN1015" s="847">
        <v>7</v>
      </c>
      <c r="AO1015" s="187" t="s">
        <v>966</v>
      </c>
      <c r="AP1015" s="867"/>
      <c r="AQ1015" s="273"/>
      <c r="AR1015" s="847"/>
      <c r="AS1015" s="848"/>
      <c r="AT1015" s="867"/>
      <c r="AU1015" s="273"/>
      <c r="AV1015" s="847"/>
      <c r="AW1015" s="848"/>
      <c r="AX1015" s="867"/>
      <c r="AY1015" s="273"/>
      <c r="AZ1015" s="847"/>
      <c r="BA1015" s="848"/>
      <c r="BB1015" s="866"/>
      <c r="BC1015" s="273"/>
      <c r="BD1015" s="847"/>
      <c r="BE1015" s="848"/>
      <c r="BF1015" s="838"/>
    </row>
    <row r="1016" spans="1:58" s="55" customFormat="1" ht="54" customHeight="1" x14ac:dyDescent="0.25">
      <c r="A1016" s="275" t="s">
        <v>7374</v>
      </c>
      <c r="B1016" s="276">
        <v>118</v>
      </c>
      <c r="C1016" s="253" t="s">
        <v>144</v>
      </c>
      <c r="D1016" s="253" t="s">
        <v>144</v>
      </c>
      <c r="E1016" s="276" t="s">
        <v>7760</v>
      </c>
      <c r="F1016" s="277" t="s">
        <v>251</v>
      </c>
      <c r="G1016" s="277" t="s">
        <v>251</v>
      </c>
      <c r="H1016" s="220" t="s">
        <v>336</v>
      </c>
      <c r="I1016" s="277" t="s">
        <v>337</v>
      </c>
      <c r="J1016" s="302" t="s">
        <v>144</v>
      </c>
      <c r="K1016" s="302" t="s">
        <v>144</v>
      </c>
      <c r="L1016" s="718" t="s">
        <v>4026</v>
      </c>
      <c r="M1016" s="253" t="s">
        <v>144</v>
      </c>
      <c r="N1016" s="253" t="s">
        <v>144</v>
      </c>
      <c r="O1016" s="253" t="s">
        <v>144</v>
      </c>
      <c r="P1016" s="253" t="s">
        <v>144</v>
      </c>
      <c r="Q1016" s="220" t="s">
        <v>338</v>
      </c>
      <c r="R1016" s="220" t="s">
        <v>339</v>
      </c>
      <c r="S1016" s="276" t="s">
        <v>147</v>
      </c>
      <c r="T1016" s="221" t="s">
        <v>144</v>
      </c>
      <c r="U1016" s="221" t="s">
        <v>144</v>
      </c>
      <c r="V1016" s="253">
        <v>2</v>
      </c>
      <c r="W1016" s="217" t="s">
        <v>144</v>
      </c>
      <c r="X1016" s="221" t="s">
        <v>144</v>
      </c>
      <c r="Y1016" s="221" t="s">
        <v>144</v>
      </c>
      <c r="Z1016" s="221" t="s">
        <v>144</v>
      </c>
      <c r="AA1016" s="253" t="s">
        <v>144</v>
      </c>
      <c r="AB1016" s="217" t="s">
        <v>144</v>
      </c>
      <c r="AC1016" s="253" t="s">
        <v>265</v>
      </c>
      <c r="AD1016" s="253" t="s">
        <v>144</v>
      </c>
      <c r="AE1016" s="253" t="s">
        <v>144</v>
      </c>
      <c r="AF1016" s="254" t="s">
        <v>144</v>
      </c>
      <c r="AG1016" s="838"/>
      <c r="AH1016" s="280"/>
      <c r="AI1016" s="281"/>
      <c r="AJ1016" s="253"/>
      <c r="AK1016" s="254"/>
      <c r="AL1016" s="281"/>
      <c r="AM1016" s="281"/>
      <c r="AN1016" s="253"/>
      <c r="AO1016" s="254"/>
      <c r="AP1016" s="281"/>
      <c r="AQ1016" s="281"/>
      <c r="AR1016" s="253"/>
      <c r="AS1016" s="254"/>
      <c r="AT1016" s="281"/>
      <c r="AU1016" s="281"/>
      <c r="AV1016" s="253"/>
      <c r="AW1016" s="254"/>
      <c r="AX1016" s="281"/>
      <c r="AY1016" s="281"/>
      <c r="AZ1016" s="253"/>
      <c r="BA1016" s="254"/>
      <c r="BB1016" s="280"/>
      <c r="BC1016" s="281"/>
      <c r="BD1016" s="253"/>
      <c r="BE1016" s="254"/>
      <c r="BF1016" s="838"/>
    </row>
    <row r="1017" spans="1:58" s="87" customFormat="1" ht="54" hidden="1" customHeight="1" x14ac:dyDescent="0.25">
      <c r="A1017" s="267" t="s">
        <v>7374</v>
      </c>
      <c r="B1017" s="268">
        <v>119</v>
      </c>
      <c r="C1017" s="240" t="s">
        <v>4027</v>
      </c>
      <c r="D1017" s="211" t="s">
        <v>4028</v>
      </c>
      <c r="E1017" s="268" t="s">
        <v>7761</v>
      </c>
      <c r="F1017" s="299" t="s">
        <v>7762</v>
      </c>
      <c r="G1017" s="269" t="s">
        <v>4031</v>
      </c>
      <c r="H1017" s="249" t="s">
        <v>4032</v>
      </c>
      <c r="I1017" s="333" t="s">
        <v>4033</v>
      </c>
      <c r="J1017" s="296" t="s">
        <v>140</v>
      </c>
      <c r="K1017" s="297" t="s">
        <v>140</v>
      </c>
      <c r="L1017" s="862" t="s">
        <v>7763</v>
      </c>
      <c r="M1017" s="206" t="s">
        <v>142</v>
      </c>
      <c r="N1017" s="211" t="s">
        <v>143</v>
      </c>
      <c r="O1017" s="240" t="s">
        <v>4035</v>
      </c>
      <c r="P1017" s="240" t="s">
        <v>4036</v>
      </c>
      <c r="Q1017" s="845" t="s">
        <v>7764</v>
      </c>
      <c r="R1017" s="208" t="s">
        <v>7765</v>
      </c>
      <c r="S1017" s="864" t="s">
        <v>147</v>
      </c>
      <c r="T1017" s="212" t="s">
        <v>144</v>
      </c>
      <c r="U1017" s="213" t="s">
        <v>144</v>
      </c>
      <c r="V1017" s="240">
        <v>3</v>
      </c>
      <c r="W1017" s="206" t="s">
        <v>144</v>
      </c>
      <c r="X1017" s="212">
        <v>41</v>
      </c>
      <c r="Y1017" s="212" t="s">
        <v>144</v>
      </c>
      <c r="Z1017" s="241" t="s">
        <v>25</v>
      </c>
      <c r="AA1017" s="407" t="s">
        <v>7766</v>
      </c>
      <c r="AB1017" s="206" t="s">
        <v>140</v>
      </c>
      <c r="AC1017" s="847" t="s">
        <v>265</v>
      </c>
      <c r="AD1017" s="847" t="s">
        <v>144</v>
      </c>
      <c r="AE1017" s="847" t="s">
        <v>144</v>
      </c>
      <c r="AF1017" s="848" t="s">
        <v>144</v>
      </c>
      <c r="AG1017" s="838"/>
      <c r="AH1017" s="866" t="s">
        <v>266</v>
      </c>
      <c r="AI1017" s="273" t="s">
        <v>267</v>
      </c>
      <c r="AJ1017" s="847">
        <v>6</v>
      </c>
      <c r="AK1017" s="848" t="s">
        <v>1046</v>
      </c>
      <c r="AL1017" s="867" t="s">
        <v>294</v>
      </c>
      <c r="AM1017" s="273" t="s">
        <v>295</v>
      </c>
      <c r="AN1017" s="847">
        <v>7</v>
      </c>
      <c r="AO1017" s="187" t="s">
        <v>966</v>
      </c>
      <c r="AP1017" s="867"/>
      <c r="AQ1017" s="273"/>
      <c r="AR1017" s="847"/>
      <c r="AS1017" s="848"/>
      <c r="AT1017" s="867"/>
      <c r="AU1017" s="273"/>
      <c r="AV1017" s="847"/>
      <c r="AW1017" s="848"/>
      <c r="AX1017" s="867"/>
      <c r="AY1017" s="273"/>
      <c r="AZ1017" s="847"/>
      <c r="BA1017" s="848"/>
      <c r="BB1017" s="866"/>
      <c r="BC1017" s="273"/>
      <c r="BD1017" s="847"/>
      <c r="BE1017" s="848"/>
      <c r="BF1017" s="838"/>
    </row>
    <row r="1018" spans="1:58" s="87" customFormat="1" ht="54" hidden="1" customHeight="1" x14ac:dyDescent="0.25">
      <c r="A1018" s="267" t="s">
        <v>7374</v>
      </c>
      <c r="B1018" s="268">
        <v>120</v>
      </c>
      <c r="C1018" s="240" t="s">
        <v>4040</v>
      </c>
      <c r="D1018" s="211" t="s">
        <v>4041</v>
      </c>
      <c r="E1018" s="268" t="s">
        <v>7767</v>
      </c>
      <c r="F1018" s="299" t="s">
        <v>4043</v>
      </c>
      <c r="G1018" s="269" t="s">
        <v>4044</v>
      </c>
      <c r="H1018" s="845" t="s">
        <v>7768</v>
      </c>
      <c r="I1018" s="208" t="s">
        <v>7769</v>
      </c>
      <c r="J1018" s="240" t="s">
        <v>140</v>
      </c>
      <c r="K1018" s="270" t="s">
        <v>140</v>
      </c>
      <c r="L1018" s="862" t="s">
        <v>4047</v>
      </c>
      <c r="M1018" s="206" t="s">
        <v>973</v>
      </c>
      <c r="N1018" s="253" t="s">
        <v>974</v>
      </c>
      <c r="O1018" s="240" t="s">
        <v>4048</v>
      </c>
      <c r="P1018" s="240" t="s">
        <v>4049</v>
      </c>
      <c r="Q1018" s="845" t="s">
        <v>7770</v>
      </c>
      <c r="R1018" s="208" t="s">
        <v>7771</v>
      </c>
      <c r="S1018" s="864" t="s">
        <v>147</v>
      </c>
      <c r="T1018" s="212" t="s">
        <v>144</v>
      </c>
      <c r="U1018" s="213" t="s">
        <v>144</v>
      </c>
      <c r="V1018" s="240">
        <v>1</v>
      </c>
      <c r="W1018" s="206" t="s">
        <v>144</v>
      </c>
      <c r="X1018" s="212">
        <v>41</v>
      </c>
      <c r="Y1018" s="212" t="s">
        <v>144</v>
      </c>
      <c r="Z1018" s="252" t="s">
        <v>144</v>
      </c>
      <c r="AA1018" s="240" t="s">
        <v>4050</v>
      </c>
      <c r="AB1018" s="206" t="s">
        <v>140</v>
      </c>
      <c r="AC1018" s="847" t="s">
        <v>265</v>
      </c>
      <c r="AD1018" s="847" t="s">
        <v>144</v>
      </c>
      <c r="AE1018" s="847" t="s">
        <v>144</v>
      </c>
      <c r="AF1018" s="848" t="s">
        <v>144</v>
      </c>
      <c r="AG1018" s="838"/>
      <c r="AH1018" s="866" t="s">
        <v>7772</v>
      </c>
      <c r="AI1018" s="273" t="s">
        <v>7773</v>
      </c>
      <c r="AJ1018" s="847">
        <v>7</v>
      </c>
      <c r="AK1018" s="848" t="s">
        <v>7774</v>
      </c>
      <c r="AL1018" s="875" t="s">
        <v>294</v>
      </c>
      <c r="AM1018" s="301" t="s">
        <v>295</v>
      </c>
      <c r="AN1018" s="847">
        <v>7</v>
      </c>
      <c r="AO1018" s="187" t="s">
        <v>966</v>
      </c>
      <c r="AP1018" s="867"/>
      <c r="AQ1018" s="273"/>
      <c r="AR1018" s="847"/>
      <c r="AS1018" s="848"/>
      <c r="AT1018" s="867"/>
      <c r="AU1018" s="273"/>
      <c r="AV1018" s="847"/>
      <c r="AW1018" s="848"/>
      <c r="AX1018" s="901" t="s">
        <v>7775</v>
      </c>
      <c r="AY1018" s="318" t="s">
        <v>7776</v>
      </c>
      <c r="AZ1018" s="902">
        <v>6</v>
      </c>
      <c r="BA1018" s="848" t="s">
        <v>4057</v>
      </c>
      <c r="BB1018" s="866"/>
      <c r="BC1018" s="273"/>
      <c r="BD1018" s="847"/>
      <c r="BE1018" s="848"/>
      <c r="BF1018" s="838"/>
    </row>
    <row r="1019" spans="1:58" s="87" customFormat="1" ht="54" hidden="1" customHeight="1" x14ac:dyDescent="0.25">
      <c r="A1019" s="267" t="s">
        <v>7374</v>
      </c>
      <c r="B1019" s="268">
        <v>121</v>
      </c>
      <c r="C1019" s="240" t="s">
        <v>1022</v>
      </c>
      <c r="D1019" s="211" t="s">
        <v>1023</v>
      </c>
      <c r="E1019" s="268" t="s">
        <v>7777</v>
      </c>
      <c r="F1019" s="299" t="s">
        <v>1141</v>
      </c>
      <c r="G1019" s="269" t="s">
        <v>1142</v>
      </c>
      <c r="H1019" s="272" t="s">
        <v>1143</v>
      </c>
      <c r="I1019" s="208" t="s">
        <v>1144</v>
      </c>
      <c r="J1019" s="240" t="s">
        <v>140</v>
      </c>
      <c r="K1019" s="270" t="s">
        <v>140</v>
      </c>
      <c r="L1019" s="862" t="s">
        <v>3188</v>
      </c>
      <c r="M1019" s="206" t="s">
        <v>142</v>
      </c>
      <c r="N1019" s="253" t="s">
        <v>143</v>
      </c>
      <c r="O1019" s="240" t="s">
        <v>1146</v>
      </c>
      <c r="P1019" s="240" t="s">
        <v>1147</v>
      </c>
      <c r="Q1019" s="207" t="s">
        <v>144</v>
      </c>
      <c r="R1019" s="271" t="s">
        <v>144</v>
      </c>
      <c r="S1019" s="864" t="s">
        <v>147</v>
      </c>
      <c r="T1019" s="212" t="s">
        <v>144</v>
      </c>
      <c r="U1019" s="213" t="s">
        <v>144</v>
      </c>
      <c r="V1019" s="307">
        <v>6</v>
      </c>
      <c r="W1019" s="415" t="s">
        <v>144</v>
      </c>
      <c r="X1019" s="212">
        <v>41</v>
      </c>
      <c r="Y1019" s="212" t="s">
        <v>144</v>
      </c>
      <c r="Z1019" s="214" t="s">
        <v>25</v>
      </c>
      <c r="AA1019" s="407" t="s">
        <v>7778</v>
      </c>
      <c r="AB1019" s="206" t="s">
        <v>140</v>
      </c>
      <c r="AC1019" s="847" t="s">
        <v>265</v>
      </c>
      <c r="AD1019" s="847" t="s">
        <v>144</v>
      </c>
      <c r="AE1019" s="847" t="s">
        <v>144</v>
      </c>
      <c r="AF1019" s="848" t="s">
        <v>144</v>
      </c>
      <c r="AG1019" s="838"/>
      <c r="AH1019" s="291" t="s">
        <v>266</v>
      </c>
      <c r="AI1019" s="273" t="s">
        <v>267</v>
      </c>
      <c r="AJ1019" s="240">
        <v>7</v>
      </c>
      <c r="AK1019" s="848" t="s">
        <v>1046</v>
      </c>
      <c r="AL1019" s="300" t="s">
        <v>294</v>
      </c>
      <c r="AM1019" s="301" t="s">
        <v>295</v>
      </c>
      <c r="AN1019" s="240">
        <v>7</v>
      </c>
      <c r="AO1019" s="187" t="s">
        <v>966</v>
      </c>
      <c r="AP1019" s="867"/>
      <c r="AQ1019" s="273"/>
      <c r="AR1019" s="847"/>
      <c r="AS1019" s="848"/>
      <c r="AT1019" s="292" t="s">
        <v>1148</v>
      </c>
      <c r="AU1019" s="273" t="s">
        <v>1149</v>
      </c>
      <c r="AV1019" s="240">
        <v>7</v>
      </c>
      <c r="AW1019" s="848" t="s">
        <v>1150</v>
      </c>
      <c r="AX1019" s="867"/>
      <c r="AY1019" s="273"/>
      <c r="AZ1019" s="847"/>
      <c r="BA1019" s="848"/>
      <c r="BB1019" s="249" t="s">
        <v>3190</v>
      </c>
      <c r="BC1019" s="135" t="s">
        <v>3191</v>
      </c>
      <c r="BD1019" s="847">
        <v>6</v>
      </c>
      <c r="BE1019" s="306" t="s">
        <v>3192</v>
      </c>
      <c r="BF1019" s="838"/>
    </row>
    <row r="1020" spans="1:58" s="87" customFormat="1" ht="54" hidden="1" customHeight="1" x14ac:dyDescent="0.25">
      <c r="A1020" s="267" t="s">
        <v>7374</v>
      </c>
      <c r="B1020" s="268">
        <v>122</v>
      </c>
      <c r="C1020" s="240" t="s">
        <v>256</v>
      </c>
      <c r="D1020" s="211" t="s">
        <v>257</v>
      </c>
      <c r="E1020" s="268" t="s">
        <v>7779</v>
      </c>
      <c r="F1020" s="861" t="s">
        <v>1442</v>
      </c>
      <c r="G1020" s="269" t="s">
        <v>1443</v>
      </c>
      <c r="H1020" s="845" t="s">
        <v>4059</v>
      </c>
      <c r="I1020" s="269" t="s">
        <v>4060</v>
      </c>
      <c r="J1020" s="296" t="s">
        <v>140</v>
      </c>
      <c r="K1020" s="297" t="s">
        <v>140</v>
      </c>
      <c r="L1020" s="862" t="s">
        <v>1446</v>
      </c>
      <c r="M1020" s="206" t="s">
        <v>142</v>
      </c>
      <c r="N1020" s="270" t="s">
        <v>143</v>
      </c>
      <c r="O1020" s="240" t="s">
        <v>144</v>
      </c>
      <c r="P1020" s="240" t="s">
        <v>144</v>
      </c>
      <c r="Q1020" s="845" t="s">
        <v>144</v>
      </c>
      <c r="R1020" s="208" t="s">
        <v>144</v>
      </c>
      <c r="S1020" s="864" t="s">
        <v>147</v>
      </c>
      <c r="T1020" s="212" t="s">
        <v>144</v>
      </c>
      <c r="U1020" s="213" t="s">
        <v>144</v>
      </c>
      <c r="V1020" s="847">
        <v>40</v>
      </c>
      <c r="W1020" s="415" t="s">
        <v>144</v>
      </c>
      <c r="X1020" s="212">
        <v>41</v>
      </c>
      <c r="Y1020" s="212" t="s">
        <v>144</v>
      </c>
      <c r="Z1020" s="433" t="s">
        <v>25</v>
      </c>
      <c r="AA1020" s="407" t="s">
        <v>7780</v>
      </c>
      <c r="AB1020" s="206" t="s">
        <v>140</v>
      </c>
      <c r="AC1020" s="847" t="s">
        <v>265</v>
      </c>
      <c r="AD1020" s="847" t="s">
        <v>144</v>
      </c>
      <c r="AE1020" s="847" t="s">
        <v>144</v>
      </c>
      <c r="AF1020" s="848" t="s">
        <v>144</v>
      </c>
      <c r="AG1020" s="838"/>
      <c r="AH1020" s="866" t="s">
        <v>266</v>
      </c>
      <c r="AI1020" s="273" t="s">
        <v>267</v>
      </c>
      <c r="AJ1020" s="847">
        <v>6</v>
      </c>
      <c r="AK1020" s="848" t="s">
        <v>1046</v>
      </c>
      <c r="AL1020" s="867"/>
      <c r="AM1020" s="273"/>
      <c r="AN1020" s="847"/>
      <c r="AO1020" s="848"/>
      <c r="AP1020" s="867"/>
      <c r="AQ1020" s="273"/>
      <c r="AR1020" s="847"/>
      <c r="AS1020" s="848"/>
      <c r="AT1020" s="867"/>
      <c r="AU1020" s="273"/>
      <c r="AV1020" s="847"/>
      <c r="AW1020" s="848"/>
      <c r="AX1020" s="867"/>
      <c r="AY1020" s="273"/>
      <c r="AZ1020" s="847"/>
      <c r="BA1020" s="848"/>
      <c r="BB1020" s="866"/>
      <c r="BC1020" s="273"/>
      <c r="BD1020" s="847"/>
      <c r="BE1020" s="848"/>
      <c r="BF1020" s="838"/>
    </row>
    <row r="1021" spans="1:58" s="87" customFormat="1" ht="54" hidden="1" customHeight="1" x14ac:dyDescent="0.25">
      <c r="A1021" s="267" t="s">
        <v>7374</v>
      </c>
      <c r="B1021" s="268">
        <v>123</v>
      </c>
      <c r="C1021" s="240" t="s">
        <v>256</v>
      </c>
      <c r="D1021" s="211" t="s">
        <v>257</v>
      </c>
      <c r="E1021" s="268" t="s">
        <v>7781</v>
      </c>
      <c r="F1021" s="861" t="s">
        <v>4063</v>
      </c>
      <c r="G1021" s="269" t="s">
        <v>4064</v>
      </c>
      <c r="H1021" s="845" t="s">
        <v>4065</v>
      </c>
      <c r="I1021" s="269" t="s">
        <v>4066</v>
      </c>
      <c r="J1021" s="296" t="s">
        <v>140</v>
      </c>
      <c r="K1021" s="297" t="s">
        <v>140</v>
      </c>
      <c r="L1021" s="862" t="s">
        <v>4067</v>
      </c>
      <c r="M1021" s="206" t="s">
        <v>142</v>
      </c>
      <c r="N1021" s="270" t="s">
        <v>143</v>
      </c>
      <c r="O1021" s="240" t="s">
        <v>144</v>
      </c>
      <c r="P1021" s="240" t="s">
        <v>144</v>
      </c>
      <c r="Q1021" s="845" t="s">
        <v>144</v>
      </c>
      <c r="R1021" s="208" t="s">
        <v>144</v>
      </c>
      <c r="S1021" s="864" t="s">
        <v>147</v>
      </c>
      <c r="T1021" s="212" t="s">
        <v>144</v>
      </c>
      <c r="U1021" s="213" t="s">
        <v>144</v>
      </c>
      <c r="V1021" s="847">
        <v>40</v>
      </c>
      <c r="W1021" s="415" t="s">
        <v>144</v>
      </c>
      <c r="X1021" s="212">
        <v>41</v>
      </c>
      <c r="Y1021" s="212" t="s">
        <v>144</v>
      </c>
      <c r="Z1021" s="433" t="s">
        <v>25</v>
      </c>
      <c r="AA1021" s="407" t="s">
        <v>7782</v>
      </c>
      <c r="AB1021" s="206" t="s">
        <v>140</v>
      </c>
      <c r="AC1021" s="847" t="s">
        <v>265</v>
      </c>
      <c r="AD1021" s="847" t="s">
        <v>144</v>
      </c>
      <c r="AE1021" s="847" t="s">
        <v>144</v>
      </c>
      <c r="AF1021" s="848" t="s">
        <v>144</v>
      </c>
      <c r="AG1021" s="838"/>
      <c r="AH1021" s="866" t="s">
        <v>266</v>
      </c>
      <c r="AI1021" s="273" t="s">
        <v>267</v>
      </c>
      <c r="AJ1021" s="847">
        <v>6</v>
      </c>
      <c r="AK1021" s="848" t="s">
        <v>1046</v>
      </c>
      <c r="AL1021" s="867"/>
      <c r="AM1021" s="273"/>
      <c r="AN1021" s="847"/>
      <c r="AO1021" s="848"/>
      <c r="AP1021" s="867"/>
      <c r="AQ1021" s="273"/>
      <c r="AR1021" s="847"/>
      <c r="AS1021" s="848"/>
      <c r="AT1021" s="867"/>
      <c r="AU1021" s="273"/>
      <c r="AV1021" s="847"/>
      <c r="AW1021" s="848"/>
      <c r="AX1021" s="867"/>
      <c r="AY1021" s="273"/>
      <c r="AZ1021" s="847"/>
      <c r="BA1021" s="848"/>
      <c r="BB1021" s="866"/>
      <c r="BC1021" s="273"/>
      <c r="BD1021" s="847"/>
      <c r="BE1021" s="848"/>
      <c r="BF1021" s="838"/>
    </row>
    <row r="1022" spans="1:58" s="55" customFormat="1" ht="54" hidden="1" customHeight="1" x14ac:dyDescent="0.25">
      <c r="A1022" s="787" t="s">
        <v>7374</v>
      </c>
      <c r="B1022" s="788">
        <v>124</v>
      </c>
      <c r="C1022" s="789" t="s">
        <v>4027</v>
      </c>
      <c r="D1022" s="790" t="s">
        <v>4028</v>
      </c>
      <c r="E1022" s="788" t="s">
        <v>7783</v>
      </c>
      <c r="F1022" s="791" t="s">
        <v>4070</v>
      </c>
      <c r="G1022" s="791" t="s">
        <v>4071</v>
      </c>
      <c r="H1022" s="792" t="s">
        <v>4070</v>
      </c>
      <c r="I1022" s="791" t="s">
        <v>4071</v>
      </c>
      <c r="J1022" s="793" t="s">
        <v>140</v>
      </c>
      <c r="K1022" s="793" t="s">
        <v>140</v>
      </c>
      <c r="L1022" s="794" t="s">
        <v>4072</v>
      </c>
      <c r="M1022" s="790" t="s">
        <v>193</v>
      </c>
      <c r="N1022" s="789" t="s">
        <v>194</v>
      </c>
      <c r="O1022" s="789" t="s">
        <v>4073</v>
      </c>
      <c r="P1022" s="789" t="s">
        <v>4074</v>
      </c>
      <c r="Q1022" s="792" t="s">
        <v>144</v>
      </c>
      <c r="R1022" s="792" t="s">
        <v>144</v>
      </c>
      <c r="S1022" s="788" t="s">
        <v>147</v>
      </c>
      <c r="T1022" s="795" t="s">
        <v>144</v>
      </c>
      <c r="U1022" s="795" t="s">
        <v>144</v>
      </c>
      <c r="V1022" s="789">
        <v>1</v>
      </c>
      <c r="W1022" s="790" t="s">
        <v>144</v>
      </c>
      <c r="X1022" s="795">
        <v>41</v>
      </c>
      <c r="Y1022" s="795" t="s">
        <v>4075</v>
      </c>
      <c r="Z1022" s="796" t="s">
        <v>144</v>
      </c>
      <c r="AA1022" s="797" t="s">
        <v>733</v>
      </c>
      <c r="AB1022" s="790" t="s">
        <v>140</v>
      </c>
      <c r="AC1022" s="789" t="s">
        <v>265</v>
      </c>
      <c r="AD1022" s="789" t="s">
        <v>144</v>
      </c>
      <c r="AE1022" s="789" t="s">
        <v>144</v>
      </c>
      <c r="AF1022" s="798" t="s">
        <v>144</v>
      </c>
      <c r="AG1022" s="681"/>
      <c r="AH1022" s="799"/>
      <c r="AI1022" s="800"/>
      <c r="AJ1022" s="789"/>
      <c r="AK1022" s="798"/>
      <c r="AL1022" s="800"/>
      <c r="AM1022" s="800"/>
      <c r="AN1022" s="789"/>
      <c r="AO1022" s="801"/>
      <c r="AP1022" s="800"/>
      <c r="AQ1022" s="800"/>
      <c r="AR1022" s="789"/>
      <c r="AS1022" s="798"/>
      <c r="AT1022" s="800"/>
      <c r="AU1022" s="800"/>
      <c r="AV1022" s="789"/>
      <c r="AW1022" s="798"/>
      <c r="AX1022" s="800"/>
      <c r="AY1022" s="800"/>
      <c r="AZ1022" s="789"/>
      <c r="BA1022" s="798"/>
      <c r="BB1022" s="799"/>
      <c r="BC1022" s="800"/>
      <c r="BD1022" s="789"/>
      <c r="BE1022" s="798"/>
      <c r="BF1022" s="681"/>
    </row>
    <row r="1023" spans="1:58" s="87" customFormat="1" ht="54" hidden="1" customHeight="1" x14ac:dyDescent="0.25">
      <c r="A1023" s="267" t="s">
        <v>7374</v>
      </c>
      <c r="B1023" s="268">
        <v>125</v>
      </c>
      <c r="C1023" s="240" t="s">
        <v>4027</v>
      </c>
      <c r="D1023" s="211" t="s">
        <v>4028</v>
      </c>
      <c r="E1023" s="268" t="s">
        <v>7784</v>
      </c>
      <c r="F1023" s="861" t="s">
        <v>4077</v>
      </c>
      <c r="G1023" s="269" t="s">
        <v>4078</v>
      </c>
      <c r="H1023" s="845" t="s">
        <v>7785</v>
      </c>
      <c r="I1023" s="269" t="s">
        <v>7786</v>
      </c>
      <c r="J1023" s="296" t="s">
        <v>140</v>
      </c>
      <c r="K1023" s="297" t="s">
        <v>140</v>
      </c>
      <c r="L1023" s="862" t="s">
        <v>4081</v>
      </c>
      <c r="M1023" s="206" t="s">
        <v>193</v>
      </c>
      <c r="N1023" s="270" t="s">
        <v>194</v>
      </c>
      <c r="O1023" s="240" t="s">
        <v>1516</v>
      </c>
      <c r="P1023" s="240" t="s">
        <v>4082</v>
      </c>
      <c r="Q1023" s="845" t="s">
        <v>144</v>
      </c>
      <c r="R1023" s="208" t="s">
        <v>144</v>
      </c>
      <c r="S1023" s="864" t="s">
        <v>147</v>
      </c>
      <c r="T1023" s="212" t="s">
        <v>144</v>
      </c>
      <c r="U1023" s="213" t="s">
        <v>144</v>
      </c>
      <c r="V1023" s="847">
        <v>4</v>
      </c>
      <c r="W1023" s="415" t="s">
        <v>144</v>
      </c>
      <c r="X1023" s="212" t="s">
        <v>925</v>
      </c>
      <c r="Y1023" s="212" t="s">
        <v>144</v>
      </c>
      <c r="Z1023" s="252" t="s">
        <v>144</v>
      </c>
      <c r="AA1023" s="240" t="s">
        <v>1633</v>
      </c>
      <c r="AB1023" s="206" t="s">
        <v>140</v>
      </c>
      <c r="AC1023" s="847" t="s">
        <v>265</v>
      </c>
      <c r="AD1023" s="847" t="s">
        <v>144</v>
      </c>
      <c r="AE1023" s="847" t="s">
        <v>144</v>
      </c>
      <c r="AF1023" s="848" t="s">
        <v>144</v>
      </c>
      <c r="AG1023" s="838"/>
      <c r="AH1023" s="339"/>
      <c r="AI1023" s="313"/>
      <c r="AJ1023" s="289"/>
      <c r="AK1023" s="314"/>
      <c r="AL1023" s="867" t="s">
        <v>294</v>
      </c>
      <c r="AM1023" s="273" t="s">
        <v>295</v>
      </c>
      <c r="AN1023" s="847">
        <v>7</v>
      </c>
      <c r="AO1023" s="187" t="s">
        <v>966</v>
      </c>
      <c r="AP1023" s="867"/>
      <c r="AQ1023" s="273"/>
      <c r="AR1023" s="847"/>
      <c r="AS1023" s="848"/>
      <c r="AT1023" s="867"/>
      <c r="AU1023" s="273"/>
      <c r="AV1023" s="847"/>
      <c r="AW1023" s="848"/>
      <c r="AX1023" s="867"/>
      <c r="AY1023" s="273"/>
      <c r="AZ1023" s="847"/>
      <c r="BA1023" s="848"/>
      <c r="BB1023" s="866"/>
      <c r="BC1023" s="273"/>
      <c r="BD1023" s="847"/>
      <c r="BE1023" s="848"/>
      <c r="BF1023" s="838"/>
    </row>
    <row r="1024" spans="1:58" s="57" customFormat="1" ht="54" hidden="1" customHeight="1" x14ac:dyDescent="0.25">
      <c r="A1024" s="275" t="s">
        <v>7374</v>
      </c>
      <c r="B1024" s="276">
        <v>126</v>
      </c>
      <c r="C1024" s="253" t="s">
        <v>256</v>
      </c>
      <c r="D1024" s="217" t="s">
        <v>257</v>
      </c>
      <c r="E1024" s="276" t="s">
        <v>7787</v>
      </c>
      <c r="F1024" s="277" t="s">
        <v>4084</v>
      </c>
      <c r="G1024" s="277" t="s">
        <v>7788</v>
      </c>
      <c r="H1024" s="218" t="s">
        <v>4086</v>
      </c>
      <c r="I1024" s="277" t="s">
        <v>4087</v>
      </c>
      <c r="J1024" s="278" t="s">
        <v>144</v>
      </c>
      <c r="K1024" s="278" t="s">
        <v>144</v>
      </c>
      <c r="L1024" s="718" t="s">
        <v>4088</v>
      </c>
      <c r="M1024" s="253" t="s">
        <v>144</v>
      </c>
      <c r="N1024" s="253" t="s">
        <v>144</v>
      </c>
      <c r="O1024" s="253" t="s">
        <v>144</v>
      </c>
      <c r="P1024" s="253" t="s">
        <v>144</v>
      </c>
      <c r="Q1024" s="218" t="s">
        <v>144</v>
      </c>
      <c r="R1024" s="218" t="s">
        <v>144</v>
      </c>
      <c r="S1024" s="276" t="s">
        <v>147</v>
      </c>
      <c r="T1024" s="221" t="s">
        <v>144</v>
      </c>
      <c r="U1024" s="221" t="s">
        <v>144</v>
      </c>
      <c r="V1024" s="253">
        <v>40</v>
      </c>
      <c r="W1024" s="217" t="s">
        <v>144</v>
      </c>
      <c r="X1024" s="221" t="s">
        <v>144</v>
      </c>
      <c r="Y1024" s="221" t="s">
        <v>144</v>
      </c>
      <c r="Z1024" s="221" t="s">
        <v>144</v>
      </c>
      <c r="AA1024" s="253" t="s">
        <v>144</v>
      </c>
      <c r="AB1024" s="217" t="s">
        <v>144</v>
      </c>
      <c r="AC1024" s="253" t="s">
        <v>265</v>
      </c>
      <c r="AD1024" s="253" t="s">
        <v>144</v>
      </c>
      <c r="AE1024" s="253" t="s">
        <v>144</v>
      </c>
      <c r="AF1024" s="254" t="s">
        <v>144</v>
      </c>
      <c r="AG1024" s="838"/>
      <c r="AH1024" s="280"/>
      <c r="AI1024" s="281"/>
      <c r="AJ1024" s="253"/>
      <c r="AK1024" s="254"/>
      <c r="AL1024" s="281"/>
      <c r="AM1024" s="281"/>
      <c r="AN1024" s="253"/>
      <c r="AO1024" s="254"/>
      <c r="AP1024" s="281"/>
      <c r="AQ1024" s="281"/>
      <c r="AR1024" s="253"/>
      <c r="AS1024" s="254"/>
      <c r="AT1024" s="281"/>
      <c r="AU1024" s="281"/>
      <c r="AV1024" s="253"/>
      <c r="AW1024" s="254"/>
      <c r="AX1024" s="281"/>
      <c r="AY1024" s="281"/>
      <c r="AZ1024" s="253"/>
      <c r="BA1024" s="254"/>
      <c r="BB1024" s="280"/>
      <c r="BC1024" s="281"/>
      <c r="BD1024" s="253"/>
      <c r="BE1024" s="254"/>
      <c r="BF1024" s="838"/>
    </row>
    <row r="1025" spans="1:58" s="87" customFormat="1" ht="54" hidden="1" customHeight="1" x14ac:dyDescent="0.25">
      <c r="A1025" s="267" t="s">
        <v>7374</v>
      </c>
      <c r="B1025" s="268">
        <v>127</v>
      </c>
      <c r="C1025" s="240" t="s">
        <v>4027</v>
      </c>
      <c r="D1025" s="211" t="s">
        <v>4028</v>
      </c>
      <c r="E1025" s="268" t="s">
        <v>7789</v>
      </c>
      <c r="F1025" s="861" t="s">
        <v>4090</v>
      </c>
      <c r="G1025" s="269" t="s">
        <v>4091</v>
      </c>
      <c r="H1025" s="845" t="s">
        <v>4090</v>
      </c>
      <c r="I1025" s="269" t="s">
        <v>4091</v>
      </c>
      <c r="J1025" s="296" t="s">
        <v>140</v>
      </c>
      <c r="K1025" s="297" t="s">
        <v>140</v>
      </c>
      <c r="L1025" s="862" t="s">
        <v>4092</v>
      </c>
      <c r="M1025" s="206" t="s">
        <v>973</v>
      </c>
      <c r="N1025" s="297" t="s">
        <v>974</v>
      </c>
      <c r="O1025" s="240" t="s">
        <v>617</v>
      </c>
      <c r="P1025" s="240" t="s">
        <v>618</v>
      </c>
      <c r="Q1025" s="845" t="s">
        <v>7790</v>
      </c>
      <c r="R1025" s="208" t="s">
        <v>7791</v>
      </c>
      <c r="S1025" s="864" t="s">
        <v>147</v>
      </c>
      <c r="T1025" s="212" t="s">
        <v>144</v>
      </c>
      <c r="U1025" s="213" t="s">
        <v>144</v>
      </c>
      <c r="V1025" s="847">
        <v>2</v>
      </c>
      <c r="W1025" s="415" t="s">
        <v>144</v>
      </c>
      <c r="X1025" s="212">
        <v>41</v>
      </c>
      <c r="Y1025" s="212" t="s">
        <v>144</v>
      </c>
      <c r="Z1025" s="212" t="s">
        <v>29</v>
      </c>
      <c r="AA1025" s="240" t="s">
        <v>4095</v>
      </c>
      <c r="AB1025" s="206" t="s">
        <v>140</v>
      </c>
      <c r="AC1025" s="847" t="s">
        <v>265</v>
      </c>
      <c r="AD1025" s="847" t="s">
        <v>144</v>
      </c>
      <c r="AE1025" s="847" t="s">
        <v>144</v>
      </c>
      <c r="AF1025" s="848" t="s">
        <v>144</v>
      </c>
      <c r="AG1025" s="838"/>
      <c r="AH1025" s="866" t="s">
        <v>7792</v>
      </c>
      <c r="AI1025" s="273" t="s">
        <v>7793</v>
      </c>
      <c r="AJ1025" s="847">
        <v>6</v>
      </c>
      <c r="AK1025" s="286" t="s">
        <v>7794</v>
      </c>
      <c r="AL1025" s="867" t="s">
        <v>7795</v>
      </c>
      <c r="AM1025" s="273" t="s">
        <v>7796</v>
      </c>
      <c r="AN1025" s="847">
        <v>7</v>
      </c>
      <c r="AO1025" s="730" t="s">
        <v>7797</v>
      </c>
      <c r="AP1025" s="867" t="s">
        <v>7798</v>
      </c>
      <c r="AQ1025" s="273" t="s">
        <v>7799</v>
      </c>
      <c r="AR1025" s="847">
        <v>6</v>
      </c>
      <c r="AS1025" s="286" t="s">
        <v>7800</v>
      </c>
      <c r="AT1025" s="867"/>
      <c r="AU1025" s="273"/>
      <c r="AV1025" s="847"/>
      <c r="AW1025" s="848"/>
      <c r="AX1025" s="867"/>
      <c r="AY1025" s="273"/>
      <c r="AZ1025" s="847"/>
      <c r="BA1025" s="848"/>
      <c r="BB1025" s="866"/>
      <c r="BC1025" s="273"/>
      <c r="BD1025" s="847"/>
      <c r="BE1025" s="848"/>
      <c r="BF1025" s="838"/>
    </row>
    <row r="1026" spans="1:58" s="87" customFormat="1" ht="54" hidden="1" customHeight="1" x14ac:dyDescent="0.25">
      <c r="A1026" s="267" t="s">
        <v>7374</v>
      </c>
      <c r="B1026" s="268">
        <v>128</v>
      </c>
      <c r="C1026" s="240" t="s">
        <v>4027</v>
      </c>
      <c r="D1026" s="211" t="s">
        <v>4028</v>
      </c>
      <c r="E1026" s="268" t="s">
        <v>7801</v>
      </c>
      <c r="F1026" s="861" t="s">
        <v>4106</v>
      </c>
      <c r="G1026" s="269" t="s">
        <v>4107</v>
      </c>
      <c r="H1026" s="845" t="s">
        <v>4106</v>
      </c>
      <c r="I1026" s="269" t="s">
        <v>4107</v>
      </c>
      <c r="J1026" s="296" t="s">
        <v>140</v>
      </c>
      <c r="K1026" s="297" t="s">
        <v>140</v>
      </c>
      <c r="L1026" s="862" t="s">
        <v>4108</v>
      </c>
      <c r="M1026" s="206" t="s">
        <v>973</v>
      </c>
      <c r="N1026" s="297" t="s">
        <v>974</v>
      </c>
      <c r="O1026" s="240" t="s">
        <v>539</v>
      </c>
      <c r="P1026" s="240" t="s">
        <v>4109</v>
      </c>
      <c r="Q1026" s="845" t="s">
        <v>4110</v>
      </c>
      <c r="R1026" s="208" t="s">
        <v>4111</v>
      </c>
      <c r="S1026" s="864" t="s">
        <v>147</v>
      </c>
      <c r="T1026" s="212" t="s">
        <v>144</v>
      </c>
      <c r="U1026" s="213" t="s">
        <v>144</v>
      </c>
      <c r="V1026" s="847">
        <v>10</v>
      </c>
      <c r="W1026" s="415" t="s">
        <v>144</v>
      </c>
      <c r="X1026" s="212">
        <v>41</v>
      </c>
      <c r="Y1026" s="212" t="s">
        <v>144</v>
      </c>
      <c r="Z1026" s="212" t="s">
        <v>144</v>
      </c>
      <c r="AA1026" s="240" t="s">
        <v>2588</v>
      </c>
      <c r="AB1026" s="206" t="s">
        <v>140</v>
      </c>
      <c r="AC1026" s="847" t="s">
        <v>265</v>
      </c>
      <c r="AD1026" s="847" t="s">
        <v>144</v>
      </c>
      <c r="AE1026" s="847" t="s">
        <v>144</v>
      </c>
      <c r="AF1026" s="848" t="s">
        <v>144</v>
      </c>
      <c r="AG1026" s="838"/>
      <c r="AH1026" s="877" t="s">
        <v>7802</v>
      </c>
      <c r="AI1026" s="273" t="s">
        <v>7803</v>
      </c>
      <c r="AJ1026" s="847">
        <v>6</v>
      </c>
      <c r="AK1026" s="286" t="s">
        <v>7804</v>
      </c>
      <c r="AL1026" s="867" t="s">
        <v>4115</v>
      </c>
      <c r="AM1026" s="273" t="s">
        <v>4116</v>
      </c>
      <c r="AN1026" s="847">
        <v>7</v>
      </c>
      <c r="AO1026" s="848" t="s">
        <v>4117</v>
      </c>
      <c r="AP1026" s="867"/>
      <c r="AQ1026" s="273"/>
      <c r="AR1026" s="847"/>
      <c r="AS1026" s="848"/>
      <c r="AT1026" s="867"/>
      <c r="AU1026" s="273"/>
      <c r="AV1026" s="847"/>
      <c r="AW1026" s="848"/>
      <c r="AX1026" s="867"/>
      <c r="AY1026" s="273"/>
      <c r="AZ1026" s="847"/>
      <c r="BA1026" s="848"/>
      <c r="BB1026" s="866"/>
      <c r="BC1026" s="273"/>
      <c r="BD1026" s="847"/>
      <c r="BE1026" s="848"/>
      <c r="BF1026" s="838"/>
    </row>
    <row r="1027" spans="1:58" s="87" customFormat="1" ht="54" hidden="1" customHeight="1" x14ac:dyDescent="0.25">
      <c r="A1027" s="267" t="s">
        <v>7374</v>
      </c>
      <c r="B1027" s="268">
        <v>129</v>
      </c>
      <c r="C1027" s="240" t="s">
        <v>532</v>
      </c>
      <c r="D1027" s="211" t="s">
        <v>533</v>
      </c>
      <c r="E1027" s="268" t="s">
        <v>7805</v>
      </c>
      <c r="F1027" s="861" t="s">
        <v>4119</v>
      </c>
      <c r="G1027" s="269" t="s">
        <v>4120</v>
      </c>
      <c r="H1027" s="845" t="s">
        <v>4121</v>
      </c>
      <c r="I1027" s="269" t="s">
        <v>4122</v>
      </c>
      <c r="J1027" s="296" t="s">
        <v>140</v>
      </c>
      <c r="K1027" s="297" t="s">
        <v>140</v>
      </c>
      <c r="L1027" s="862" t="s">
        <v>4123</v>
      </c>
      <c r="M1027" s="206" t="s">
        <v>973</v>
      </c>
      <c r="N1027" s="297" t="s">
        <v>974</v>
      </c>
      <c r="O1027" s="240" t="s">
        <v>539</v>
      </c>
      <c r="P1027" s="240" t="s">
        <v>540</v>
      </c>
      <c r="Q1027" s="845" t="s">
        <v>144</v>
      </c>
      <c r="R1027" s="208" t="s">
        <v>144</v>
      </c>
      <c r="S1027" s="864" t="s">
        <v>147</v>
      </c>
      <c r="T1027" s="212" t="s">
        <v>144</v>
      </c>
      <c r="U1027" s="213" t="s">
        <v>144</v>
      </c>
      <c r="V1027" s="847">
        <v>2</v>
      </c>
      <c r="W1027" s="415" t="s">
        <v>144</v>
      </c>
      <c r="X1027" s="212">
        <v>41</v>
      </c>
      <c r="Y1027" s="212" t="s">
        <v>144</v>
      </c>
      <c r="Z1027" s="212" t="s">
        <v>144</v>
      </c>
      <c r="AA1027" s="240" t="s">
        <v>2588</v>
      </c>
      <c r="AB1027" s="206" t="s">
        <v>140</v>
      </c>
      <c r="AC1027" s="847" t="s">
        <v>265</v>
      </c>
      <c r="AD1027" s="847" t="s">
        <v>144</v>
      </c>
      <c r="AE1027" s="847" t="s">
        <v>144</v>
      </c>
      <c r="AF1027" s="848" t="s">
        <v>144</v>
      </c>
      <c r="AG1027" s="838"/>
      <c r="AH1027" s="866" t="s">
        <v>7806</v>
      </c>
      <c r="AI1027" s="273" t="s">
        <v>7807</v>
      </c>
      <c r="AJ1027" s="847">
        <v>6</v>
      </c>
      <c r="AK1027" s="286" t="s">
        <v>7808</v>
      </c>
      <c r="AL1027" s="867" t="s">
        <v>294</v>
      </c>
      <c r="AM1027" s="273" t="s">
        <v>295</v>
      </c>
      <c r="AN1027" s="847">
        <v>7</v>
      </c>
      <c r="AO1027" s="187" t="s">
        <v>966</v>
      </c>
      <c r="AP1027" s="867"/>
      <c r="AQ1027" s="273"/>
      <c r="AR1027" s="847"/>
      <c r="AS1027" s="848"/>
      <c r="AT1027" s="867"/>
      <c r="AU1027" s="273"/>
      <c r="AV1027" s="847"/>
      <c r="AW1027" s="848"/>
      <c r="AX1027" s="867"/>
      <c r="AY1027" s="273"/>
      <c r="AZ1027" s="847"/>
      <c r="BA1027" s="848"/>
      <c r="BB1027" s="866"/>
      <c r="BC1027" s="273"/>
      <c r="BD1027" s="847"/>
      <c r="BE1027" s="848"/>
      <c r="BF1027" s="838"/>
    </row>
    <row r="1028" spans="1:58" s="87" customFormat="1" ht="54" hidden="1" customHeight="1" x14ac:dyDescent="0.25">
      <c r="A1028" s="267" t="s">
        <v>7374</v>
      </c>
      <c r="B1028" s="268">
        <v>130</v>
      </c>
      <c r="C1028" s="240" t="s">
        <v>532</v>
      </c>
      <c r="D1028" s="211" t="s">
        <v>533</v>
      </c>
      <c r="E1028" s="268" t="s">
        <v>7809</v>
      </c>
      <c r="F1028" s="861" t="s">
        <v>4128</v>
      </c>
      <c r="G1028" s="269" t="s">
        <v>4129</v>
      </c>
      <c r="H1028" s="845" t="s">
        <v>4130</v>
      </c>
      <c r="I1028" s="269" t="s">
        <v>7810</v>
      </c>
      <c r="J1028" s="296" t="s">
        <v>140</v>
      </c>
      <c r="K1028" s="297" t="s">
        <v>140</v>
      </c>
      <c r="L1028" s="862" t="s">
        <v>4132</v>
      </c>
      <c r="M1028" s="206" t="s">
        <v>973</v>
      </c>
      <c r="N1028" s="297" t="s">
        <v>974</v>
      </c>
      <c r="O1028" s="240" t="s">
        <v>3211</v>
      </c>
      <c r="P1028" s="240" t="s">
        <v>3212</v>
      </c>
      <c r="Q1028" s="335" t="s">
        <v>4133</v>
      </c>
      <c r="R1028" s="336" t="s">
        <v>4134</v>
      </c>
      <c r="S1028" s="864" t="s">
        <v>147</v>
      </c>
      <c r="T1028" s="212" t="s">
        <v>144</v>
      </c>
      <c r="U1028" s="213" t="s">
        <v>144</v>
      </c>
      <c r="V1028" s="847">
        <v>2</v>
      </c>
      <c r="W1028" s="415" t="s">
        <v>144</v>
      </c>
      <c r="X1028" s="212">
        <v>41</v>
      </c>
      <c r="Y1028" s="212" t="s">
        <v>144</v>
      </c>
      <c r="Z1028" s="252" t="s">
        <v>144</v>
      </c>
      <c r="AA1028" s="240" t="s">
        <v>2588</v>
      </c>
      <c r="AB1028" s="206" t="s">
        <v>140</v>
      </c>
      <c r="AC1028" s="847" t="s">
        <v>265</v>
      </c>
      <c r="AD1028" s="847" t="s">
        <v>144</v>
      </c>
      <c r="AE1028" s="847" t="s">
        <v>144</v>
      </c>
      <c r="AF1028" s="848" t="s">
        <v>144</v>
      </c>
      <c r="AG1028" s="838"/>
      <c r="AH1028" s="866" t="s">
        <v>7811</v>
      </c>
      <c r="AI1028" s="273" t="s">
        <v>7812</v>
      </c>
      <c r="AJ1028" s="847">
        <v>6</v>
      </c>
      <c r="AK1028" s="848" t="s">
        <v>7813</v>
      </c>
      <c r="AL1028" s="867" t="s">
        <v>294</v>
      </c>
      <c r="AM1028" s="273" t="s">
        <v>295</v>
      </c>
      <c r="AN1028" s="847">
        <v>7</v>
      </c>
      <c r="AO1028" s="187" t="s">
        <v>966</v>
      </c>
      <c r="AP1028" s="867"/>
      <c r="AQ1028" s="273"/>
      <c r="AR1028" s="847"/>
      <c r="AS1028" s="848"/>
      <c r="AT1028" s="867"/>
      <c r="AU1028" s="273"/>
      <c r="AV1028" s="847"/>
      <c r="AW1028" s="848"/>
      <c r="AX1028" s="867"/>
      <c r="AY1028" s="273"/>
      <c r="AZ1028" s="847"/>
      <c r="BA1028" s="848"/>
      <c r="BB1028" s="866"/>
      <c r="BC1028" s="273"/>
      <c r="BD1028" s="847"/>
      <c r="BE1028" s="848"/>
      <c r="BF1028" s="838"/>
    </row>
    <row r="1029" spans="1:58" s="87" customFormat="1" ht="54" hidden="1" customHeight="1" x14ac:dyDescent="0.25">
      <c r="A1029" s="267" t="s">
        <v>7374</v>
      </c>
      <c r="B1029" s="268">
        <v>131</v>
      </c>
      <c r="C1029" s="240" t="s">
        <v>532</v>
      </c>
      <c r="D1029" s="211" t="s">
        <v>533</v>
      </c>
      <c r="E1029" s="268" t="s">
        <v>7814</v>
      </c>
      <c r="F1029" s="861" t="s">
        <v>4139</v>
      </c>
      <c r="G1029" s="269" t="s">
        <v>4140</v>
      </c>
      <c r="H1029" s="845" t="s">
        <v>4141</v>
      </c>
      <c r="I1029" s="269" t="s">
        <v>4142</v>
      </c>
      <c r="J1029" s="296" t="s">
        <v>140</v>
      </c>
      <c r="K1029" s="297" t="s">
        <v>140</v>
      </c>
      <c r="L1029" s="862" t="s">
        <v>4143</v>
      </c>
      <c r="M1029" s="319" t="s">
        <v>193</v>
      </c>
      <c r="N1029" s="297" t="s">
        <v>194</v>
      </c>
      <c r="O1029" s="240" t="s">
        <v>671</v>
      </c>
      <c r="P1029" s="240" t="s">
        <v>672</v>
      </c>
      <c r="Q1029" s="845" t="s">
        <v>7815</v>
      </c>
      <c r="R1029" s="208" t="s">
        <v>7816</v>
      </c>
      <c r="S1029" s="864" t="s">
        <v>147</v>
      </c>
      <c r="T1029" s="212" t="s">
        <v>144</v>
      </c>
      <c r="U1029" s="213" t="s">
        <v>144</v>
      </c>
      <c r="V1029" s="847">
        <v>46</v>
      </c>
      <c r="W1029" s="415" t="s">
        <v>144</v>
      </c>
      <c r="X1029" s="212">
        <v>41</v>
      </c>
      <c r="Y1029" s="212" t="s">
        <v>144</v>
      </c>
      <c r="Z1029" s="252" t="s">
        <v>144</v>
      </c>
      <c r="AA1029" s="240" t="s">
        <v>148</v>
      </c>
      <c r="AB1029" s="206" t="s">
        <v>140</v>
      </c>
      <c r="AC1029" s="847" t="s">
        <v>265</v>
      </c>
      <c r="AD1029" s="847" t="s">
        <v>144</v>
      </c>
      <c r="AE1029" s="847" t="s">
        <v>144</v>
      </c>
      <c r="AF1029" s="848" t="s">
        <v>144</v>
      </c>
      <c r="AG1029" s="838"/>
      <c r="AH1029" s="866"/>
      <c r="AI1029" s="273"/>
      <c r="AJ1029" s="847"/>
      <c r="AK1029" s="848"/>
      <c r="AL1029" s="867" t="s">
        <v>294</v>
      </c>
      <c r="AM1029" s="273" t="s">
        <v>295</v>
      </c>
      <c r="AN1029" s="847">
        <v>7</v>
      </c>
      <c r="AO1029" s="187" t="s">
        <v>966</v>
      </c>
      <c r="AP1029" s="867"/>
      <c r="AQ1029" s="273"/>
      <c r="AR1029" s="847"/>
      <c r="AS1029" s="848"/>
      <c r="AT1029" s="867" t="s">
        <v>7817</v>
      </c>
      <c r="AU1029" s="273" t="s">
        <v>7818</v>
      </c>
      <c r="AV1029" s="847">
        <v>6</v>
      </c>
      <c r="AW1029" s="286" t="s">
        <v>7819</v>
      </c>
      <c r="AX1029" s="867"/>
      <c r="AY1029" s="273"/>
      <c r="AZ1029" s="847"/>
      <c r="BA1029" s="848"/>
      <c r="BB1029" s="866"/>
      <c r="BC1029" s="273"/>
      <c r="BD1029" s="847"/>
      <c r="BE1029" s="848"/>
      <c r="BF1029" s="838"/>
    </row>
    <row r="1030" spans="1:58" s="87" customFormat="1" ht="54" hidden="1" customHeight="1" x14ac:dyDescent="0.25">
      <c r="A1030" s="267" t="s">
        <v>7374</v>
      </c>
      <c r="B1030" s="268">
        <v>132</v>
      </c>
      <c r="C1030" s="240" t="s">
        <v>532</v>
      </c>
      <c r="D1030" s="211" t="s">
        <v>533</v>
      </c>
      <c r="E1030" s="268" t="s">
        <v>7820</v>
      </c>
      <c r="F1030" s="861" t="s">
        <v>4150</v>
      </c>
      <c r="G1030" s="269" t="s">
        <v>4151</v>
      </c>
      <c r="H1030" s="845" t="s">
        <v>4152</v>
      </c>
      <c r="I1030" s="269" t="s">
        <v>4153</v>
      </c>
      <c r="J1030" s="296" t="s">
        <v>140</v>
      </c>
      <c r="K1030" s="297" t="s">
        <v>140</v>
      </c>
      <c r="L1030" s="862" t="s">
        <v>4154</v>
      </c>
      <c r="M1030" s="852" t="s">
        <v>193</v>
      </c>
      <c r="N1030" s="263" t="s">
        <v>194</v>
      </c>
      <c r="O1030" s="240" t="s">
        <v>640</v>
      </c>
      <c r="P1030" s="240" t="s">
        <v>641</v>
      </c>
      <c r="Q1030" s="845" t="s">
        <v>144</v>
      </c>
      <c r="R1030" s="208" t="s">
        <v>144</v>
      </c>
      <c r="S1030" s="864" t="s">
        <v>147</v>
      </c>
      <c r="T1030" s="212" t="s">
        <v>144</v>
      </c>
      <c r="U1030" s="213" t="s">
        <v>144</v>
      </c>
      <c r="V1030" s="240">
        <v>3</v>
      </c>
      <c r="W1030" s="206" t="s">
        <v>144</v>
      </c>
      <c r="X1030" s="212">
        <v>41</v>
      </c>
      <c r="Y1030" s="212" t="s">
        <v>144</v>
      </c>
      <c r="Z1030" s="252" t="s">
        <v>144</v>
      </c>
      <c r="AA1030" s="240" t="s">
        <v>148</v>
      </c>
      <c r="AB1030" s="206" t="s">
        <v>140</v>
      </c>
      <c r="AC1030" s="847" t="s">
        <v>265</v>
      </c>
      <c r="AD1030" s="847" t="s">
        <v>144</v>
      </c>
      <c r="AE1030" s="847" t="s">
        <v>144</v>
      </c>
      <c r="AF1030" s="848" t="s">
        <v>144</v>
      </c>
      <c r="AG1030" s="838"/>
      <c r="AH1030" s="866"/>
      <c r="AI1030" s="273"/>
      <c r="AJ1030" s="847"/>
      <c r="AK1030" s="848"/>
      <c r="AL1030" s="867" t="s">
        <v>294</v>
      </c>
      <c r="AM1030" s="273" t="s">
        <v>295</v>
      </c>
      <c r="AN1030" s="847">
        <v>7</v>
      </c>
      <c r="AO1030" s="187" t="s">
        <v>966</v>
      </c>
      <c r="AP1030" s="867"/>
      <c r="AQ1030" s="273"/>
      <c r="AR1030" s="847"/>
      <c r="AS1030" s="848"/>
      <c r="AT1030" s="867"/>
      <c r="AU1030" s="273"/>
      <c r="AV1030" s="847"/>
      <c r="AW1030" s="848"/>
      <c r="AX1030" s="867"/>
      <c r="AY1030" s="273"/>
      <c r="AZ1030" s="847"/>
      <c r="BA1030" s="848"/>
      <c r="BB1030" s="866"/>
      <c r="BC1030" s="273"/>
      <c r="BD1030" s="847"/>
      <c r="BE1030" s="848"/>
      <c r="BF1030" s="838"/>
    </row>
    <row r="1031" spans="1:58" s="87" customFormat="1" ht="54" hidden="1" customHeight="1" x14ac:dyDescent="0.25">
      <c r="A1031" s="267" t="s">
        <v>7374</v>
      </c>
      <c r="B1031" s="268">
        <v>133</v>
      </c>
      <c r="C1031" s="240" t="s">
        <v>4027</v>
      </c>
      <c r="D1031" s="211" t="s">
        <v>4028</v>
      </c>
      <c r="E1031" s="268" t="s">
        <v>7821</v>
      </c>
      <c r="F1031" s="861" t="s">
        <v>4158</v>
      </c>
      <c r="G1031" s="269" t="s">
        <v>4159</v>
      </c>
      <c r="H1031" s="861" t="s">
        <v>4158</v>
      </c>
      <c r="I1031" s="269" t="s">
        <v>4159</v>
      </c>
      <c r="J1031" s="296" t="s">
        <v>140</v>
      </c>
      <c r="K1031" s="297" t="s">
        <v>140</v>
      </c>
      <c r="L1031" s="862" t="s">
        <v>4160</v>
      </c>
      <c r="M1031" s="847" t="s">
        <v>193</v>
      </c>
      <c r="N1031" s="211" t="s">
        <v>194</v>
      </c>
      <c r="O1031" s="240" t="s">
        <v>4161</v>
      </c>
      <c r="P1031" s="240" t="s">
        <v>4162</v>
      </c>
      <c r="Q1031" s="845" t="s">
        <v>4163</v>
      </c>
      <c r="R1031" s="208" t="s">
        <v>4164</v>
      </c>
      <c r="S1031" s="864" t="s">
        <v>147</v>
      </c>
      <c r="T1031" s="212" t="s">
        <v>144</v>
      </c>
      <c r="U1031" s="213" t="s">
        <v>144</v>
      </c>
      <c r="V1031" s="240">
        <v>2</v>
      </c>
      <c r="W1031" s="206" t="s">
        <v>144</v>
      </c>
      <c r="X1031" s="212">
        <v>41</v>
      </c>
      <c r="Y1031" s="212" t="s">
        <v>144</v>
      </c>
      <c r="Z1031" s="252" t="s">
        <v>144</v>
      </c>
      <c r="AA1031" s="240" t="s">
        <v>7822</v>
      </c>
      <c r="AB1031" s="206" t="s">
        <v>140</v>
      </c>
      <c r="AC1031" s="847" t="s">
        <v>265</v>
      </c>
      <c r="AD1031" s="847" t="s">
        <v>144</v>
      </c>
      <c r="AE1031" s="847" t="s">
        <v>144</v>
      </c>
      <c r="AF1031" s="848" t="s">
        <v>144</v>
      </c>
      <c r="AG1031" s="838"/>
      <c r="AH1031" s="866"/>
      <c r="AI1031" s="273"/>
      <c r="AJ1031" s="847"/>
      <c r="AK1031" s="848"/>
      <c r="AL1031" s="867" t="s">
        <v>294</v>
      </c>
      <c r="AM1031" s="273" t="s">
        <v>295</v>
      </c>
      <c r="AN1031" s="847">
        <v>7</v>
      </c>
      <c r="AO1031" s="187" t="s">
        <v>966</v>
      </c>
      <c r="AP1031" s="867"/>
      <c r="AQ1031" s="273"/>
      <c r="AR1031" s="847"/>
      <c r="AS1031" s="848"/>
      <c r="AT1031" s="867" t="s">
        <v>7823</v>
      </c>
      <c r="AU1031" s="273" t="s">
        <v>7824</v>
      </c>
      <c r="AV1031" s="847">
        <v>6</v>
      </c>
      <c r="AW1031" s="848" t="s">
        <v>7825</v>
      </c>
      <c r="AX1031" s="867"/>
      <c r="AY1031" s="273"/>
      <c r="AZ1031" s="847"/>
      <c r="BA1031" s="848"/>
      <c r="BB1031" s="866"/>
      <c r="BC1031" s="273"/>
      <c r="BD1031" s="847"/>
      <c r="BE1031" s="848"/>
      <c r="BF1031" s="838"/>
    </row>
    <row r="1032" spans="1:58" s="87" customFormat="1" ht="54" hidden="1" customHeight="1" x14ac:dyDescent="0.25">
      <c r="A1032" s="267" t="s">
        <v>7374</v>
      </c>
      <c r="B1032" s="268">
        <v>134</v>
      </c>
      <c r="C1032" s="240" t="s">
        <v>4027</v>
      </c>
      <c r="D1032" s="211" t="s">
        <v>4028</v>
      </c>
      <c r="E1032" s="268" t="s">
        <v>7826</v>
      </c>
      <c r="F1032" s="861" t="s">
        <v>4171</v>
      </c>
      <c r="G1032" s="269" t="s">
        <v>4172</v>
      </c>
      <c r="H1032" s="861" t="s">
        <v>4173</v>
      </c>
      <c r="I1032" s="269" t="s">
        <v>4174</v>
      </c>
      <c r="J1032" s="296" t="s">
        <v>140</v>
      </c>
      <c r="K1032" s="297" t="s">
        <v>140</v>
      </c>
      <c r="L1032" s="862" t="s">
        <v>1530</v>
      </c>
      <c r="M1032" s="206" t="s">
        <v>142</v>
      </c>
      <c r="N1032" s="211" t="s">
        <v>143</v>
      </c>
      <c r="O1032" s="240" t="s">
        <v>144</v>
      </c>
      <c r="P1032" s="240" t="s">
        <v>144</v>
      </c>
      <c r="Q1032" s="845" t="s">
        <v>144</v>
      </c>
      <c r="R1032" s="208" t="s">
        <v>144</v>
      </c>
      <c r="S1032" s="864" t="s">
        <v>746</v>
      </c>
      <c r="T1032" s="212" t="s">
        <v>1104</v>
      </c>
      <c r="U1032" s="213" t="s">
        <v>1105</v>
      </c>
      <c r="V1032" s="240">
        <v>19</v>
      </c>
      <c r="W1032" s="206" t="s">
        <v>144</v>
      </c>
      <c r="X1032" s="212">
        <v>41</v>
      </c>
      <c r="Y1032" s="212" t="s">
        <v>144</v>
      </c>
      <c r="Z1032" s="252" t="s">
        <v>144</v>
      </c>
      <c r="AA1032" s="240" t="s">
        <v>7827</v>
      </c>
      <c r="AB1032" s="206" t="s">
        <v>140</v>
      </c>
      <c r="AC1032" s="847" t="s">
        <v>265</v>
      </c>
      <c r="AD1032" s="847" t="s">
        <v>144</v>
      </c>
      <c r="AE1032" s="847" t="s">
        <v>144</v>
      </c>
      <c r="AF1032" s="848" t="s">
        <v>144</v>
      </c>
      <c r="AG1032" s="838"/>
      <c r="AH1032" s="866" t="s">
        <v>266</v>
      </c>
      <c r="AI1032" s="273" t="s">
        <v>267</v>
      </c>
      <c r="AJ1032" s="847">
        <v>6</v>
      </c>
      <c r="AK1032" s="848" t="s">
        <v>1046</v>
      </c>
      <c r="AL1032" s="867"/>
      <c r="AM1032" s="273"/>
      <c r="AN1032" s="847"/>
      <c r="AO1032" s="848"/>
      <c r="AP1032" s="867" t="s">
        <v>1107</v>
      </c>
      <c r="AQ1032" s="273" t="s">
        <v>1108</v>
      </c>
      <c r="AR1032" s="847">
        <v>7</v>
      </c>
      <c r="AS1032" s="286" t="s">
        <v>1109</v>
      </c>
      <c r="AT1032" s="867"/>
      <c r="AU1032" s="273"/>
      <c r="AV1032" s="847"/>
      <c r="AW1032" s="848"/>
      <c r="AX1032" s="867"/>
      <c r="AY1032" s="273"/>
      <c r="AZ1032" s="847"/>
      <c r="BA1032" s="848"/>
      <c r="BB1032" s="866"/>
      <c r="BC1032" s="273"/>
      <c r="BD1032" s="847"/>
      <c r="BE1032" s="848"/>
      <c r="BF1032" s="838"/>
    </row>
    <row r="1033" spans="1:58" s="87" customFormat="1" ht="54" hidden="1" customHeight="1" x14ac:dyDescent="0.25">
      <c r="A1033" s="267" t="s">
        <v>7374</v>
      </c>
      <c r="B1033" s="268">
        <v>135</v>
      </c>
      <c r="C1033" s="240" t="s">
        <v>4027</v>
      </c>
      <c r="D1033" s="211" t="s">
        <v>4028</v>
      </c>
      <c r="E1033" s="268" t="s">
        <v>7828</v>
      </c>
      <c r="F1033" s="861" t="s">
        <v>4177</v>
      </c>
      <c r="G1033" s="269" t="s">
        <v>4178</v>
      </c>
      <c r="H1033" s="845" t="s">
        <v>4179</v>
      </c>
      <c r="I1033" s="269" t="s">
        <v>4180</v>
      </c>
      <c r="J1033" s="296" t="s">
        <v>140</v>
      </c>
      <c r="K1033" s="297" t="s">
        <v>140</v>
      </c>
      <c r="L1033" s="862" t="s">
        <v>4181</v>
      </c>
      <c r="M1033" s="206" t="s">
        <v>973</v>
      </c>
      <c r="N1033" s="211" t="s">
        <v>974</v>
      </c>
      <c r="O1033" s="240" t="s">
        <v>814</v>
      </c>
      <c r="P1033" s="240" t="s">
        <v>815</v>
      </c>
      <c r="Q1033" s="845" t="s">
        <v>144</v>
      </c>
      <c r="R1033" s="208" t="s">
        <v>144</v>
      </c>
      <c r="S1033" s="864" t="s">
        <v>147</v>
      </c>
      <c r="T1033" s="212" t="s">
        <v>144</v>
      </c>
      <c r="U1033" s="213" t="s">
        <v>144</v>
      </c>
      <c r="V1033" s="240">
        <v>3</v>
      </c>
      <c r="W1033" s="206" t="s">
        <v>144</v>
      </c>
      <c r="X1033" s="212">
        <v>41</v>
      </c>
      <c r="Y1033" s="212" t="s">
        <v>144</v>
      </c>
      <c r="Z1033" s="212" t="s">
        <v>144</v>
      </c>
      <c r="AA1033" s="240" t="s">
        <v>7827</v>
      </c>
      <c r="AB1033" s="206" t="s">
        <v>140</v>
      </c>
      <c r="AC1033" s="847" t="s">
        <v>265</v>
      </c>
      <c r="AD1033" s="847" t="s">
        <v>144</v>
      </c>
      <c r="AE1033" s="847" t="s">
        <v>144</v>
      </c>
      <c r="AF1033" s="848" t="s">
        <v>144</v>
      </c>
      <c r="AG1033" s="838"/>
      <c r="AH1033" s="866" t="s">
        <v>7829</v>
      </c>
      <c r="AI1033" s="273" t="s">
        <v>7830</v>
      </c>
      <c r="AJ1033" s="847">
        <v>7</v>
      </c>
      <c r="AK1033" s="848" t="s">
        <v>1280</v>
      </c>
      <c r="AL1033" s="867" t="s">
        <v>294</v>
      </c>
      <c r="AM1033" s="273" t="s">
        <v>295</v>
      </c>
      <c r="AN1033" s="847">
        <v>7</v>
      </c>
      <c r="AO1033" s="187" t="s">
        <v>966</v>
      </c>
      <c r="AP1033" s="867"/>
      <c r="AQ1033" s="273"/>
      <c r="AR1033" s="847"/>
      <c r="AS1033" s="848"/>
      <c r="AT1033" s="867"/>
      <c r="AU1033" s="273"/>
      <c r="AV1033" s="847"/>
      <c r="AW1033" s="848"/>
      <c r="AX1033" s="867"/>
      <c r="AY1033" s="273"/>
      <c r="AZ1033" s="847"/>
      <c r="BA1033" s="848"/>
      <c r="BB1033" s="866"/>
      <c r="BC1033" s="273"/>
      <c r="BD1033" s="847"/>
      <c r="BE1033" s="848"/>
      <c r="BF1033" s="838"/>
    </row>
    <row r="1034" spans="1:58" s="87" customFormat="1" ht="54" hidden="1" customHeight="1" x14ac:dyDescent="0.25">
      <c r="A1034" s="267" t="s">
        <v>7374</v>
      </c>
      <c r="B1034" s="268">
        <v>136</v>
      </c>
      <c r="C1034" s="240" t="s">
        <v>4027</v>
      </c>
      <c r="D1034" s="211" t="s">
        <v>4028</v>
      </c>
      <c r="E1034" s="268" t="s">
        <v>7831</v>
      </c>
      <c r="F1034" s="299" t="s">
        <v>4185</v>
      </c>
      <c r="G1034" s="269" t="s">
        <v>4186</v>
      </c>
      <c r="H1034" s="845" t="s">
        <v>4187</v>
      </c>
      <c r="I1034" s="269" t="s">
        <v>4188</v>
      </c>
      <c r="J1034" s="296" t="s">
        <v>140</v>
      </c>
      <c r="K1034" s="297" t="s">
        <v>140</v>
      </c>
      <c r="L1034" s="862" t="s">
        <v>4189</v>
      </c>
      <c r="M1034" s="206" t="s">
        <v>973</v>
      </c>
      <c r="N1034" s="211" t="s">
        <v>974</v>
      </c>
      <c r="O1034" s="240" t="s">
        <v>4190</v>
      </c>
      <c r="P1034" s="240" t="s">
        <v>4191</v>
      </c>
      <c r="Q1034" s="845" t="s">
        <v>144</v>
      </c>
      <c r="R1034" s="208" t="s">
        <v>144</v>
      </c>
      <c r="S1034" s="864" t="s">
        <v>147</v>
      </c>
      <c r="T1034" s="212" t="s">
        <v>144</v>
      </c>
      <c r="U1034" s="213" t="s">
        <v>144</v>
      </c>
      <c r="V1034" s="240">
        <v>1</v>
      </c>
      <c r="W1034" s="206" t="s">
        <v>144</v>
      </c>
      <c r="X1034" s="212">
        <v>41</v>
      </c>
      <c r="Y1034" s="212" t="s">
        <v>144</v>
      </c>
      <c r="Z1034" s="433" t="s">
        <v>25</v>
      </c>
      <c r="AA1034" s="407" t="s">
        <v>7832</v>
      </c>
      <c r="AB1034" s="206" t="s">
        <v>140</v>
      </c>
      <c r="AC1034" s="847" t="s">
        <v>265</v>
      </c>
      <c r="AD1034" s="847" t="s">
        <v>144</v>
      </c>
      <c r="AE1034" s="847" t="s">
        <v>144</v>
      </c>
      <c r="AF1034" s="848" t="s">
        <v>144</v>
      </c>
      <c r="AG1034" s="838"/>
      <c r="AH1034" s="866" t="s">
        <v>7772</v>
      </c>
      <c r="AI1034" s="273" t="s">
        <v>7773</v>
      </c>
      <c r="AJ1034" s="847">
        <v>7</v>
      </c>
      <c r="AK1034" s="848" t="s">
        <v>7774</v>
      </c>
      <c r="AL1034" s="867" t="s">
        <v>294</v>
      </c>
      <c r="AM1034" s="273" t="s">
        <v>295</v>
      </c>
      <c r="AN1034" s="847">
        <v>7</v>
      </c>
      <c r="AO1034" s="187" t="s">
        <v>966</v>
      </c>
      <c r="AP1034" s="867"/>
      <c r="AQ1034" s="273"/>
      <c r="AR1034" s="847"/>
      <c r="AS1034" s="848"/>
      <c r="AT1034" s="867"/>
      <c r="AU1034" s="273"/>
      <c r="AV1034" s="847"/>
      <c r="AW1034" s="848"/>
      <c r="AX1034" s="901" t="s">
        <v>7833</v>
      </c>
      <c r="AY1034" s="318" t="s">
        <v>7834</v>
      </c>
      <c r="AZ1034" s="902">
        <v>6</v>
      </c>
      <c r="BA1034" s="848" t="s">
        <v>4195</v>
      </c>
      <c r="BB1034" s="866"/>
      <c r="BC1034" s="273"/>
      <c r="BD1034" s="847"/>
      <c r="BE1034" s="848"/>
      <c r="BF1034" s="838"/>
    </row>
    <row r="1035" spans="1:58" s="87" customFormat="1" ht="54" hidden="1" customHeight="1" x14ac:dyDescent="0.25">
      <c r="A1035" s="267" t="s">
        <v>7374</v>
      </c>
      <c r="B1035" s="268">
        <v>137</v>
      </c>
      <c r="C1035" s="240" t="s">
        <v>2170</v>
      </c>
      <c r="D1035" s="211" t="s">
        <v>2171</v>
      </c>
      <c r="E1035" s="268" t="s">
        <v>7835</v>
      </c>
      <c r="F1035" s="861" t="s">
        <v>4197</v>
      </c>
      <c r="G1035" s="269" t="s">
        <v>4198</v>
      </c>
      <c r="H1035" s="861" t="s">
        <v>7836</v>
      </c>
      <c r="I1035" s="269" t="s">
        <v>7837</v>
      </c>
      <c r="J1035" s="296" t="s">
        <v>140</v>
      </c>
      <c r="K1035" s="297" t="s">
        <v>140</v>
      </c>
      <c r="L1035" s="862" t="s">
        <v>4201</v>
      </c>
      <c r="M1035" s="206" t="s">
        <v>973</v>
      </c>
      <c r="N1035" s="211" t="s">
        <v>974</v>
      </c>
      <c r="O1035" s="240" t="s">
        <v>144</v>
      </c>
      <c r="P1035" s="240" t="s">
        <v>144</v>
      </c>
      <c r="Q1035" s="845" t="s">
        <v>7838</v>
      </c>
      <c r="R1035" s="208" t="s">
        <v>7839</v>
      </c>
      <c r="S1035" s="864" t="s">
        <v>746</v>
      </c>
      <c r="T1035" s="212" t="s">
        <v>1307</v>
      </c>
      <c r="U1035" s="213" t="s">
        <v>1308</v>
      </c>
      <c r="V1035" s="240">
        <v>10</v>
      </c>
      <c r="W1035" s="206" t="s">
        <v>144</v>
      </c>
      <c r="X1035" s="212">
        <v>41</v>
      </c>
      <c r="Y1035" s="212" t="s">
        <v>144</v>
      </c>
      <c r="Z1035" s="212" t="s">
        <v>144</v>
      </c>
      <c r="AA1035" s="240" t="s">
        <v>4050</v>
      </c>
      <c r="AB1035" s="206" t="s">
        <v>140</v>
      </c>
      <c r="AC1035" s="847" t="s">
        <v>265</v>
      </c>
      <c r="AD1035" s="847" t="s">
        <v>144</v>
      </c>
      <c r="AE1035" s="847" t="s">
        <v>144</v>
      </c>
      <c r="AF1035" s="848" t="s">
        <v>144</v>
      </c>
      <c r="AG1035" s="838"/>
      <c r="AH1035" s="866" t="s">
        <v>7840</v>
      </c>
      <c r="AI1035" s="273" t="s">
        <v>7841</v>
      </c>
      <c r="AJ1035" s="847">
        <v>6</v>
      </c>
      <c r="AK1035" s="847" t="s">
        <v>7842</v>
      </c>
      <c r="AL1035" s="867"/>
      <c r="AM1035" s="273"/>
      <c r="AN1035" s="847"/>
      <c r="AO1035" s="848"/>
      <c r="AP1035" s="867"/>
      <c r="AQ1035" s="273"/>
      <c r="AR1035" s="847"/>
      <c r="AS1035" s="848"/>
      <c r="AT1035" s="867"/>
      <c r="AU1035" s="273"/>
      <c r="AV1035" s="847"/>
      <c r="AW1035" s="848"/>
      <c r="AX1035" s="867"/>
      <c r="AY1035" s="273"/>
      <c r="AZ1035" s="847"/>
      <c r="BA1035" s="848"/>
      <c r="BB1035" s="866"/>
      <c r="BC1035" s="273"/>
      <c r="BD1035" s="847"/>
      <c r="BE1035" s="848"/>
      <c r="BF1035" s="838"/>
    </row>
    <row r="1036" spans="1:58" s="87" customFormat="1" ht="54" hidden="1" customHeight="1" x14ac:dyDescent="0.25">
      <c r="A1036" s="267" t="s">
        <v>7374</v>
      </c>
      <c r="B1036" s="268">
        <v>138</v>
      </c>
      <c r="C1036" s="240" t="s">
        <v>2170</v>
      </c>
      <c r="D1036" s="211" t="s">
        <v>2171</v>
      </c>
      <c r="E1036" s="268" t="s">
        <v>7843</v>
      </c>
      <c r="F1036" s="861" t="s">
        <v>4210</v>
      </c>
      <c r="G1036" s="269" t="s">
        <v>4211</v>
      </c>
      <c r="H1036" s="249" t="s">
        <v>4212</v>
      </c>
      <c r="I1036" s="135" t="s">
        <v>4213</v>
      </c>
      <c r="J1036" s="296" t="s">
        <v>140</v>
      </c>
      <c r="K1036" s="297" t="s">
        <v>140</v>
      </c>
      <c r="L1036" s="862" t="s">
        <v>7844</v>
      </c>
      <c r="M1036" s="206" t="s">
        <v>973</v>
      </c>
      <c r="N1036" s="211" t="s">
        <v>974</v>
      </c>
      <c r="O1036" s="240" t="s">
        <v>3676</v>
      </c>
      <c r="P1036" s="240" t="s">
        <v>3677</v>
      </c>
      <c r="Q1036" s="845" t="s">
        <v>144</v>
      </c>
      <c r="R1036" s="208" t="s">
        <v>144</v>
      </c>
      <c r="S1036" s="864" t="s">
        <v>147</v>
      </c>
      <c r="T1036" s="212" t="s">
        <v>144</v>
      </c>
      <c r="U1036" s="213" t="s">
        <v>144</v>
      </c>
      <c r="V1036" s="240">
        <v>1</v>
      </c>
      <c r="W1036" s="206" t="s">
        <v>144</v>
      </c>
      <c r="X1036" s="212">
        <v>41</v>
      </c>
      <c r="Y1036" s="212" t="s">
        <v>144</v>
      </c>
      <c r="Z1036" s="252" t="s">
        <v>29</v>
      </c>
      <c r="AA1036" s="407" t="s">
        <v>7845</v>
      </c>
      <c r="AB1036" s="206" t="s">
        <v>140</v>
      </c>
      <c r="AC1036" s="847" t="s">
        <v>265</v>
      </c>
      <c r="AD1036" s="847" t="s">
        <v>144</v>
      </c>
      <c r="AE1036" s="847" t="s">
        <v>144</v>
      </c>
      <c r="AF1036" s="848" t="s">
        <v>144</v>
      </c>
      <c r="AG1036" s="838"/>
      <c r="AH1036" s="885" t="s">
        <v>7846</v>
      </c>
      <c r="AI1036" s="406" t="s">
        <v>7847</v>
      </c>
      <c r="AJ1036" s="872">
        <v>7</v>
      </c>
      <c r="AK1036" s="871" t="s">
        <v>7848</v>
      </c>
      <c r="AL1036" s="867" t="s">
        <v>294</v>
      </c>
      <c r="AM1036" s="273" t="s">
        <v>295</v>
      </c>
      <c r="AN1036" s="847">
        <v>7</v>
      </c>
      <c r="AO1036" s="187" t="s">
        <v>966</v>
      </c>
      <c r="AP1036" s="867"/>
      <c r="AQ1036" s="273"/>
      <c r="AR1036" s="847"/>
      <c r="AS1036" s="848"/>
      <c r="AT1036" s="867"/>
      <c r="AU1036" s="273"/>
      <c r="AV1036" s="847"/>
      <c r="AW1036" s="848"/>
      <c r="AX1036" s="867"/>
      <c r="AY1036" s="273"/>
      <c r="AZ1036" s="847"/>
      <c r="BA1036" s="848"/>
      <c r="BB1036" s="866"/>
      <c r="BC1036" s="273"/>
      <c r="BD1036" s="847"/>
      <c r="BE1036" s="848"/>
      <c r="BF1036" s="838"/>
    </row>
    <row r="1037" spans="1:58" s="87" customFormat="1" ht="54" hidden="1" customHeight="1" x14ac:dyDescent="0.25">
      <c r="A1037" s="267" t="s">
        <v>7374</v>
      </c>
      <c r="B1037" s="268">
        <v>139</v>
      </c>
      <c r="C1037" s="240" t="s">
        <v>2170</v>
      </c>
      <c r="D1037" s="211" t="s">
        <v>2171</v>
      </c>
      <c r="E1037" s="268" t="s">
        <v>7849</v>
      </c>
      <c r="F1037" s="886" t="s">
        <v>4220</v>
      </c>
      <c r="G1037" s="430" t="s">
        <v>4221</v>
      </c>
      <c r="H1037" s="574" t="s">
        <v>4222</v>
      </c>
      <c r="I1037" s="426" t="s">
        <v>4223</v>
      </c>
      <c r="J1037" s="296" t="s">
        <v>140</v>
      </c>
      <c r="K1037" s="297" t="s">
        <v>140</v>
      </c>
      <c r="L1037" s="862" t="s">
        <v>4224</v>
      </c>
      <c r="M1037" s="206" t="s">
        <v>973</v>
      </c>
      <c r="N1037" s="211" t="s">
        <v>974</v>
      </c>
      <c r="O1037" s="240" t="s">
        <v>3688</v>
      </c>
      <c r="P1037" s="240" t="s">
        <v>3689</v>
      </c>
      <c r="Q1037" s="845" t="s">
        <v>144</v>
      </c>
      <c r="R1037" s="208" t="s">
        <v>144</v>
      </c>
      <c r="S1037" s="864" t="s">
        <v>147</v>
      </c>
      <c r="T1037" s="212" t="s">
        <v>144</v>
      </c>
      <c r="U1037" s="213" t="s">
        <v>144</v>
      </c>
      <c r="V1037" s="240">
        <v>12</v>
      </c>
      <c r="W1037" s="206" t="s">
        <v>144</v>
      </c>
      <c r="X1037" s="212">
        <v>41</v>
      </c>
      <c r="Y1037" s="212" t="s">
        <v>144</v>
      </c>
      <c r="Z1037" s="252" t="s">
        <v>29</v>
      </c>
      <c r="AA1037" s="407" t="s">
        <v>4317</v>
      </c>
      <c r="AB1037" s="206" t="s">
        <v>140</v>
      </c>
      <c r="AC1037" s="847" t="s">
        <v>265</v>
      </c>
      <c r="AD1037" s="847" t="s">
        <v>144</v>
      </c>
      <c r="AE1037" s="847" t="s">
        <v>144</v>
      </c>
      <c r="AF1037" s="848" t="s">
        <v>144</v>
      </c>
      <c r="AG1037" s="838"/>
      <c r="AH1037" s="885" t="s">
        <v>7850</v>
      </c>
      <c r="AI1037" s="406" t="s">
        <v>7851</v>
      </c>
      <c r="AJ1037" s="872">
        <v>6</v>
      </c>
      <c r="AK1037" s="871" t="s">
        <v>7852</v>
      </c>
      <c r="AL1037" s="867" t="s">
        <v>294</v>
      </c>
      <c r="AM1037" s="273" t="s">
        <v>295</v>
      </c>
      <c r="AN1037" s="847">
        <v>7</v>
      </c>
      <c r="AO1037" s="187" t="s">
        <v>966</v>
      </c>
      <c r="AP1037" s="867"/>
      <c r="AQ1037" s="273"/>
      <c r="AR1037" s="847"/>
      <c r="AS1037" s="848"/>
      <c r="AT1037" s="867"/>
      <c r="AU1037" s="273"/>
      <c r="AV1037" s="847"/>
      <c r="AW1037" s="848"/>
      <c r="AX1037" s="867"/>
      <c r="AY1037" s="273"/>
      <c r="AZ1037" s="847"/>
      <c r="BA1037" s="848"/>
      <c r="BB1037" s="866"/>
      <c r="BC1037" s="273"/>
      <c r="BD1037" s="847"/>
      <c r="BE1037" s="848"/>
      <c r="BF1037" s="838"/>
    </row>
    <row r="1038" spans="1:58" s="87" customFormat="1" ht="54" hidden="1" customHeight="1" x14ac:dyDescent="0.25">
      <c r="A1038" s="267" t="s">
        <v>7374</v>
      </c>
      <c r="B1038" s="268">
        <v>140</v>
      </c>
      <c r="C1038" s="240" t="s">
        <v>4027</v>
      </c>
      <c r="D1038" s="211" t="s">
        <v>4028</v>
      </c>
      <c r="E1038" s="268" t="s">
        <v>7853</v>
      </c>
      <c r="F1038" s="861" t="s">
        <v>4231</v>
      </c>
      <c r="G1038" s="269" t="s">
        <v>4232</v>
      </c>
      <c r="H1038" s="845" t="s">
        <v>4231</v>
      </c>
      <c r="I1038" s="269" t="s">
        <v>4232</v>
      </c>
      <c r="J1038" s="296" t="s">
        <v>140</v>
      </c>
      <c r="K1038" s="297" t="s">
        <v>140</v>
      </c>
      <c r="L1038" s="862" t="s">
        <v>4233</v>
      </c>
      <c r="M1038" s="206" t="s">
        <v>973</v>
      </c>
      <c r="N1038" s="211" t="s">
        <v>974</v>
      </c>
      <c r="O1038" s="240" t="s">
        <v>4234</v>
      </c>
      <c r="P1038" s="240" t="s">
        <v>4235</v>
      </c>
      <c r="Q1038" s="845" t="s">
        <v>144</v>
      </c>
      <c r="R1038" s="208" t="s">
        <v>144</v>
      </c>
      <c r="S1038" s="864" t="s">
        <v>147</v>
      </c>
      <c r="T1038" s="212" t="s">
        <v>144</v>
      </c>
      <c r="U1038" s="213" t="s">
        <v>144</v>
      </c>
      <c r="V1038" s="240">
        <v>1</v>
      </c>
      <c r="W1038" s="206" t="s">
        <v>144</v>
      </c>
      <c r="X1038" s="212">
        <v>41</v>
      </c>
      <c r="Y1038" s="212" t="s">
        <v>144</v>
      </c>
      <c r="Z1038" s="252" t="s">
        <v>29</v>
      </c>
      <c r="AA1038" s="407" t="s">
        <v>4317</v>
      </c>
      <c r="AB1038" s="206" t="s">
        <v>140</v>
      </c>
      <c r="AC1038" s="847" t="s">
        <v>265</v>
      </c>
      <c r="AD1038" s="847" t="s">
        <v>144</v>
      </c>
      <c r="AE1038" s="847" t="s">
        <v>144</v>
      </c>
      <c r="AF1038" s="848" t="s">
        <v>144</v>
      </c>
      <c r="AG1038" s="838"/>
      <c r="AH1038" s="885" t="s">
        <v>7854</v>
      </c>
      <c r="AI1038" s="406" t="s">
        <v>7855</v>
      </c>
      <c r="AJ1038" s="872">
        <v>6</v>
      </c>
      <c r="AK1038" s="871" t="s">
        <v>7856</v>
      </c>
      <c r="AL1038" s="867" t="s">
        <v>294</v>
      </c>
      <c r="AM1038" s="273" t="s">
        <v>295</v>
      </c>
      <c r="AN1038" s="847">
        <v>7</v>
      </c>
      <c r="AO1038" s="187" t="s">
        <v>966</v>
      </c>
      <c r="AP1038" s="867"/>
      <c r="AQ1038" s="273"/>
      <c r="AR1038" s="847"/>
      <c r="AS1038" s="848"/>
      <c r="AT1038" s="867"/>
      <c r="AU1038" s="273"/>
      <c r="AV1038" s="847"/>
      <c r="AW1038" s="848"/>
      <c r="AX1038" s="867"/>
      <c r="AY1038" s="273"/>
      <c r="AZ1038" s="847"/>
      <c r="BA1038" s="848"/>
      <c r="BB1038" s="866"/>
      <c r="BC1038" s="273"/>
      <c r="BD1038" s="847"/>
      <c r="BE1038" s="848"/>
      <c r="BF1038" s="838"/>
    </row>
    <row r="1039" spans="1:58" s="87" customFormat="1" ht="54" hidden="1" customHeight="1" x14ac:dyDescent="0.25">
      <c r="A1039" s="267" t="s">
        <v>7374</v>
      </c>
      <c r="B1039" s="268">
        <v>141</v>
      </c>
      <c r="C1039" s="240" t="s">
        <v>4027</v>
      </c>
      <c r="D1039" s="211" t="s">
        <v>4028</v>
      </c>
      <c r="E1039" s="268" t="s">
        <v>7857</v>
      </c>
      <c r="F1039" s="861" t="s">
        <v>4241</v>
      </c>
      <c r="G1039" s="269" t="s">
        <v>4242</v>
      </c>
      <c r="H1039" s="845" t="s">
        <v>4243</v>
      </c>
      <c r="I1039" s="269" t="s">
        <v>4244</v>
      </c>
      <c r="J1039" s="296" t="s">
        <v>140</v>
      </c>
      <c r="K1039" s="297" t="s">
        <v>140</v>
      </c>
      <c r="L1039" s="862" t="s">
        <v>4245</v>
      </c>
      <c r="M1039" s="206" t="s">
        <v>973</v>
      </c>
      <c r="N1039" s="211" t="s">
        <v>974</v>
      </c>
      <c r="O1039" s="240" t="s">
        <v>225</v>
      </c>
      <c r="P1039" s="240" t="s">
        <v>226</v>
      </c>
      <c r="Q1039" s="845" t="s">
        <v>144</v>
      </c>
      <c r="R1039" s="208" t="s">
        <v>144</v>
      </c>
      <c r="S1039" s="864" t="s">
        <v>147</v>
      </c>
      <c r="T1039" s="212" t="s">
        <v>144</v>
      </c>
      <c r="U1039" s="213" t="s">
        <v>144</v>
      </c>
      <c r="V1039" s="240">
        <v>1</v>
      </c>
      <c r="W1039" s="206" t="s">
        <v>144</v>
      </c>
      <c r="X1039" s="212">
        <v>41</v>
      </c>
      <c r="Y1039" s="212" t="s">
        <v>144</v>
      </c>
      <c r="Z1039" s="252" t="s">
        <v>29</v>
      </c>
      <c r="AA1039" s="407" t="s">
        <v>4317</v>
      </c>
      <c r="AB1039" s="206" t="s">
        <v>140</v>
      </c>
      <c r="AC1039" s="847" t="s">
        <v>265</v>
      </c>
      <c r="AD1039" s="847" t="s">
        <v>144</v>
      </c>
      <c r="AE1039" s="847" t="s">
        <v>144</v>
      </c>
      <c r="AF1039" s="848" t="s">
        <v>144</v>
      </c>
      <c r="AG1039" s="838"/>
      <c r="AH1039" s="885" t="s">
        <v>7854</v>
      </c>
      <c r="AI1039" s="406" t="s">
        <v>7855</v>
      </c>
      <c r="AJ1039" s="872">
        <v>6</v>
      </c>
      <c r="AK1039" s="778" t="s">
        <v>7858</v>
      </c>
      <c r="AL1039" s="867" t="s">
        <v>294</v>
      </c>
      <c r="AM1039" s="273" t="s">
        <v>295</v>
      </c>
      <c r="AN1039" s="847">
        <v>7</v>
      </c>
      <c r="AO1039" s="187" t="s">
        <v>966</v>
      </c>
      <c r="AP1039" s="867"/>
      <c r="AQ1039" s="273"/>
      <c r="AR1039" s="847"/>
      <c r="AS1039" s="848"/>
      <c r="AT1039" s="867"/>
      <c r="AU1039" s="273"/>
      <c r="AV1039" s="847"/>
      <c r="AW1039" s="848"/>
      <c r="AX1039" s="867"/>
      <c r="AY1039" s="273"/>
      <c r="AZ1039" s="847"/>
      <c r="BA1039" s="848"/>
      <c r="BB1039" s="866"/>
      <c r="BC1039" s="273"/>
      <c r="BD1039" s="847"/>
      <c r="BE1039" s="848"/>
      <c r="BF1039" s="838"/>
    </row>
    <row r="1040" spans="1:58" s="87" customFormat="1" ht="54" hidden="1" customHeight="1" x14ac:dyDescent="0.25">
      <c r="A1040" s="267" t="s">
        <v>7374</v>
      </c>
      <c r="B1040" s="268">
        <v>142</v>
      </c>
      <c r="C1040" s="240" t="s">
        <v>4027</v>
      </c>
      <c r="D1040" s="211" t="s">
        <v>4028</v>
      </c>
      <c r="E1040" s="268" t="s">
        <v>7859</v>
      </c>
      <c r="F1040" s="861" t="s">
        <v>4252</v>
      </c>
      <c r="G1040" s="269" t="s">
        <v>4253</v>
      </c>
      <c r="H1040" s="845" t="s">
        <v>4254</v>
      </c>
      <c r="I1040" s="269" t="s">
        <v>4255</v>
      </c>
      <c r="J1040" s="296" t="s">
        <v>140</v>
      </c>
      <c r="K1040" s="297" t="s">
        <v>140</v>
      </c>
      <c r="L1040" s="862" t="s">
        <v>4256</v>
      </c>
      <c r="M1040" s="206" t="s">
        <v>973</v>
      </c>
      <c r="N1040" s="211" t="s">
        <v>974</v>
      </c>
      <c r="O1040" s="240" t="s">
        <v>225</v>
      </c>
      <c r="P1040" s="240" t="s">
        <v>226</v>
      </c>
      <c r="Q1040" s="845" t="s">
        <v>4257</v>
      </c>
      <c r="R1040" s="208" t="s">
        <v>4258</v>
      </c>
      <c r="S1040" s="864" t="s">
        <v>147</v>
      </c>
      <c r="T1040" s="212" t="s">
        <v>144</v>
      </c>
      <c r="U1040" s="213" t="s">
        <v>144</v>
      </c>
      <c r="V1040" s="240">
        <v>1</v>
      </c>
      <c r="W1040" s="206" t="s">
        <v>144</v>
      </c>
      <c r="X1040" s="212">
        <v>41</v>
      </c>
      <c r="Y1040" s="212" t="s">
        <v>144</v>
      </c>
      <c r="Z1040" s="252" t="s">
        <v>29</v>
      </c>
      <c r="AA1040" s="407" t="s">
        <v>4317</v>
      </c>
      <c r="AB1040" s="206" t="s">
        <v>140</v>
      </c>
      <c r="AC1040" s="847" t="s">
        <v>265</v>
      </c>
      <c r="AD1040" s="847" t="s">
        <v>144</v>
      </c>
      <c r="AE1040" s="847" t="s">
        <v>144</v>
      </c>
      <c r="AF1040" s="848" t="s">
        <v>144</v>
      </c>
      <c r="AG1040" s="838"/>
      <c r="AH1040" s="885" t="s">
        <v>7854</v>
      </c>
      <c r="AI1040" s="406" t="s">
        <v>7855</v>
      </c>
      <c r="AJ1040" s="872">
        <v>6</v>
      </c>
      <c r="AK1040" s="871" t="s">
        <v>7856</v>
      </c>
      <c r="AL1040" s="867" t="s">
        <v>294</v>
      </c>
      <c r="AM1040" s="273" t="s">
        <v>295</v>
      </c>
      <c r="AN1040" s="847">
        <v>7</v>
      </c>
      <c r="AO1040" s="187" t="s">
        <v>966</v>
      </c>
      <c r="AP1040" s="867"/>
      <c r="AQ1040" s="273"/>
      <c r="AR1040" s="847"/>
      <c r="AS1040" s="848"/>
      <c r="AT1040" s="867"/>
      <c r="AU1040" s="273"/>
      <c r="AV1040" s="847"/>
      <c r="AW1040" s="848"/>
      <c r="AX1040" s="867"/>
      <c r="AY1040" s="273"/>
      <c r="AZ1040" s="847"/>
      <c r="BA1040" s="848"/>
      <c r="BB1040" s="866"/>
      <c r="BC1040" s="273"/>
      <c r="BD1040" s="847"/>
      <c r="BE1040" s="848"/>
      <c r="BF1040" s="838"/>
    </row>
    <row r="1041" spans="1:58" s="87" customFormat="1" ht="54" hidden="1" customHeight="1" x14ac:dyDescent="0.25">
      <c r="A1041" s="267" t="s">
        <v>7374</v>
      </c>
      <c r="B1041" s="268">
        <v>143</v>
      </c>
      <c r="C1041" s="240" t="s">
        <v>2170</v>
      </c>
      <c r="D1041" s="211" t="s">
        <v>2171</v>
      </c>
      <c r="E1041" s="268" t="s">
        <v>7860</v>
      </c>
      <c r="F1041" s="861" t="s">
        <v>4264</v>
      </c>
      <c r="G1041" s="269" t="s">
        <v>4265</v>
      </c>
      <c r="H1041" s="845" t="s">
        <v>4266</v>
      </c>
      <c r="I1041" s="208" t="s">
        <v>4267</v>
      </c>
      <c r="J1041" s="240" t="s">
        <v>140</v>
      </c>
      <c r="K1041" s="270" t="s">
        <v>140</v>
      </c>
      <c r="L1041" s="862" t="s">
        <v>4268</v>
      </c>
      <c r="M1041" s="444" t="s">
        <v>142</v>
      </c>
      <c r="N1041" s="443" t="s">
        <v>143</v>
      </c>
      <c r="O1041" s="240" t="s">
        <v>144</v>
      </c>
      <c r="P1041" s="240" t="s">
        <v>144</v>
      </c>
      <c r="Q1041" s="845" t="s">
        <v>144</v>
      </c>
      <c r="R1041" s="208" t="s">
        <v>144</v>
      </c>
      <c r="S1041" s="864" t="s">
        <v>746</v>
      </c>
      <c r="T1041" s="212" t="s">
        <v>1307</v>
      </c>
      <c r="U1041" s="213" t="s">
        <v>1308</v>
      </c>
      <c r="V1041" s="240">
        <v>10</v>
      </c>
      <c r="W1041" s="206" t="s">
        <v>144</v>
      </c>
      <c r="X1041" s="212">
        <v>41</v>
      </c>
      <c r="Y1041" s="212" t="s">
        <v>144</v>
      </c>
      <c r="Z1041" s="433" t="s">
        <v>25</v>
      </c>
      <c r="AA1041" s="407" t="s">
        <v>7861</v>
      </c>
      <c r="AB1041" s="206" t="s">
        <v>140</v>
      </c>
      <c r="AC1041" s="847" t="s">
        <v>265</v>
      </c>
      <c r="AD1041" s="847" t="s">
        <v>144</v>
      </c>
      <c r="AE1041" s="847" t="s">
        <v>144</v>
      </c>
      <c r="AF1041" s="848" t="s">
        <v>144</v>
      </c>
      <c r="AG1041" s="838"/>
      <c r="AH1041" s="609" t="s">
        <v>266</v>
      </c>
      <c r="AI1041" s="610" t="s">
        <v>267</v>
      </c>
      <c r="AJ1041" s="872">
        <v>6</v>
      </c>
      <c r="AK1041" s="878" t="s">
        <v>1046</v>
      </c>
      <c r="AL1041" s="867"/>
      <c r="AM1041" s="273"/>
      <c r="AN1041" s="847"/>
      <c r="AO1041" s="848"/>
      <c r="AP1041" s="867"/>
      <c r="AQ1041" s="273"/>
      <c r="AR1041" s="847"/>
      <c r="AS1041" s="848"/>
      <c r="AT1041" s="867"/>
      <c r="AU1041" s="273"/>
      <c r="AV1041" s="847"/>
      <c r="AW1041" s="848"/>
      <c r="AX1041" s="867"/>
      <c r="AY1041" s="273"/>
      <c r="AZ1041" s="847"/>
      <c r="BA1041" s="848"/>
      <c r="BB1041" s="866"/>
      <c r="BC1041" s="273"/>
      <c r="BD1041" s="847"/>
      <c r="BE1041" s="848"/>
      <c r="BF1041" s="838"/>
    </row>
    <row r="1042" spans="1:58" s="87" customFormat="1" ht="54" hidden="1" customHeight="1" x14ac:dyDescent="0.25">
      <c r="A1042" s="267" t="s">
        <v>7374</v>
      </c>
      <c r="B1042" s="268">
        <v>144</v>
      </c>
      <c r="C1042" s="240" t="s">
        <v>4027</v>
      </c>
      <c r="D1042" s="211" t="s">
        <v>4028</v>
      </c>
      <c r="E1042" s="268" t="s">
        <v>7862</v>
      </c>
      <c r="F1042" s="861" t="s">
        <v>4276</v>
      </c>
      <c r="G1042" s="269" t="s">
        <v>4277</v>
      </c>
      <c r="H1042" s="845" t="s">
        <v>4278</v>
      </c>
      <c r="I1042" s="269" t="s">
        <v>4279</v>
      </c>
      <c r="J1042" s="296" t="s">
        <v>140</v>
      </c>
      <c r="K1042" s="297" t="s">
        <v>140</v>
      </c>
      <c r="L1042" s="862" t="s">
        <v>4280</v>
      </c>
      <c r="M1042" s="206" t="s">
        <v>973</v>
      </c>
      <c r="N1042" s="211" t="s">
        <v>974</v>
      </c>
      <c r="O1042" s="240" t="s">
        <v>4281</v>
      </c>
      <c r="P1042" s="240" t="s">
        <v>4282</v>
      </c>
      <c r="Q1042" s="845" t="s">
        <v>144</v>
      </c>
      <c r="R1042" s="208" t="s">
        <v>144</v>
      </c>
      <c r="S1042" s="864" t="s">
        <v>147</v>
      </c>
      <c r="T1042" s="212" t="s">
        <v>144</v>
      </c>
      <c r="U1042" s="213" t="s">
        <v>144</v>
      </c>
      <c r="V1042" s="240">
        <v>1</v>
      </c>
      <c r="W1042" s="206" t="s">
        <v>144</v>
      </c>
      <c r="X1042" s="212">
        <v>41</v>
      </c>
      <c r="Y1042" s="212" t="s">
        <v>144</v>
      </c>
      <c r="Z1042" s="212" t="s">
        <v>144</v>
      </c>
      <c r="AA1042" s="240" t="s">
        <v>2588</v>
      </c>
      <c r="AB1042" s="206" t="s">
        <v>140</v>
      </c>
      <c r="AC1042" s="847" t="s">
        <v>265</v>
      </c>
      <c r="AD1042" s="847" t="s">
        <v>144</v>
      </c>
      <c r="AE1042" s="847" t="s">
        <v>144</v>
      </c>
      <c r="AF1042" s="848" t="s">
        <v>144</v>
      </c>
      <c r="AG1042" s="838"/>
      <c r="AH1042" s="866" t="s">
        <v>7863</v>
      </c>
      <c r="AI1042" s="273" t="s">
        <v>7864</v>
      </c>
      <c r="AJ1042" s="847">
        <v>6</v>
      </c>
      <c r="AK1042" s="848" t="s">
        <v>7858</v>
      </c>
      <c r="AL1042" s="867" t="s">
        <v>294</v>
      </c>
      <c r="AM1042" s="273" t="s">
        <v>295</v>
      </c>
      <c r="AN1042" s="847">
        <v>7</v>
      </c>
      <c r="AO1042" s="187" t="s">
        <v>966</v>
      </c>
      <c r="AP1042" s="867"/>
      <c r="AQ1042" s="273"/>
      <c r="AR1042" s="847"/>
      <c r="AS1042" s="848"/>
      <c r="AT1042" s="867"/>
      <c r="AU1042" s="273"/>
      <c r="AV1042" s="847"/>
      <c r="AW1042" s="848"/>
      <c r="AX1042" s="867"/>
      <c r="AY1042" s="273"/>
      <c r="AZ1042" s="847"/>
      <c r="BA1042" s="848"/>
      <c r="BB1042" s="866"/>
      <c r="BC1042" s="273"/>
      <c r="BD1042" s="847"/>
      <c r="BE1042" s="848"/>
      <c r="BF1042" s="838"/>
    </row>
    <row r="1043" spans="1:58" s="87" customFormat="1" ht="54" hidden="1" customHeight="1" x14ac:dyDescent="0.25">
      <c r="A1043" s="267" t="s">
        <v>7374</v>
      </c>
      <c r="B1043" s="268">
        <v>145</v>
      </c>
      <c r="C1043" s="240" t="s">
        <v>4027</v>
      </c>
      <c r="D1043" s="211" t="s">
        <v>4028</v>
      </c>
      <c r="E1043" s="268" t="s">
        <v>7865</v>
      </c>
      <c r="F1043" s="861" t="s">
        <v>4286</v>
      </c>
      <c r="G1043" s="269" t="s">
        <v>4287</v>
      </c>
      <c r="H1043" s="845" t="s">
        <v>4288</v>
      </c>
      <c r="I1043" s="269" t="s">
        <v>4289</v>
      </c>
      <c r="J1043" s="296" t="s">
        <v>140</v>
      </c>
      <c r="K1043" s="297" t="s">
        <v>140</v>
      </c>
      <c r="L1043" s="862" t="s">
        <v>4290</v>
      </c>
      <c r="M1043" s="206" t="s">
        <v>973</v>
      </c>
      <c r="N1043" s="211" t="s">
        <v>974</v>
      </c>
      <c r="O1043" s="240" t="s">
        <v>144</v>
      </c>
      <c r="P1043" s="240" t="s">
        <v>144</v>
      </c>
      <c r="Q1043" s="845" t="s">
        <v>144</v>
      </c>
      <c r="R1043" s="208" t="s">
        <v>144</v>
      </c>
      <c r="S1043" s="181" t="s">
        <v>233</v>
      </c>
      <c r="T1043" s="212" t="s">
        <v>234</v>
      </c>
      <c r="U1043" s="213" t="s">
        <v>235</v>
      </c>
      <c r="V1043" s="240">
        <v>8</v>
      </c>
      <c r="W1043" s="206" t="s">
        <v>144</v>
      </c>
      <c r="X1043" s="212">
        <v>41</v>
      </c>
      <c r="Y1043" s="212" t="s">
        <v>144</v>
      </c>
      <c r="Z1043" s="252" t="s">
        <v>29</v>
      </c>
      <c r="AA1043" s="407" t="s">
        <v>4317</v>
      </c>
      <c r="AB1043" s="206" t="s">
        <v>140</v>
      </c>
      <c r="AC1043" s="847" t="s">
        <v>265</v>
      </c>
      <c r="AD1043" s="847" t="s">
        <v>144</v>
      </c>
      <c r="AE1043" s="847" t="s">
        <v>144</v>
      </c>
      <c r="AF1043" s="848" t="s">
        <v>144</v>
      </c>
      <c r="AG1043" s="838"/>
      <c r="AH1043" s="885" t="s">
        <v>7854</v>
      </c>
      <c r="AI1043" s="406" t="s">
        <v>7855</v>
      </c>
      <c r="AJ1043" s="872">
        <v>6</v>
      </c>
      <c r="AK1043" s="871" t="s">
        <v>7858</v>
      </c>
      <c r="AL1043" s="867"/>
      <c r="AM1043" s="273"/>
      <c r="AN1043" s="847"/>
      <c r="AO1043" s="848"/>
      <c r="AP1043" s="873" t="s">
        <v>1160</v>
      </c>
      <c r="AQ1043" s="406" t="s">
        <v>1161</v>
      </c>
      <c r="AR1043" s="872">
        <v>7</v>
      </c>
      <c r="AS1043" s="878" t="s">
        <v>1162</v>
      </c>
      <c r="AT1043" s="338" t="s">
        <v>7866</v>
      </c>
      <c r="AU1043" s="135" t="s">
        <v>7867</v>
      </c>
      <c r="AV1043" s="319">
        <v>6</v>
      </c>
      <c r="AW1043" s="848" t="s">
        <v>7868</v>
      </c>
      <c r="AX1043" s="867"/>
      <c r="AY1043" s="273"/>
      <c r="AZ1043" s="847"/>
      <c r="BA1043" s="848"/>
      <c r="BB1043" s="866"/>
      <c r="BC1043" s="273"/>
      <c r="BD1043" s="847"/>
      <c r="BE1043" s="848"/>
      <c r="BF1043" s="838"/>
    </row>
    <row r="1044" spans="1:58" s="87" customFormat="1" ht="54" hidden="1" customHeight="1" x14ac:dyDescent="0.25">
      <c r="A1044" s="267" t="s">
        <v>7374</v>
      </c>
      <c r="B1044" s="268">
        <v>146</v>
      </c>
      <c r="C1044" s="240" t="s">
        <v>4027</v>
      </c>
      <c r="D1044" s="211" t="s">
        <v>4028</v>
      </c>
      <c r="E1044" s="268" t="s">
        <v>7869</v>
      </c>
      <c r="F1044" s="861" t="s">
        <v>4300</v>
      </c>
      <c r="G1044" s="269" t="s">
        <v>4301</v>
      </c>
      <c r="H1044" s="845" t="s">
        <v>4302</v>
      </c>
      <c r="I1044" s="208" t="s">
        <v>4303</v>
      </c>
      <c r="J1044" s="240" t="s">
        <v>140</v>
      </c>
      <c r="K1044" s="270" t="s">
        <v>140</v>
      </c>
      <c r="L1044" s="862" t="s">
        <v>4304</v>
      </c>
      <c r="M1044" s="206" t="s">
        <v>973</v>
      </c>
      <c r="N1044" s="211" t="s">
        <v>974</v>
      </c>
      <c r="O1044" s="240" t="s">
        <v>144</v>
      </c>
      <c r="P1044" s="240" t="s">
        <v>144</v>
      </c>
      <c r="Q1044" s="845" t="s">
        <v>144</v>
      </c>
      <c r="R1044" s="208" t="s">
        <v>144</v>
      </c>
      <c r="S1044" s="181" t="s">
        <v>233</v>
      </c>
      <c r="T1044" s="212" t="s">
        <v>234</v>
      </c>
      <c r="U1044" s="213" t="s">
        <v>235</v>
      </c>
      <c r="V1044" s="240">
        <v>8</v>
      </c>
      <c r="W1044" s="206" t="s">
        <v>144</v>
      </c>
      <c r="X1044" s="212">
        <v>41</v>
      </c>
      <c r="Y1044" s="212" t="s">
        <v>144</v>
      </c>
      <c r="Z1044" s="252" t="s">
        <v>29</v>
      </c>
      <c r="AA1044" s="407" t="s">
        <v>4317</v>
      </c>
      <c r="AB1044" s="206" t="s">
        <v>140</v>
      </c>
      <c r="AC1044" s="847" t="s">
        <v>265</v>
      </c>
      <c r="AD1044" s="847" t="s">
        <v>144</v>
      </c>
      <c r="AE1044" s="847" t="s">
        <v>144</v>
      </c>
      <c r="AF1044" s="848" t="s">
        <v>144</v>
      </c>
      <c r="AG1044" s="838"/>
      <c r="AH1044" s="885" t="s">
        <v>7870</v>
      </c>
      <c r="AI1044" s="406" t="s">
        <v>7871</v>
      </c>
      <c r="AJ1044" s="872">
        <v>7</v>
      </c>
      <c r="AK1044" s="732" t="s">
        <v>7858</v>
      </c>
      <c r="AL1044" s="867"/>
      <c r="AM1044" s="273"/>
      <c r="AN1044" s="847"/>
      <c r="AO1044" s="848"/>
      <c r="AP1044" s="867"/>
      <c r="AQ1044" s="273"/>
      <c r="AR1044" s="847"/>
      <c r="AS1044" s="848"/>
      <c r="AT1044" s="867" t="s">
        <v>7872</v>
      </c>
      <c r="AU1044" s="273" t="s">
        <v>7873</v>
      </c>
      <c r="AV1044" s="847">
        <v>6</v>
      </c>
      <c r="AW1044" s="286" t="s">
        <v>7874</v>
      </c>
      <c r="AX1044" s="867"/>
      <c r="AY1044" s="273"/>
      <c r="AZ1044" s="847"/>
      <c r="BA1044" s="848"/>
      <c r="BB1044" s="866"/>
      <c r="BC1044" s="273"/>
      <c r="BD1044" s="847"/>
      <c r="BE1044" s="848"/>
      <c r="BF1044" s="838"/>
    </row>
    <row r="1045" spans="1:58" s="87" customFormat="1" ht="54" hidden="1" customHeight="1" x14ac:dyDescent="0.25">
      <c r="A1045" s="267" t="s">
        <v>7374</v>
      </c>
      <c r="B1045" s="268">
        <v>147</v>
      </c>
      <c r="C1045" s="240" t="s">
        <v>2170</v>
      </c>
      <c r="D1045" s="211" t="s">
        <v>2171</v>
      </c>
      <c r="E1045" s="268" t="s">
        <v>7875</v>
      </c>
      <c r="F1045" s="861" t="s">
        <v>4312</v>
      </c>
      <c r="G1045" s="269" t="s">
        <v>4313</v>
      </c>
      <c r="H1045" s="845" t="s">
        <v>4314</v>
      </c>
      <c r="I1045" s="208" t="s">
        <v>7876</v>
      </c>
      <c r="J1045" s="240" t="s">
        <v>140</v>
      </c>
      <c r="K1045" s="270" t="s">
        <v>140</v>
      </c>
      <c r="L1045" s="862" t="s">
        <v>7877</v>
      </c>
      <c r="M1045" s="206" t="s">
        <v>973</v>
      </c>
      <c r="N1045" s="211" t="s">
        <v>974</v>
      </c>
      <c r="O1045" s="240" t="s">
        <v>144</v>
      </c>
      <c r="P1045" s="240" t="s">
        <v>144</v>
      </c>
      <c r="Q1045" s="249" t="s">
        <v>144</v>
      </c>
      <c r="R1045" s="336" t="s">
        <v>144</v>
      </c>
      <c r="S1045" s="864" t="s">
        <v>746</v>
      </c>
      <c r="T1045" s="212" t="s">
        <v>1307</v>
      </c>
      <c r="U1045" s="213" t="s">
        <v>1308</v>
      </c>
      <c r="V1045" s="240">
        <v>10</v>
      </c>
      <c r="W1045" s="206" t="s">
        <v>144</v>
      </c>
      <c r="X1045" s="212">
        <v>41</v>
      </c>
      <c r="Y1045" s="212" t="s">
        <v>144</v>
      </c>
      <c r="Z1045" s="450" t="s">
        <v>25</v>
      </c>
      <c r="AA1045" s="407" t="s">
        <v>4317</v>
      </c>
      <c r="AB1045" s="206" t="s">
        <v>140</v>
      </c>
      <c r="AC1045" s="847" t="s">
        <v>265</v>
      </c>
      <c r="AD1045" s="847" t="s">
        <v>144</v>
      </c>
      <c r="AE1045" s="847" t="s">
        <v>144</v>
      </c>
      <c r="AF1045" s="848" t="s">
        <v>144</v>
      </c>
      <c r="AG1045" s="838"/>
      <c r="AH1045" s="866" t="s">
        <v>7878</v>
      </c>
      <c r="AI1045" s="135" t="s">
        <v>7879</v>
      </c>
      <c r="AJ1045" s="319">
        <v>6</v>
      </c>
      <c r="AK1045" s="848" t="s">
        <v>7880</v>
      </c>
      <c r="AL1045" s="867"/>
      <c r="AM1045" s="273"/>
      <c r="AN1045" s="847"/>
      <c r="AO1045" s="848"/>
      <c r="AP1045" s="867"/>
      <c r="AQ1045" s="273"/>
      <c r="AR1045" s="847"/>
      <c r="AS1045" s="848"/>
      <c r="AT1045" s="134" t="s">
        <v>7881</v>
      </c>
      <c r="AU1045" s="135" t="s">
        <v>7882</v>
      </c>
      <c r="AV1045" s="319">
        <v>6</v>
      </c>
      <c r="AW1045" s="848" t="s">
        <v>7883</v>
      </c>
      <c r="AX1045" s="867"/>
      <c r="AY1045" s="273"/>
      <c r="AZ1045" s="847"/>
      <c r="BA1045" s="848"/>
      <c r="BB1045" s="866"/>
      <c r="BC1045" s="273"/>
      <c r="BD1045" s="847"/>
      <c r="BE1045" s="848"/>
      <c r="BF1045" s="838"/>
    </row>
    <row r="1046" spans="1:58" s="87" customFormat="1" ht="54" hidden="1" customHeight="1" x14ac:dyDescent="0.25">
      <c r="A1046" s="267" t="s">
        <v>7374</v>
      </c>
      <c r="B1046" s="268">
        <v>148</v>
      </c>
      <c r="C1046" s="240" t="s">
        <v>2170</v>
      </c>
      <c r="D1046" s="211" t="s">
        <v>2171</v>
      </c>
      <c r="E1046" s="268" t="s">
        <v>7884</v>
      </c>
      <c r="F1046" s="861" t="s">
        <v>4325</v>
      </c>
      <c r="G1046" s="269" t="s">
        <v>4326</v>
      </c>
      <c r="H1046" s="845" t="s">
        <v>4327</v>
      </c>
      <c r="I1046" s="208" t="s">
        <v>7885</v>
      </c>
      <c r="J1046" s="240" t="s">
        <v>140</v>
      </c>
      <c r="K1046" s="270" t="s">
        <v>140</v>
      </c>
      <c r="L1046" s="862" t="s">
        <v>4329</v>
      </c>
      <c r="M1046" s="206" t="s">
        <v>973</v>
      </c>
      <c r="N1046" s="211" t="s">
        <v>974</v>
      </c>
      <c r="O1046" s="240" t="s">
        <v>144</v>
      </c>
      <c r="P1046" s="240" t="s">
        <v>144</v>
      </c>
      <c r="Q1046" s="249" t="s">
        <v>144</v>
      </c>
      <c r="R1046" s="336" t="s">
        <v>144</v>
      </c>
      <c r="S1046" s="864" t="s">
        <v>746</v>
      </c>
      <c r="T1046" s="212" t="s">
        <v>1307</v>
      </c>
      <c r="U1046" s="213" t="s">
        <v>1308</v>
      </c>
      <c r="V1046" s="240">
        <v>10</v>
      </c>
      <c r="W1046" s="206" t="s">
        <v>144</v>
      </c>
      <c r="X1046" s="212">
        <v>41</v>
      </c>
      <c r="Y1046" s="212" t="s">
        <v>144</v>
      </c>
      <c r="Z1046" s="433" t="s">
        <v>25</v>
      </c>
      <c r="AA1046" s="407" t="s">
        <v>4317</v>
      </c>
      <c r="AB1046" s="206" t="s">
        <v>140</v>
      </c>
      <c r="AC1046" s="847" t="s">
        <v>265</v>
      </c>
      <c r="AD1046" s="847" t="s">
        <v>144</v>
      </c>
      <c r="AE1046" s="847" t="s">
        <v>144</v>
      </c>
      <c r="AF1046" s="848" t="s">
        <v>144</v>
      </c>
      <c r="AG1046" s="838"/>
      <c r="AH1046" s="866" t="s">
        <v>7878</v>
      </c>
      <c r="AI1046" s="135" t="s">
        <v>7879</v>
      </c>
      <c r="AJ1046" s="319">
        <v>6</v>
      </c>
      <c r="AK1046" s="848" t="s">
        <v>7880</v>
      </c>
      <c r="AL1046" s="867"/>
      <c r="AM1046" s="273"/>
      <c r="AN1046" s="847"/>
      <c r="AO1046" s="848"/>
      <c r="AP1046" s="867"/>
      <c r="AQ1046" s="273"/>
      <c r="AR1046" s="847"/>
      <c r="AS1046" s="848"/>
      <c r="AT1046" s="867"/>
      <c r="AU1046" s="273"/>
      <c r="AV1046" s="847"/>
      <c r="AW1046" s="848"/>
      <c r="AX1046" s="867"/>
      <c r="AY1046" s="273"/>
      <c r="AZ1046" s="847"/>
      <c r="BA1046" s="848"/>
      <c r="BB1046" s="866"/>
      <c r="BC1046" s="273"/>
      <c r="BD1046" s="847"/>
      <c r="BE1046" s="848"/>
      <c r="BF1046" s="838"/>
    </row>
    <row r="1047" spans="1:58" s="87" customFormat="1" ht="54" hidden="1" customHeight="1" x14ac:dyDescent="0.25">
      <c r="A1047" s="267" t="s">
        <v>7374</v>
      </c>
      <c r="B1047" s="268">
        <v>149</v>
      </c>
      <c r="C1047" s="240" t="s">
        <v>2170</v>
      </c>
      <c r="D1047" s="211" t="s">
        <v>2171</v>
      </c>
      <c r="E1047" s="268" t="s">
        <v>7886</v>
      </c>
      <c r="F1047" s="861" t="s">
        <v>4332</v>
      </c>
      <c r="G1047" s="269" t="s">
        <v>4333</v>
      </c>
      <c r="H1047" s="845" t="s">
        <v>4334</v>
      </c>
      <c r="I1047" s="208" t="s">
        <v>4335</v>
      </c>
      <c r="J1047" s="240" t="s">
        <v>140</v>
      </c>
      <c r="K1047" s="270" t="s">
        <v>140</v>
      </c>
      <c r="L1047" s="862" t="s">
        <v>4336</v>
      </c>
      <c r="M1047" s="206" t="s">
        <v>973</v>
      </c>
      <c r="N1047" s="211" t="s">
        <v>974</v>
      </c>
      <c r="O1047" s="240" t="s">
        <v>225</v>
      </c>
      <c r="P1047" s="240" t="s">
        <v>226</v>
      </c>
      <c r="Q1047" s="845" t="s">
        <v>4257</v>
      </c>
      <c r="R1047" s="208" t="s">
        <v>4258</v>
      </c>
      <c r="S1047" s="864" t="s">
        <v>147</v>
      </c>
      <c r="T1047" s="212" t="s">
        <v>144</v>
      </c>
      <c r="U1047" s="213" t="s">
        <v>144</v>
      </c>
      <c r="V1047" s="847">
        <v>1</v>
      </c>
      <c r="W1047" s="415" t="s">
        <v>144</v>
      </c>
      <c r="X1047" s="212">
        <v>41</v>
      </c>
      <c r="Y1047" s="212" t="s">
        <v>144</v>
      </c>
      <c r="Z1047" s="252" t="s">
        <v>29</v>
      </c>
      <c r="AA1047" s="407" t="s">
        <v>4317</v>
      </c>
      <c r="AB1047" s="206" t="s">
        <v>140</v>
      </c>
      <c r="AC1047" s="847" t="s">
        <v>265</v>
      </c>
      <c r="AD1047" s="847" t="s">
        <v>144</v>
      </c>
      <c r="AE1047" s="847" t="s">
        <v>144</v>
      </c>
      <c r="AF1047" s="848" t="s">
        <v>144</v>
      </c>
      <c r="AG1047" s="838"/>
      <c r="AH1047" s="885" t="s">
        <v>7887</v>
      </c>
      <c r="AI1047" s="406" t="s">
        <v>7888</v>
      </c>
      <c r="AJ1047" s="872">
        <v>6</v>
      </c>
      <c r="AK1047" s="778" t="s">
        <v>7889</v>
      </c>
      <c r="AL1047" s="867" t="s">
        <v>294</v>
      </c>
      <c r="AM1047" s="273" t="s">
        <v>295</v>
      </c>
      <c r="AN1047" s="847">
        <v>7</v>
      </c>
      <c r="AO1047" s="187" t="s">
        <v>966</v>
      </c>
      <c r="AP1047" s="867"/>
      <c r="AQ1047" s="273"/>
      <c r="AR1047" s="847"/>
      <c r="AS1047" s="848"/>
      <c r="AT1047" s="867"/>
      <c r="AU1047" s="273"/>
      <c r="AV1047" s="847"/>
      <c r="AW1047" s="848"/>
      <c r="AX1047" s="867"/>
      <c r="AY1047" s="273"/>
      <c r="AZ1047" s="847"/>
      <c r="BA1047" s="848"/>
      <c r="BB1047" s="866"/>
      <c r="BC1047" s="273"/>
      <c r="BD1047" s="847"/>
      <c r="BE1047" s="848"/>
      <c r="BF1047" s="838"/>
    </row>
    <row r="1048" spans="1:58" s="87" customFormat="1" ht="54" hidden="1" customHeight="1" x14ac:dyDescent="0.25">
      <c r="A1048" s="267" t="s">
        <v>7374</v>
      </c>
      <c r="B1048" s="268">
        <v>150</v>
      </c>
      <c r="C1048" s="240" t="s">
        <v>2170</v>
      </c>
      <c r="D1048" s="211" t="s">
        <v>2171</v>
      </c>
      <c r="E1048" s="268" t="s">
        <v>7890</v>
      </c>
      <c r="F1048" s="861" t="s">
        <v>4343</v>
      </c>
      <c r="G1048" s="269" t="s">
        <v>4344</v>
      </c>
      <c r="H1048" s="845" t="s">
        <v>4345</v>
      </c>
      <c r="I1048" s="208" t="s">
        <v>4346</v>
      </c>
      <c r="J1048" s="296" t="s">
        <v>140</v>
      </c>
      <c r="K1048" s="297" t="s">
        <v>140</v>
      </c>
      <c r="L1048" s="862" t="s">
        <v>4347</v>
      </c>
      <c r="M1048" s="206" t="s">
        <v>973</v>
      </c>
      <c r="N1048" s="211" t="s">
        <v>974</v>
      </c>
      <c r="O1048" s="240" t="s">
        <v>144</v>
      </c>
      <c r="P1048" s="240" t="s">
        <v>144</v>
      </c>
      <c r="Q1048" s="845" t="s">
        <v>7891</v>
      </c>
      <c r="R1048" s="208" t="s">
        <v>7892</v>
      </c>
      <c r="S1048" s="864" t="s">
        <v>746</v>
      </c>
      <c r="T1048" s="212" t="s">
        <v>144</v>
      </c>
      <c r="U1048" s="213" t="s">
        <v>144</v>
      </c>
      <c r="V1048" s="847">
        <v>3</v>
      </c>
      <c r="W1048" s="415" t="s">
        <v>144</v>
      </c>
      <c r="X1048" s="212">
        <v>41</v>
      </c>
      <c r="Y1048" s="212" t="s">
        <v>144</v>
      </c>
      <c r="Z1048" s="433" t="s">
        <v>25</v>
      </c>
      <c r="AA1048" s="407" t="s">
        <v>7893</v>
      </c>
      <c r="AB1048" s="206" t="s">
        <v>140</v>
      </c>
      <c r="AC1048" s="847" t="s">
        <v>265</v>
      </c>
      <c r="AD1048" s="847" t="s">
        <v>144</v>
      </c>
      <c r="AE1048" s="847" t="s">
        <v>144</v>
      </c>
      <c r="AF1048" s="848" t="s">
        <v>144</v>
      </c>
      <c r="AG1048" s="838"/>
      <c r="AH1048" s="866" t="s">
        <v>7894</v>
      </c>
      <c r="AI1048" s="273" t="s">
        <v>7895</v>
      </c>
      <c r="AJ1048" s="847">
        <v>6</v>
      </c>
      <c r="AK1048" s="286" t="s">
        <v>7896</v>
      </c>
      <c r="AL1048" s="867"/>
      <c r="AM1048" s="273"/>
      <c r="AN1048" s="847"/>
      <c r="AO1048" s="848"/>
      <c r="AP1048" s="867"/>
      <c r="AQ1048" s="273"/>
      <c r="AR1048" s="847"/>
      <c r="AS1048" s="848"/>
      <c r="AT1048" s="867"/>
      <c r="AU1048" s="273"/>
      <c r="AV1048" s="847"/>
      <c r="AW1048" s="848"/>
      <c r="AX1048" s="867"/>
      <c r="AY1048" s="273"/>
      <c r="AZ1048" s="847"/>
      <c r="BA1048" s="848"/>
      <c r="BB1048" s="866"/>
      <c r="BC1048" s="273"/>
      <c r="BD1048" s="847"/>
      <c r="BE1048" s="848"/>
      <c r="BF1048" s="838"/>
    </row>
    <row r="1049" spans="1:58" s="87" customFormat="1" ht="54" hidden="1" customHeight="1" x14ac:dyDescent="0.25">
      <c r="A1049" s="267" t="s">
        <v>7374</v>
      </c>
      <c r="B1049" s="268">
        <v>151</v>
      </c>
      <c r="C1049" s="240" t="s">
        <v>2170</v>
      </c>
      <c r="D1049" s="211" t="s">
        <v>2171</v>
      </c>
      <c r="E1049" s="268" t="s">
        <v>7897</v>
      </c>
      <c r="F1049" s="299" t="s">
        <v>4355</v>
      </c>
      <c r="G1049" s="269" t="s">
        <v>4356</v>
      </c>
      <c r="H1049" s="249" t="s">
        <v>4357</v>
      </c>
      <c r="I1049" s="135" t="s">
        <v>4358</v>
      </c>
      <c r="J1049" s="296" t="s">
        <v>140</v>
      </c>
      <c r="K1049" s="297" t="s">
        <v>140</v>
      </c>
      <c r="L1049" s="862" t="s">
        <v>4359</v>
      </c>
      <c r="M1049" s="206" t="s">
        <v>973</v>
      </c>
      <c r="N1049" s="211" t="s">
        <v>974</v>
      </c>
      <c r="O1049" s="240" t="s">
        <v>144</v>
      </c>
      <c r="P1049" s="240" t="s">
        <v>144</v>
      </c>
      <c r="Q1049" s="845" t="s">
        <v>144</v>
      </c>
      <c r="R1049" s="208" t="s">
        <v>144</v>
      </c>
      <c r="S1049" s="864" t="s">
        <v>746</v>
      </c>
      <c r="T1049" s="212" t="s">
        <v>1307</v>
      </c>
      <c r="U1049" s="213" t="s">
        <v>1308</v>
      </c>
      <c r="V1049" s="847">
        <v>10</v>
      </c>
      <c r="W1049" s="415" t="s">
        <v>144</v>
      </c>
      <c r="X1049" s="212">
        <v>41</v>
      </c>
      <c r="Y1049" s="212" t="s">
        <v>144</v>
      </c>
      <c r="Z1049" s="252" t="s">
        <v>29</v>
      </c>
      <c r="AA1049" s="407" t="s">
        <v>4317</v>
      </c>
      <c r="AB1049" s="206" t="s">
        <v>140</v>
      </c>
      <c r="AC1049" s="847" t="s">
        <v>265</v>
      </c>
      <c r="AD1049" s="847" t="s">
        <v>144</v>
      </c>
      <c r="AE1049" s="847" t="s">
        <v>144</v>
      </c>
      <c r="AF1049" s="848" t="s">
        <v>144</v>
      </c>
      <c r="AG1049" s="838"/>
      <c r="AH1049" s="885" t="s">
        <v>7898</v>
      </c>
      <c r="AI1049" s="431" t="s">
        <v>7899</v>
      </c>
      <c r="AJ1049" s="872">
        <v>6</v>
      </c>
      <c r="AK1049" s="871" t="s">
        <v>7852</v>
      </c>
      <c r="AL1049" s="867"/>
      <c r="AM1049" s="273"/>
      <c r="AN1049" s="847"/>
      <c r="AO1049" s="848"/>
      <c r="AP1049" s="867"/>
      <c r="AQ1049" s="273"/>
      <c r="AR1049" s="847"/>
      <c r="AS1049" s="848"/>
      <c r="AT1049" s="867"/>
      <c r="AU1049" s="273"/>
      <c r="AV1049" s="847"/>
      <c r="AW1049" s="848"/>
      <c r="AX1049" s="867"/>
      <c r="AY1049" s="273"/>
      <c r="AZ1049" s="847"/>
      <c r="BA1049" s="848"/>
      <c r="BB1049" s="866"/>
      <c r="BC1049" s="273"/>
      <c r="BD1049" s="847"/>
      <c r="BE1049" s="848"/>
      <c r="BF1049" s="838"/>
    </row>
    <row r="1050" spans="1:58" s="87" customFormat="1" ht="54" hidden="1" customHeight="1" x14ac:dyDescent="0.25">
      <c r="A1050" s="267" t="s">
        <v>7374</v>
      </c>
      <c r="B1050" s="268">
        <v>152</v>
      </c>
      <c r="C1050" s="240" t="s">
        <v>2170</v>
      </c>
      <c r="D1050" s="211" t="s">
        <v>2171</v>
      </c>
      <c r="E1050" s="268" t="s">
        <v>7900</v>
      </c>
      <c r="F1050" s="861" t="s">
        <v>4368</v>
      </c>
      <c r="G1050" s="269" t="s">
        <v>4369</v>
      </c>
      <c r="H1050" s="845" t="s">
        <v>4370</v>
      </c>
      <c r="I1050" s="208" t="s">
        <v>4371</v>
      </c>
      <c r="J1050" s="240" t="s">
        <v>140</v>
      </c>
      <c r="K1050" s="270" t="s">
        <v>140</v>
      </c>
      <c r="L1050" s="862" t="s">
        <v>7901</v>
      </c>
      <c r="M1050" s="206" t="s">
        <v>973</v>
      </c>
      <c r="N1050" s="211" t="s">
        <v>974</v>
      </c>
      <c r="O1050" s="240" t="s">
        <v>144</v>
      </c>
      <c r="P1050" s="240" t="s">
        <v>144</v>
      </c>
      <c r="Q1050" s="845" t="s">
        <v>4373</v>
      </c>
      <c r="R1050" s="208" t="s">
        <v>4374</v>
      </c>
      <c r="S1050" s="864" t="s">
        <v>746</v>
      </c>
      <c r="T1050" s="212" t="s">
        <v>1307</v>
      </c>
      <c r="U1050" s="213" t="s">
        <v>1308</v>
      </c>
      <c r="V1050" s="847">
        <v>10</v>
      </c>
      <c r="W1050" s="415" t="s">
        <v>144</v>
      </c>
      <c r="X1050" s="212">
        <v>41</v>
      </c>
      <c r="Y1050" s="212" t="s">
        <v>144</v>
      </c>
      <c r="Z1050" s="212" t="s">
        <v>25</v>
      </c>
      <c r="AA1050" s="407" t="s">
        <v>7902</v>
      </c>
      <c r="AB1050" s="206" t="s">
        <v>140</v>
      </c>
      <c r="AC1050" s="847" t="s">
        <v>265</v>
      </c>
      <c r="AD1050" s="847" t="s">
        <v>144</v>
      </c>
      <c r="AE1050" s="847" t="s">
        <v>144</v>
      </c>
      <c r="AF1050" s="848" t="s">
        <v>144</v>
      </c>
      <c r="AG1050" s="838"/>
      <c r="AH1050" s="866" t="s">
        <v>7878</v>
      </c>
      <c r="AI1050" s="135" t="s">
        <v>7879</v>
      </c>
      <c r="AJ1050" s="319">
        <v>6</v>
      </c>
      <c r="AK1050" s="848" t="s">
        <v>7880</v>
      </c>
      <c r="AL1050" s="867"/>
      <c r="AM1050" s="273"/>
      <c r="AN1050" s="847"/>
      <c r="AO1050" s="848"/>
      <c r="AP1050" s="312"/>
      <c r="AQ1050" s="313"/>
      <c r="AR1050" s="289"/>
      <c r="AS1050" s="848"/>
      <c r="AT1050" s="867"/>
      <c r="AU1050" s="273"/>
      <c r="AV1050" s="847"/>
      <c r="AW1050" s="848"/>
      <c r="AX1050" s="867"/>
      <c r="AY1050" s="273"/>
      <c r="AZ1050" s="847"/>
      <c r="BA1050" s="848"/>
      <c r="BB1050" s="866"/>
      <c r="BC1050" s="273"/>
      <c r="BD1050" s="847"/>
      <c r="BE1050" s="848"/>
      <c r="BF1050" s="838"/>
    </row>
    <row r="1051" spans="1:58" s="87" customFormat="1" ht="54" hidden="1" customHeight="1" x14ac:dyDescent="0.25">
      <c r="A1051" s="267" t="s">
        <v>7374</v>
      </c>
      <c r="B1051" s="268">
        <v>153</v>
      </c>
      <c r="C1051" s="240" t="s">
        <v>2170</v>
      </c>
      <c r="D1051" s="211" t="s">
        <v>2171</v>
      </c>
      <c r="E1051" s="268" t="s">
        <v>7903</v>
      </c>
      <c r="F1051" s="861" t="s">
        <v>4380</v>
      </c>
      <c r="G1051" s="269" t="s">
        <v>4381</v>
      </c>
      <c r="H1051" s="249" t="s">
        <v>4382</v>
      </c>
      <c r="I1051" s="135" t="s">
        <v>4383</v>
      </c>
      <c r="J1051" s="240" t="s">
        <v>140</v>
      </c>
      <c r="K1051" s="270" t="s">
        <v>140</v>
      </c>
      <c r="L1051" s="862" t="s">
        <v>4384</v>
      </c>
      <c r="M1051" s="206" t="s">
        <v>973</v>
      </c>
      <c r="N1051" s="211" t="s">
        <v>974</v>
      </c>
      <c r="O1051" s="240" t="s">
        <v>144</v>
      </c>
      <c r="P1051" s="240" t="s">
        <v>144</v>
      </c>
      <c r="Q1051" s="249" t="s">
        <v>4385</v>
      </c>
      <c r="R1051" s="135" t="s">
        <v>4386</v>
      </c>
      <c r="S1051" s="864" t="s">
        <v>746</v>
      </c>
      <c r="T1051" s="212" t="s">
        <v>1307</v>
      </c>
      <c r="U1051" s="213" t="s">
        <v>1308</v>
      </c>
      <c r="V1051" s="847">
        <v>10</v>
      </c>
      <c r="W1051" s="415" t="s">
        <v>144</v>
      </c>
      <c r="X1051" s="212">
        <v>41</v>
      </c>
      <c r="Y1051" s="212" t="s">
        <v>144</v>
      </c>
      <c r="Z1051" s="252" t="s">
        <v>29</v>
      </c>
      <c r="AA1051" s="407" t="s">
        <v>4317</v>
      </c>
      <c r="AB1051" s="206" t="s">
        <v>140</v>
      </c>
      <c r="AC1051" s="847" t="s">
        <v>265</v>
      </c>
      <c r="AD1051" s="847" t="s">
        <v>144</v>
      </c>
      <c r="AE1051" s="847" t="s">
        <v>144</v>
      </c>
      <c r="AF1051" s="848" t="s">
        <v>144</v>
      </c>
      <c r="AG1051" s="838"/>
      <c r="AH1051" s="885" t="s">
        <v>7904</v>
      </c>
      <c r="AI1051" s="426" t="s">
        <v>7905</v>
      </c>
      <c r="AJ1051" s="427">
        <v>6</v>
      </c>
      <c r="AK1051" s="778" t="s">
        <v>7880</v>
      </c>
      <c r="AL1051" s="867"/>
      <c r="AM1051" s="273"/>
      <c r="AN1051" s="847"/>
      <c r="AO1051" s="848"/>
      <c r="AP1051" s="312"/>
      <c r="AQ1051" s="313"/>
      <c r="AR1051" s="289"/>
      <c r="AS1051" s="848"/>
      <c r="AT1051" s="867"/>
      <c r="AU1051" s="273"/>
      <c r="AV1051" s="847"/>
      <c r="AW1051" s="848"/>
      <c r="AX1051" s="867"/>
      <c r="AY1051" s="273"/>
      <c r="AZ1051" s="847"/>
      <c r="BA1051" s="848"/>
      <c r="BB1051" s="866"/>
      <c r="BC1051" s="273"/>
      <c r="BD1051" s="847"/>
      <c r="BE1051" s="848"/>
      <c r="BF1051" s="838"/>
    </row>
    <row r="1052" spans="1:58" s="87" customFormat="1" ht="54" hidden="1" customHeight="1" x14ac:dyDescent="0.25">
      <c r="A1052" s="267" t="s">
        <v>7374</v>
      </c>
      <c r="B1052" s="268">
        <v>154</v>
      </c>
      <c r="C1052" s="240" t="s">
        <v>4027</v>
      </c>
      <c r="D1052" s="211" t="s">
        <v>4028</v>
      </c>
      <c r="E1052" s="268" t="s">
        <v>7906</v>
      </c>
      <c r="F1052" s="861" t="s">
        <v>4389</v>
      </c>
      <c r="G1052" s="269" t="s">
        <v>4390</v>
      </c>
      <c r="H1052" s="845" t="s">
        <v>4391</v>
      </c>
      <c r="I1052" s="269" t="s">
        <v>4392</v>
      </c>
      <c r="J1052" s="296" t="s">
        <v>140</v>
      </c>
      <c r="K1052" s="297" t="s">
        <v>140</v>
      </c>
      <c r="L1052" s="862" t="s">
        <v>4393</v>
      </c>
      <c r="M1052" s="206" t="s">
        <v>973</v>
      </c>
      <c r="N1052" s="211" t="s">
        <v>974</v>
      </c>
      <c r="O1052" s="240" t="s">
        <v>4394</v>
      </c>
      <c r="P1052" s="240" t="s">
        <v>4395</v>
      </c>
      <c r="Q1052" s="845" t="s">
        <v>144</v>
      </c>
      <c r="R1052" s="208" t="s">
        <v>144</v>
      </c>
      <c r="S1052" s="864" t="s">
        <v>147</v>
      </c>
      <c r="T1052" s="212" t="s">
        <v>144</v>
      </c>
      <c r="U1052" s="213" t="s">
        <v>144</v>
      </c>
      <c r="V1052" s="847">
        <v>7</v>
      </c>
      <c r="W1052" s="415" t="s">
        <v>144</v>
      </c>
      <c r="X1052" s="212">
        <v>41</v>
      </c>
      <c r="Y1052" s="212" t="s">
        <v>144</v>
      </c>
      <c r="Z1052" s="252" t="s">
        <v>29</v>
      </c>
      <c r="AA1052" s="407" t="s">
        <v>7907</v>
      </c>
      <c r="AB1052" s="206" t="s">
        <v>140</v>
      </c>
      <c r="AC1052" s="847" t="s">
        <v>265</v>
      </c>
      <c r="AD1052" s="847" t="s">
        <v>144</v>
      </c>
      <c r="AE1052" s="847" t="s">
        <v>144</v>
      </c>
      <c r="AF1052" s="848" t="s">
        <v>144</v>
      </c>
      <c r="AG1052" s="838"/>
      <c r="AH1052" s="885" t="s">
        <v>7854</v>
      </c>
      <c r="AI1052" s="406" t="s">
        <v>7855</v>
      </c>
      <c r="AJ1052" s="872">
        <v>6</v>
      </c>
      <c r="AK1052" s="731" t="s">
        <v>7908</v>
      </c>
      <c r="AL1052" s="867" t="s">
        <v>294</v>
      </c>
      <c r="AM1052" s="273" t="s">
        <v>295</v>
      </c>
      <c r="AN1052" s="847">
        <v>7</v>
      </c>
      <c r="AO1052" s="187" t="s">
        <v>966</v>
      </c>
      <c r="AP1052" s="867"/>
      <c r="AQ1052" s="273"/>
      <c r="AR1052" s="847"/>
      <c r="AS1052" s="848"/>
      <c r="AT1052" s="867"/>
      <c r="AU1052" s="273"/>
      <c r="AV1052" s="847"/>
      <c r="AW1052" s="848"/>
      <c r="AX1052" s="867"/>
      <c r="AY1052" s="273"/>
      <c r="AZ1052" s="847"/>
      <c r="BA1052" s="848"/>
      <c r="BB1052" s="866"/>
      <c r="BC1052" s="273"/>
      <c r="BD1052" s="847"/>
      <c r="BE1052" s="848"/>
      <c r="BF1052" s="838"/>
    </row>
    <row r="1053" spans="1:58" s="87" customFormat="1" ht="54" hidden="1" customHeight="1" x14ac:dyDescent="0.25">
      <c r="A1053" s="267" t="s">
        <v>7374</v>
      </c>
      <c r="B1053" s="268">
        <v>155</v>
      </c>
      <c r="C1053" s="240" t="s">
        <v>4027</v>
      </c>
      <c r="D1053" s="211" t="s">
        <v>4028</v>
      </c>
      <c r="E1053" s="268" t="s">
        <v>7909</v>
      </c>
      <c r="F1053" s="861" t="s">
        <v>4399</v>
      </c>
      <c r="G1053" s="269" t="s">
        <v>4400</v>
      </c>
      <c r="H1053" s="845" t="s">
        <v>4401</v>
      </c>
      <c r="I1053" s="269" t="s">
        <v>4402</v>
      </c>
      <c r="J1053" s="296" t="s">
        <v>140</v>
      </c>
      <c r="K1053" s="297" t="s">
        <v>140</v>
      </c>
      <c r="L1053" s="862" t="s">
        <v>7910</v>
      </c>
      <c r="M1053" s="206" t="s">
        <v>193</v>
      </c>
      <c r="N1053" s="211" t="s">
        <v>194</v>
      </c>
      <c r="O1053" s="240" t="s">
        <v>144</v>
      </c>
      <c r="P1053" s="240" t="s">
        <v>144</v>
      </c>
      <c r="Q1053" s="845" t="s">
        <v>4404</v>
      </c>
      <c r="R1053" s="208" t="s">
        <v>7911</v>
      </c>
      <c r="S1053" s="181" t="s">
        <v>233</v>
      </c>
      <c r="T1053" s="212" t="s">
        <v>234</v>
      </c>
      <c r="U1053" s="213" t="s">
        <v>235</v>
      </c>
      <c r="V1053" s="847">
        <v>8</v>
      </c>
      <c r="W1053" s="415" t="s">
        <v>144</v>
      </c>
      <c r="X1053" s="212">
        <v>41</v>
      </c>
      <c r="Y1053" s="212" t="s">
        <v>144</v>
      </c>
      <c r="Z1053" s="212" t="s">
        <v>144</v>
      </c>
      <c r="AA1053" s="240" t="s">
        <v>4406</v>
      </c>
      <c r="AB1053" s="206" t="s">
        <v>140</v>
      </c>
      <c r="AC1053" s="847" t="s">
        <v>265</v>
      </c>
      <c r="AD1053" s="847" t="s">
        <v>144</v>
      </c>
      <c r="AE1053" s="847" t="s">
        <v>144</v>
      </c>
      <c r="AF1053" s="848" t="s">
        <v>144</v>
      </c>
      <c r="AG1053" s="838"/>
      <c r="AH1053" s="866"/>
      <c r="AI1053" s="273"/>
      <c r="AJ1053" s="847"/>
      <c r="AK1053" s="848"/>
      <c r="AL1053" s="867"/>
      <c r="AM1053" s="273"/>
      <c r="AN1053" s="847"/>
      <c r="AO1053" s="848"/>
      <c r="AP1053" s="867" t="s">
        <v>1160</v>
      </c>
      <c r="AQ1053" s="273" t="s">
        <v>1161</v>
      </c>
      <c r="AR1053" s="847">
        <v>7</v>
      </c>
      <c r="AS1053" s="848" t="s">
        <v>1162</v>
      </c>
      <c r="AT1053" s="867"/>
      <c r="AU1053" s="273"/>
      <c r="AV1053" s="847"/>
      <c r="AW1053" s="848"/>
      <c r="AX1053" s="867"/>
      <c r="AY1053" s="273"/>
      <c r="AZ1053" s="847"/>
      <c r="BA1053" s="848"/>
      <c r="BB1053" s="866"/>
      <c r="BC1053" s="273"/>
      <c r="BD1053" s="847"/>
      <c r="BE1053" s="848"/>
      <c r="BF1053" s="838"/>
    </row>
    <row r="1054" spans="1:58" s="55" customFormat="1" ht="54" hidden="1" customHeight="1" x14ac:dyDescent="0.25">
      <c r="A1054" s="275" t="s">
        <v>7374</v>
      </c>
      <c r="B1054" s="276">
        <v>156</v>
      </c>
      <c r="C1054" s="253" t="s">
        <v>4027</v>
      </c>
      <c r="D1054" s="217" t="s">
        <v>4028</v>
      </c>
      <c r="E1054" s="276" t="s">
        <v>7912</v>
      </c>
      <c r="F1054" s="277" t="s">
        <v>4411</v>
      </c>
      <c r="G1054" s="277" t="s">
        <v>4412</v>
      </c>
      <c r="H1054" s="277" t="s">
        <v>4411</v>
      </c>
      <c r="I1054" s="277" t="s">
        <v>4412</v>
      </c>
      <c r="J1054" s="253" t="s">
        <v>144</v>
      </c>
      <c r="K1054" s="253" t="s">
        <v>144</v>
      </c>
      <c r="L1054" s="718" t="s">
        <v>7913</v>
      </c>
      <c r="M1054" s="253" t="s">
        <v>144</v>
      </c>
      <c r="N1054" s="253" t="s">
        <v>144</v>
      </c>
      <c r="O1054" s="253" t="s">
        <v>144</v>
      </c>
      <c r="P1054" s="253" t="s">
        <v>144</v>
      </c>
      <c r="Q1054" s="218" t="s">
        <v>144</v>
      </c>
      <c r="R1054" s="218" t="s">
        <v>144</v>
      </c>
      <c r="S1054" s="276" t="s">
        <v>746</v>
      </c>
      <c r="T1054" s="221" t="s">
        <v>1104</v>
      </c>
      <c r="U1054" s="221" t="s">
        <v>1105</v>
      </c>
      <c r="V1054" s="253">
        <v>19</v>
      </c>
      <c r="W1054" s="217" t="s">
        <v>144</v>
      </c>
      <c r="X1054" s="221">
        <v>41</v>
      </c>
      <c r="Y1054" s="221">
        <v>42</v>
      </c>
      <c r="Z1054" s="221" t="s">
        <v>144</v>
      </c>
      <c r="AA1054" s="253" t="s">
        <v>398</v>
      </c>
      <c r="AB1054" s="217" t="s">
        <v>144</v>
      </c>
      <c r="AC1054" s="253" t="s">
        <v>265</v>
      </c>
      <c r="AD1054" s="253" t="s">
        <v>144</v>
      </c>
      <c r="AE1054" s="253" t="s">
        <v>144</v>
      </c>
      <c r="AF1054" s="254" t="s">
        <v>144</v>
      </c>
      <c r="AG1054" s="838"/>
      <c r="AH1054" s="280"/>
      <c r="AI1054" s="281"/>
      <c r="AJ1054" s="253"/>
      <c r="AK1054" s="254"/>
      <c r="AL1054" s="281"/>
      <c r="AM1054" s="281"/>
      <c r="AN1054" s="253"/>
      <c r="AO1054" s="254"/>
      <c r="AP1054" s="281"/>
      <c r="AQ1054" s="281"/>
      <c r="AR1054" s="253"/>
      <c r="AS1054" s="254"/>
      <c r="AT1054" s="281"/>
      <c r="AU1054" s="281"/>
      <c r="AV1054" s="253"/>
      <c r="AW1054" s="254"/>
      <c r="AX1054" s="281"/>
      <c r="AY1054" s="281"/>
      <c r="AZ1054" s="253"/>
      <c r="BA1054" s="254"/>
      <c r="BB1054" s="280"/>
      <c r="BC1054" s="281"/>
      <c r="BD1054" s="253"/>
      <c r="BE1054" s="254"/>
      <c r="BF1054" s="838"/>
    </row>
    <row r="1055" spans="1:58" s="55" customFormat="1" ht="54" hidden="1" customHeight="1" x14ac:dyDescent="0.25">
      <c r="A1055" s="275" t="s">
        <v>7374</v>
      </c>
      <c r="B1055" s="276">
        <v>157</v>
      </c>
      <c r="C1055" s="253" t="s">
        <v>4027</v>
      </c>
      <c r="D1055" s="217" t="s">
        <v>4028</v>
      </c>
      <c r="E1055" s="276" t="s">
        <v>7914</v>
      </c>
      <c r="F1055" s="277" t="s">
        <v>4418</v>
      </c>
      <c r="G1055" s="277" t="s">
        <v>4419</v>
      </c>
      <c r="H1055" s="218" t="s">
        <v>7915</v>
      </c>
      <c r="I1055" s="218" t="s">
        <v>7916</v>
      </c>
      <c r="J1055" s="253" t="s">
        <v>144</v>
      </c>
      <c r="K1055" s="253" t="s">
        <v>144</v>
      </c>
      <c r="L1055" s="718" t="s">
        <v>7917</v>
      </c>
      <c r="M1055" s="253" t="s">
        <v>144</v>
      </c>
      <c r="N1055" s="253" t="s">
        <v>144</v>
      </c>
      <c r="O1055" s="253" t="s">
        <v>814</v>
      </c>
      <c r="P1055" s="253" t="s">
        <v>815</v>
      </c>
      <c r="Q1055" s="218" t="s">
        <v>144</v>
      </c>
      <c r="R1055" s="218" t="s">
        <v>144</v>
      </c>
      <c r="S1055" s="276" t="s">
        <v>147</v>
      </c>
      <c r="T1055" s="221" t="s">
        <v>144</v>
      </c>
      <c r="U1055" s="221" t="s">
        <v>144</v>
      </c>
      <c r="V1055" s="253">
        <v>3</v>
      </c>
      <c r="W1055" s="217" t="s">
        <v>144</v>
      </c>
      <c r="X1055" s="221">
        <v>41</v>
      </c>
      <c r="Y1055" s="221">
        <v>42</v>
      </c>
      <c r="Z1055" s="221" t="s">
        <v>144</v>
      </c>
      <c r="AA1055" s="253" t="s">
        <v>398</v>
      </c>
      <c r="AB1055" s="217" t="s">
        <v>144</v>
      </c>
      <c r="AC1055" s="253" t="s">
        <v>265</v>
      </c>
      <c r="AD1055" s="253" t="s">
        <v>144</v>
      </c>
      <c r="AE1055" s="253" t="s">
        <v>144</v>
      </c>
      <c r="AF1055" s="254" t="s">
        <v>144</v>
      </c>
      <c r="AG1055" s="838"/>
      <c r="AH1055" s="280"/>
      <c r="AI1055" s="281"/>
      <c r="AJ1055" s="253"/>
      <c r="AK1055" s="254"/>
      <c r="AL1055" s="281"/>
      <c r="AM1055" s="281"/>
      <c r="AN1055" s="253"/>
      <c r="AO1055" s="254"/>
      <c r="AP1055" s="281"/>
      <c r="AQ1055" s="281"/>
      <c r="AR1055" s="253"/>
      <c r="AS1055" s="254"/>
      <c r="AT1055" s="281"/>
      <c r="AU1055" s="281"/>
      <c r="AV1055" s="253"/>
      <c r="AW1055" s="254"/>
      <c r="AX1055" s="281"/>
      <c r="AY1055" s="281"/>
      <c r="AZ1055" s="253"/>
      <c r="BA1055" s="254"/>
      <c r="BB1055" s="280"/>
      <c r="BC1055" s="281"/>
      <c r="BD1055" s="253"/>
      <c r="BE1055" s="254"/>
      <c r="BF1055" s="838"/>
    </row>
    <row r="1056" spans="1:58" s="87" customFormat="1" ht="54" hidden="1" customHeight="1" x14ac:dyDescent="0.25">
      <c r="A1056" s="267" t="s">
        <v>7374</v>
      </c>
      <c r="B1056" s="268">
        <v>158</v>
      </c>
      <c r="C1056" s="240" t="s">
        <v>4027</v>
      </c>
      <c r="D1056" s="211" t="s">
        <v>4028</v>
      </c>
      <c r="E1056" s="268" t="s">
        <v>7918</v>
      </c>
      <c r="F1056" s="861" t="s">
        <v>4424</v>
      </c>
      <c r="G1056" s="269" t="s">
        <v>4425</v>
      </c>
      <c r="H1056" s="861" t="s">
        <v>4426</v>
      </c>
      <c r="I1056" s="269" t="s">
        <v>4427</v>
      </c>
      <c r="J1056" s="296" t="s">
        <v>140</v>
      </c>
      <c r="K1056" s="297" t="s">
        <v>140</v>
      </c>
      <c r="L1056" s="862" t="s">
        <v>4428</v>
      </c>
      <c r="M1056" s="206" t="s">
        <v>193</v>
      </c>
      <c r="N1056" s="211" t="s">
        <v>194</v>
      </c>
      <c r="O1056" s="240" t="s">
        <v>144</v>
      </c>
      <c r="P1056" s="240" t="s">
        <v>144</v>
      </c>
      <c r="Q1056" s="845" t="s">
        <v>144</v>
      </c>
      <c r="R1056" s="208" t="s">
        <v>144</v>
      </c>
      <c r="S1056" s="864" t="s">
        <v>746</v>
      </c>
      <c r="T1056" s="212" t="s">
        <v>1104</v>
      </c>
      <c r="U1056" s="213" t="s">
        <v>1105</v>
      </c>
      <c r="V1056" s="847">
        <v>19</v>
      </c>
      <c r="W1056" s="415" t="s">
        <v>144</v>
      </c>
      <c r="X1056" s="212">
        <v>41</v>
      </c>
      <c r="Y1056" s="212" t="s">
        <v>144</v>
      </c>
      <c r="Z1056" s="212" t="s">
        <v>144</v>
      </c>
      <c r="AA1056" s="240" t="s">
        <v>4406</v>
      </c>
      <c r="AB1056" s="206" t="s">
        <v>140</v>
      </c>
      <c r="AC1056" s="847" t="s">
        <v>265</v>
      </c>
      <c r="AD1056" s="847" t="s">
        <v>144</v>
      </c>
      <c r="AE1056" s="847" t="s">
        <v>144</v>
      </c>
      <c r="AF1056" s="848" t="s">
        <v>144</v>
      </c>
      <c r="AG1056" s="838"/>
      <c r="AH1056" s="339"/>
      <c r="AI1056" s="313"/>
      <c r="AJ1056" s="289"/>
      <c r="AK1056" s="314"/>
      <c r="AL1056" s="867"/>
      <c r="AM1056" s="273"/>
      <c r="AN1056" s="847"/>
      <c r="AO1056" s="848"/>
      <c r="AP1056" s="867" t="s">
        <v>1107</v>
      </c>
      <c r="AQ1056" s="273" t="s">
        <v>1108</v>
      </c>
      <c r="AR1056" s="847">
        <v>7</v>
      </c>
      <c r="AS1056" s="286" t="s">
        <v>1109</v>
      </c>
      <c r="AT1056" s="867"/>
      <c r="AU1056" s="273"/>
      <c r="AV1056" s="847"/>
      <c r="AW1056" s="848"/>
      <c r="AX1056" s="867"/>
      <c r="AY1056" s="273"/>
      <c r="AZ1056" s="847"/>
      <c r="BA1056" s="848"/>
      <c r="BB1056" s="866"/>
      <c r="BC1056" s="273"/>
      <c r="BD1056" s="847"/>
      <c r="BE1056" s="848"/>
      <c r="BF1056" s="838"/>
    </row>
    <row r="1057" spans="1:58" s="87" customFormat="1" ht="54" hidden="1" customHeight="1" x14ac:dyDescent="0.25">
      <c r="A1057" s="267" t="s">
        <v>7374</v>
      </c>
      <c r="B1057" s="268">
        <v>159</v>
      </c>
      <c r="C1057" s="240" t="s">
        <v>4027</v>
      </c>
      <c r="D1057" s="211" t="s">
        <v>4028</v>
      </c>
      <c r="E1057" s="268" t="s">
        <v>7919</v>
      </c>
      <c r="F1057" s="861" t="s">
        <v>4430</v>
      </c>
      <c r="G1057" s="269" t="s">
        <v>4431</v>
      </c>
      <c r="H1057" s="845" t="s">
        <v>4432</v>
      </c>
      <c r="I1057" s="269" t="s">
        <v>4433</v>
      </c>
      <c r="J1057" s="296" t="s">
        <v>140</v>
      </c>
      <c r="K1057" s="297" t="s">
        <v>140</v>
      </c>
      <c r="L1057" s="862" t="s">
        <v>7920</v>
      </c>
      <c r="M1057" s="206" t="s">
        <v>973</v>
      </c>
      <c r="N1057" s="211" t="s">
        <v>974</v>
      </c>
      <c r="O1057" s="240" t="s">
        <v>814</v>
      </c>
      <c r="P1057" s="240" t="s">
        <v>815</v>
      </c>
      <c r="Q1057" s="845" t="s">
        <v>144</v>
      </c>
      <c r="R1057" s="208" t="s">
        <v>144</v>
      </c>
      <c r="S1057" s="864" t="s">
        <v>147</v>
      </c>
      <c r="T1057" s="212" t="s">
        <v>144</v>
      </c>
      <c r="U1057" s="213" t="s">
        <v>144</v>
      </c>
      <c r="V1057" s="847">
        <v>3</v>
      </c>
      <c r="W1057" s="415" t="s">
        <v>144</v>
      </c>
      <c r="X1057" s="212">
        <v>41</v>
      </c>
      <c r="Y1057" s="212" t="s">
        <v>144</v>
      </c>
      <c r="Z1057" s="433" t="s">
        <v>25</v>
      </c>
      <c r="AA1057" s="407" t="s">
        <v>7921</v>
      </c>
      <c r="AB1057" s="206" t="s">
        <v>140</v>
      </c>
      <c r="AC1057" s="847" t="s">
        <v>265</v>
      </c>
      <c r="AD1057" s="847" t="s">
        <v>144</v>
      </c>
      <c r="AE1057" s="847" t="s">
        <v>144</v>
      </c>
      <c r="AF1057" s="848" t="s">
        <v>144</v>
      </c>
      <c r="AG1057" s="838"/>
      <c r="AH1057" s="866" t="s">
        <v>7922</v>
      </c>
      <c r="AI1057" s="273" t="s">
        <v>7923</v>
      </c>
      <c r="AJ1057" s="847">
        <v>7</v>
      </c>
      <c r="AK1057" s="848" t="s">
        <v>1280</v>
      </c>
      <c r="AL1057" s="867" t="s">
        <v>294</v>
      </c>
      <c r="AM1057" s="273" t="s">
        <v>295</v>
      </c>
      <c r="AN1057" s="847">
        <v>7</v>
      </c>
      <c r="AO1057" s="187" t="s">
        <v>966</v>
      </c>
      <c r="AP1057" s="867"/>
      <c r="AQ1057" s="273"/>
      <c r="AR1057" s="847"/>
      <c r="AS1057" s="848"/>
      <c r="AT1057" s="867"/>
      <c r="AU1057" s="273"/>
      <c r="AV1057" s="847"/>
      <c r="AW1057" s="848"/>
      <c r="AX1057" s="867"/>
      <c r="AY1057" s="273"/>
      <c r="AZ1057" s="847"/>
      <c r="BA1057" s="848"/>
      <c r="BB1057" s="866"/>
      <c r="BC1057" s="273"/>
      <c r="BD1057" s="847"/>
      <c r="BE1057" s="848"/>
      <c r="BF1057" s="838"/>
    </row>
    <row r="1058" spans="1:58" s="87" customFormat="1" ht="54" hidden="1" customHeight="1" x14ac:dyDescent="0.25">
      <c r="A1058" s="267" t="s">
        <v>7374</v>
      </c>
      <c r="B1058" s="268">
        <v>160</v>
      </c>
      <c r="C1058" s="240" t="s">
        <v>4027</v>
      </c>
      <c r="D1058" s="211" t="s">
        <v>4028</v>
      </c>
      <c r="E1058" s="268" t="s">
        <v>7924</v>
      </c>
      <c r="F1058" s="861" t="s">
        <v>4438</v>
      </c>
      <c r="G1058" s="269" t="s">
        <v>4439</v>
      </c>
      <c r="H1058" s="861" t="s">
        <v>4440</v>
      </c>
      <c r="I1058" s="269" t="s">
        <v>4441</v>
      </c>
      <c r="J1058" s="296" t="s">
        <v>140</v>
      </c>
      <c r="K1058" s="297" t="s">
        <v>140</v>
      </c>
      <c r="L1058" s="862" t="s">
        <v>4442</v>
      </c>
      <c r="M1058" s="206" t="s">
        <v>142</v>
      </c>
      <c r="N1058" s="211" t="s">
        <v>143</v>
      </c>
      <c r="O1058" s="240" t="s">
        <v>4443</v>
      </c>
      <c r="P1058" s="240" t="s">
        <v>4444</v>
      </c>
      <c r="Q1058" s="845" t="s">
        <v>144</v>
      </c>
      <c r="R1058" s="208" t="s">
        <v>144</v>
      </c>
      <c r="S1058" s="864" t="s">
        <v>147</v>
      </c>
      <c r="T1058" s="212" t="s">
        <v>144</v>
      </c>
      <c r="U1058" s="213" t="s">
        <v>144</v>
      </c>
      <c r="V1058" s="847">
        <v>1</v>
      </c>
      <c r="W1058" s="415" t="s">
        <v>144</v>
      </c>
      <c r="X1058" s="212">
        <v>41</v>
      </c>
      <c r="Y1058" s="212" t="s">
        <v>144</v>
      </c>
      <c r="Z1058" s="252" t="s">
        <v>144</v>
      </c>
      <c r="AA1058" s="240" t="s">
        <v>398</v>
      </c>
      <c r="AB1058" s="206" t="s">
        <v>140</v>
      </c>
      <c r="AC1058" s="847" t="s">
        <v>265</v>
      </c>
      <c r="AD1058" s="847" t="s">
        <v>144</v>
      </c>
      <c r="AE1058" s="847" t="s">
        <v>144</v>
      </c>
      <c r="AF1058" s="848" t="s">
        <v>144</v>
      </c>
      <c r="AG1058" s="838"/>
      <c r="AH1058" s="866" t="s">
        <v>266</v>
      </c>
      <c r="AI1058" s="273" t="s">
        <v>267</v>
      </c>
      <c r="AJ1058" s="847">
        <v>6</v>
      </c>
      <c r="AK1058" s="848" t="s">
        <v>1046</v>
      </c>
      <c r="AL1058" s="867" t="s">
        <v>294</v>
      </c>
      <c r="AM1058" s="273" t="s">
        <v>295</v>
      </c>
      <c r="AN1058" s="847">
        <v>7</v>
      </c>
      <c r="AO1058" s="187" t="s">
        <v>966</v>
      </c>
      <c r="AP1058" s="867"/>
      <c r="AQ1058" s="273"/>
      <c r="AR1058" s="847"/>
      <c r="AS1058" s="848"/>
      <c r="AT1058" s="867"/>
      <c r="AU1058" s="273"/>
      <c r="AV1058" s="847"/>
      <c r="AW1058" s="848"/>
      <c r="AX1058" s="867"/>
      <c r="AY1058" s="273"/>
      <c r="AZ1058" s="847"/>
      <c r="BA1058" s="848"/>
      <c r="BB1058" s="866"/>
      <c r="BC1058" s="273"/>
      <c r="BD1058" s="847"/>
      <c r="BE1058" s="848"/>
      <c r="BF1058" s="838"/>
    </row>
    <row r="1059" spans="1:58" s="55" customFormat="1" ht="54" hidden="1" customHeight="1" x14ac:dyDescent="0.25">
      <c r="A1059" s="275" t="s">
        <v>7374</v>
      </c>
      <c r="B1059" s="276">
        <v>161</v>
      </c>
      <c r="C1059" s="253" t="s">
        <v>4027</v>
      </c>
      <c r="D1059" s="217" t="s">
        <v>4028</v>
      </c>
      <c r="E1059" s="276" t="s">
        <v>7925</v>
      </c>
      <c r="F1059" s="277" t="s">
        <v>4449</v>
      </c>
      <c r="G1059" s="277" t="s">
        <v>4450</v>
      </c>
      <c r="H1059" s="277" t="s">
        <v>4451</v>
      </c>
      <c r="I1059" s="277" t="s">
        <v>4452</v>
      </c>
      <c r="J1059" s="302" t="s">
        <v>144</v>
      </c>
      <c r="K1059" s="302" t="s">
        <v>144</v>
      </c>
      <c r="L1059" s="718" t="s">
        <v>4453</v>
      </c>
      <c r="M1059" s="253" t="s">
        <v>144</v>
      </c>
      <c r="N1059" s="302" t="s">
        <v>144</v>
      </c>
      <c r="O1059" s="253" t="s">
        <v>144</v>
      </c>
      <c r="P1059" s="253" t="s">
        <v>144</v>
      </c>
      <c r="Q1059" s="218" t="s">
        <v>144</v>
      </c>
      <c r="R1059" s="218" t="s">
        <v>144</v>
      </c>
      <c r="S1059" s="219" t="s">
        <v>233</v>
      </c>
      <c r="T1059" s="221" t="s">
        <v>234</v>
      </c>
      <c r="U1059" s="221" t="s">
        <v>235</v>
      </c>
      <c r="V1059" s="253">
        <v>8</v>
      </c>
      <c r="W1059" s="217" t="s">
        <v>144</v>
      </c>
      <c r="X1059" s="221">
        <v>41</v>
      </c>
      <c r="Y1059" s="221">
        <v>42</v>
      </c>
      <c r="Z1059" s="221" t="s">
        <v>144</v>
      </c>
      <c r="AA1059" s="253" t="s">
        <v>3015</v>
      </c>
      <c r="AB1059" s="217" t="s">
        <v>144</v>
      </c>
      <c r="AC1059" s="253" t="s">
        <v>265</v>
      </c>
      <c r="AD1059" s="253" t="s">
        <v>144</v>
      </c>
      <c r="AE1059" s="253" t="s">
        <v>144</v>
      </c>
      <c r="AF1059" s="254" t="s">
        <v>144</v>
      </c>
      <c r="AG1059" s="838"/>
      <c r="AH1059" s="280"/>
      <c r="AI1059" s="281"/>
      <c r="AJ1059" s="253"/>
      <c r="AK1059" s="254"/>
      <c r="AL1059" s="281"/>
      <c r="AM1059" s="281"/>
      <c r="AN1059" s="253"/>
      <c r="AO1059" s="254"/>
      <c r="AP1059" s="281"/>
      <c r="AQ1059" s="281"/>
      <c r="AR1059" s="253"/>
      <c r="AS1059" s="254"/>
      <c r="AT1059" s="281"/>
      <c r="AU1059" s="281"/>
      <c r="AV1059" s="253"/>
      <c r="AW1059" s="254"/>
      <c r="AX1059" s="281"/>
      <c r="AY1059" s="281"/>
      <c r="AZ1059" s="253"/>
      <c r="BA1059" s="254"/>
      <c r="BB1059" s="280"/>
      <c r="BC1059" s="281"/>
      <c r="BD1059" s="253"/>
      <c r="BE1059" s="254"/>
      <c r="BF1059" s="838"/>
    </row>
    <row r="1060" spans="1:58" s="87" customFormat="1" ht="54" hidden="1" customHeight="1" x14ac:dyDescent="0.25">
      <c r="A1060" s="267" t="s">
        <v>7374</v>
      </c>
      <c r="B1060" s="268">
        <v>162</v>
      </c>
      <c r="C1060" s="240" t="s">
        <v>4027</v>
      </c>
      <c r="D1060" s="211" t="s">
        <v>4028</v>
      </c>
      <c r="E1060" s="268" t="s">
        <v>7926</v>
      </c>
      <c r="F1060" s="861" t="s">
        <v>4459</v>
      </c>
      <c r="G1060" s="269" t="s">
        <v>4460</v>
      </c>
      <c r="H1060" s="845" t="s">
        <v>4459</v>
      </c>
      <c r="I1060" s="269" t="s">
        <v>4460</v>
      </c>
      <c r="J1060" s="296" t="s">
        <v>140</v>
      </c>
      <c r="K1060" s="297" t="s">
        <v>140</v>
      </c>
      <c r="L1060" s="862" t="s">
        <v>4461</v>
      </c>
      <c r="M1060" s="206" t="s">
        <v>193</v>
      </c>
      <c r="N1060" s="211" t="s">
        <v>194</v>
      </c>
      <c r="O1060" s="240" t="s">
        <v>144</v>
      </c>
      <c r="P1060" s="240" t="s">
        <v>144</v>
      </c>
      <c r="Q1060" s="845" t="s">
        <v>144</v>
      </c>
      <c r="R1060" s="208" t="s">
        <v>144</v>
      </c>
      <c r="S1060" s="181" t="s">
        <v>233</v>
      </c>
      <c r="T1060" s="212" t="s">
        <v>234</v>
      </c>
      <c r="U1060" s="213" t="s">
        <v>235</v>
      </c>
      <c r="V1060" s="847">
        <v>8</v>
      </c>
      <c r="W1060" s="415" t="s">
        <v>144</v>
      </c>
      <c r="X1060" s="212">
        <v>41</v>
      </c>
      <c r="Y1060" s="212" t="s">
        <v>144</v>
      </c>
      <c r="Z1060" s="212" t="s">
        <v>144</v>
      </c>
      <c r="AA1060" s="240" t="s">
        <v>398</v>
      </c>
      <c r="AB1060" s="206" t="s">
        <v>140</v>
      </c>
      <c r="AC1060" s="847" t="s">
        <v>265</v>
      </c>
      <c r="AD1060" s="847" t="s">
        <v>144</v>
      </c>
      <c r="AE1060" s="847" t="s">
        <v>144</v>
      </c>
      <c r="AF1060" s="848" t="s">
        <v>144</v>
      </c>
      <c r="AG1060" s="838"/>
      <c r="AH1060" s="866"/>
      <c r="AI1060" s="273"/>
      <c r="AJ1060" s="847"/>
      <c r="AK1060" s="848"/>
      <c r="AL1060" s="867"/>
      <c r="AM1060" s="273"/>
      <c r="AN1060" s="847"/>
      <c r="AO1060" s="848"/>
      <c r="AP1060" s="867"/>
      <c r="AQ1060" s="273"/>
      <c r="AR1060" s="847"/>
      <c r="AS1060" s="848"/>
      <c r="AT1060" s="867" t="s">
        <v>7927</v>
      </c>
      <c r="AU1060" s="273" t="s">
        <v>7928</v>
      </c>
      <c r="AV1060" s="847">
        <v>6</v>
      </c>
      <c r="AW1060" s="286" t="s">
        <v>7929</v>
      </c>
      <c r="AX1060" s="867"/>
      <c r="AY1060" s="273"/>
      <c r="AZ1060" s="847"/>
      <c r="BA1060" s="848"/>
      <c r="BB1060" s="866"/>
      <c r="BC1060" s="273"/>
      <c r="BD1060" s="847"/>
      <c r="BE1060" s="848"/>
      <c r="BF1060" s="838"/>
    </row>
    <row r="1061" spans="1:58" s="87" customFormat="1" ht="54" hidden="1" customHeight="1" x14ac:dyDescent="0.25">
      <c r="A1061" s="267" t="s">
        <v>7374</v>
      </c>
      <c r="B1061" s="268">
        <v>163</v>
      </c>
      <c r="C1061" s="240" t="s">
        <v>4027</v>
      </c>
      <c r="D1061" s="211" t="s">
        <v>4028</v>
      </c>
      <c r="E1061" s="268" t="s">
        <v>7930</v>
      </c>
      <c r="F1061" s="861" t="s">
        <v>4466</v>
      </c>
      <c r="G1061" s="269" t="s">
        <v>4467</v>
      </c>
      <c r="H1061" s="861" t="s">
        <v>4466</v>
      </c>
      <c r="I1061" s="269" t="s">
        <v>4467</v>
      </c>
      <c r="J1061" s="296" t="s">
        <v>140</v>
      </c>
      <c r="K1061" s="297" t="s">
        <v>140</v>
      </c>
      <c r="L1061" s="862" t="s">
        <v>4468</v>
      </c>
      <c r="M1061" s="206" t="s">
        <v>973</v>
      </c>
      <c r="N1061" s="211" t="s">
        <v>974</v>
      </c>
      <c r="O1061" s="240" t="s">
        <v>144</v>
      </c>
      <c r="P1061" s="240" t="s">
        <v>144</v>
      </c>
      <c r="Q1061" s="845" t="s">
        <v>144</v>
      </c>
      <c r="R1061" s="208" t="s">
        <v>144</v>
      </c>
      <c r="S1061" s="864" t="s">
        <v>746</v>
      </c>
      <c r="T1061" s="212" t="s">
        <v>1104</v>
      </c>
      <c r="U1061" s="213" t="s">
        <v>1105</v>
      </c>
      <c r="V1061" s="847">
        <v>19</v>
      </c>
      <c r="W1061" s="415" t="s">
        <v>144</v>
      </c>
      <c r="X1061" s="212">
        <v>41</v>
      </c>
      <c r="Y1061" s="212" t="s">
        <v>144</v>
      </c>
      <c r="Z1061" s="212" t="s">
        <v>144</v>
      </c>
      <c r="AA1061" s="240" t="s">
        <v>398</v>
      </c>
      <c r="AB1061" s="206" t="s">
        <v>140</v>
      </c>
      <c r="AC1061" s="847" t="s">
        <v>265</v>
      </c>
      <c r="AD1061" s="847" t="s">
        <v>144</v>
      </c>
      <c r="AE1061" s="847" t="s">
        <v>144</v>
      </c>
      <c r="AF1061" s="848" t="s">
        <v>144</v>
      </c>
      <c r="AG1061" s="838"/>
      <c r="AH1061" s="866" t="s">
        <v>7931</v>
      </c>
      <c r="AI1061" s="273" t="s">
        <v>7932</v>
      </c>
      <c r="AJ1061" s="847">
        <v>6</v>
      </c>
      <c r="AK1061" s="286" t="s">
        <v>7933</v>
      </c>
      <c r="AL1061" s="867"/>
      <c r="AM1061" s="273"/>
      <c r="AN1061" s="847"/>
      <c r="AO1061" s="848"/>
      <c r="AP1061" s="867" t="s">
        <v>1107</v>
      </c>
      <c r="AQ1061" s="273" t="s">
        <v>1108</v>
      </c>
      <c r="AR1061" s="847">
        <v>7</v>
      </c>
      <c r="AS1061" s="286" t="s">
        <v>1109</v>
      </c>
      <c r="AT1061" s="867"/>
      <c r="AU1061" s="273"/>
      <c r="AV1061" s="847"/>
      <c r="AW1061" s="848"/>
      <c r="AX1061" s="867"/>
      <c r="AY1061" s="273"/>
      <c r="AZ1061" s="847"/>
      <c r="BA1061" s="848"/>
      <c r="BB1061" s="866"/>
      <c r="BC1061" s="273"/>
      <c r="BD1061" s="847"/>
      <c r="BE1061" s="848"/>
      <c r="BF1061" s="838"/>
    </row>
    <row r="1062" spans="1:58" s="87" customFormat="1" ht="54" hidden="1" customHeight="1" x14ac:dyDescent="0.25">
      <c r="A1062" s="267" t="s">
        <v>7374</v>
      </c>
      <c r="B1062" s="268">
        <v>164</v>
      </c>
      <c r="C1062" s="240" t="s">
        <v>4027</v>
      </c>
      <c r="D1062" s="211" t="s">
        <v>4028</v>
      </c>
      <c r="E1062" s="268" t="s">
        <v>7934</v>
      </c>
      <c r="F1062" s="861" t="s">
        <v>4473</v>
      </c>
      <c r="G1062" s="269" t="s">
        <v>4474</v>
      </c>
      <c r="H1062" s="845" t="s">
        <v>4475</v>
      </c>
      <c r="I1062" s="269" t="s">
        <v>4476</v>
      </c>
      <c r="J1062" s="296" t="s">
        <v>140</v>
      </c>
      <c r="K1062" s="297" t="s">
        <v>140</v>
      </c>
      <c r="L1062" s="862" t="s">
        <v>4477</v>
      </c>
      <c r="M1062" s="206" t="s">
        <v>973</v>
      </c>
      <c r="N1062" s="211" t="s">
        <v>974</v>
      </c>
      <c r="O1062" s="240" t="s">
        <v>814</v>
      </c>
      <c r="P1062" s="240" t="s">
        <v>815</v>
      </c>
      <c r="Q1062" s="845" t="s">
        <v>144</v>
      </c>
      <c r="R1062" s="208" t="s">
        <v>144</v>
      </c>
      <c r="S1062" s="864" t="s">
        <v>147</v>
      </c>
      <c r="T1062" s="212" t="s">
        <v>144</v>
      </c>
      <c r="U1062" s="213" t="s">
        <v>144</v>
      </c>
      <c r="V1062" s="847">
        <v>3</v>
      </c>
      <c r="W1062" s="415" t="s">
        <v>144</v>
      </c>
      <c r="X1062" s="212">
        <v>41</v>
      </c>
      <c r="Y1062" s="212" t="s">
        <v>144</v>
      </c>
      <c r="Z1062" s="212" t="s">
        <v>144</v>
      </c>
      <c r="AA1062" s="240" t="s">
        <v>398</v>
      </c>
      <c r="AB1062" s="206" t="s">
        <v>140</v>
      </c>
      <c r="AC1062" s="847" t="s">
        <v>265</v>
      </c>
      <c r="AD1062" s="847" t="s">
        <v>144</v>
      </c>
      <c r="AE1062" s="847" t="s">
        <v>144</v>
      </c>
      <c r="AF1062" s="848" t="s">
        <v>144</v>
      </c>
      <c r="AG1062" s="838"/>
      <c r="AH1062" s="866" t="s">
        <v>7935</v>
      </c>
      <c r="AI1062" s="273" t="s">
        <v>7936</v>
      </c>
      <c r="AJ1062" s="847">
        <v>7</v>
      </c>
      <c r="AK1062" s="848" t="s">
        <v>1280</v>
      </c>
      <c r="AL1062" s="867" t="s">
        <v>294</v>
      </c>
      <c r="AM1062" s="273" t="s">
        <v>295</v>
      </c>
      <c r="AN1062" s="847">
        <v>7</v>
      </c>
      <c r="AO1062" s="187" t="s">
        <v>966</v>
      </c>
      <c r="AP1062" s="867"/>
      <c r="AQ1062" s="273"/>
      <c r="AR1062" s="847"/>
      <c r="AS1062" s="848"/>
      <c r="AT1062" s="867"/>
      <c r="AU1062" s="273"/>
      <c r="AV1062" s="847"/>
      <c r="AW1062" s="848"/>
      <c r="AX1062" s="867"/>
      <c r="AY1062" s="273"/>
      <c r="AZ1062" s="847"/>
      <c r="BA1062" s="848"/>
      <c r="BB1062" s="866"/>
      <c r="BC1062" s="273"/>
      <c r="BD1062" s="847"/>
      <c r="BE1062" s="848"/>
      <c r="BF1062" s="838"/>
    </row>
    <row r="1063" spans="1:58" s="87" customFormat="1" ht="54" hidden="1" customHeight="1" x14ac:dyDescent="0.25">
      <c r="A1063" s="267" t="s">
        <v>7374</v>
      </c>
      <c r="B1063" s="268">
        <v>165</v>
      </c>
      <c r="C1063" s="240" t="s">
        <v>4027</v>
      </c>
      <c r="D1063" s="211" t="s">
        <v>4028</v>
      </c>
      <c r="E1063" s="268" t="s">
        <v>7937</v>
      </c>
      <c r="F1063" s="861" t="s">
        <v>4481</v>
      </c>
      <c r="G1063" s="269" t="s">
        <v>4482</v>
      </c>
      <c r="H1063" s="845" t="s">
        <v>4483</v>
      </c>
      <c r="I1063" s="269" t="s">
        <v>4484</v>
      </c>
      <c r="J1063" s="296" t="s">
        <v>140</v>
      </c>
      <c r="K1063" s="297" t="s">
        <v>140</v>
      </c>
      <c r="L1063" s="862" t="s">
        <v>4485</v>
      </c>
      <c r="M1063" s="206" t="s">
        <v>193</v>
      </c>
      <c r="N1063" s="211" t="s">
        <v>194</v>
      </c>
      <c r="O1063" s="240" t="s">
        <v>144</v>
      </c>
      <c r="P1063" s="240" t="s">
        <v>144</v>
      </c>
      <c r="Q1063" s="845" t="s">
        <v>144</v>
      </c>
      <c r="R1063" s="208" t="s">
        <v>144</v>
      </c>
      <c r="S1063" s="181" t="s">
        <v>233</v>
      </c>
      <c r="T1063" s="212" t="s">
        <v>234</v>
      </c>
      <c r="U1063" s="213" t="s">
        <v>235</v>
      </c>
      <c r="V1063" s="847">
        <v>8</v>
      </c>
      <c r="W1063" s="415" t="s">
        <v>144</v>
      </c>
      <c r="X1063" s="212">
        <v>41</v>
      </c>
      <c r="Y1063" s="212" t="s">
        <v>144</v>
      </c>
      <c r="Z1063" s="212" t="s">
        <v>144</v>
      </c>
      <c r="AA1063" s="240" t="s">
        <v>3968</v>
      </c>
      <c r="AB1063" s="206" t="s">
        <v>140</v>
      </c>
      <c r="AC1063" s="847" t="s">
        <v>265</v>
      </c>
      <c r="AD1063" s="847" t="s">
        <v>144</v>
      </c>
      <c r="AE1063" s="847" t="s">
        <v>144</v>
      </c>
      <c r="AF1063" s="848" t="s">
        <v>144</v>
      </c>
      <c r="AG1063" s="838"/>
      <c r="AH1063" s="866"/>
      <c r="AI1063" s="273"/>
      <c r="AJ1063" s="847"/>
      <c r="AK1063" s="848"/>
      <c r="AL1063" s="867"/>
      <c r="AM1063" s="273"/>
      <c r="AN1063" s="847"/>
      <c r="AO1063" s="848"/>
      <c r="AP1063" s="867"/>
      <c r="AQ1063" s="273"/>
      <c r="AR1063" s="847"/>
      <c r="AS1063" s="848"/>
      <c r="AT1063" s="867"/>
      <c r="AU1063" s="273"/>
      <c r="AV1063" s="847"/>
      <c r="AW1063" s="848"/>
      <c r="AX1063" s="867"/>
      <c r="AY1063" s="273"/>
      <c r="AZ1063" s="847"/>
      <c r="BA1063" s="848"/>
      <c r="BB1063" s="866"/>
      <c r="BC1063" s="273"/>
      <c r="BD1063" s="847"/>
      <c r="BE1063" s="848"/>
      <c r="BF1063" s="838"/>
    </row>
    <row r="1064" spans="1:58" s="87" customFormat="1" ht="54" hidden="1" customHeight="1" x14ac:dyDescent="0.25">
      <c r="A1064" s="267" t="s">
        <v>7374</v>
      </c>
      <c r="B1064" s="268">
        <v>166</v>
      </c>
      <c r="C1064" s="240" t="s">
        <v>723</v>
      </c>
      <c r="D1064" s="211" t="s">
        <v>723</v>
      </c>
      <c r="E1064" s="268" t="s">
        <v>7938</v>
      </c>
      <c r="F1064" s="861" t="s">
        <v>4487</v>
      </c>
      <c r="G1064" s="269" t="s">
        <v>4488</v>
      </c>
      <c r="H1064" s="861" t="s">
        <v>4489</v>
      </c>
      <c r="I1064" s="269" t="s">
        <v>7939</v>
      </c>
      <c r="J1064" s="296" t="s">
        <v>140</v>
      </c>
      <c r="K1064" s="297" t="s">
        <v>140</v>
      </c>
      <c r="L1064" s="862" t="s">
        <v>4491</v>
      </c>
      <c r="M1064" s="206" t="s">
        <v>973</v>
      </c>
      <c r="N1064" s="211" t="s">
        <v>974</v>
      </c>
      <c r="O1064" s="240" t="s">
        <v>144</v>
      </c>
      <c r="P1064" s="240" t="s">
        <v>144</v>
      </c>
      <c r="Q1064" s="845" t="s">
        <v>4492</v>
      </c>
      <c r="R1064" s="208" t="s">
        <v>4493</v>
      </c>
      <c r="S1064" s="864" t="s">
        <v>746</v>
      </c>
      <c r="T1064" s="212" t="s">
        <v>1307</v>
      </c>
      <c r="U1064" s="213" t="s">
        <v>1308</v>
      </c>
      <c r="V1064" s="847">
        <v>10</v>
      </c>
      <c r="W1064" s="415" t="s">
        <v>144</v>
      </c>
      <c r="X1064" s="212">
        <v>41</v>
      </c>
      <c r="Y1064" s="212" t="s">
        <v>144</v>
      </c>
      <c r="Z1064" s="241" t="s">
        <v>144</v>
      </c>
      <c r="AA1064" s="437" t="s">
        <v>7940</v>
      </c>
      <c r="AB1064" s="206" t="s">
        <v>140</v>
      </c>
      <c r="AC1064" s="847" t="s">
        <v>265</v>
      </c>
      <c r="AD1064" s="847" t="s">
        <v>144</v>
      </c>
      <c r="AE1064" s="847" t="s">
        <v>144</v>
      </c>
      <c r="AF1064" s="848" t="s">
        <v>144</v>
      </c>
      <c r="AG1064" s="838"/>
      <c r="AH1064" s="866" t="s">
        <v>7941</v>
      </c>
      <c r="AI1064" s="273" t="s">
        <v>7942</v>
      </c>
      <c r="AJ1064" s="847">
        <v>6</v>
      </c>
      <c r="AK1064" s="848" t="s">
        <v>7943</v>
      </c>
      <c r="AL1064" s="867"/>
      <c r="AM1064" s="273"/>
      <c r="AN1064" s="847"/>
      <c r="AO1064" s="848"/>
      <c r="AP1064" s="867" t="s">
        <v>1107</v>
      </c>
      <c r="AQ1064" s="273" t="s">
        <v>1108</v>
      </c>
      <c r="AR1064" s="847">
        <v>7</v>
      </c>
      <c r="AS1064" s="286" t="s">
        <v>1109</v>
      </c>
      <c r="AT1064" s="867"/>
      <c r="AU1064" s="273"/>
      <c r="AV1064" s="847"/>
      <c r="AW1064" s="848"/>
      <c r="AX1064" s="867"/>
      <c r="AY1064" s="273"/>
      <c r="AZ1064" s="847"/>
      <c r="BA1064" s="848"/>
      <c r="BB1064" s="866"/>
      <c r="BC1064" s="273"/>
      <c r="BD1064" s="847"/>
      <c r="BE1064" s="848"/>
      <c r="BF1064" s="838"/>
    </row>
    <row r="1065" spans="1:58" s="87" customFormat="1" ht="54" hidden="1" customHeight="1" x14ac:dyDescent="0.25">
      <c r="A1065" s="267" t="s">
        <v>7374</v>
      </c>
      <c r="B1065" s="268">
        <v>167</v>
      </c>
      <c r="C1065" s="240" t="s">
        <v>723</v>
      </c>
      <c r="D1065" s="211" t="s">
        <v>723</v>
      </c>
      <c r="E1065" s="268" t="s">
        <v>7944</v>
      </c>
      <c r="F1065" s="861" t="s">
        <v>4499</v>
      </c>
      <c r="G1065" s="269" t="s">
        <v>4500</v>
      </c>
      <c r="H1065" s="861" t="s">
        <v>4501</v>
      </c>
      <c r="I1065" s="269" t="s">
        <v>4502</v>
      </c>
      <c r="J1065" s="296" t="s">
        <v>140</v>
      </c>
      <c r="K1065" s="297" t="s">
        <v>140</v>
      </c>
      <c r="L1065" s="862" t="s">
        <v>4503</v>
      </c>
      <c r="M1065" s="206" t="s">
        <v>973</v>
      </c>
      <c r="N1065" s="211" t="s">
        <v>974</v>
      </c>
      <c r="O1065" s="240" t="s">
        <v>144</v>
      </c>
      <c r="P1065" s="240" t="s">
        <v>144</v>
      </c>
      <c r="Q1065" s="845" t="s">
        <v>4492</v>
      </c>
      <c r="R1065" s="208" t="s">
        <v>4493</v>
      </c>
      <c r="S1065" s="864" t="s">
        <v>746</v>
      </c>
      <c r="T1065" s="212" t="s">
        <v>1307</v>
      </c>
      <c r="U1065" s="213" t="s">
        <v>1308</v>
      </c>
      <c r="V1065" s="847">
        <v>10</v>
      </c>
      <c r="W1065" s="415" t="s">
        <v>144</v>
      </c>
      <c r="X1065" s="212">
        <v>41</v>
      </c>
      <c r="Y1065" s="212" t="s">
        <v>144</v>
      </c>
      <c r="Z1065" s="241" t="s">
        <v>144</v>
      </c>
      <c r="AA1065" s="437" t="s">
        <v>7940</v>
      </c>
      <c r="AB1065" s="206" t="s">
        <v>140</v>
      </c>
      <c r="AC1065" s="847" t="s">
        <v>265</v>
      </c>
      <c r="AD1065" s="847" t="s">
        <v>144</v>
      </c>
      <c r="AE1065" s="847" t="s">
        <v>144</v>
      </c>
      <c r="AF1065" s="848" t="s">
        <v>144</v>
      </c>
      <c r="AG1065" s="838"/>
      <c r="AH1065" s="291" t="s">
        <v>7945</v>
      </c>
      <c r="AI1065" s="273" t="s">
        <v>7946</v>
      </c>
      <c r="AJ1065" s="847">
        <v>6</v>
      </c>
      <c r="AK1065" s="848" t="s">
        <v>7947</v>
      </c>
      <c r="AL1065" s="867"/>
      <c r="AM1065" s="273"/>
      <c r="AN1065" s="847"/>
      <c r="AO1065" s="848"/>
      <c r="AP1065" s="867" t="s">
        <v>1107</v>
      </c>
      <c r="AQ1065" s="273" t="s">
        <v>1108</v>
      </c>
      <c r="AR1065" s="847">
        <v>7</v>
      </c>
      <c r="AS1065" s="286" t="s">
        <v>1109</v>
      </c>
      <c r="AT1065" s="867"/>
      <c r="AU1065" s="273"/>
      <c r="AV1065" s="847"/>
      <c r="AW1065" s="848"/>
      <c r="AX1065" s="867"/>
      <c r="AY1065" s="273"/>
      <c r="AZ1065" s="847"/>
      <c r="BA1065" s="848"/>
      <c r="BB1065" s="866"/>
      <c r="BC1065" s="273"/>
      <c r="BD1065" s="847"/>
      <c r="BE1065" s="848"/>
      <c r="BF1065" s="838"/>
    </row>
    <row r="1066" spans="1:58" s="87" customFormat="1" ht="54" hidden="1" customHeight="1" x14ac:dyDescent="0.25">
      <c r="A1066" s="267" t="s">
        <v>7374</v>
      </c>
      <c r="B1066" s="268">
        <v>168</v>
      </c>
      <c r="C1066" s="240" t="s">
        <v>4027</v>
      </c>
      <c r="D1066" s="211" t="s">
        <v>4028</v>
      </c>
      <c r="E1066" s="268" t="s">
        <v>7948</v>
      </c>
      <c r="F1066" s="861" t="s">
        <v>4508</v>
      </c>
      <c r="G1066" s="269" t="s">
        <v>4509</v>
      </c>
      <c r="H1066" s="861" t="s">
        <v>4508</v>
      </c>
      <c r="I1066" s="269" t="s">
        <v>4509</v>
      </c>
      <c r="J1066" s="296" t="s">
        <v>140</v>
      </c>
      <c r="K1066" s="297" t="s">
        <v>140</v>
      </c>
      <c r="L1066" s="862" t="s">
        <v>4510</v>
      </c>
      <c r="M1066" s="847" t="s">
        <v>193</v>
      </c>
      <c r="N1066" s="211" t="s">
        <v>194</v>
      </c>
      <c r="O1066" s="240" t="s">
        <v>144</v>
      </c>
      <c r="P1066" s="240" t="s">
        <v>144</v>
      </c>
      <c r="Q1066" s="845" t="s">
        <v>4492</v>
      </c>
      <c r="R1066" s="208" t="s">
        <v>4493</v>
      </c>
      <c r="S1066" s="864" t="s">
        <v>746</v>
      </c>
      <c r="T1066" s="212" t="s">
        <v>1104</v>
      </c>
      <c r="U1066" s="213" t="s">
        <v>1105</v>
      </c>
      <c r="V1066" s="847">
        <v>19</v>
      </c>
      <c r="W1066" s="415" t="s">
        <v>144</v>
      </c>
      <c r="X1066" s="212">
        <v>41</v>
      </c>
      <c r="Y1066" s="212" t="s">
        <v>144</v>
      </c>
      <c r="Z1066" s="241" t="s">
        <v>144</v>
      </c>
      <c r="AA1066" s="437" t="s">
        <v>4511</v>
      </c>
      <c r="AB1066" s="206" t="s">
        <v>140</v>
      </c>
      <c r="AC1066" s="847" t="s">
        <v>265</v>
      </c>
      <c r="AD1066" s="847" t="s">
        <v>144</v>
      </c>
      <c r="AE1066" s="847" t="s">
        <v>144</v>
      </c>
      <c r="AF1066" s="848" t="s">
        <v>144</v>
      </c>
      <c r="AG1066" s="838"/>
      <c r="AH1066" s="866"/>
      <c r="AI1066" s="273"/>
      <c r="AJ1066" s="847"/>
      <c r="AK1066" s="848"/>
      <c r="AL1066" s="867"/>
      <c r="AM1066" s="273"/>
      <c r="AN1066" s="847"/>
      <c r="AO1066" s="848"/>
      <c r="AP1066" s="867" t="s">
        <v>1107</v>
      </c>
      <c r="AQ1066" s="273" t="s">
        <v>1108</v>
      </c>
      <c r="AR1066" s="847">
        <v>7</v>
      </c>
      <c r="AS1066" s="286" t="s">
        <v>1109</v>
      </c>
      <c r="AT1066" s="867"/>
      <c r="AU1066" s="273"/>
      <c r="AV1066" s="847"/>
      <c r="AW1066" s="848"/>
      <c r="AX1066" s="867"/>
      <c r="AY1066" s="273"/>
      <c r="AZ1066" s="847"/>
      <c r="BA1066" s="848"/>
      <c r="BB1066" s="866"/>
      <c r="BC1066" s="273"/>
      <c r="BD1066" s="847"/>
      <c r="BE1066" s="848"/>
      <c r="BF1066" s="838"/>
    </row>
    <row r="1067" spans="1:58" s="87" customFormat="1" ht="54" hidden="1" customHeight="1" x14ac:dyDescent="0.25">
      <c r="A1067" s="267" t="s">
        <v>7374</v>
      </c>
      <c r="B1067" s="268">
        <v>169</v>
      </c>
      <c r="C1067" s="240" t="s">
        <v>4027</v>
      </c>
      <c r="D1067" s="211" t="s">
        <v>4028</v>
      </c>
      <c r="E1067" s="268" t="s">
        <v>7949</v>
      </c>
      <c r="F1067" s="861" t="s">
        <v>4513</v>
      </c>
      <c r="G1067" s="269" t="s">
        <v>4514</v>
      </c>
      <c r="H1067" s="845" t="s">
        <v>4513</v>
      </c>
      <c r="I1067" s="269" t="s">
        <v>4514</v>
      </c>
      <c r="J1067" s="296" t="s">
        <v>140</v>
      </c>
      <c r="K1067" s="297" t="s">
        <v>140</v>
      </c>
      <c r="L1067" s="862" t="s">
        <v>4515</v>
      </c>
      <c r="M1067" s="206" t="s">
        <v>973</v>
      </c>
      <c r="N1067" s="211" t="s">
        <v>974</v>
      </c>
      <c r="O1067" s="240" t="s">
        <v>814</v>
      </c>
      <c r="P1067" s="240" t="s">
        <v>815</v>
      </c>
      <c r="Q1067" s="845" t="s">
        <v>144</v>
      </c>
      <c r="R1067" s="208" t="s">
        <v>144</v>
      </c>
      <c r="S1067" s="864" t="s">
        <v>147</v>
      </c>
      <c r="T1067" s="212" t="s">
        <v>144</v>
      </c>
      <c r="U1067" s="213" t="s">
        <v>144</v>
      </c>
      <c r="V1067" s="847">
        <v>3</v>
      </c>
      <c r="W1067" s="415" t="s">
        <v>144</v>
      </c>
      <c r="X1067" s="212">
        <v>41</v>
      </c>
      <c r="Y1067" s="212" t="s">
        <v>144</v>
      </c>
      <c r="Z1067" s="241" t="s">
        <v>144</v>
      </c>
      <c r="AA1067" s="437" t="s">
        <v>4511</v>
      </c>
      <c r="AB1067" s="206" t="s">
        <v>140</v>
      </c>
      <c r="AC1067" s="847" t="s">
        <v>265</v>
      </c>
      <c r="AD1067" s="847" t="s">
        <v>144</v>
      </c>
      <c r="AE1067" s="847" t="s">
        <v>144</v>
      </c>
      <c r="AF1067" s="848" t="s">
        <v>144</v>
      </c>
      <c r="AG1067" s="838"/>
      <c r="AH1067" s="866" t="s">
        <v>7950</v>
      </c>
      <c r="AI1067" s="273" t="s">
        <v>7951</v>
      </c>
      <c r="AJ1067" s="847">
        <v>7</v>
      </c>
      <c r="AK1067" s="848" t="s">
        <v>1280</v>
      </c>
      <c r="AL1067" s="867" t="s">
        <v>294</v>
      </c>
      <c r="AM1067" s="273" t="s">
        <v>295</v>
      </c>
      <c r="AN1067" s="847">
        <v>7</v>
      </c>
      <c r="AO1067" s="187" t="s">
        <v>966</v>
      </c>
      <c r="AP1067" s="867"/>
      <c r="AQ1067" s="273"/>
      <c r="AR1067" s="847"/>
      <c r="AS1067" s="848"/>
      <c r="AT1067" s="867"/>
      <c r="AU1067" s="273"/>
      <c r="AV1067" s="847"/>
      <c r="AW1067" s="848"/>
      <c r="AX1067" s="867"/>
      <c r="AY1067" s="273"/>
      <c r="AZ1067" s="847"/>
      <c r="BA1067" s="848"/>
      <c r="BB1067" s="866"/>
      <c r="BC1067" s="273"/>
      <c r="BD1067" s="847"/>
      <c r="BE1067" s="848"/>
      <c r="BF1067" s="838"/>
    </row>
    <row r="1068" spans="1:58" s="87" customFormat="1" ht="54" hidden="1" customHeight="1" x14ac:dyDescent="0.25">
      <c r="A1068" s="267" t="s">
        <v>7374</v>
      </c>
      <c r="B1068" s="268">
        <v>170</v>
      </c>
      <c r="C1068" s="240" t="s">
        <v>4027</v>
      </c>
      <c r="D1068" s="211" t="s">
        <v>4028</v>
      </c>
      <c r="E1068" s="268" t="s">
        <v>7952</v>
      </c>
      <c r="F1068" s="861" t="s">
        <v>4519</v>
      </c>
      <c r="G1068" s="269" t="s">
        <v>4520</v>
      </c>
      <c r="H1068" s="845" t="s">
        <v>4521</v>
      </c>
      <c r="I1068" s="269" t="s">
        <v>4522</v>
      </c>
      <c r="J1068" s="296" t="s">
        <v>140</v>
      </c>
      <c r="K1068" s="297" t="s">
        <v>140</v>
      </c>
      <c r="L1068" s="862" t="s">
        <v>4523</v>
      </c>
      <c r="M1068" s="847" t="s">
        <v>193</v>
      </c>
      <c r="N1068" s="211" t="s">
        <v>194</v>
      </c>
      <c r="O1068" s="240" t="s">
        <v>144</v>
      </c>
      <c r="P1068" s="240" t="s">
        <v>144</v>
      </c>
      <c r="Q1068" s="845" t="s">
        <v>4492</v>
      </c>
      <c r="R1068" s="208" t="s">
        <v>4493</v>
      </c>
      <c r="S1068" s="181" t="s">
        <v>233</v>
      </c>
      <c r="T1068" s="212" t="s">
        <v>234</v>
      </c>
      <c r="U1068" s="213" t="s">
        <v>235</v>
      </c>
      <c r="V1068" s="847">
        <v>8</v>
      </c>
      <c r="W1068" s="415" t="s">
        <v>144</v>
      </c>
      <c r="X1068" s="212">
        <v>41</v>
      </c>
      <c r="Y1068" s="212" t="s">
        <v>144</v>
      </c>
      <c r="Z1068" s="241" t="s">
        <v>144</v>
      </c>
      <c r="AA1068" s="615" t="s">
        <v>733</v>
      </c>
      <c r="AB1068" s="206" t="s">
        <v>140</v>
      </c>
      <c r="AC1068" s="847" t="s">
        <v>265</v>
      </c>
      <c r="AD1068" s="847" t="s">
        <v>144</v>
      </c>
      <c r="AE1068" s="847" t="s">
        <v>144</v>
      </c>
      <c r="AF1068" s="848" t="s">
        <v>144</v>
      </c>
      <c r="AG1068" s="838"/>
      <c r="AH1068" s="866"/>
      <c r="AI1068" s="273"/>
      <c r="AJ1068" s="847"/>
      <c r="AK1068" s="848"/>
      <c r="AL1068" s="867"/>
      <c r="AM1068" s="273"/>
      <c r="AN1068" s="847"/>
      <c r="AO1068" s="848"/>
      <c r="AP1068" s="867"/>
      <c r="AQ1068" s="273"/>
      <c r="AR1068" s="847"/>
      <c r="AS1068" s="848"/>
      <c r="AT1068" s="867"/>
      <c r="AU1068" s="273"/>
      <c r="AV1068" s="847"/>
      <c r="AW1068" s="848"/>
      <c r="AX1068" s="867"/>
      <c r="AY1068" s="273"/>
      <c r="AZ1068" s="847"/>
      <c r="BA1068" s="848"/>
      <c r="BB1068" s="866"/>
      <c r="BC1068" s="273"/>
      <c r="BD1068" s="847"/>
      <c r="BE1068" s="848"/>
      <c r="BF1068" s="838"/>
    </row>
    <row r="1069" spans="1:58" s="87" customFormat="1" ht="54" hidden="1" customHeight="1" x14ac:dyDescent="0.25">
      <c r="A1069" s="267" t="s">
        <v>7374</v>
      </c>
      <c r="B1069" s="268">
        <v>171</v>
      </c>
      <c r="C1069" s="240" t="s">
        <v>4027</v>
      </c>
      <c r="D1069" s="211" t="s">
        <v>4028</v>
      </c>
      <c r="E1069" s="268" t="s">
        <v>7953</v>
      </c>
      <c r="F1069" s="861" t="s">
        <v>4525</v>
      </c>
      <c r="G1069" s="269" t="s">
        <v>4526</v>
      </c>
      <c r="H1069" s="861" t="s">
        <v>4525</v>
      </c>
      <c r="I1069" s="269" t="s">
        <v>4526</v>
      </c>
      <c r="J1069" s="296" t="s">
        <v>140</v>
      </c>
      <c r="K1069" s="297" t="s">
        <v>140</v>
      </c>
      <c r="L1069" s="862" t="s">
        <v>4527</v>
      </c>
      <c r="M1069" s="847" t="s">
        <v>193</v>
      </c>
      <c r="N1069" s="211" t="s">
        <v>194</v>
      </c>
      <c r="O1069" s="240" t="s">
        <v>144</v>
      </c>
      <c r="P1069" s="240" t="s">
        <v>144</v>
      </c>
      <c r="Q1069" s="845" t="s">
        <v>4492</v>
      </c>
      <c r="R1069" s="208" t="s">
        <v>4493</v>
      </c>
      <c r="S1069" s="864" t="s">
        <v>746</v>
      </c>
      <c r="T1069" s="212" t="s">
        <v>1104</v>
      </c>
      <c r="U1069" s="213" t="s">
        <v>1105</v>
      </c>
      <c r="V1069" s="847">
        <v>19</v>
      </c>
      <c r="W1069" s="415" t="s">
        <v>144</v>
      </c>
      <c r="X1069" s="212">
        <v>41</v>
      </c>
      <c r="Y1069" s="212" t="s">
        <v>144</v>
      </c>
      <c r="Z1069" s="241" t="s">
        <v>144</v>
      </c>
      <c r="AA1069" s="615" t="s">
        <v>733</v>
      </c>
      <c r="AB1069" s="206" t="s">
        <v>140</v>
      </c>
      <c r="AC1069" s="847" t="s">
        <v>265</v>
      </c>
      <c r="AD1069" s="847" t="s">
        <v>144</v>
      </c>
      <c r="AE1069" s="847" t="s">
        <v>144</v>
      </c>
      <c r="AF1069" s="848" t="s">
        <v>144</v>
      </c>
      <c r="AG1069" s="838"/>
      <c r="AH1069" s="866"/>
      <c r="AI1069" s="273"/>
      <c r="AJ1069" s="847"/>
      <c r="AK1069" s="848"/>
      <c r="AL1069" s="867"/>
      <c r="AM1069" s="273"/>
      <c r="AN1069" s="847"/>
      <c r="AO1069" s="848"/>
      <c r="AP1069" s="867" t="s">
        <v>1107</v>
      </c>
      <c r="AQ1069" s="273" t="s">
        <v>1108</v>
      </c>
      <c r="AR1069" s="847">
        <v>7</v>
      </c>
      <c r="AS1069" s="286" t="s">
        <v>1109</v>
      </c>
      <c r="AT1069" s="867"/>
      <c r="AU1069" s="273"/>
      <c r="AV1069" s="847"/>
      <c r="AW1069" s="848"/>
      <c r="AX1069" s="867"/>
      <c r="AY1069" s="273"/>
      <c r="AZ1069" s="847"/>
      <c r="BA1069" s="848"/>
      <c r="BB1069" s="866"/>
      <c r="BC1069" s="273"/>
      <c r="BD1069" s="847"/>
      <c r="BE1069" s="848"/>
      <c r="BF1069" s="838"/>
    </row>
    <row r="1070" spans="1:58" s="87" customFormat="1" ht="54" hidden="1" customHeight="1" x14ac:dyDescent="0.25">
      <c r="A1070" s="267" t="s">
        <v>7374</v>
      </c>
      <c r="B1070" s="268">
        <v>172</v>
      </c>
      <c r="C1070" s="240" t="s">
        <v>4027</v>
      </c>
      <c r="D1070" s="211" t="s">
        <v>4028</v>
      </c>
      <c r="E1070" s="268" t="s">
        <v>7954</v>
      </c>
      <c r="F1070" s="861" t="s">
        <v>7955</v>
      </c>
      <c r="G1070" s="269" t="s">
        <v>7956</v>
      </c>
      <c r="H1070" s="845" t="s">
        <v>7957</v>
      </c>
      <c r="I1070" s="269" t="s">
        <v>7958</v>
      </c>
      <c r="J1070" s="296" t="s">
        <v>140</v>
      </c>
      <c r="K1070" s="297" t="s">
        <v>140</v>
      </c>
      <c r="L1070" s="862" t="s">
        <v>7959</v>
      </c>
      <c r="M1070" s="206" t="s">
        <v>973</v>
      </c>
      <c r="N1070" s="211" t="s">
        <v>974</v>
      </c>
      <c r="O1070" s="240" t="s">
        <v>814</v>
      </c>
      <c r="P1070" s="240" t="s">
        <v>815</v>
      </c>
      <c r="Q1070" s="845" t="s">
        <v>144</v>
      </c>
      <c r="R1070" s="208" t="s">
        <v>144</v>
      </c>
      <c r="S1070" s="864" t="s">
        <v>147</v>
      </c>
      <c r="T1070" s="212" t="s">
        <v>144</v>
      </c>
      <c r="U1070" s="213" t="s">
        <v>144</v>
      </c>
      <c r="V1070" s="847">
        <v>3</v>
      </c>
      <c r="W1070" s="415" t="s">
        <v>144</v>
      </c>
      <c r="X1070" s="212" t="s">
        <v>925</v>
      </c>
      <c r="Y1070" s="212" t="s">
        <v>144</v>
      </c>
      <c r="Z1070" s="241" t="s">
        <v>144</v>
      </c>
      <c r="AA1070" s="615" t="s">
        <v>733</v>
      </c>
      <c r="AB1070" s="206" t="s">
        <v>140</v>
      </c>
      <c r="AC1070" s="847" t="s">
        <v>265</v>
      </c>
      <c r="AD1070" s="847" t="s">
        <v>144</v>
      </c>
      <c r="AE1070" s="847" t="s">
        <v>144</v>
      </c>
      <c r="AF1070" s="848" t="s">
        <v>144</v>
      </c>
      <c r="AG1070" s="838"/>
      <c r="AH1070" s="866" t="s">
        <v>7960</v>
      </c>
      <c r="AI1070" s="273" t="s">
        <v>7961</v>
      </c>
      <c r="AJ1070" s="847">
        <v>7</v>
      </c>
      <c r="AK1070" s="848" t="s">
        <v>1280</v>
      </c>
      <c r="AL1070" s="867" t="s">
        <v>294</v>
      </c>
      <c r="AM1070" s="273" t="s">
        <v>295</v>
      </c>
      <c r="AN1070" s="847">
        <v>7</v>
      </c>
      <c r="AO1070" s="187" t="s">
        <v>966</v>
      </c>
      <c r="AP1070" s="867"/>
      <c r="AQ1070" s="273"/>
      <c r="AR1070" s="847"/>
      <c r="AS1070" s="848"/>
      <c r="AT1070" s="867"/>
      <c r="AU1070" s="273"/>
      <c r="AV1070" s="847"/>
      <c r="AW1070" s="848"/>
      <c r="AX1070" s="867"/>
      <c r="AY1070" s="273"/>
      <c r="AZ1070" s="847"/>
      <c r="BA1070" s="848"/>
      <c r="BB1070" s="866"/>
      <c r="BC1070" s="273"/>
      <c r="BD1070" s="847"/>
      <c r="BE1070" s="848"/>
      <c r="BF1070" s="838"/>
    </row>
    <row r="1071" spans="1:58" s="87" customFormat="1" ht="54" hidden="1" customHeight="1" x14ac:dyDescent="0.25">
      <c r="A1071" s="267" t="s">
        <v>7374</v>
      </c>
      <c r="B1071" s="268">
        <v>173</v>
      </c>
      <c r="C1071" s="240" t="s">
        <v>723</v>
      </c>
      <c r="D1071" s="211" t="s">
        <v>723</v>
      </c>
      <c r="E1071" s="268" t="s">
        <v>7962</v>
      </c>
      <c r="F1071" s="861" t="s">
        <v>4536</v>
      </c>
      <c r="G1071" s="269" t="s">
        <v>4537</v>
      </c>
      <c r="H1071" s="861" t="s">
        <v>4538</v>
      </c>
      <c r="I1071" s="269" t="s">
        <v>4539</v>
      </c>
      <c r="J1071" s="296" t="s">
        <v>140</v>
      </c>
      <c r="K1071" s="297" t="s">
        <v>140</v>
      </c>
      <c r="L1071" s="862" t="s">
        <v>4540</v>
      </c>
      <c r="M1071" s="206" t="s">
        <v>973</v>
      </c>
      <c r="N1071" s="211" t="s">
        <v>974</v>
      </c>
      <c r="O1071" s="240" t="s">
        <v>144</v>
      </c>
      <c r="P1071" s="240" t="s">
        <v>144</v>
      </c>
      <c r="Q1071" s="845" t="s">
        <v>4541</v>
      </c>
      <c r="R1071" s="208" t="s">
        <v>4542</v>
      </c>
      <c r="S1071" s="864" t="s">
        <v>746</v>
      </c>
      <c r="T1071" s="212" t="s">
        <v>1307</v>
      </c>
      <c r="U1071" s="213" t="s">
        <v>1308</v>
      </c>
      <c r="V1071" s="847">
        <v>10</v>
      </c>
      <c r="W1071" s="415" t="s">
        <v>144</v>
      </c>
      <c r="X1071" s="212">
        <v>41</v>
      </c>
      <c r="Y1071" s="212" t="s">
        <v>144</v>
      </c>
      <c r="Z1071" s="252" t="s">
        <v>144</v>
      </c>
      <c r="AA1071" s="240" t="s">
        <v>4543</v>
      </c>
      <c r="AB1071" s="206" t="s">
        <v>140</v>
      </c>
      <c r="AC1071" s="847" t="s">
        <v>265</v>
      </c>
      <c r="AD1071" s="847" t="s">
        <v>144</v>
      </c>
      <c r="AE1071" s="847" t="s">
        <v>144</v>
      </c>
      <c r="AF1071" s="848" t="s">
        <v>144</v>
      </c>
      <c r="AG1071" s="838"/>
      <c r="AH1071" s="866" t="s">
        <v>7963</v>
      </c>
      <c r="AI1071" s="273" t="s">
        <v>7964</v>
      </c>
      <c r="AJ1071" s="847">
        <v>5</v>
      </c>
      <c r="AK1071" s="848" t="s">
        <v>7965</v>
      </c>
      <c r="AL1071" s="867"/>
      <c r="AM1071" s="273"/>
      <c r="AN1071" s="847"/>
      <c r="AO1071" s="848"/>
      <c r="AP1071" s="867" t="s">
        <v>1107</v>
      </c>
      <c r="AQ1071" s="273" t="s">
        <v>1108</v>
      </c>
      <c r="AR1071" s="847">
        <v>7</v>
      </c>
      <c r="AS1071" s="286" t="s">
        <v>1109</v>
      </c>
      <c r="AT1071" s="867"/>
      <c r="AU1071" s="273"/>
      <c r="AV1071" s="847"/>
      <c r="AW1071" s="848"/>
      <c r="AX1071" s="867"/>
      <c r="AY1071" s="273"/>
      <c r="AZ1071" s="847"/>
      <c r="BA1071" s="848"/>
      <c r="BB1071" s="866"/>
      <c r="BC1071" s="273"/>
      <c r="BD1071" s="847"/>
      <c r="BE1071" s="848"/>
      <c r="BF1071" s="838"/>
    </row>
    <row r="1072" spans="1:58" s="87" customFormat="1" ht="54" hidden="1" customHeight="1" x14ac:dyDescent="0.25">
      <c r="A1072" s="267" t="s">
        <v>7374</v>
      </c>
      <c r="B1072" s="268">
        <v>174</v>
      </c>
      <c r="C1072" s="240" t="s">
        <v>723</v>
      </c>
      <c r="D1072" s="211" t="s">
        <v>723</v>
      </c>
      <c r="E1072" s="268" t="s">
        <v>7966</v>
      </c>
      <c r="F1072" s="861" t="s">
        <v>4548</v>
      </c>
      <c r="G1072" s="269" t="s">
        <v>4549</v>
      </c>
      <c r="H1072" s="861" t="s">
        <v>4550</v>
      </c>
      <c r="I1072" s="269" t="s">
        <v>4551</v>
      </c>
      <c r="J1072" s="296" t="s">
        <v>140</v>
      </c>
      <c r="K1072" s="297" t="s">
        <v>140</v>
      </c>
      <c r="L1072" s="862" t="s">
        <v>4552</v>
      </c>
      <c r="M1072" s="206" t="s">
        <v>193</v>
      </c>
      <c r="N1072" s="211" t="s">
        <v>194</v>
      </c>
      <c r="O1072" s="240" t="s">
        <v>144</v>
      </c>
      <c r="P1072" s="240" t="s">
        <v>144</v>
      </c>
      <c r="Q1072" s="845" t="s">
        <v>144</v>
      </c>
      <c r="R1072" s="208" t="s">
        <v>144</v>
      </c>
      <c r="S1072" s="864" t="s">
        <v>746</v>
      </c>
      <c r="T1072" s="212" t="s">
        <v>1307</v>
      </c>
      <c r="U1072" s="213" t="s">
        <v>1308</v>
      </c>
      <c r="V1072" s="847">
        <v>10</v>
      </c>
      <c r="W1072" s="415" t="s">
        <v>144</v>
      </c>
      <c r="X1072" s="212">
        <v>41</v>
      </c>
      <c r="Y1072" s="212" t="s">
        <v>144</v>
      </c>
      <c r="Z1072" s="212" t="s">
        <v>144</v>
      </c>
      <c r="AA1072" s="240" t="s">
        <v>4543</v>
      </c>
      <c r="AB1072" s="206" t="s">
        <v>140</v>
      </c>
      <c r="AC1072" s="847" t="s">
        <v>265</v>
      </c>
      <c r="AD1072" s="847" t="s">
        <v>144</v>
      </c>
      <c r="AE1072" s="847" t="s">
        <v>144</v>
      </c>
      <c r="AF1072" s="848" t="s">
        <v>144</v>
      </c>
      <c r="AG1072" s="838"/>
      <c r="AH1072" s="866"/>
      <c r="AI1072" s="273"/>
      <c r="AJ1072" s="847"/>
      <c r="AK1072" s="848"/>
      <c r="AL1072" s="867"/>
      <c r="AM1072" s="273"/>
      <c r="AN1072" s="847"/>
      <c r="AO1072" s="848"/>
      <c r="AP1072" s="867" t="s">
        <v>1107</v>
      </c>
      <c r="AQ1072" s="273" t="s">
        <v>1108</v>
      </c>
      <c r="AR1072" s="847">
        <v>7</v>
      </c>
      <c r="AS1072" s="286" t="s">
        <v>1109</v>
      </c>
      <c r="AT1072" s="867"/>
      <c r="AU1072" s="273"/>
      <c r="AV1072" s="847"/>
      <c r="AW1072" s="848"/>
      <c r="AX1072" s="867"/>
      <c r="AY1072" s="273"/>
      <c r="AZ1072" s="847"/>
      <c r="BA1072" s="848"/>
      <c r="BB1072" s="866"/>
      <c r="BC1072" s="273"/>
      <c r="BD1072" s="847"/>
      <c r="BE1072" s="848"/>
      <c r="BF1072" s="838"/>
    </row>
    <row r="1073" spans="1:58" s="87" customFormat="1" ht="54" hidden="1" customHeight="1" x14ac:dyDescent="0.25">
      <c r="A1073" s="267" t="s">
        <v>7374</v>
      </c>
      <c r="B1073" s="268">
        <v>175</v>
      </c>
      <c r="C1073" s="240" t="s">
        <v>4040</v>
      </c>
      <c r="D1073" s="211" t="s">
        <v>4041</v>
      </c>
      <c r="E1073" s="268" t="s">
        <v>7967</v>
      </c>
      <c r="F1073" s="299" t="s">
        <v>7968</v>
      </c>
      <c r="G1073" s="269" t="s">
        <v>4555</v>
      </c>
      <c r="H1073" s="249" t="s">
        <v>4556</v>
      </c>
      <c r="I1073" s="135" t="s">
        <v>4557</v>
      </c>
      <c r="J1073" s="296" t="s">
        <v>140</v>
      </c>
      <c r="K1073" s="297" t="s">
        <v>140</v>
      </c>
      <c r="L1073" s="862" t="s">
        <v>4558</v>
      </c>
      <c r="M1073" s="206" t="s">
        <v>973</v>
      </c>
      <c r="N1073" s="211" t="s">
        <v>974</v>
      </c>
      <c r="O1073" s="240" t="s">
        <v>144</v>
      </c>
      <c r="P1073" s="240" t="s">
        <v>144</v>
      </c>
      <c r="Q1073" s="845" t="s">
        <v>144</v>
      </c>
      <c r="R1073" s="208" t="s">
        <v>144</v>
      </c>
      <c r="S1073" s="181" t="s">
        <v>233</v>
      </c>
      <c r="T1073" s="212" t="s">
        <v>234</v>
      </c>
      <c r="U1073" s="213" t="s">
        <v>235</v>
      </c>
      <c r="V1073" s="847">
        <v>8</v>
      </c>
      <c r="W1073" s="415" t="s">
        <v>144</v>
      </c>
      <c r="X1073" s="212">
        <v>41</v>
      </c>
      <c r="Y1073" s="212" t="s">
        <v>144</v>
      </c>
      <c r="Z1073" s="212" t="s">
        <v>144</v>
      </c>
      <c r="AA1073" s="240" t="s">
        <v>4559</v>
      </c>
      <c r="AB1073" s="206" t="s">
        <v>140</v>
      </c>
      <c r="AC1073" s="847" t="s">
        <v>265</v>
      </c>
      <c r="AD1073" s="847" t="s">
        <v>144</v>
      </c>
      <c r="AE1073" s="847" t="s">
        <v>144</v>
      </c>
      <c r="AF1073" s="848" t="s">
        <v>144</v>
      </c>
      <c r="AG1073" s="838"/>
      <c r="AH1073" s="866" t="s">
        <v>7863</v>
      </c>
      <c r="AI1073" s="273" t="s">
        <v>7864</v>
      </c>
      <c r="AJ1073" s="847">
        <v>5</v>
      </c>
      <c r="AK1073" s="848" t="s">
        <v>7858</v>
      </c>
      <c r="AL1073" s="867"/>
      <c r="AM1073" s="273"/>
      <c r="AN1073" s="847"/>
      <c r="AO1073" s="848"/>
      <c r="AP1073" s="867" t="s">
        <v>1160</v>
      </c>
      <c r="AQ1073" s="273" t="s">
        <v>1161</v>
      </c>
      <c r="AR1073" s="847">
        <v>7</v>
      </c>
      <c r="AS1073" s="848" t="s">
        <v>1162</v>
      </c>
      <c r="AT1073" s="867" t="s">
        <v>7969</v>
      </c>
      <c r="AU1073" s="273" t="s">
        <v>7970</v>
      </c>
      <c r="AV1073" s="847">
        <v>6</v>
      </c>
      <c r="AW1073" s="286" t="s">
        <v>7971</v>
      </c>
      <c r="AX1073" s="867"/>
      <c r="AY1073" s="273"/>
      <c r="AZ1073" s="847"/>
      <c r="BA1073" s="848"/>
      <c r="BB1073" s="866"/>
      <c r="BC1073" s="273"/>
      <c r="BD1073" s="847"/>
      <c r="BE1073" s="848"/>
      <c r="BF1073" s="838"/>
    </row>
    <row r="1074" spans="1:58" s="87" customFormat="1" ht="54" hidden="1" customHeight="1" x14ac:dyDescent="0.25">
      <c r="A1074" s="267" t="s">
        <v>7374</v>
      </c>
      <c r="B1074" s="268">
        <v>176</v>
      </c>
      <c r="C1074" s="240" t="s">
        <v>4040</v>
      </c>
      <c r="D1074" s="211" t="s">
        <v>4041</v>
      </c>
      <c r="E1074" s="268" t="s">
        <v>7972</v>
      </c>
      <c r="F1074" s="299" t="s">
        <v>4567</v>
      </c>
      <c r="G1074" s="269" t="s">
        <v>4568</v>
      </c>
      <c r="H1074" s="845" t="s">
        <v>4569</v>
      </c>
      <c r="I1074" s="269" t="s">
        <v>4570</v>
      </c>
      <c r="J1074" s="296" t="s">
        <v>140</v>
      </c>
      <c r="K1074" s="297" t="s">
        <v>140</v>
      </c>
      <c r="L1074" s="862" t="s">
        <v>4571</v>
      </c>
      <c r="M1074" s="206" t="s">
        <v>973</v>
      </c>
      <c r="N1074" s="211" t="s">
        <v>974</v>
      </c>
      <c r="O1074" s="240" t="s">
        <v>144</v>
      </c>
      <c r="P1074" s="240" t="s">
        <v>144</v>
      </c>
      <c r="Q1074" s="845" t="s">
        <v>144</v>
      </c>
      <c r="R1074" s="208" t="s">
        <v>144</v>
      </c>
      <c r="S1074" s="181" t="s">
        <v>233</v>
      </c>
      <c r="T1074" s="212" t="s">
        <v>234</v>
      </c>
      <c r="U1074" s="213" t="s">
        <v>235</v>
      </c>
      <c r="V1074" s="847">
        <v>8</v>
      </c>
      <c r="W1074" s="415" t="s">
        <v>144</v>
      </c>
      <c r="X1074" s="212">
        <v>41</v>
      </c>
      <c r="Y1074" s="212" t="s">
        <v>144</v>
      </c>
      <c r="Z1074" s="212" t="s">
        <v>144</v>
      </c>
      <c r="AA1074" s="240" t="s">
        <v>4559</v>
      </c>
      <c r="AB1074" s="206" t="s">
        <v>140</v>
      </c>
      <c r="AC1074" s="847" t="s">
        <v>265</v>
      </c>
      <c r="AD1074" s="847" t="s">
        <v>144</v>
      </c>
      <c r="AE1074" s="847" t="s">
        <v>144</v>
      </c>
      <c r="AF1074" s="848" t="s">
        <v>144</v>
      </c>
      <c r="AG1074" s="838"/>
      <c r="AH1074" s="866" t="s">
        <v>7863</v>
      </c>
      <c r="AI1074" s="273" t="s">
        <v>7864</v>
      </c>
      <c r="AJ1074" s="847">
        <v>5</v>
      </c>
      <c r="AK1074" s="848" t="s">
        <v>7858</v>
      </c>
      <c r="AL1074" s="867"/>
      <c r="AM1074" s="273"/>
      <c r="AN1074" s="847"/>
      <c r="AO1074" s="848"/>
      <c r="AP1074" s="867"/>
      <c r="AQ1074" s="273"/>
      <c r="AR1074" s="847"/>
      <c r="AS1074" s="848"/>
      <c r="AT1074" s="867" t="s">
        <v>7973</v>
      </c>
      <c r="AU1074" s="273" t="s">
        <v>7974</v>
      </c>
      <c r="AV1074" s="847">
        <v>6</v>
      </c>
      <c r="AW1074" s="848" t="s">
        <v>7975</v>
      </c>
      <c r="AX1074" s="867"/>
      <c r="AY1074" s="273"/>
      <c r="AZ1074" s="847"/>
      <c r="BA1074" s="848"/>
      <c r="BB1074" s="866"/>
      <c r="BC1074" s="273"/>
      <c r="BD1074" s="847"/>
      <c r="BE1074" s="848"/>
      <c r="BF1074" s="838"/>
    </row>
    <row r="1075" spans="1:58" s="87" customFormat="1" ht="54" hidden="1" customHeight="1" x14ac:dyDescent="0.25">
      <c r="A1075" s="267" t="s">
        <v>7374</v>
      </c>
      <c r="B1075" s="268">
        <v>177</v>
      </c>
      <c r="C1075" s="240" t="s">
        <v>4027</v>
      </c>
      <c r="D1075" s="211" t="s">
        <v>4028</v>
      </c>
      <c r="E1075" s="268" t="s">
        <v>7976</v>
      </c>
      <c r="F1075" s="299" t="s">
        <v>4576</v>
      </c>
      <c r="G1075" s="269" t="s">
        <v>4577</v>
      </c>
      <c r="H1075" s="299" t="s">
        <v>4576</v>
      </c>
      <c r="I1075" s="269" t="s">
        <v>4577</v>
      </c>
      <c r="J1075" s="296" t="s">
        <v>140</v>
      </c>
      <c r="K1075" s="297" t="s">
        <v>140</v>
      </c>
      <c r="L1075" s="862" t="s">
        <v>4578</v>
      </c>
      <c r="M1075" s="206" t="s">
        <v>973</v>
      </c>
      <c r="N1075" s="211" t="s">
        <v>974</v>
      </c>
      <c r="O1075" s="240" t="s">
        <v>144</v>
      </c>
      <c r="P1075" s="240" t="s">
        <v>144</v>
      </c>
      <c r="Q1075" s="845" t="s">
        <v>4579</v>
      </c>
      <c r="R1075" s="208" t="s">
        <v>4580</v>
      </c>
      <c r="S1075" s="864" t="s">
        <v>746</v>
      </c>
      <c r="T1075" s="212" t="s">
        <v>1104</v>
      </c>
      <c r="U1075" s="213" t="s">
        <v>1105</v>
      </c>
      <c r="V1075" s="847">
        <v>19</v>
      </c>
      <c r="W1075" s="415" t="s">
        <v>144</v>
      </c>
      <c r="X1075" s="212">
        <v>41</v>
      </c>
      <c r="Y1075" s="212" t="s">
        <v>144</v>
      </c>
      <c r="Z1075" s="212" t="s">
        <v>144</v>
      </c>
      <c r="AA1075" s="240" t="s">
        <v>4559</v>
      </c>
      <c r="AB1075" s="206" t="s">
        <v>140</v>
      </c>
      <c r="AC1075" s="847" t="s">
        <v>265</v>
      </c>
      <c r="AD1075" s="847" t="s">
        <v>144</v>
      </c>
      <c r="AE1075" s="847" t="s">
        <v>144</v>
      </c>
      <c r="AF1075" s="848" t="s">
        <v>144</v>
      </c>
      <c r="AG1075" s="838"/>
      <c r="AH1075" s="866" t="s">
        <v>7863</v>
      </c>
      <c r="AI1075" s="273" t="s">
        <v>7864</v>
      </c>
      <c r="AJ1075" s="847">
        <v>6</v>
      </c>
      <c r="AK1075" s="848" t="s">
        <v>7858</v>
      </c>
      <c r="AL1075" s="867"/>
      <c r="AM1075" s="273"/>
      <c r="AN1075" s="847"/>
      <c r="AO1075" s="848"/>
      <c r="AP1075" s="867" t="s">
        <v>1107</v>
      </c>
      <c r="AQ1075" s="273" t="s">
        <v>1108</v>
      </c>
      <c r="AR1075" s="847">
        <v>7</v>
      </c>
      <c r="AS1075" s="286" t="s">
        <v>1109</v>
      </c>
      <c r="AT1075" s="867"/>
      <c r="AU1075" s="273"/>
      <c r="AV1075" s="847"/>
      <c r="AW1075" s="848"/>
      <c r="AX1075" s="867"/>
      <c r="AY1075" s="273"/>
      <c r="AZ1075" s="847"/>
      <c r="BA1075" s="848"/>
      <c r="BB1075" s="866"/>
      <c r="BC1075" s="273"/>
      <c r="BD1075" s="847"/>
      <c r="BE1075" s="848"/>
      <c r="BF1075" s="838"/>
    </row>
    <row r="1076" spans="1:58" s="87" customFormat="1" ht="54" hidden="1" customHeight="1" x14ac:dyDescent="0.25">
      <c r="A1076" s="267" t="s">
        <v>7374</v>
      </c>
      <c r="B1076" s="268">
        <v>178</v>
      </c>
      <c r="C1076" s="240" t="s">
        <v>4027</v>
      </c>
      <c r="D1076" s="211" t="s">
        <v>4028</v>
      </c>
      <c r="E1076" s="268" t="s">
        <v>7977</v>
      </c>
      <c r="F1076" s="299" t="s">
        <v>4582</v>
      </c>
      <c r="G1076" s="269" t="s">
        <v>4583</v>
      </c>
      <c r="H1076" s="299" t="s">
        <v>4582</v>
      </c>
      <c r="I1076" s="269" t="s">
        <v>4583</v>
      </c>
      <c r="J1076" s="296" t="s">
        <v>140</v>
      </c>
      <c r="K1076" s="297" t="s">
        <v>140</v>
      </c>
      <c r="L1076" s="862" t="s">
        <v>7978</v>
      </c>
      <c r="M1076" s="206" t="s">
        <v>973</v>
      </c>
      <c r="N1076" s="211" t="s">
        <v>974</v>
      </c>
      <c r="O1076" s="240" t="s">
        <v>814</v>
      </c>
      <c r="P1076" s="240" t="s">
        <v>815</v>
      </c>
      <c r="Q1076" s="845" t="s">
        <v>144</v>
      </c>
      <c r="R1076" s="208" t="s">
        <v>144</v>
      </c>
      <c r="S1076" s="864" t="s">
        <v>147</v>
      </c>
      <c r="T1076" s="212" t="s">
        <v>144</v>
      </c>
      <c r="U1076" s="213" t="s">
        <v>144</v>
      </c>
      <c r="V1076" s="847">
        <v>3</v>
      </c>
      <c r="W1076" s="415" t="s">
        <v>144</v>
      </c>
      <c r="X1076" s="212">
        <v>41</v>
      </c>
      <c r="Y1076" s="212" t="s">
        <v>144</v>
      </c>
      <c r="Z1076" s="212" t="s">
        <v>144</v>
      </c>
      <c r="AA1076" s="240" t="s">
        <v>4559</v>
      </c>
      <c r="AB1076" s="206" t="s">
        <v>140</v>
      </c>
      <c r="AC1076" s="847" t="s">
        <v>265</v>
      </c>
      <c r="AD1076" s="847" t="s">
        <v>144</v>
      </c>
      <c r="AE1076" s="847" t="s">
        <v>144</v>
      </c>
      <c r="AF1076" s="848" t="s">
        <v>144</v>
      </c>
      <c r="AG1076" s="838"/>
      <c r="AH1076" s="866" t="s">
        <v>7979</v>
      </c>
      <c r="AI1076" s="273" t="s">
        <v>7980</v>
      </c>
      <c r="AJ1076" s="847">
        <v>7</v>
      </c>
      <c r="AK1076" s="848" t="s">
        <v>1280</v>
      </c>
      <c r="AL1076" s="867" t="s">
        <v>294</v>
      </c>
      <c r="AM1076" s="273" t="s">
        <v>295</v>
      </c>
      <c r="AN1076" s="847">
        <v>7</v>
      </c>
      <c r="AO1076" s="187" t="s">
        <v>966</v>
      </c>
      <c r="AP1076" s="867"/>
      <c r="AQ1076" s="273"/>
      <c r="AR1076" s="847"/>
      <c r="AS1076" s="848"/>
      <c r="AT1076" s="867"/>
      <c r="AU1076" s="273"/>
      <c r="AV1076" s="847"/>
      <c r="AW1076" s="848"/>
      <c r="AX1076" s="867"/>
      <c r="AY1076" s="273"/>
      <c r="AZ1076" s="847"/>
      <c r="BA1076" s="848"/>
      <c r="BB1076" s="866"/>
      <c r="BC1076" s="273"/>
      <c r="BD1076" s="847"/>
      <c r="BE1076" s="848"/>
      <c r="BF1076" s="838"/>
    </row>
    <row r="1077" spans="1:58" s="87" customFormat="1" ht="54" hidden="1" customHeight="1" x14ac:dyDescent="0.25">
      <c r="A1077" s="267" t="s">
        <v>7374</v>
      </c>
      <c r="B1077" s="268">
        <v>179</v>
      </c>
      <c r="C1077" s="240" t="s">
        <v>4027</v>
      </c>
      <c r="D1077" s="211" t="s">
        <v>4028</v>
      </c>
      <c r="E1077" s="268" t="s">
        <v>7981</v>
      </c>
      <c r="F1077" s="299" t="s">
        <v>4588</v>
      </c>
      <c r="G1077" s="269" t="s">
        <v>4589</v>
      </c>
      <c r="H1077" s="249" t="s">
        <v>4590</v>
      </c>
      <c r="I1077" s="135" t="s">
        <v>4591</v>
      </c>
      <c r="J1077" s="296" t="s">
        <v>140</v>
      </c>
      <c r="K1077" s="297" t="s">
        <v>140</v>
      </c>
      <c r="L1077" s="862" t="s">
        <v>7982</v>
      </c>
      <c r="M1077" s="206" t="s">
        <v>973</v>
      </c>
      <c r="N1077" s="211" t="s">
        <v>974</v>
      </c>
      <c r="O1077" s="240" t="s">
        <v>4593</v>
      </c>
      <c r="P1077" s="240" t="s">
        <v>4594</v>
      </c>
      <c r="Q1077" s="249" t="s">
        <v>4595</v>
      </c>
      <c r="R1077" s="336" t="s">
        <v>4596</v>
      </c>
      <c r="S1077" s="864" t="s">
        <v>147</v>
      </c>
      <c r="T1077" s="212" t="s">
        <v>144</v>
      </c>
      <c r="U1077" s="213" t="s">
        <v>144</v>
      </c>
      <c r="V1077" s="847">
        <v>1</v>
      </c>
      <c r="W1077" s="415" t="s">
        <v>144</v>
      </c>
      <c r="X1077" s="212">
        <v>41</v>
      </c>
      <c r="Y1077" s="212" t="s">
        <v>144</v>
      </c>
      <c r="Z1077" s="433" t="s">
        <v>29</v>
      </c>
      <c r="AA1077" s="407" t="s">
        <v>4317</v>
      </c>
      <c r="AB1077" s="206" t="s">
        <v>140</v>
      </c>
      <c r="AC1077" s="847" t="s">
        <v>265</v>
      </c>
      <c r="AD1077" s="847" t="s">
        <v>144</v>
      </c>
      <c r="AE1077" s="847" t="s">
        <v>144</v>
      </c>
      <c r="AF1077" s="848" t="s">
        <v>144</v>
      </c>
      <c r="AG1077" s="838"/>
      <c r="AH1077" s="885" t="s">
        <v>7983</v>
      </c>
      <c r="AI1077" s="406" t="s">
        <v>7984</v>
      </c>
      <c r="AJ1077" s="872">
        <v>6</v>
      </c>
      <c r="AK1077" s="871" t="s">
        <v>7985</v>
      </c>
      <c r="AL1077" s="867" t="s">
        <v>294</v>
      </c>
      <c r="AM1077" s="273" t="s">
        <v>295</v>
      </c>
      <c r="AN1077" s="847">
        <v>7</v>
      </c>
      <c r="AO1077" s="187" t="s">
        <v>966</v>
      </c>
      <c r="AP1077" s="867"/>
      <c r="AQ1077" s="273"/>
      <c r="AR1077" s="847"/>
      <c r="AS1077" s="848"/>
      <c r="AT1077" s="867"/>
      <c r="AU1077" s="273"/>
      <c r="AV1077" s="847"/>
      <c r="AW1077" s="848"/>
      <c r="AX1077" s="867"/>
      <c r="AY1077" s="273"/>
      <c r="AZ1077" s="847"/>
      <c r="BA1077" s="848"/>
      <c r="BB1077" s="866"/>
      <c r="BC1077" s="273"/>
      <c r="BD1077" s="847"/>
      <c r="BE1077" s="848"/>
      <c r="BF1077" s="838"/>
    </row>
    <row r="1078" spans="1:58" s="87" customFormat="1" ht="54" hidden="1" customHeight="1" x14ac:dyDescent="0.25">
      <c r="A1078" s="267" t="s">
        <v>7374</v>
      </c>
      <c r="B1078" s="268">
        <v>180</v>
      </c>
      <c r="C1078" s="240" t="s">
        <v>4027</v>
      </c>
      <c r="D1078" s="211" t="s">
        <v>4028</v>
      </c>
      <c r="E1078" s="268" t="s">
        <v>7986</v>
      </c>
      <c r="F1078" s="299" t="s">
        <v>4601</v>
      </c>
      <c r="G1078" s="269" t="s">
        <v>4602</v>
      </c>
      <c r="H1078" s="887" t="s">
        <v>4603</v>
      </c>
      <c r="I1078" s="430" t="s">
        <v>4604</v>
      </c>
      <c r="J1078" s="296" t="s">
        <v>140</v>
      </c>
      <c r="K1078" s="297" t="s">
        <v>140</v>
      </c>
      <c r="L1078" s="862" t="s">
        <v>4605</v>
      </c>
      <c r="M1078" s="847" t="s">
        <v>1821</v>
      </c>
      <c r="N1078" s="211" t="s">
        <v>1822</v>
      </c>
      <c r="O1078" s="240" t="s">
        <v>144</v>
      </c>
      <c r="P1078" s="240" t="s">
        <v>144</v>
      </c>
      <c r="Q1078" s="429" t="s">
        <v>4606</v>
      </c>
      <c r="R1078" s="428" t="s">
        <v>4607</v>
      </c>
      <c r="S1078" s="181" t="s">
        <v>233</v>
      </c>
      <c r="T1078" s="212" t="s">
        <v>234</v>
      </c>
      <c r="U1078" s="213" t="s">
        <v>235</v>
      </c>
      <c r="V1078" s="847">
        <v>8</v>
      </c>
      <c r="W1078" s="415" t="s">
        <v>144</v>
      </c>
      <c r="X1078" s="212">
        <v>41</v>
      </c>
      <c r="Y1078" s="212" t="s">
        <v>144</v>
      </c>
      <c r="Z1078" s="252" t="s">
        <v>25</v>
      </c>
      <c r="AA1078" s="240" t="s">
        <v>2588</v>
      </c>
      <c r="AB1078" s="206" t="s">
        <v>140</v>
      </c>
      <c r="AC1078" s="847" t="s">
        <v>265</v>
      </c>
      <c r="AD1078" s="847" t="s">
        <v>144</v>
      </c>
      <c r="AE1078" s="847" t="s">
        <v>144</v>
      </c>
      <c r="AF1078" s="848" t="s">
        <v>144</v>
      </c>
      <c r="AG1078" s="838"/>
      <c r="AH1078" s="866"/>
      <c r="AI1078" s="273"/>
      <c r="AJ1078" s="847"/>
      <c r="AK1078" s="848"/>
      <c r="AL1078" s="867"/>
      <c r="AM1078" s="273"/>
      <c r="AN1078" s="847"/>
      <c r="AO1078" s="848"/>
      <c r="AP1078" s="867" t="s">
        <v>1160</v>
      </c>
      <c r="AQ1078" s="273" t="s">
        <v>1161</v>
      </c>
      <c r="AR1078" s="847">
        <v>7</v>
      </c>
      <c r="AS1078" s="848" t="s">
        <v>1162</v>
      </c>
      <c r="AT1078" s="425" t="s">
        <v>4608</v>
      </c>
      <c r="AU1078" s="426" t="s">
        <v>4609</v>
      </c>
      <c r="AV1078" s="427">
        <v>6</v>
      </c>
      <c r="AW1078" s="878" t="s">
        <v>7987</v>
      </c>
      <c r="AX1078" s="867"/>
      <c r="AY1078" s="273"/>
      <c r="AZ1078" s="847"/>
      <c r="BA1078" s="848"/>
      <c r="BB1078" s="866"/>
      <c r="BC1078" s="273"/>
      <c r="BD1078" s="847"/>
      <c r="BE1078" s="848"/>
      <c r="BF1078" s="838"/>
    </row>
    <row r="1079" spans="1:58" s="87" customFormat="1" ht="54" hidden="1" customHeight="1" x14ac:dyDescent="0.25">
      <c r="A1079" s="267" t="s">
        <v>7374</v>
      </c>
      <c r="B1079" s="268">
        <v>181</v>
      </c>
      <c r="C1079" s="240" t="s">
        <v>4027</v>
      </c>
      <c r="D1079" s="211" t="s">
        <v>4028</v>
      </c>
      <c r="E1079" s="268" t="s">
        <v>7988</v>
      </c>
      <c r="F1079" s="249" t="s">
        <v>4612</v>
      </c>
      <c r="G1079" s="135" t="s">
        <v>4613</v>
      </c>
      <c r="H1079" s="249" t="s">
        <v>4614</v>
      </c>
      <c r="I1079" s="135" t="s">
        <v>4615</v>
      </c>
      <c r="J1079" s="296" t="s">
        <v>140</v>
      </c>
      <c r="K1079" s="297" t="s">
        <v>140</v>
      </c>
      <c r="L1079" s="862" t="s">
        <v>7989</v>
      </c>
      <c r="M1079" s="206" t="s">
        <v>973</v>
      </c>
      <c r="N1079" s="211" t="s">
        <v>974</v>
      </c>
      <c r="O1079" s="240" t="s">
        <v>4617</v>
      </c>
      <c r="P1079" s="240" t="s">
        <v>4618</v>
      </c>
      <c r="Q1079" s="845" t="s">
        <v>4619</v>
      </c>
      <c r="R1079" s="208" t="s">
        <v>7990</v>
      </c>
      <c r="S1079" s="864" t="s">
        <v>147</v>
      </c>
      <c r="T1079" s="212" t="s">
        <v>144</v>
      </c>
      <c r="U1079" s="213" t="s">
        <v>144</v>
      </c>
      <c r="V1079" s="847">
        <v>2</v>
      </c>
      <c r="W1079" s="415" t="s">
        <v>144</v>
      </c>
      <c r="X1079" s="212">
        <v>41</v>
      </c>
      <c r="Y1079" s="212" t="s">
        <v>144</v>
      </c>
      <c r="Z1079" s="252" t="s">
        <v>144</v>
      </c>
      <c r="AA1079" s="240" t="s">
        <v>4621</v>
      </c>
      <c r="AB1079" s="206" t="s">
        <v>140</v>
      </c>
      <c r="AC1079" s="847" t="s">
        <v>265</v>
      </c>
      <c r="AD1079" s="847" t="s">
        <v>144</v>
      </c>
      <c r="AE1079" s="847" t="s">
        <v>144</v>
      </c>
      <c r="AF1079" s="848" t="s">
        <v>144</v>
      </c>
      <c r="AG1079" s="838"/>
      <c r="AH1079" s="866" t="s">
        <v>7963</v>
      </c>
      <c r="AI1079" s="273" t="s">
        <v>7964</v>
      </c>
      <c r="AJ1079" s="847">
        <v>6</v>
      </c>
      <c r="AK1079" s="848" t="s">
        <v>7965</v>
      </c>
      <c r="AL1079" s="867" t="s">
        <v>294</v>
      </c>
      <c r="AM1079" s="273" t="s">
        <v>295</v>
      </c>
      <c r="AN1079" s="847">
        <v>7</v>
      </c>
      <c r="AO1079" s="187" t="s">
        <v>966</v>
      </c>
      <c r="AP1079" s="867"/>
      <c r="AQ1079" s="273"/>
      <c r="AR1079" s="847"/>
      <c r="AS1079" s="848"/>
      <c r="AT1079" s="867"/>
      <c r="AU1079" s="273"/>
      <c r="AV1079" s="847"/>
      <c r="AW1079" s="848"/>
      <c r="AX1079" s="867"/>
      <c r="AY1079" s="273"/>
      <c r="AZ1079" s="847"/>
      <c r="BA1079" s="848"/>
      <c r="BB1079" s="866"/>
      <c r="BC1079" s="273"/>
      <c r="BD1079" s="847"/>
      <c r="BE1079" s="848"/>
      <c r="BF1079" s="838"/>
    </row>
    <row r="1080" spans="1:58" s="87" customFormat="1" ht="54" hidden="1" customHeight="1" x14ac:dyDescent="0.25">
      <c r="A1080" s="267" t="s">
        <v>7374</v>
      </c>
      <c r="B1080" s="268">
        <v>182</v>
      </c>
      <c r="C1080" s="240" t="s">
        <v>2170</v>
      </c>
      <c r="D1080" s="211" t="s">
        <v>2171</v>
      </c>
      <c r="E1080" s="268" t="s">
        <v>7991</v>
      </c>
      <c r="F1080" s="299" t="s">
        <v>4623</v>
      </c>
      <c r="G1080" s="269" t="s">
        <v>4624</v>
      </c>
      <c r="H1080" s="335" t="s">
        <v>4625</v>
      </c>
      <c r="I1080" s="135" t="s">
        <v>4626</v>
      </c>
      <c r="J1080" s="296" t="s">
        <v>140</v>
      </c>
      <c r="K1080" s="297" t="s">
        <v>140</v>
      </c>
      <c r="L1080" s="862" t="s">
        <v>4627</v>
      </c>
      <c r="M1080" s="206" t="s">
        <v>973</v>
      </c>
      <c r="N1080" s="211" t="s">
        <v>974</v>
      </c>
      <c r="O1080" s="240" t="s">
        <v>144</v>
      </c>
      <c r="P1080" s="240" t="s">
        <v>144</v>
      </c>
      <c r="Q1080" s="845" t="s">
        <v>4619</v>
      </c>
      <c r="R1080" s="208" t="s">
        <v>7990</v>
      </c>
      <c r="S1080" s="864" t="s">
        <v>746</v>
      </c>
      <c r="T1080" s="212" t="s">
        <v>1307</v>
      </c>
      <c r="U1080" s="213" t="s">
        <v>1308</v>
      </c>
      <c r="V1080" s="847">
        <v>10</v>
      </c>
      <c r="W1080" s="415" t="s">
        <v>144</v>
      </c>
      <c r="X1080" s="212">
        <v>41</v>
      </c>
      <c r="Y1080" s="212" t="s">
        <v>144</v>
      </c>
      <c r="Z1080" s="252" t="s">
        <v>144</v>
      </c>
      <c r="AA1080" s="240" t="s">
        <v>4543</v>
      </c>
      <c r="AB1080" s="206" t="s">
        <v>140</v>
      </c>
      <c r="AC1080" s="847" t="s">
        <v>265</v>
      </c>
      <c r="AD1080" s="847" t="s">
        <v>144</v>
      </c>
      <c r="AE1080" s="847" t="s">
        <v>144</v>
      </c>
      <c r="AF1080" s="848" t="s">
        <v>144</v>
      </c>
      <c r="AG1080" s="838"/>
      <c r="AH1080" s="866" t="s">
        <v>7963</v>
      </c>
      <c r="AI1080" s="273" t="s">
        <v>7964</v>
      </c>
      <c r="AJ1080" s="847">
        <v>5</v>
      </c>
      <c r="AK1080" s="848" t="s">
        <v>7965</v>
      </c>
      <c r="AL1080" s="867"/>
      <c r="AM1080" s="273"/>
      <c r="AN1080" s="847"/>
      <c r="AO1080" s="848"/>
      <c r="AP1080" s="867" t="s">
        <v>1107</v>
      </c>
      <c r="AQ1080" s="273" t="s">
        <v>1108</v>
      </c>
      <c r="AR1080" s="847">
        <v>7</v>
      </c>
      <c r="AS1080" s="286" t="s">
        <v>1109</v>
      </c>
      <c r="AT1080" s="867"/>
      <c r="AU1080" s="273"/>
      <c r="AV1080" s="847"/>
      <c r="AW1080" s="848"/>
      <c r="AX1080" s="867"/>
      <c r="AY1080" s="273"/>
      <c r="AZ1080" s="847"/>
      <c r="BA1080" s="848"/>
      <c r="BB1080" s="866"/>
      <c r="BC1080" s="273"/>
      <c r="BD1080" s="847"/>
      <c r="BE1080" s="848"/>
      <c r="BF1080" s="838"/>
    </row>
    <row r="1081" spans="1:58" s="87" customFormat="1" ht="54" hidden="1" customHeight="1" x14ac:dyDescent="0.25">
      <c r="A1081" s="267" t="s">
        <v>7374</v>
      </c>
      <c r="B1081" s="268">
        <v>183</v>
      </c>
      <c r="C1081" s="240" t="s">
        <v>4027</v>
      </c>
      <c r="D1081" s="211" t="s">
        <v>4028</v>
      </c>
      <c r="E1081" s="298" t="s">
        <v>7992</v>
      </c>
      <c r="F1081" s="861" t="s">
        <v>4629</v>
      </c>
      <c r="G1081" s="269" t="s">
        <v>4630</v>
      </c>
      <c r="H1081" s="845" t="s">
        <v>4631</v>
      </c>
      <c r="I1081" s="269" t="s">
        <v>7993</v>
      </c>
      <c r="J1081" s="296" t="s">
        <v>140</v>
      </c>
      <c r="K1081" s="297" t="s">
        <v>140</v>
      </c>
      <c r="L1081" s="862" t="s">
        <v>4633</v>
      </c>
      <c r="M1081" s="206" t="s">
        <v>973</v>
      </c>
      <c r="N1081" s="211" t="s">
        <v>974</v>
      </c>
      <c r="O1081" s="240" t="s">
        <v>4634</v>
      </c>
      <c r="P1081" s="240" t="s">
        <v>4635</v>
      </c>
      <c r="Q1081" s="845" t="s">
        <v>144</v>
      </c>
      <c r="R1081" s="208" t="s">
        <v>144</v>
      </c>
      <c r="S1081" s="864" t="s">
        <v>147</v>
      </c>
      <c r="T1081" s="212" t="s">
        <v>144</v>
      </c>
      <c r="U1081" s="213" t="s">
        <v>144</v>
      </c>
      <c r="V1081" s="847">
        <v>2</v>
      </c>
      <c r="W1081" s="415" t="s">
        <v>144</v>
      </c>
      <c r="X1081" s="212">
        <v>42</v>
      </c>
      <c r="Y1081" s="212" t="s">
        <v>144</v>
      </c>
      <c r="Z1081" s="214" t="s">
        <v>144</v>
      </c>
      <c r="AA1081" s="240" t="s">
        <v>5336</v>
      </c>
      <c r="AB1081" s="206" t="s">
        <v>140</v>
      </c>
      <c r="AC1081" s="847" t="s">
        <v>265</v>
      </c>
      <c r="AD1081" s="847" t="s">
        <v>144</v>
      </c>
      <c r="AE1081" s="847" t="s">
        <v>144</v>
      </c>
      <c r="AF1081" s="848" t="s">
        <v>144</v>
      </c>
      <c r="AG1081" s="838"/>
      <c r="AH1081" s="866" t="s">
        <v>7994</v>
      </c>
      <c r="AI1081" s="273" t="s">
        <v>7995</v>
      </c>
      <c r="AJ1081" s="847">
        <v>6</v>
      </c>
      <c r="AK1081" s="848" t="s">
        <v>7996</v>
      </c>
      <c r="AL1081" s="867" t="s">
        <v>294</v>
      </c>
      <c r="AM1081" s="273" t="s">
        <v>295</v>
      </c>
      <c r="AN1081" s="847">
        <v>7</v>
      </c>
      <c r="AO1081" s="187" t="s">
        <v>966</v>
      </c>
      <c r="AP1081" s="867"/>
      <c r="AQ1081" s="273"/>
      <c r="AR1081" s="847"/>
      <c r="AS1081" s="848"/>
      <c r="AT1081" s="867"/>
      <c r="AU1081" s="273"/>
      <c r="AV1081" s="847"/>
      <c r="AW1081" s="848"/>
      <c r="AX1081" s="867"/>
      <c r="AY1081" s="273"/>
      <c r="AZ1081" s="847"/>
      <c r="BA1081" s="848"/>
      <c r="BB1081" s="866"/>
      <c r="BC1081" s="273"/>
      <c r="BD1081" s="847"/>
      <c r="BE1081" s="848"/>
      <c r="BF1081" s="838"/>
    </row>
    <row r="1082" spans="1:58" s="87" customFormat="1" ht="54" hidden="1" customHeight="1" x14ac:dyDescent="0.25">
      <c r="A1082" s="267" t="s">
        <v>7374</v>
      </c>
      <c r="B1082" s="268">
        <v>184</v>
      </c>
      <c r="C1082" s="240" t="s">
        <v>4027</v>
      </c>
      <c r="D1082" s="211" t="s">
        <v>4028</v>
      </c>
      <c r="E1082" s="298" t="s">
        <v>7997</v>
      </c>
      <c r="F1082" s="861" t="s">
        <v>4642</v>
      </c>
      <c r="G1082" s="269" t="s">
        <v>4643</v>
      </c>
      <c r="H1082" s="845" t="s">
        <v>4642</v>
      </c>
      <c r="I1082" s="269" t="s">
        <v>4643</v>
      </c>
      <c r="J1082" s="296" t="s">
        <v>140</v>
      </c>
      <c r="K1082" s="297" t="s">
        <v>140</v>
      </c>
      <c r="L1082" s="862" t="s">
        <v>4644</v>
      </c>
      <c r="M1082" s="206" t="s">
        <v>973</v>
      </c>
      <c r="N1082" s="211" t="s">
        <v>974</v>
      </c>
      <c r="O1082" s="240" t="s">
        <v>144</v>
      </c>
      <c r="P1082" s="240" t="s">
        <v>144</v>
      </c>
      <c r="Q1082" s="845" t="s">
        <v>144</v>
      </c>
      <c r="R1082" s="208" t="s">
        <v>144</v>
      </c>
      <c r="S1082" s="181" t="s">
        <v>233</v>
      </c>
      <c r="T1082" s="212" t="s">
        <v>234</v>
      </c>
      <c r="U1082" s="213" t="s">
        <v>235</v>
      </c>
      <c r="V1082" s="847">
        <v>8</v>
      </c>
      <c r="W1082" s="415" t="s">
        <v>144</v>
      </c>
      <c r="X1082" s="212">
        <v>42</v>
      </c>
      <c r="Y1082" s="212" t="s">
        <v>144</v>
      </c>
      <c r="Z1082" s="252" t="s">
        <v>144</v>
      </c>
      <c r="AA1082" s="240" t="s">
        <v>7998</v>
      </c>
      <c r="AB1082" s="206" t="s">
        <v>140</v>
      </c>
      <c r="AC1082" s="847" t="s">
        <v>265</v>
      </c>
      <c r="AD1082" s="847" t="s">
        <v>144</v>
      </c>
      <c r="AE1082" s="847" t="s">
        <v>144</v>
      </c>
      <c r="AF1082" s="848" t="s">
        <v>144</v>
      </c>
      <c r="AG1082" s="838"/>
      <c r="AH1082" s="866" t="s">
        <v>7994</v>
      </c>
      <c r="AI1082" s="273" t="s">
        <v>7995</v>
      </c>
      <c r="AJ1082" s="847">
        <v>6</v>
      </c>
      <c r="AK1082" s="848" t="s">
        <v>7996</v>
      </c>
      <c r="AL1082" s="867"/>
      <c r="AM1082" s="273"/>
      <c r="AN1082" s="847"/>
      <c r="AO1082" s="848"/>
      <c r="AP1082" s="867" t="s">
        <v>1160</v>
      </c>
      <c r="AQ1082" s="273" t="s">
        <v>1161</v>
      </c>
      <c r="AR1082" s="847">
        <v>7</v>
      </c>
      <c r="AS1082" s="848" t="s">
        <v>1162</v>
      </c>
      <c r="AT1082" s="867" t="s">
        <v>1163</v>
      </c>
      <c r="AU1082" s="273" t="s">
        <v>1164</v>
      </c>
      <c r="AV1082" s="847">
        <v>6</v>
      </c>
      <c r="AW1082" s="848" t="s">
        <v>1165</v>
      </c>
      <c r="AX1082" s="867"/>
      <c r="AY1082" s="273"/>
      <c r="AZ1082" s="847"/>
      <c r="BA1082" s="848"/>
      <c r="BB1082" s="866"/>
      <c r="BC1082" s="273"/>
      <c r="BD1082" s="847"/>
      <c r="BE1082" s="848"/>
      <c r="BF1082" s="838"/>
    </row>
    <row r="1083" spans="1:58" s="87" customFormat="1" ht="54" hidden="1" customHeight="1" x14ac:dyDescent="0.25">
      <c r="A1083" s="267" t="s">
        <v>7374</v>
      </c>
      <c r="B1083" s="268">
        <v>185</v>
      </c>
      <c r="C1083" s="240" t="s">
        <v>4027</v>
      </c>
      <c r="D1083" s="211" t="s">
        <v>4028</v>
      </c>
      <c r="E1083" s="298" t="s">
        <v>7999</v>
      </c>
      <c r="F1083" s="861" t="s">
        <v>4651</v>
      </c>
      <c r="G1083" s="269" t="s">
        <v>4652</v>
      </c>
      <c r="H1083" s="845" t="s">
        <v>4653</v>
      </c>
      <c r="I1083" s="269" t="s">
        <v>8000</v>
      </c>
      <c r="J1083" s="296" t="s">
        <v>140</v>
      </c>
      <c r="K1083" s="297" t="s">
        <v>140</v>
      </c>
      <c r="L1083" s="862" t="s">
        <v>4655</v>
      </c>
      <c r="M1083" s="444" t="s">
        <v>973</v>
      </c>
      <c r="N1083" s="443" t="s">
        <v>974</v>
      </c>
      <c r="O1083" s="240" t="s">
        <v>4656</v>
      </c>
      <c r="P1083" s="240" t="s">
        <v>4657</v>
      </c>
      <c r="Q1083" s="845" t="s">
        <v>144</v>
      </c>
      <c r="R1083" s="208" t="s">
        <v>144</v>
      </c>
      <c r="S1083" s="268" t="s">
        <v>147</v>
      </c>
      <c r="T1083" s="212" t="s">
        <v>144</v>
      </c>
      <c r="U1083" s="213" t="s">
        <v>144</v>
      </c>
      <c r="V1083" s="847">
        <v>2</v>
      </c>
      <c r="W1083" s="415" t="s">
        <v>144</v>
      </c>
      <c r="X1083" s="212">
        <v>42</v>
      </c>
      <c r="Y1083" s="212" t="s">
        <v>144</v>
      </c>
      <c r="Z1083" s="212" t="s">
        <v>25</v>
      </c>
      <c r="AA1083" s="240" t="s">
        <v>4658</v>
      </c>
      <c r="AB1083" s="206" t="s">
        <v>140</v>
      </c>
      <c r="AC1083" s="847" t="s">
        <v>265</v>
      </c>
      <c r="AD1083" s="847" t="s">
        <v>4659</v>
      </c>
      <c r="AE1083" s="847" t="s">
        <v>144</v>
      </c>
      <c r="AF1083" s="848" t="s">
        <v>144</v>
      </c>
      <c r="AG1083" s="838"/>
      <c r="AH1083" s="885" t="s">
        <v>8001</v>
      </c>
      <c r="AI1083" s="406" t="s">
        <v>8002</v>
      </c>
      <c r="AJ1083" s="872">
        <v>6</v>
      </c>
      <c r="AK1083" s="878" t="s">
        <v>8003</v>
      </c>
      <c r="AL1083" s="867" t="s">
        <v>294</v>
      </c>
      <c r="AM1083" s="273" t="s">
        <v>295</v>
      </c>
      <c r="AN1083" s="847">
        <v>7</v>
      </c>
      <c r="AO1083" s="187" t="s">
        <v>966</v>
      </c>
      <c r="AP1083" s="867"/>
      <c r="AQ1083" s="273"/>
      <c r="AR1083" s="847"/>
      <c r="AS1083" s="848"/>
      <c r="AT1083" s="867"/>
      <c r="AU1083" s="273"/>
      <c r="AV1083" s="847"/>
      <c r="AW1083" s="848"/>
      <c r="AX1083" s="867"/>
      <c r="AY1083" s="273"/>
      <c r="AZ1083" s="847"/>
      <c r="BA1083" s="848"/>
      <c r="BB1083" s="866"/>
      <c r="BC1083" s="273"/>
      <c r="BD1083" s="847"/>
      <c r="BE1083" s="848"/>
      <c r="BF1083" s="838"/>
    </row>
    <row r="1084" spans="1:58" s="55" customFormat="1" ht="54" hidden="1" customHeight="1" x14ac:dyDescent="0.25">
      <c r="A1084" s="275" t="s">
        <v>7374</v>
      </c>
      <c r="B1084" s="276">
        <v>186</v>
      </c>
      <c r="C1084" s="253" t="s">
        <v>4027</v>
      </c>
      <c r="D1084" s="217" t="s">
        <v>4028</v>
      </c>
      <c r="E1084" s="282" t="s">
        <v>8004</v>
      </c>
      <c r="F1084" s="277" t="s">
        <v>4675</v>
      </c>
      <c r="G1084" s="277" t="s">
        <v>4676</v>
      </c>
      <c r="H1084" s="218" t="s">
        <v>4675</v>
      </c>
      <c r="I1084" s="277" t="s">
        <v>4676</v>
      </c>
      <c r="J1084" s="302" t="s">
        <v>144</v>
      </c>
      <c r="K1084" s="302" t="s">
        <v>144</v>
      </c>
      <c r="L1084" s="718" t="s">
        <v>4678</v>
      </c>
      <c r="M1084" s="253" t="s">
        <v>144</v>
      </c>
      <c r="N1084" s="302" t="s">
        <v>144</v>
      </c>
      <c r="O1084" s="253" t="s">
        <v>144</v>
      </c>
      <c r="P1084" s="253" t="s">
        <v>144</v>
      </c>
      <c r="Q1084" s="218" t="s">
        <v>144</v>
      </c>
      <c r="R1084" s="218" t="s">
        <v>144</v>
      </c>
      <c r="S1084" s="276" t="s">
        <v>147</v>
      </c>
      <c r="T1084" s="221" t="s">
        <v>144</v>
      </c>
      <c r="U1084" s="221" t="s">
        <v>144</v>
      </c>
      <c r="V1084" s="253">
        <v>5</v>
      </c>
      <c r="W1084" s="217" t="s">
        <v>144</v>
      </c>
      <c r="X1084" s="221">
        <v>42</v>
      </c>
      <c r="Y1084" s="221">
        <v>42</v>
      </c>
      <c r="Z1084" s="221" t="s">
        <v>144</v>
      </c>
      <c r="AA1084" s="253" t="s">
        <v>1440</v>
      </c>
      <c r="AB1084" s="217" t="s">
        <v>144</v>
      </c>
      <c r="AC1084" s="253" t="s">
        <v>265</v>
      </c>
      <c r="AD1084" s="253" t="s">
        <v>144</v>
      </c>
      <c r="AE1084" s="253" t="s">
        <v>144</v>
      </c>
      <c r="AF1084" s="254" t="s">
        <v>144</v>
      </c>
      <c r="AG1084" s="838"/>
      <c r="AH1084" s="280"/>
      <c r="AI1084" s="281"/>
      <c r="AJ1084" s="253"/>
      <c r="AK1084" s="254"/>
      <c r="AL1084" s="281"/>
      <c r="AM1084" s="281"/>
      <c r="AN1084" s="253"/>
      <c r="AO1084" s="254"/>
      <c r="AP1084" s="281"/>
      <c r="AQ1084" s="281"/>
      <c r="AR1084" s="253"/>
      <c r="AS1084" s="254"/>
      <c r="AT1084" s="281"/>
      <c r="AU1084" s="281"/>
      <c r="AV1084" s="253"/>
      <c r="AW1084" s="254"/>
      <c r="AX1084" s="281"/>
      <c r="AY1084" s="281"/>
      <c r="AZ1084" s="253"/>
      <c r="BA1084" s="254"/>
      <c r="BB1084" s="280"/>
      <c r="BC1084" s="281"/>
      <c r="BD1084" s="253"/>
      <c r="BE1084" s="254"/>
      <c r="BF1084" s="838"/>
    </row>
    <row r="1085" spans="1:58" s="87" customFormat="1" ht="54" hidden="1" customHeight="1" x14ac:dyDescent="0.25">
      <c r="A1085" s="267" t="s">
        <v>7374</v>
      </c>
      <c r="B1085" s="268">
        <v>187</v>
      </c>
      <c r="C1085" s="240" t="s">
        <v>4027</v>
      </c>
      <c r="D1085" s="211" t="s">
        <v>4028</v>
      </c>
      <c r="E1085" s="298" t="s">
        <v>8005</v>
      </c>
      <c r="F1085" s="886" t="s">
        <v>4680</v>
      </c>
      <c r="G1085" s="430" t="s">
        <v>4681</v>
      </c>
      <c r="H1085" s="887" t="s">
        <v>4682</v>
      </c>
      <c r="I1085" s="430" t="s">
        <v>4683</v>
      </c>
      <c r="J1085" s="296" t="s">
        <v>140</v>
      </c>
      <c r="K1085" s="297" t="s">
        <v>140</v>
      </c>
      <c r="L1085" s="862" t="s">
        <v>4684</v>
      </c>
      <c r="M1085" s="206" t="s">
        <v>193</v>
      </c>
      <c r="N1085" s="211" t="s">
        <v>194</v>
      </c>
      <c r="O1085" s="240" t="s">
        <v>4685</v>
      </c>
      <c r="P1085" s="240" t="s">
        <v>4686</v>
      </c>
      <c r="Q1085" s="845" t="s">
        <v>144</v>
      </c>
      <c r="R1085" s="208" t="s">
        <v>144</v>
      </c>
      <c r="S1085" s="864" t="s">
        <v>147</v>
      </c>
      <c r="T1085" s="212" t="s">
        <v>144</v>
      </c>
      <c r="U1085" s="213" t="s">
        <v>144</v>
      </c>
      <c r="V1085" s="240">
        <v>3</v>
      </c>
      <c r="W1085" s="206" t="s">
        <v>144</v>
      </c>
      <c r="X1085" s="212">
        <v>42</v>
      </c>
      <c r="Y1085" s="212" t="s">
        <v>144</v>
      </c>
      <c r="Z1085" s="241" t="s">
        <v>25</v>
      </c>
      <c r="AA1085" s="240" t="s">
        <v>398</v>
      </c>
      <c r="AB1085" s="206" t="s">
        <v>140</v>
      </c>
      <c r="AC1085" s="847" t="s">
        <v>265</v>
      </c>
      <c r="AD1085" s="847" t="s">
        <v>144</v>
      </c>
      <c r="AE1085" s="847" t="s">
        <v>144</v>
      </c>
      <c r="AF1085" s="848" t="s">
        <v>144</v>
      </c>
      <c r="AG1085" s="838"/>
      <c r="AH1085" s="340"/>
      <c r="AI1085" s="273"/>
      <c r="AJ1085" s="341"/>
      <c r="AK1085" s="848"/>
      <c r="AL1085" s="875" t="s">
        <v>294</v>
      </c>
      <c r="AM1085" s="301" t="s">
        <v>295</v>
      </c>
      <c r="AN1085" s="847">
        <v>7</v>
      </c>
      <c r="AO1085" s="187" t="s">
        <v>966</v>
      </c>
      <c r="AP1085" s="867"/>
      <c r="AQ1085" s="273"/>
      <c r="AR1085" s="847"/>
      <c r="AS1085" s="848"/>
      <c r="AT1085" s="867"/>
      <c r="AU1085" s="273"/>
      <c r="AV1085" s="847"/>
      <c r="AW1085" s="848"/>
      <c r="AX1085" s="867"/>
      <c r="AY1085" s="273"/>
      <c r="AZ1085" s="847"/>
      <c r="BA1085" s="848"/>
      <c r="BB1085" s="866"/>
      <c r="BC1085" s="273"/>
      <c r="BD1085" s="847"/>
      <c r="BE1085" s="848"/>
      <c r="BF1085" s="838"/>
    </row>
    <row r="1086" spans="1:58" s="87" customFormat="1" ht="54" hidden="1" customHeight="1" x14ac:dyDescent="0.25">
      <c r="A1086" s="267" t="s">
        <v>7374</v>
      </c>
      <c r="B1086" s="268">
        <v>188</v>
      </c>
      <c r="C1086" s="240" t="s">
        <v>4027</v>
      </c>
      <c r="D1086" s="211" t="s">
        <v>4028</v>
      </c>
      <c r="E1086" s="298" t="s">
        <v>8006</v>
      </c>
      <c r="F1086" s="861" t="s">
        <v>4690</v>
      </c>
      <c r="G1086" s="269" t="s">
        <v>4690</v>
      </c>
      <c r="H1086" s="845" t="s">
        <v>8007</v>
      </c>
      <c r="I1086" s="269" t="s">
        <v>8008</v>
      </c>
      <c r="J1086" s="296" t="s">
        <v>140</v>
      </c>
      <c r="K1086" s="297" t="s">
        <v>140</v>
      </c>
      <c r="L1086" s="862" t="s">
        <v>4693</v>
      </c>
      <c r="M1086" s="206" t="s">
        <v>973</v>
      </c>
      <c r="N1086" s="211" t="s">
        <v>974</v>
      </c>
      <c r="O1086" s="240" t="s">
        <v>4694</v>
      </c>
      <c r="P1086" s="240" t="s">
        <v>4695</v>
      </c>
      <c r="Q1086" s="846" t="s">
        <v>4696</v>
      </c>
      <c r="R1086" s="342" t="s">
        <v>4697</v>
      </c>
      <c r="S1086" s="864" t="s">
        <v>147</v>
      </c>
      <c r="T1086" s="212" t="s">
        <v>144</v>
      </c>
      <c r="U1086" s="213" t="s">
        <v>144</v>
      </c>
      <c r="V1086" s="847">
        <v>2</v>
      </c>
      <c r="W1086" s="415" t="s">
        <v>144</v>
      </c>
      <c r="X1086" s="212">
        <v>42</v>
      </c>
      <c r="Y1086" s="212" t="s">
        <v>144</v>
      </c>
      <c r="Z1086" s="433" t="s">
        <v>25</v>
      </c>
      <c r="AA1086" s="407" t="s">
        <v>4698</v>
      </c>
      <c r="AB1086" s="206" t="s">
        <v>140</v>
      </c>
      <c r="AC1086" s="847" t="s">
        <v>265</v>
      </c>
      <c r="AD1086" s="847" t="s">
        <v>144</v>
      </c>
      <c r="AE1086" s="847" t="s">
        <v>144</v>
      </c>
      <c r="AF1086" s="848" t="s">
        <v>144</v>
      </c>
      <c r="AG1086" s="838"/>
      <c r="AH1086" s="866" t="s">
        <v>8009</v>
      </c>
      <c r="AI1086" s="273" t="s">
        <v>8010</v>
      </c>
      <c r="AJ1086" s="847">
        <v>6</v>
      </c>
      <c r="AK1086" s="848" t="s">
        <v>8011</v>
      </c>
      <c r="AL1086" s="867" t="s">
        <v>294</v>
      </c>
      <c r="AM1086" s="273" t="s">
        <v>295</v>
      </c>
      <c r="AN1086" s="847">
        <v>7</v>
      </c>
      <c r="AO1086" s="187" t="s">
        <v>966</v>
      </c>
      <c r="AP1086" s="867"/>
      <c r="AQ1086" s="273"/>
      <c r="AR1086" s="847"/>
      <c r="AS1086" s="848"/>
      <c r="AT1086" s="867"/>
      <c r="AU1086" s="273"/>
      <c r="AV1086" s="847"/>
      <c r="AW1086" s="848"/>
      <c r="AX1086" s="867"/>
      <c r="AY1086" s="273"/>
      <c r="AZ1086" s="847"/>
      <c r="BA1086" s="848"/>
      <c r="BB1086" s="866"/>
      <c r="BC1086" s="273"/>
      <c r="BD1086" s="847"/>
      <c r="BE1086" s="848"/>
      <c r="BF1086" s="838"/>
    </row>
    <row r="1087" spans="1:58" s="91" customFormat="1" ht="54" hidden="1" customHeight="1" x14ac:dyDescent="0.25">
      <c r="A1087" s="267" t="s">
        <v>7374</v>
      </c>
      <c r="B1087" s="268">
        <v>189</v>
      </c>
      <c r="C1087" s="240" t="s">
        <v>4027</v>
      </c>
      <c r="D1087" s="211" t="s">
        <v>4028</v>
      </c>
      <c r="E1087" s="298" t="s">
        <v>8012</v>
      </c>
      <c r="F1087" s="896" t="s">
        <v>4703</v>
      </c>
      <c r="G1087" s="269" t="s">
        <v>4704</v>
      </c>
      <c r="H1087" s="896" t="s">
        <v>4703</v>
      </c>
      <c r="I1087" s="269" t="s">
        <v>4704</v>
      </c>
      <c r="J1087" s="296" t="s">
        <v>140</v>
      </c>
      <c r="K1087" s="297" t="s">
        <v>140</v>
      </c>
      <c r="L1087" s="862" t="s">
        <v>4705</v>
      </c>
      <c r="M1087" s="847" t="s">
        <v>193</v>
      </c>
      <c r="N1087" s="211" t="s">
        <v>194</v>
      </c>
      <c r="O1087" s="240" t="s">
        <v>144</v>
      </c>
      <c r="P1087" s="240" t="s">
        <v>144</v>
      </c>
      <c r="Q1087" s="845" t="s">
        <v>8013</v>
      </c>
      <c r="R1087" s="208" t="s">
        <v>8014</v>
      </c>
      <c r="S1087" s="897" t="s">
        <v>746</v>
      </c>
      <c r="T1087" s="230" t="s">
        <v>1307</v>
      </c>
      <c r="U1087" s="231" t="s">
        <v>1308</v>
      </c>
      <c r="V1087" s="865">
        <v>10</v>
      </c>
      <c r="W1087" s="415" t="s">
        <v>144</v>
      </c>
      <c r="X1087" s="212">
        <v>42</v>
      </c>
      <c r="Y1087" s="212" t="s">
        <v>144</v>
      </c>
      <c r="Z1087" s="252" t="s">
        <v>144</v>
      </c>
      <c r="AA1087" s="240" t="s">
        <v>4095</v>
      </c>
      <c r="AB1087" s="206" t="s">
        <v>140</v>
      </c>
      <c r="AC1087" s="847" t="s">
        <v>265</v>
      </c>
      <c r="AD1087" s="847" t="s">
        <v>144</v>
      </c>
      <c r="AE1087" s="847" t="s">
        <v>144</v>
      </c>
      <c r="AF1087" s="848" t="s">
        <v>144</v>
      </c>
      <c r="AG1087" s="838"/>
      <c r="AH1087" s="866"/>
      <c r="AI1087" s="273"/>
      <c r="AJ1087" s="847"/>
      <c r="AK1087" s="848"/>
      <c r="AL1087" s="867"/>
      <c r="AM1087" s="273"/>
      <c r="AN1087" s="847"/>
      <c r="AO1087" s="848"/>
      <c r="AP1087" s="867" t="s">
        <v>1309</v>
      </c>
      <c r="AQ1087" s="273" t="s">
        <v>1310</v>
      </c>
      <c r="AR1087" s="847">
        <v>7</v>
      </c>
      <c r="AS1087" s="286" t="s">
        <v>1311</v>
      </c>
      <c r="AT1087" s="867"/>
      <c r="AU1087" s="273"/>
      <c r="AV1087" s="847"/>
      <c r="AW1087" s="848"/>
      <c r="AX1087" s="867"/>
      <c r="AY1087" s="273"/>
      <c r="AZ1087" s="847"/>
      <c r="BA1087" s="848"/>
      <c r="BB1087" s="866"/>
      <c r="BC1087" s="273"/>
      <c r="BD1087" s="847"/>
      <c r="BE1087" s="848"/>
      <c r="BF1087" s="838"/>
    </row>
    <row r="1088" spans="1:58" s="91" customFormat="1" ht="54" hidden="1" customHeight="1" x14ac:dyDescent="0.25">
      <c r="A1088" s="267" t="s">
        <v>7374</v>
      </c>
      <c r="B1088" s="268">
        <v>190</v>
      </c>
      <c r="C1088" s="240" t="s">
        <v>4027</v>
      </c>
      <c r="D1088" s="211" t="s">
        <v>4028</v>
      </c>
      <c r="E1088" s="298" t="s">
        <v>8015</v>
      </c>
      <c r="F1088" s="896" t="s">
        <v>4713</v>
      </c>
      <c r="G1088" s="269" t="s">
        <v>4714</v>
      </c>
      <c r="H1088" s="896" t="s">
        <v>4713</v>
      </c>
      <c r="I1088" s="269" t="s">
        <v>4714</v>
      </c>
      <c r="J1088" s="296" t="s">
        <v>140</v>
      </c>
      <c r="K1088" s="297" t="s">
        <v>140</v>
      </c>
      <c r="L1088" s="862" t="s">
        <v>4715</v>
      </c>
      <c r="M1088" s="847" t="s">
        <v>193</v>
      </c>
      <c r="N1088" s="211" t="s">
        <v>194</v>
      </c>
      <c r="O1088" s="240" t="s">
        <v>144</v>
      </c>
      <c r="P1088" s="240" t="s">
        <v>144</v>
      </c>
      <c r="Q1088" s="845" t="s">
        <v>8016</v>
      </c>
      <c r="R1088" s="208" t="s">
        <v>8017</v>
      </c>
      <c r="S1088" s="897" t="s">
        <v>746</v>
      </c>
      <c r="T1088" s="230" t="s">
        <v>1307</v>
      </c>
      <c r="U1088" s="231" t="s">
        <v>1308</v>
      </c>
      <c r="V1088" s="865">
        <v>10</v>
      </c>
      <c r="W1088" s="415" t="s">
        <v>144</v>
      </c>
      <c r="X1088" s="212">
        <v>42</v>
      </c>
      <c r="Y1088" s="212" t="s">
        <v>144</v>
      </c>
      <c r="Z1088" s="252" t="s">
        <v>144</v>
      </c>
      <c r="AA1088" s="240" t="s">
        <v>8018</v>
      </c>
      <c r="AB1088" s="206" t="s">
        <v>140</v>
      </c>
      <c r="AC1088" s="847" t="s">
        <v>265</v>
      </c>
      <c r="AD1088" s="847" t="s">
        <v>144</v>
      </c>
      <c r="AE1088" s="847" t="s">
        <v>144</v>
      </c>
      <c r="AF1088" s="848" t="s">
        <v>144</v>
      </c>
      <c r="AG1088" s="838"/>
      <c r="AH1088" s="866"/>
      <c r="AI1088" s="273"/>
      <c r="AJ1088" s="847"/>
      <c r="AK1088" s="848"/>
      <c r="AL1088" s="867"/>
      <c r="AM1088" s="273"/>
      <c r="AN1088" s="847"/>
      <c r="AO1088" s="848"/>
      <c r="AP1088" s="867" t="s">
        <v>1309</v>
      </c>
      <c r="AQ1088" s="273" t="s">
        <v>1310</v>
      </c>
      <c r="AR1088" s="847">
        <v>7</v>
      </c>
      <c r="AS1088" s="848" t="s">
        <v>1311</v>
      </c>
      <c r="AT1088" s="867"/>
      <c r="AU1088" s="273"/>
      <c r="AV1088" s="847"/>
      <c r="AW1088" s="848"/>
      <c r="AX1088" s="867"/>
      <c r="AY1088" s="273"/>
      <c r="AZ1088" s="847"/>
      <c r="BA1088" s="848"/>
      <c r="BB1088" s="866"/>
      <c r="BC1088" s="273"/>
      <c r="BD1088" s="847"/>
      <c r="BE1088" s="848"/>
      <c r="BF1088" s="838"/>
    </row>
    <row r="1089" spans="1:58" s="55" customFormat="1" ht="54" customHeight="1" x14ac:dyDescent="0.25">
      <c r="A1089" s="275" t="s">
        <v>7374</v>
      </c>
      <c r="B1089" s="276">
        <v>191</v>
      </c>
      <c r="C1089" s="253" t="s">
        <v>144</v>
      </c>
      <c r="D1089" s="217" t="s">
        <v>144</v>
      </c>
      <c r="E1089" s="276" t="s">
        <v>8019</v>
      </c>
      <c r="F1089" s="277" t="s">
        <v>251</v>
      </c>
      <c r="G1089" s="277" t="s">
        <v>251</v>
      </c>
      <c r="H1089" s="220" t="s">
        <v>336</v>
      </c>
      <c r="I1089" s="277" t="s">
        <v>337</v>
      </c>
      <c r="J1089" s="302" t="s">
        <v>144</v>
      </c>
      <c r="K1089" s="302" t="s">
        <v>144</v>
      </c>
      <c r="L1089" s="718" t="s">
        <v>8020</v>
      </c>
      <c r="M1089" s="253" t="s">
        <v>144</v>
      </c>
      <c r="N1089" s="302" t="s">
        <v>144</v>
      </c>
      <c r="O1089" s="253" t="s">
        <v>144</v>
      </c>
      <c r="P1089" s="253" t="s">
        <v>144</v>
      </c>
      <c r="Q1089" s="220" t="s">
        <v>338</v>
      </c>
      <c r="R1089" s="220" t="s">
        <v>339</v>
      </c>
      <c r="S1089" s="276" t="s">
        <v>147</v>
      </c>
      <c r="T1089" s="221" t="s">
        <v>144</v>
      </c>
      <c r="U1089" s="221" t="s">
        <v>144</v>
      </c>
      <c r="V1089" s="253">
        <v>1</v>
      </c>
      <c r="W1089" s="217" t="s">
        <v>144</v>
      </c>
      <c r="X1089" s="221" t="s">
        <v>144</v>
      </c>
      <c r="Y1089" s="221" t="s">
        <v>144</v>
      </c>
      <c r="Z1089" s="221" t="s">
        <v>144</v>
      </c>
      <c r="AA1089" s="217" t="s">
        <v>144</v>
      </c>
      <c r="AB1089" s="217" t="s">
        <v>144</v>
      </c>
      <c r="AC1089" s="253" t="s">
        <v>265</v>
      </c>
      <c r="AD1089" s="253" t="s">
        <v>144</v>
      </c>
      <c r="AE1089" s="253" t="s">
        <v>144</v>
      </c>
      <c r="AF1089" s="254" t="s">
        <v>144</v>
      </c>
      <c r="AG1089" s="838"/>
      <c r="AH1089" s="280"/>
      <c r="AI1089" s="281"/>
      <c r="AJ1089" s="253"/>
      <c r="AK1089" s="254"/>
      <c r="AL1089" s="281"/>
      <c r="AM1089" s="281"/>
      <c r="AN1089" s="253"/>
      <c r="AO1089" s="254"/>
      <c r="AP1089" s="281"/>
      <c r="AQ1089" s="281"/>
      <c r="AR1089" s="253"/>
      <c r="AS1089" s="254"/>
      <c r="AT1089" s="281"/>
      <c r="AU1089" s="281"/>
      <c r="AV1089" s="253"/>
      <c r="AW1089" s="254"/>
      <c r="AX1089" s="281"/>
      <c r="AY1089" s="281"/>
      <c r="AZ1089" s="253"/>
      <c r="BA1089" s="254"/>
      <c r="BB1089" s="280"/>
      <c r="BC1089" s="281"/>
      <c r="BD1089" s="253"/>
      <c r="BE1089" s="254"/>
      <c r="BF1089" s="838"/>
    </row>
    <row r="1090" spans="1:58" s="87" customFormat="1" ht="54" hidden="1" customHeight="1" x14ac:dyDescent="0.25">
      <c r="A1090" s="267" t="s">
        <v>7374</v>
      </c>
      <c r="B1090" s="268">
        <v>192</v>
      </c>
      <c r="C1090" s="240" t="s">
        <v>4718</v>
      </c>
      <c r="D1090" s="270" t="s">
        <v>4719</v>
      </c>
      <c r="E1090" s="268" t="s">
        <v>8021</v>
      </c>
      <c r="F1090" s="861" t="s">
        <v>4721</v>
      </c>
      <c r="G1090" s="269" t="s">
        <v>4722</v>
      </c>
      <c r="H1090" s="845" t="s">
        <v>8022</v>
      </c>
      <c r="I1090" s="269" t="s">
        <v>4724</v>
      </c>
      <c r="J1090" s="296" t="s">
        <v>140</v>
      </c>
      <c r="K1090" s="297" t="s">
        <v>140</v>
      </c>
      <c r="L1090" s="862" t="s">
        <v>4725</v>
      </c>
      <c r="M1090" s="206" t="s">
        <v>142</v>
      </c>
      <c r="N1090" s="211" t="s">
        <v>143</v>
      </c>
      <c r="O1090" s="240" t="s">
        <v>4726</v>
      </c>
      <c r="P1090" s="240" t="s">
        <v>4727</v>
      </c>
      <c r="Q1090" s="845" t="s">
        <v>144</v>
      </c>
      <c r="R1090" s="208" t="s">
        <v>144</v>
      </c>
      <c r="S1090" s="864" t="s">
        <v>147</v>
      </c>
      <c r="T1090" s="212" t="s">
        <v>144</v>
      </c>
      <c r="U1090" s="213" t="s">
        <v>144</v>
      </c>
      <c r="V1090" s="240">
        <v>1</v>
      </c>
      <c r="W1090" s="206" t="s">
        <v>144</v>
      </c>
      <c r="X1090" s="212">
        <v>41</v>
      </c>
      <c r="Y1090" s="212" t="s">
        <v>144</v>
      </c>
      <c r="Z1090" s="212" t="s">
        <v>144</v>
      </c>
      <c r="AA1090" s="240" t="s">
        <v>4095</v>
      </c>
      <c r="AB1090" s="206" t="s">
        <v>140</v>
      </c>
      <c r="AC1090" s="847" t="s">
        <v>265</v>
      </c>
      <c r="AD1090" s="847" t="s">
        <v>144</v>
      </c>
      <c r="AE1090" s="847" t="s">
        <v>144</v>
      </c>
      <c r="AF1090" s="848" t="s">
        <v>144</v>
      </c>
      <c r="AG1090" s="838"/>
      <c r="AH1090" s="866" t="s">
        <v>266</v>
      </c>
      <c r="AI1090" s="273" t="s">
        <v>267</v>
      </c>
      <c r="AJ1090" s="847">
        <v>7</v>
      </c>
      <c r="AK1090" s="848" t="s">
        <v>1046</v>
      </c>
      <c r="AL1090" s="867" t="s">
        <v>294</v>
      </c>
      <c r="AM1090" s="273" t="s">
        <v>295</v>
      </c>
      <c r="AN1090" s="847">
        <v>7</v>
      </c>
      <c r="AO1090" s="187" t="s">
        <v>966</v>
      </c>
      <c r="AP1090" s="867"/>
      <c r="AQ1090" s="273"/>
      <c r="AR1090" s="847"/>
      <c r="AS1090" s="848"/>
      <c r="AT1090" s="867"/>
      <c r="AU1090" s="273"/>
      <c r="AV1090" s="847"/>
      <c r="AW1090" s="848"/>
      <c r="AX1090" s="867"/>
      <c r="AY1090" s="273"/>
      <c r="AZ1090" s="847"/>
      <c r="BA1090" s="848"/>
      <c r="BB1090" s="866"/>
      <c r="BC1090" s="273"/>
      <c r="BD1090" s="847"/>
      <c r="BE1090" s="848"/>
      <c r="BF1090" s="838"/>
    </row>
    <row r="1091" spans="1:58" s="87" customFormat="1" ht="54" hidden="1" customHeight="1" x14ac:dyDescent="0.25">
      <c r="A1091" s="267" t="s">
        <v>7374</v>
      </c>
      <c r="B1091" s="268">
        <v>193</v>
      </c>
      <c r="C1091" s="240" t="s">
        <v>4718</v>
      </c>
      <c r="D1091" s="270" t="s">
        <v>4719</v>
      </c>
      <c r="E1091" s="268" t="s">
        <v>8023</v>
      </c>
      <c r="F1091" s="861" t="s">
        <v>4729</v>
      </c>
      <c r="G1091" s="269" t="s">
        <v>4730</v>
      </c>
      <c r="H1091" s="845" t="s">
        <v>4731</v>
      </c>
      <c r="I1091" s="208" t="s">
        <v>8024</v>
      </c>
      <c r="J1091" s="240" t="s">
        <v>140</v>
      </c>
      <c r="K1091" s="270" t="s">
        <v>140</v>
      </c>
      <c r="L1091" s="862" t="s">
        <v>4733</v>
      </c>
      <c r="M1091" s="872" t="s">
        <v>1821</v>
      </c>
      <c r="N1091" s="435" t="s">
        <v>1822</v>
      </c>
      <c r="O1091" s="240" t="s">
        <v>144</v>
      </c>
      <c r="P1091" s="240" t="s">
        <v>144</v>
      </c>
      <c r="Q1091" s="887" t="s">
        <v>144</v>
      </c>
      <c r="R1091" s="445" t="s">
        <v>144</v>
      </c>
      <c r="S1091" s="268" t="s">
        <v>147</v>
      </c>
      <c r="T1091" s="212" t="s">
        <v>144</v>
      </c>
      <c r="U1091" s="213" t="s">
        <v>144</v>
      </c>
      <c r="V1091" s="240">
        <v>7</v>
      </c>
      <c r="W1091" s="206" t="s">
        <v>144</v>
      </c>
      <c r="X1091" s="212">
        <v>41</v>
      </c>
      <c r="Y1091" s="212" t="s">
        <v>144</v>
      </c>
      <c r="Z1091" s="212" t="s">
        <v>25</v>
      </c>
      <c r="AA1091" s="407" t="s">
        <v>7832</v>
      </c>
      <c r="AB1091" s="206" t="s">
        <v>140</v>
      </c>
      <c r="AC1091" s="847" t="s">
        <v>265</v>
      </c>
      <c r="AD1091" s="847" t="s">
        <v>144</v>
      </c>
      <c r="AE1091" s="847" t="s">
        <v>144</v>
      </c>
      <c r="AF1091" s="848" t="s">
        <v>144</v>
      </c>
      <c r="AG1091" s="838"/>
      <c r="AH1091" s="866"/>
      <c r="AI1091" s="273"/>
      <c r="AJ1091" s="847"/>
      <c r="AK1091" s="848"/>
      <c r="AL1091" s="867"/>
      <c r="AM1091" s="273"/>
      <c r="AN1091" s="847"/>
      <c r="AO1091" s="848"/>
      <c r="AP1091" s="867"/>
      <c r="AQ1091" s="273"/>
      <c r="AR1091" s="847"/>
      <c r="AS1091" s="848"/>
      <c r="AT1091" s="867"/>
      <c r="AU1091" s="273"/>
      <c r="AV1091" s="847"/>
      <c r="AW1091" s="848"/>
      <c r="AX1091" s="867"/>
      <c r="AY1091" s="273"/>
      <c r="AZ1091" s="847"/>
      <c r="BA1091" s="848"/>
      <c r="BB1091" s="866"/>
      <c r="BC1091" s="273"/>
      <c r="BD1091" s="847"/>
      <c r="BE1091" s="848"/>
      <c r="BF1091" s="838"/>
    </row>
    <row r="1092" spans="1:58" s="87" customFormat="1" ht="54" hidden="1" customHeight="1" x14ac:dyDescent="0.25">
      <c r="A1092" s="267" t="s">
        <v>7374</v>
      </c>
      <c r="B1092" s="268">
        <v>194</v>
      </c>
      <c r="C1092" s="240" t="s">
        <v>4718</v>
      </c>
      <c r="D1092" s="270" t="s">
        <v>4719</v>
      </c>
      <c r="E1092" s="268" t="s">
        <v>8025</v>
      </c>
      <c r="F1092" s="861" t="s">
        <v>4736</v>
      </c>
      <c r="G1092" s="269" t="s">
        <v>4737</v>
      </c>
      <c r="H1092" s="845" t="s">
        <v>4738</v>
      </c>
      <c r="I1092" s="208" t="s">
        <v>4739</v>
      </c>
      <c r="J1092" s="240" t="s">
        <v>140</v>
      </c>
      <c r="K1092" s="270" t="s">
        <v>140</v>
      </c>
      <c r="L1092" s="862" t="s">
        <v>1453</v>
      </c>
      <c r="M1092" s="206" t="s">
        <v>142</v>
      </c>
      <c r="N1092" s="211" t="s">
        <v>143</v>
      </c>
      <c r="O1092" s="240" t="s">
        <v>144</v>
      </c>
      <c r="P1092" s="240" t="s">
        <v>144</v>
      </c>
      <c r="Q1092" s="845" t="s">
        <v>1669</v>
      </c>
      <c r="R1092" s="208" t="s">
        <v>1670</v>
      </c>
      <c r="S1092" s="268" t="s">
        <v>147</v>
      </c>
      <c r="T1092" s="212" t="s">
        <v>144</v>
      </c>
      <c r="U1092" s="213" t="s">
        <v>144</v>
      </c>
      <c r="V1092" s="240">
        <v>20</v>
      </c>
      <c r="W1092" s="206" t="s">
        <v>144</v>
      </c>
      <c r="X1092" s="212">
        <v>41</v>
      </c>
      <c r="Y1092" s="212" t="s">
        <v>144</v>
      </c>
      <c r="Z1092" s="212" t="s">
        <v>144</v>
      </c>
      <c r="AA1092" s="240" t="s">
        <v>8026</v>
      </c>
      <c r="AB1092" s="206" t="s">
        <v>140</v>
      </c>
      <c r="AC1092" s="847" t="s">
        <v>265</v>
      </c>
      <c r="AD1092" s="847" t="s">
        <v>144</v>
      </c>
      <c r="AE1092" s="847" t="s">
        <v>144</v>
      </c>
      <c r="AF1092" s="848" t="s">
        <v>144</v>
      </c>
      <c r="AG1092" s="838"/>
      <c r="AH1092" s="291" t="s">
        <v>8027</v>
      </c>
      <c r="AI1092" s="273" t="s">
        <v>267</v>
      </c>
      <c r="AJ1092" s="240">
        <v>7</v>
      </c>
      <c r="AK1092" s="848" t="s">
        <v>1046</v>
      </c>
      <c r="AL1092" s="867"/>
      <c r="AM1092" s="273"/>
      <c r="AN1092" s="847"/>
      <c r="AO1092" s="848"/>
      <c r="AP1092" s="867"/>
      <c r="AQ1092" s="273"/>
      <c r="AR1092" s="847"/>
      <c r="AS1092" s="848"/>
      <c r="AT1092" s="867"/>
      <c r="AU1092" s="273"/>
      <c r="AV1092" s="847"/>
      <c r="AW1092" s="848"/>
      <c r="AX1092" s="867"/>
      <c r="AY1092" s="273"/>
      <c r="AZ1092" s="847"/>
      <c r="BA1092" s="848"/>
      <c r="BB1092" s="866"/>
      <c r="BC1092" s="273"/>
      <c r="BD1092" s="847"/>
      <c r="BE1092" s="848"/>
      <c r="BF1092" s="838"/>
    </row>
    <row r="1093" spans="1:58" s="55" customFormat="1" ht="54" hidden="1" customHeight="1" x14ac:dyDescent="0.25">
      <c r="A1093" s="275" t="s">
        <v>7374</v>
      </c>
      <c r="B1093" s="276">
        <v>195</v>
      </c>
      <c r="C1093" s="253" t="s">
        <v>4718</v>
      </c>
      <c r="D1093" s="253" t="s">
        <v>4719</v>
      </c>
      <c r="E1093" s="276" t="s">
        <v>8028</v>
      </c>
      <c r="F1093" s="277" t="s">
        <v>4742</v>
      </c>
      <c r="G1093" s="277" t="s">
        <v>4743</v>
      </c>
      <c r="H1093" s="218" t="s">
        <v>4744</v>
      </c>
      <c r="I1093" s="277" t="s">
        <v>4745</v>
      </c>
      <c r="J1093" s="253" t="s">
        <v>144</v>
      </c>
      <c r="K1093" s="302" t="s">
        <v>144</v>
      </c>
      <c r="L1093" s="718" t="s">
        <v>4746</v>
      </c>
      <c r="M1093" s="253" t="s">
        <v>144</v>
      </c>
      <c r="N1093" s="302" t="s">
        <v>144</v>
      </c>
      <c r="O1093" s="253" t="s">
        <v>2368</v>
      </c>
      <c r="P1093" s="253" t="s">
        <v>2369</v>
      </c>
      <c r="Q1093" s="218" t="s">
        <v>8029</v>
      </c>
      <c r="R1093" s="218" t="s">
        <v>8030</v>
      </c>
      <c r="S1093" s="276" t="s">
        <v>147</v>
      </c>
      <c r="T1093" s="221" t="s">
        <v>144</v>
      </c>
      <c r="U1093" s="221" t="s">
        <v>144</v>
      </c>
      <c r="V1093" s="253">
        <v>3</v>
      </c>
      <c r="W1093" s="217" t="s">
        <v>144</v>
      </c>
      <c r="X1093" s="221" t="s">
        <v>925</v>
      </c>
      <c r="Y1093" s="374" t="s">
        <v>2285</v>
      </c>
      <c r="Z1093" s="374" t="s">
        <v>25</v>
      </c>
      <c r="AA1093" s="253" t="s">
        <v>8031</v>
      </c>
      <c r="AB1093" s="217" t="s">
        <v>144</v>
      </c>
      <c r="AC1093" s="253" t="s">
        <v>265</v>
      </c>
      <c r="AD1093" s="253" t="s">
        <v>144</v>
      </c>
      <c r="AE1093" s="253" t="s">
        <v>144</v>
      </c>
      <c r="AF1093" s="254" t="s">
        <v>144</v>
      </c>
      <c r="AG1093" s="681"/>
      <c r="AH1093" s="420"/>
      <c r="AI1093" s="421"/>
      <c r="AJ1093" s="422"/>
      <c r="AK1093" s="423"/>
      <c r="AL1093" s="421"/>
      <c r="AM1093" s="421"/>
      <c r="AN1093" s="422"/>
      <c r="AO1093" s="424"/>
      <c r="AP1093" s="281"/>
      <c r="AQ1093" s="281"/>
      <c r="AR1093" s="253"/>
      <c r="AS1093" s="254"/>
      <c r="AT1093" s="421"/>
      <c r="AU1093" s="421"/>
      <c r="AV1093" s="422"/>
      <c r="AW1093" s="423"/>
      <c r="AX1093" s="281"/>
      <c r="AY1093" s="281"/>
      <c r="AZ1093" s="253"/>
      <c r="BA1093" s="254"/>
      <c r="BB1093" s="280"/>
      <c r="BC1093" s="281"/>
      <c r="BD1093" s="253"/>
      <c r="BE1093" s="254"/>
      <c r="BF1093" s="838"/>
    </row>
    <row r="1094" spans="1:58" s="87" customFormat="1" ht="54" hidden="1" customHeight="1" x14ac:dyDescent="0.25">
      <c r="A1094" s="267" t="s">
        <v>7374</v>
      </c>
      <c r="B1094" s="268">
        <v>196</v>
      </c>
      <c r="C1094" s="240" t="s">
        <v>4718</v>
      </c>
      <c r="D1094" s="270" t="s">
        <v>4719</v>
      </c>
      <c r="E1094" s="268" t="s">
        <v>8032</v>
      </c>
      <c r="F1094" s="861" t="s">
        <v>4749</v>
      </c>
      <c r="G1094" s="269" t="s">
        <v>4750</v>
      </c>
      <c r="H1094" s="845" t="s">
        <v>4751</v>
      </c>
      <c r="I1094" s="269" t="s">
        <v>4752</v>
      </c>
      <c r="J1094" s="296" t="s">
        <v>140</v>
      </c>
      <c r="K1094" s="297" t="s">
        <v>140</v>
      </c>
      <c r="L1094" s="862" t="s">
        <v>4753</v>
      </c>
      <c r="M1094" s="206" t="s">
        <v>193</v>
      </c>
      <c r="N1094" s="211" t="s">
        <v>194</v>
      </c>
      <c r="O1094" s="240" t="s">
        <v>4754</v>
      </c>
      <c r="P1094" s="344" t="s">
        <v>4755</v>
      </c>
      <c r="Q1094" s="845" t="s">
        <v>8033</v>
      </c>
      <c r="R1094" s="208" t="s">
        <v>8034</v>
      </c>
      <c r="S1094" s="268" t="s">
        <v>147</v>
      </c>
      <c r="T1094" s="212" t="s">
        <v>144</v>
      </c>
      <c r="U1094" s="213" t="s">
        <v>144</v>
      </c>
      <c r="V1094" s="240">
        <v>3</v>
      </c>
      <c r="W1094" s="206" t="s">
        <v>144</v>
      </c>
      <c r="X1094" s="212">
        <v>41</v>
      </c>
      <c r="Y1094" s="212" t="s">
        <v>144</v>
      </c>
      <c r="Z1094" s="212" t="s">
        <v>29</v>
      </c>
      <c r="AA1094" s="240" t="s">
        <v>2588</v>
      </c>
      <c r="AB1094" s="206" t="s">
        <v>140</v>
      </c>
      <c r="AC1094" s="847" t="s">
        <v>265</v>
      </c>
      <c r="AD1094" s="847" t="s">
        <v>144</v>
      </c>
      <c r="AE1094" s="847" t="s">
        <v>144</v>
      </c>
      <c r="AF1094" s="848" t="s">
        <v>144</v>
      </c>
      <c r="AG1094" s="838"/>
      <c r="AH1094" s="866"/>
      <c r="AI1094" s="273"/>
      <c r="AJ1094" s="847"/>
      <c r="AK1094" s="848"/>
      <c r="AL1094" s="867" t="s">
        <v>8035</v>
      </c>
      <c r="AM1094" s="273" t="s">
        <v>8036</v>
      </c>
      <c r="AN1094" s="847">
        <v>7</v>
      </c>
      <c r="AO1094" s="730" t="s">
        <v>8037</v>
      </c>
      <c r="AP1094" s="867"/>
      <c r="AQ1094" s="273"/>
      <c r="AR1094" s="847"/>
      <c r="AS1094" s="848"/>
      <c r="AT1094" s="867"/>
      <c r="AU1094" s="273"/>
      <c r="AV1094" s="847"/>
      <c r="AW1094" s="848"/>
      <c r="AX1094" s="867"/>
      <c r="AY1094" s="273"/>
      <c r="AZ1094" s="847"/>
      <c r="BA1094" s="848"/>
      <c r="BB1094" s="866"/>
      <c r="BC1094" s="273"/>
      <c r="BD1094" s="847"/>
      <c r="BE1094" s="848"/>
      <c r="BF1094" s="838"/>
    </row>
    <row r="1095" spans="1:58" s="87" customFormat="1" ht="54" hidden="1" customHeight="1" x14ac:dyDescent="0.25">
      <c r="A1095" s="267" t="s">
        <v>7374</v>
      </c>
      <c r="B1095" s="268">
        <v>197</v>
      </c>
      <c r="C1095" s="240" t="s">
        <v>4718</v>
      </c>
      <c r="D1095" s="270" t="s">
        <v>4719</v>
      </c>
      <c r="E1095" s="268" t="s">
        <v>8038</v>
      </c>
      <c r="F1095" s="861" t="s">
        <v>4766</v>
      </c>
      <c r="G1095" s="269" t="s">
        <v>4767</v>
      </c>
      <c r="H1095" s="845" t="s">
        <v>4768</v>
      </c>
      <c r="I1095" s="269" t="s">
        <v>4769</v>
      </c>
      <c r="J1095" s="296" t="s">
        <v>140</v>
      </c>
      <c r="K1095" s="297" t="s">
        <v>140</v>
      </c>
      <c r="L1095" s="862" t="s">
        <v>4770</v>
      </c>
      <c r="M1095" s="206" t="s">
        <v>973</v>
      </c>
      <c r="N1095" s="211" t="s">
        <v>974</v>
      </c>
      <c r="O1095" s="240" t="s">
        <v>4771</v>
      </c>
      <c r="P1095" s="240" t="s">
        <v>4772</v>
      </c>
      <c r="Q1095" s="845" t="s">
        <v>8039</v>
      </c>
      <c r="R1095" s="208" t="s">
        <v>8040</v>
      </c>
      <c r="S1095" s="268" t="s">
        <v>147</v>
      </c>
      <c r="T1095" s="212" t="s">
        <v>144</v>
      </c>
      <c r="U1095" s="213" t="s">
        <v>144</v>
      </c>
      <c r="V1095" s="240">
        <v>1</v>
      </c>
      <c r="W1095" s="206" t="s">
        <v>144</v>
      </c>
      <c r="X1095" s="212">
        <v>41</v>
      </c>
      <c r="Y1095" s="212" t="s">
        <v>144</v>
      </c>
      <c r="Z1095" s="252" t="s">
        <v>144</v>
      </c>
      <c r="AA1095" s="240" t="s">
        <v>3015</v>
      </c>
      <c r="AB1095" s="206" t="s">
        <v>140</v>
      </c>
      <c r="AC1095" s="847" t="s">
        <v>265</v>
      </c>
      <c r="AD1095" s="847" t="s">
        <v>144</v>
      </c>
      <c r="AE1095" s="847" t="s">
        <v>144</v>
      </c>
      <c r="AF1095" s="848" t="s">
        <v>144</v>
      </c>
      <c r="AG1095" s="838"/>
      <c r="AH1095" s="291" t="s">
        <v>8041</v>
      </c>
      <c r="AI1095" s="273" t="s">
        <v>8042</v>
      </c>
      <c r="AJ1095" s="847">
        <v>6</v>
      </c>
      <c r="AK1095" s="286" t="s">
        <v>8043</v>
      </c>
      <c r="AL1095" s="867" t="s">
        <v>294</v>
      </c>
      <c r="AM1095" s="273" t="s">
        <v>295</v>
      </c>
      <c r="AN1095" s="847">
        <v>7</v>
      </c>
      <c r="AO1095" s="187" t="s">
        <v>966</v>
      </c>
      <c r="AP1095" s="867"/>
      <c r="AQ1095" s="273"/>
      <c r="AR1095" s="847"/>
      <c r="AS1095" s="848"/>
      <c r="AT1095" s="867"/>
      <c r="AU1095" s="273"/>
      <c r="AV1095" s="847"/>
      <c r="AW1095" s="848"/>
      <c r="AX1095" s="867"/>
      <c r="AY1095" s="273"/>
      <c r="AZ1095" s="847"/>
      <c r="BA1095" s="848"/>
      <c r="BB1095" s="866"/>
      <c r="BC1095" s="273"/>
      <c r="BD1095" s="847"/>
      <c r="BE1095" s="848"/>
      <c r="BF1095" s="838"/>
    </row>
    <row r="1096" spans="1:58" s="87" customFormat="1" ht="54" hidden="1" customHeight="1" x14ac:dyDescent="0.25">
      <c r="A1096" s="267" t="s">
        <v>7374</v>
      </c>
      <c r="B1096" s="268">
        <v>198</v>
      </c>
      <c r="C1096" s="240" t="s">
        <v>4718</v>
      </c>
      <c r="D1096" s="270" t="s">
        <v>4719</v>
      </c>
      <c r="E1096" s="268" t="s">
        <v>8044</v>
      </c>
      <c r="F1096" s="861" t="s">
        <v>4780</v>
      </c>
      <c r="G1096" s="269" t="s">
        <v>4781</v>
      </c>
      <c r="H1096" s="845" t="s">
        <v>4782</v>
      </c>
      <c r="I1096" s="269" t="s">
        <v>4783</v>
      </c>
      <c r="J1096" s="296" t="s">
        <v>140</v>
      </c>
      <c r="K1096" s="297" t="s">
        <v>140</v>
      </c>
      <c r="L1096" s="862" t="s">
        <v>4784</v>
      </c>
      <c r="M1096" s="847" t="s">
        <v>193</v>
      </c>
      <c r="N1096" s="211" t="s">
        <v>194</v>
      </c>
      <c r="O1096" s="240" t="s">
        <v>144</v>
      </c>
      <c r="P1096" s="240" t="s">
        <v>144</v>
      </c>
      <c r="Q1096" s="845" t="s">
        <v>8045</v>
      </c>
      <c r="R1096" s="208" t="s">
        <v>8046</v>
      </c>
      <c r="S1096" s="268" t="s">
        <v>147</v>
      </c>
      <c r="T1096" s="212" t="s">
        <v>144</v>
      </c>
      <c r="U1096" s="213" t="s">
        <v>144</v>
      </c>
      <c r="V1096" s="240">
        <v>40</v>
      </c>
      <c r="W1096" s="206" t="s">
        <v>144</v>
      </c>
      <c r="X1096" s="212">
        <v>41</v>
      </c>
      <c r="Y1096" s="212" t="s">
        <v>144</v>
      </c>
      <c r="Z1096" s="212" t="s">
        <v>144</v>
      </c>
      <c r="AA1096" s="240" t="s">
        <v>2588</v>
      </c>
      <c r="AB1096" s="206" t="s">
        <v>140</v>
      </c>
      <c r="AC1096" s="847" t="s">
        <v>265</v>
      </c>
      <c r="AD1096" s="847" t="s">
        <v>144</v>
      </c>
      <c r="AE1096" s="847" t="s">
        <v>144</v>
      </c>
      <c r="AF1096" s="848" t="s">
        <v>144</v>
      </c>
      <c r="AG1096" s="838"/>
      <c r="AH1096" s="866"/>
      <c r="AI1096" s="273"/>
      <c r="AJ1096" s="847"/>
      <c r="AK1096" s="848"/>
      <c r="AL1096" s="867"/>
      <c r="AM1096" s="273"/>
      <c r="AN1096" s="847"/>
      <c r="AO1096" s="848"/>
      <c r="AP1096" s="867"/>
      <c r="AQ1096" s="273"/>
      <c r="AR1096" s="847"/>
      <c r="AS1096" s="848"/>
      <c r="AT1096" s="867"/>
      <c r="AU1096" s="273"/>
      <c r="AV1096" s="847"/>
      <c r="AW1096" s="848"/>
      <c r="AX1096" s="867"/>
      <c r="AY1096" s="273"/>
      <c r="AZ1096" s="847"/>
      <c r="BA1096" s="848"/>
      <c r="BB1096" s="866"/>
      <c r="BC1096" s="273"/>
      <c r="BD1096" s="847"/>
      <c r="BE1096" s="848"/>
      <c r="BF1096" s="838"/>
    </row>
    <row r="1097" spans="1:58" s="87" customFormat="1" ht="54" hidden="1" customHeight="1" x14ac:dyDescent="0.25">
      <c r="A1097" s="267" t="s">
        <v>7374</v>
      </c>
      <c r="B1097" s="268">
        <v>199</v>
      </c>
      <c r="C1097" s="240" t="s">
        <v>4718</v>
      </c>
      <c r="D1097" s="270" t="s">
        <v>4719</v>
      </c>
      <c r="E1097" s="268" t="s">
        <v>8047</v>
      </c>
      <c r="F1097" s="299" t="s">
        <v>4788</v>
      </c>
      <c r="G1097" s="269" t="s">
        <v>4789</v>
      </c>
      <c r="H1097" s="845" t="s">
        <v>4790</v>
      </c>
      <c r="I1097" s="269" t="s">
        <v>4791</v>
      </c>
      <c r="J1097" s="296" t="s">
        <v>140</v>
      </c>
      <c r="K1097" s="297" t="s">
        <v>140</v>
      </c>
      <c r="L1097" s="862" t="s">
        <v>4792</v>
      </c>
      <c r="M1097" s="206" t="s">
        <v>193</v>
      </c>
      <c r="N1097" s="211" t="s">
        <v>194</v>
      </c>
      <c r="O1097" s="240" t="s">
        <v>144</v>
      </c>
      <c r="P1097" s="240" t="s">
        <v>144</v>
      </c>
      <c r="Q1097" s="845" t="s">
        <v>4793</v>
      </c>
      <c r="R1097" s="208" t="s">
        <v>4794</v>
      </c>
      <c r="S1097" s="268" t="s">
        <v>147</v>
      </c>
      <c r="T1097" s="212" t="s">
        <v>144</v>
      </c>
      <c r="U1097" s="213" t="s">
        <v>144</v>
      </c>
      <c r="V1097" s="240">
        <v>5</v>
      </c>
      <c r="W1097" s="206" t="s">
        <v>144</v>
      </c>
      <c r="X1097" s="212">
        <v>41</v>
      </c>
      <c r="Y1097" s="212" t="s">
        <v>144</v>
      </c>
      <c r="Z1097" s="212" t="s">
        <v>144</v>
      </c>
      <c r="AA1097" s="240" t="s">
        <v>2588</v>
      </c>
      <c r="AB1097" s="206" t="s">
        <v>140</v>
      </c>
      <c r="AC1097" s="847" t="s">
        <v>265</v>
      </c>
      <c r="AD1097" s="847" t="s">
        <v>144</v>
      </c>
      <c r="AE1097" s="847" t="s">
        <v>144</v>
      </c>
      <c r="AF1097" s="848" t="s">
        <v>144</v>
      </c>
      <c r="AG1097" s="838"/>
      <c r="AH1097" s="866"/>
      <c r="AI1097" s="273"/>
      <c r="AJ1097" s="847"/>
      <c r="AK1097" s="848"/>
      <c r="AL1097" s="867"/>
      <c r="AM1097" s="273"/>
      <c r="AN1097" s="847"/>
      <c r="AO1097" s="848"/>
      <c r="AP1097" s="867"/>
      <c r="AQ1097" s="273"/>
      <c r="AR1097" s="847"/>
      <c r="AS1097" s="848"/>
      <c r="AT1097" s="867"/>
      <c r="AU1097" s="273"/>
      <c r="AV1097" s="847"/>
      <c r="AW1097" s="848"/>
      <c r="AX1097" s="867"/>
      <c r="AY1097" s="273"/>
      <c r="AZ1097" s="847"/>
      <c r="BA1097" s="848"/>
      <c r="BB1097" s="866"/>
      <c r="BC1097" s="273"/>
      <c r="BD1097" s="847"/>
      <c r="BE1097" s="848"/>
      <c r="BF1097" s="838"/>
    </row>
    <row r="1098" spans="1:58" s="87" customFormat="1" ht="54" hidden="1" customHeight="1" x14ac:dyDescent="0.25">
      <c r="A1098" s="267" t="s">
        <v>7374</v>
      </c>
      <c r="B1098" s="268">
        <v>200</v>
      </c>
      <c r="C1098" s="240" t="s">
        <v>4718</v>
      </c>
      <c r="D1098" s="270" t="s">
        <v>4719</v>
      </c>
      <c r="E1098" s="268" t="s">
        <v>8048</v>
      </c>
      <c r="F1098" s="299" t="s">
        <v>4796</v>
      </c>
      <c r="G1098" s="269" t="s">
        <v>4797</v>
      </c>
      <c r="H1098" s="845" t="s">
        <v>4798</v>
      </c>
      <c r="I1098" s="269" t="s">
        <v>4799</v>
      </c>
      <c r="J1098" s="296" t="s">
        <v>140</v>
      </c>
      <c r="K1098" s="297" t="s">
        <v>140</v>
      </c>
      <c r="L1098" s="862" t="s">
        <v>4800</v>
      </c>
      <c r="M1098" s="206" t="s">
        <v>193</v>
      </c>
      <c r="N1098" s="211" t="s">
        <v>194</v>
      </c>
      <c r="O1098" s="240" t="s">
        <v>144</v>
      </c>
      <c r="P1098" s="240" t="s">
        <v>144</v>
      </c>
      <c r="Q1098" s="845" t="s">
        <v>4801</v>
      </c>
      <c r="R1098" s="208" t="s">
        <v>4802</v>
      </c>
      <c r="S1098" s="268" t="s">
        <v>147</v>
      </c>
      <c r="T1098" s="212" t="s">
        <v>144</v>
      </c>
      <c r="U1098" s="213" t="s">
        <v>144</v>
      </c>
      <c r="V1098" s="240">
        <v>5</v>
      </c>
      <c r="W1098" s="206" t="s">
        <v>144</v>
      </c>
      <c r="X1098" s="212">
        <v>41</v>
      </c>
      <c r="Y1098" s="212" t="s">
        <v>144</v>
      </c>
      <c r="Z1098" s="212" t="s">
        <v>144</v>
      </c>
      <c r="AA1098" s="240" t="s">
        <v>2588</v>
      </c>
      <c r="AB1098" s="206" t="s">
        <v>140</v>
      </c>
      <c r="AC1098" s="847" t="s">
        <v>265</v>
      </c>
      <c r="AD1098" s="847" t="s">
        <v>144</v>
      </c>
      <c r="AE1098" s="847" t="s">
        <v>144</v>
      </c>
      <c r="AF1098" s="848" t="s">
        <v>144</v>
      </c>
      <c r="AG1098" s="838"/>
      <c r="AH1098" s="866"/>
      <c r="AI1098" s="273"/>
      <c r="AJ1098" s="847"/>
      <c r="AK1098" s="848"/>
      <c r="AL1098" s="867"/>
      <c r="AM1098" s="273"/>
      <c r="AN1098" s="847"/>
      <c r="AO1098" s="848"/>
      <c r="AP1098" s="867"/>
      <c r="AQ1098" s="273"/>
      <c r="AR1098" s="847"/>
      <c r="AS1098" s="848"/>
      <c r="AT1098" s="867"/>
      <c r="AU1098" s="273"/>
      <c r="AV1098" s="847"/>
      <c r="AW1098" s="848"/>
      <c r="AX1098" s="867"/>
      <c r="AY1098" s="273"/>
      <c r="AZ1098" s="847"/>
      <c r="BA1098" s="848"/>
      <c r="BB1098" s="866"/>
      <c r="BC1098" s="273"/>
      <c r="BD1098" s="847"/>
      <c r="BE1098" s="848"/>
      <c r="BF1098" s="838"/>
    </row>
    <row r="1099" spans="1:58" s="87" customFormat="1" ht="54" hidden="1" customHeight="1" x14ac:dyDescent="0.25">
      <c r="A1099" s="267" t="s">
        <v>7374</v>
      </c>
      <c r="B1099" s="268">
        <v>201</v>
      </c>
      <c r="C1099" s="240" t="s">
        <v>684</v>
      </c>
      <c r="D1099" s="270" t="s">
        <v>685</v>
      </c>
      <c r="E1099" s="268" t="s">
        <v>8049</v>
      </c>
      <c r="F1099" s="299" t="s">
        <v>4804</v>
      </c>
      <c r="G1099" s="269" t="s">
        <v>4805</v>
      </c>
      <c r="H1099" s="845" t="s">
        <v>4806</v>
      </c>
      <c r="I1099" s="269" t="s">
        <v>4807</v>
      </c>
      <c r="J1099" s="296" t="s">
        <v>140</v>
      </c>
      <c r="K1099" s="297" t="s">
        <v>140</v>
      </c>
      <c r="L1099" s="862" t="s">
        <v>4808</v>
      </c>
      <c r="M1099" s="206" t="s">
        <v>193</v>
      </c>
      <c r="N1099" s="211" t="s">
        <v>194</v>
      </c>
      <c r="O1099" s="240" t="s">
        <v>144</v>
      </c>
      <c r="P1099" s="240" t="s">
        <v>144</v>
      </c>
      <c r="Q1099" s="845" t="s">
        <v>144</v>
      </c>
      <c r="R1099" s="208" t="s">
        <v>144</v>
      </c>
      <c r="S1099" s="268" t="s">
        <v>147</v>
      </c>
      <c r="T1099" s="212" t="s">
        <v>144</v>
      </c>
      <c r="U1099" s="213" t="s">
        <v>144</v>
      </c>
      <c r="V1099" s="240">
        <v>12</v>
      </c>
      <c r="W1099" s="206" t="s">
        <v>144</v>
      </c>
      <c r="X1099" s="212">
        <v>41</v>
      </c>
      <c r="Y1099" s="212" t="s">
        <v>144</v>
      </c>
      <c r="Z1099" s="212" t="s">
        <v>144</v>
      </c>
      <c r="AA1099" s="240" t="s">
        <v>4095</v>
      </c>
      <c r="AB1099" s="206" t="s">
        <v>140</v>
      </c>
      <c r="AC1099" s="847" t="s">
        <v>265</v>
      </c>
      <c r="AD1099" s="847" t="s">
        <v>144</v>
      </c>
      <c r="AE1099" s="847" t="s">
        <v>144</v>
      </c>
      <c r="AF1099" s="848" t="s">
        <v>144</v>
      </c>
      <c r="AG1099" s="838"/>
      <c r="AH1099" s="866"/>
      <c r="AI1099" s="273"/>
      <c r="AJ1099" s="847"/>
      <c r="AK1099" s="848"/>
      <c r="AL1099" s="867"/>
      <c r="AM1099" s="273"/>
      <c r="AN1099" s="847"/>
      <c r="AO1099" s="848"/>
      <c r="AP1099" s="867"/>
      <c r="AQ1099" s="273"/>
      <c r="AR1099" s="847"/>
      <c r="AS1099" s="848"/>
      <c r="AT1099" s="867"/>
      <c r="AU1099" s="273"/>
      <c r="AV1099" s="847"/>
      <c r="AW1099" s="848"/>
      <c r="AX1099" s="867"/>
      <c r="AY1099" s="273"/>
      <c r="AZ1099" s="847"/>
      <c r="BA1099" s="848"/>
      <c r="BB1099" s="866"/>
      <c r="BC1099" s="273"/>
      <c r="BD1099" s="847"/>
      <c r="BE1099" s="848"/>
      <c r="BF1099" s="838"/>
    </row>
    <row r="1100" spans="1:58" s="87" customFormat="1" ht="54" hidden="1" customHeight="1" x14ac:dyDescent="0.25">
      <c r="A1100" s="267" t="s">
        <v>7374</v>
      </c>
      <c r="B1100" s="268">
        <v>202</v>
      </c>
      <c r="C1100" s="240" t="s">
        <v>684</v>
      </c>
      <c r="D1100" s="270" t="s">
        <v>685</v>
      </c>
      <c r="E1100" s="268" t="s">
        <v>8050</v>
      </c>
      <c r="F1100" s="861" t="s">
        <v>4811</v>
      </c>
      <c r="G1100" s="269" t="s">
        <v>4812</v>
      </c>
      <c r="H1100" s="845" t="s">
        <v>4813</v>
      </c>
      <c r="I1100" s="269" t="s">
        <v>4814</v>
      </c>
      <c r="J1100" s="296" t="s">
        <v>140</v>
      </c>
      <c r="K1100" s="297" t="s">
        <v>140</v>
      </c>
      <c r="L1100" s="862" t="s">
        <v>4815</v>
      </c>
      <c r="M1100" s="206" t="s">
        <v>193</v>
      </c>
      <c r="N1100" s="211" t="s">
        <v>194</v>
      </c>
      <c r="O1100" s="240" t="s">
        <v>144</v>
      </c>
      <c r="P1100" s="240" t="s">
        <v>144</v>
      </c>
      <c r="Q1100" s="845" t="s">
        <v>144</v>
      </c>
      <c r="R1100" s="208" t="s">
        <v>144</v>
      </c>
      <c r="S1100" s="268" t="s">
        <v>147</v>
      </c>
      <c r="T1100" s="212" t="s">
        <v>144</v>
      </c>
      <c r="U1100" s="213" t="s">
        <v>144</v>
      </c>
      <c r="V1100" s="240">
        <v>12</v>
      </c>
      <c r="W1100" s="206" t="s">
        <v>144</v>
      </c>
      <c r="X1100" s="212">
        <v>41</v>
      </c>
      <c r="Y1100" s="212" t="s">
        <v>144</v>
      </c>
      <c r="Z1100" s="212" t="s">
        <v>144</v>
      </c>
      <c r="AA1100" s="240" t="s">
        <v>4095</v>
      </c>
      <c r="AB1100" s="206" t="s">
        <v>140</v>
      </c>
      <c r="AC1100" s="847" t="s">
        <v>265</v>
      </c>
      <c r="AD1100" s="847" t="s">
        <v>144</v>
      </c>
      <c r="AE1100" s="847" t="s">
        <v>144</v>
      </c>
      <c r="AF1100" s="848" t="s">
        <v>144</v>
      </c>
      <c r="AG1100" s="838"/>
      <c r="AH1100" s="866"/>
      <c r="AI1100" s="273"/>
      <c r="AJ1100" s="847"/>
      <c r="AK1100" s="848"/>
      <c r="AL1100" s="867"/>
      <c r="AM1100" s="273"/>
      <c r="AN1100" s="847"/>
      <c r="AO1100" s="848"/>
      <c r="AP1100" s="867"/>
      <c r="AQ1100" s="273"/>
      <c r="AR1100" s="847"/>
      <c r="AS1100" s="848"/>
      <c r="AT1100" s="867"/>
      <c r="AU1100" s="273"/>
      <c r="AV1100" s="847"/>
      <c r="AW1100" s="848"/>
      <c r="AX1100" s="867"/>
      <c r="AY1100" s="273"/>
      <c r="AZ1100" s="847"/>
      <c r="BA1100" s="848"/>
      <c r="BB1100" s="866"/>
      <c r="BC1100" s="273"/>
      <c r="BD1100" s="847"/>
      <c r="BE1100" s="848"/>
      <c r="BF1100" s="838"/>
    </row>
    <row r="1101" spans="1:58" s="87" customFormat="1" ht="54" hidden="1" customHeight="1" x14ac:dyDescent="0.25">
      <c r="A1101" s="267" t="s">
        <v>7374</v>
      </c>
      <c r="B1101" s="268">
        <v>203</v>
      </c>
      <c r="C1101" s="240" t="s">
        <v>684</v>
      </c>
      <c r="D1101" s="270" t="s">
        <v>685</v>
      </c>
      <c r="E1101" s="268" t="s">
        <v>8051</v>
      </c>
      <c r="F1101" s="299" t="s">
        <v>4817</v>
      </c>
      <c r="G1101" s="269" t="s">
        <v>4818</v>
      </c>
      <c r="H1101" s="845" t="s">
        <v>4819</v>
      </c>
      <c r="I1101" s="269" t="s">
        <v>4820</v>
      </c>
      <c r="J1101" s="296" t="s">
        <v>140</v>
      </c>
      <c r="K1101" s="297" t="s">
        <v>140</v>
      </c>
      <c r="L1101" s="862" t="s">
        <v>4821</v>
      </c>
      <c r="M1101" s="206" t="s">
        <v>193</v>
      </c>
      <c r="N1101" s="211" t="s">
        <v>194</v>
      </c>
      <c r="O1101" s="240" t="s">
        <v>144</v>
      </c>
      <c r="P1101" s="240" t="s">
        <v>144</v>
      </c>
      <c r="Q1101" s="845" t="s">
        <v>144</v>
      </c>
      <c r="R1101" s="208" t="s">
        <v>144</v>
      </c>
      <c r="S1101" s="268" t="s">
        <v>147</v>
      </c>
      <c r="T1101" s="212" t="s">
        <v>144</v>
      </c>
      <c r="U1101" s="213" t="s">
        <v>144</v>
      </c>
      <c r="V1101" s="240">
        <v>12</v>
      </c>
      <c r="W1101" s="206" t="s">
        <v>144</v>
      </c>
      <c r="X1101" s="212">
        <v>41</v>
      </c>
      <c r="Y1101" s="212" t="s">
        <v>144</v>
      </c>
      <c r="Z1101" s="212" t="s">
        <v>144</v>
      </c>
      <c r="AA1101" s="240" t="s">
        <v>4095</v>
      </c>
      <c r="AB1101" s="206" t="s">
        <v>140</v>
      </c>
      <c r="AC1101" s="847" t="s">
        <v>265</v>
      </c>
      <c r="AD1101" s="847" t="s">
        <v>144</v>
      </c>
      <c r="AE1101" s="847" t="s">
        <v>144</v>
      </c>
      <c r="AF1101" s="848" t="s">
        <v>144</v>
      </c>
      <c r="AG1101" s="838"/>
      <c r="AH1101" s="866"/>
      <c r="AI1101" s="273"/>
      <c r="AJ1101" s="847"/>
      <c r="AK1101" s="848"/>
      <c r="AL1101" s="867"/>
      <c r="AM1101" s="273"/>
      <c r="AN1101" s="847"/>
      <c r="AO1101" s="848"/>
      <c r="AP1101" s="867"/>
      <c r="AQ1101" s="273"/>
      <c r="AR1101" s="847"/>
      <c r="AS1101" s="848"/>
      <c r="AT1101" s="867"/>
      <c r="AU1101" s="273"/>
      <c r="AV1101" s="847"/>
      <c r="AW1101" s="848"/>
      <c r="AX1101" s="867"/>
      <c r="AY1101" s="273"/>
      <c r="AZ1101" s="847"/>
      <c r="BA1101" s="848"/>
      <c r="BB1101" s="866"/>
      <c r="BC1101" s="273"/>
      <c r="BD1101" s="847"/>
      <c r="BE1101" s="848"/>
      <c r="BF1101" s="838"/>
    </row>
    <row r="1102" spans="1:58" s="87" customFormat="1" ht="54" hidden="1" customHeight="1" x14ac:dyDescent="0.25">
      <c r="A1102" s="267" t="s">
        <v>7374</v>
      </c>
      <c r="B1102" s="268">
        <v>204</v>
      </c>
      <c r="C1102" s="240" t="s">
        <v>4718</v>
      </c>
      <c r="D1102" s="270" t="s">
        <v>4719</v>
      </c>
      <c r="E1102" s="268" t="s">
        <v>8052</v>
      </c>
      <c r="F1102" s="299" t="s">
        <v>4823</v>
      </c>
      <c r="G1102" s="269" t="s">
        <v>4824</v>
      </c>
      <c r="H1102" s="845" t="s">
        <v>4825</v>
      </c>
      <c r="I1102" s="269" t="s">
        <v>4826</v>
      </c>
      <c r="J1102" s="296" t="s">
        <v>140</v>
      </c>
      <c r="K1102" s="297" t="s">
        <v>140</v>
      </c>
      <c r="L1102" s="862" t="s">
        <v>4827</v>
      </c>
      <c r="M1102" s="847" t="s">
        <v>193</v>
      </c>
      <c r="N1102" s="211" t="s">
        <v>194</v>
      </c>
      <c r="O1102" s="240" t="s">
        <v>144</v>
      </c>
      <c r="P1102" s="240" t="s">
        <v>144</v>
      </c>
      <c r="Q1102" s="845" t="s">
        <v>144</v>
      </c>
      <c r="R1102" s="208" t="s">
        <v>144</v>
      </c>
      <c r="S1102" s="268" t="s">
        <v>147</v>
      </c>
      <c r="T1102" s="212" t="s">
        <v>144</v>
      </c>
      <c r="U1102" s="213" t="s">
        <v>144</v>
      </c>
      <c r="V1102" s="240">
        <v>12</v>
      </c>
      <c r="W1102" s="206" t="s">
        <v>144</v>
      </c>
      <c r="X1102" s="212">
        <v>41</v>
      </c>
      <c r="Y1102" s="212" t="s">
        <v>144</v>
      </c>
      <c r="Z1102" s="212" t="s">
        <v>144</v>
      </c>
      <c r="AA1102" s="240" t="s">
        <v>4095</v>
      </c>
      <c r="AB1102" s="206" t="s">
        <v>140</v>
      </c>
      <c r="AC1102" s="847" t="s">
        <v>265</v>
      </c>
      <c r="AD1102" s="847" t="s">
        <v>144</v>
      </c>
      <c r="AE1102" s="847" t="s">
        <v>144</v>
      </c>
      <c r="AF1102" s="848" t="s">
        <v>144</v>
      </c>
      <c r="AG1102" s="838"/>
      <c r="AH1102" s="866"/>
      <c r="AI1102" s="273"/>
      <c r="AJ1102" s="847"/>
      <c r="AK1102" s="848"/>
      <c r="AL1102" s="867"/>
      <c r="AM1102" s="273"/>
      <c r="AN1102" s="847"/>
      <c r="AO1102" s="848"/>
      <c r="AP1102" s="867"/>
      <c r="AQ1102" s="273"/>
      <c r="AR1102" s="847"/>
      <c r="AS1102" s="848"/>
      <c r="AT1102" s="867"/>
      <c r="AU1102" s="273"/>
      <c r="AV1102" s="847"/>
      <c r="AW1102" s="848"/>
      <c r="AX1102" s="867"/>
      <c r="AY1102" s="273"/>
      <c r="AZ1102" s="847"/>
      <c r="BA1102" s="848"/>
      <c r="BB1102" s="866"/>
      <c r="BC1102" s="273"/>
      <c r="BD1102" s="847"/>
      <c r="BE1102" s="848"/>
      <c r="BF1102" s="838"/>
    </row>
    <row r="1103" spans="1:58" s="55" customFormat="1" ht="54" customHeight="1" x14ac:dyDescent="0.25">
      <c r="A1103" s="275" t="s">
        <v>7374</v>
      </c>
      <c r="B1103" s="276">
        <v>205</v>
      </c>
      <c r="C1103" s="253" t="s">
        <v>144</v>
      </c>
      <c r="D1103" s="253" t="s">
        <v>144</v>
      </c>
      <c r="E1103" s="276" t="s">
        <v>8053</v>
      </c>
      <c r="F1103" s="277" t="s">
        <v>251</v>
      </c>
      <c r="G1103" s="277" t="s">
        <v>251</v>
      </c>
      <c r="H1103" s="220" t="s">
        <v>336</v>
      </c>
      <c r="I1103" s="277" t="s">
        <v>337</v>
      </c>
      <c r="J1103" s="302" t="s">
        <v>144</v>
      </c>
      <c r="K1103" s="302" t="s">
        <v>144</v>
      </c>
      <c r="L1103" s="718" t="s">
        <v>8054</v>
      </c>
      <c r="M1103" s="253" t="s">
        <v>144</v>
      </c>
      <c r="N1103" s="302" t="s">
        <v>144</v>
      </c>
      <c r="O1103" s="253" t="s">
        <v>144</v>
      </c>
      <c r="P1103" s="253" t="s">
        <v>144</v>
      </c>
      <c r="Q1103" s="220" t="s">
        <v>338</v>
      </c>
      <c r="R1103" s="220" t="s">
        <v>339</v>
      </c>
      <c r="S1103" s="276" t="s">
        <v>147</v>
      </c>
      <c r="T1103" s="221" t="s">
        <v>144</v>
      </c>
      <c r="U1103" s="221" t="s">
        <v>144</v>
      </c>
      <c r="V1103" s="253">
        <v>2</v>
      </c>
      <c r="W1103" s="217" t="s">
        <v>144</v>
      </c>
      <c r="X1103" s="221" t="s">
        <v>144</v>
      </c>
      <c r="Y1103" s="221" t="s">
        <v>144</v>
      </c>
      <c r="Z1103" s="221" t="s">
        <v>144</v>
      </c>
      <c r="AA1103" s="217" t="s">
        <v>144</v>
      </c>
      <c r="AB1103" s="217" t="s">
        <v>144</v>
      </c>
      <c r="AC1103" s="253" t="s">
        <v>265</v>
      </c>
      <c r="AD1103" s="253" t="s">
        <v>144</v>
      </c>
      <c r="AE1103" s="253" t="s">
        <v>144</v>
      </c>
      <c r="AF1103" s="254" t="s">
        <v>144</v>
      </c>
      <c r="AG1103" s="838"/>
      <c r="AH1103" s="280"/>
      <c r="AI1103" s="281"/>
      <c r="AJ1103" s="253"/>
      <c r="AK1103" s="254"/>
      <c r="AL1103" s="281"/>
      <c r="AM1103" s="281"/>
      <c r="AN1103" s="253"/>
      <c r="AO1103" s="254"/>
      <c r="AP1103" s="281"/>
      <c r="AQ1103" s="281"/>
      <c r="AR1103" s="253"/>
      <c r="AS1103" s="254"/>
      <c r="AT1103" s="281"/>
      <c r="AU1103" s="281"/>
      <c r="AV1103" s="253"/>
      <c r="AW1103" s="254"/>
      <c r="AX1103" s="281"/>
      <c r="AY1103" s="281"/>
      <c r="AZ1103" s="253"/>
      <c r="BA1103" s="254"/>
      <c r="BB1103" s="280"/>
      <c r="BC1103" s="281"/>
      <c r="BD1103" s="253"/>
      <c r="BE1103" s="254"/>
      <c r="BF1103" s="838"/>
    </row>
    <row r="1104" spans="1:58" s="55" customFormat="1" ht="54" hidden="1" customHeight="1" x14ac:dyDescent="0.25">
      <c r="A1104" s="275" t="s">
        <v>7374</v>
      </c>
      <c r="B1104" s="276">
        <v>206</v>
      </c>
      <c r="C1104" s="253" t="s">
        <v>144</v>
      </c>
      <c r="D1104" s="217" t="s">
        <v>144</v>
      </c>
      <c r="E1104" s="276" t="s">
        <v>8055</v>
      </c>
      <c r="F1104" s="277" t="s">
        <v>5205</v>
      </c>
      <c r="G1104" s="277" t="s">
        <v>5206</v>
      </c>
      <c r="H1104" s="218" t="s">
        <v>5205</v>
      </c>
      <c r="I1104" s="277" t="s">
        <v>5207</v>
      </c>
      <c r="J1104" s="302" t="s">
        <v>144</v>
      </c>
      <c r="K1104" s="302" t="s">
        <v>144</v>
      </c>
      <c r="L1104" s="718" t="s">
        <v>5208</v>
      </c>
      <c r="M1104" s="253" t="s">
        <v>144</v>
      </c>
      <c r="N1104" s="253" t="s">
        <v>144</v>
      </c>
      <c r="O1104" s="253" t="s">
        <v>5092</v>
      </c>
      <c r="P1104" s="253" t="s">
        <v>5093</v>
      </c>
      <c r="Q1104" s="220" t="s">
        <v>338</v>
      </c>
      <c r="R1104" s="220" t="s">
        <v>339</v>
      </c>
      <c r="S1104" s="276" t="s">
        <v>147</v>
      </c>
      <c r="T1104" s="221" t="s">
        <v>144</v>
      </c>
      <c r="U1104" s="221" t="s">
        <v>144</v>
      </c>
      <c r="V1104" s="253">
        <v>1</v>
      </c>
      <c r="W1104" s="217" t="s">
        <v>144</v>
      </c>
      <c r="X1104" s="221">
        <v>41</v>
      </c>
      <c r="Y1104" s="221">
        <v>43</v>
      </c>
      <c r="Z1104" s="221" t="s">
        <v>144</v>
      </c>
      <c r="AA1104" s="217" t="s">
        <v>144</v>
      </c>
      <c r="AB1104" s="217" t="s">
        <v>144</v>
      </c>
      <c r="AC1104" s="253" t="s">
        <v>265</v>
      </c>
      <c r="AD1104" s="253" t="s">
        <v>144</v>
      </c>
      <c r="AE1104" s="253" t="s">
        <v>144</v>
      </c>
      <c r="AF1104" s="254" t="s">
        <v>144</v>
      </c>
      <c r="AG1104" s="838"/>
      <c r="AH1104" s="280"/>
      <c r="AI1104" s="281"/>
      <c r="AJ1104" s="253"/>
      <c r="AK1104" s="254"/>
      <c r="AL1104" s="281"/>
      <c r="AM1104" s="281"/>
      <c r="AN1104" s="253"/>
      <c r="AO1104" s="254"/>
      <c r="AP1104" s="281"/>
      <c r="AQ1104" s="281"/>
      <c r="AR1104" s="253"/>
      <c r="AS1104" s="254"/>
      <c r="AT1104" s="281"/>
      <c r="AU1104" s="281"/>
      <c r="AV1104" s="253"/>
      <c r="AW1104" s="254"/>
      <c r="AX1104" s="281"/>
      <c r="AY1104" s="281"/>
      <c r="AZ1104" s="253"/>
      <c r="BA1104" s="254"/>
      <c r="BB1104" s="280"/>
      <c r="BC1104" s="281"/>
      <c r="BD1104" s="253"/>
      <c r="BE1104" s="254"/>
      <c r="BF1104" s="838"/>
    </row>
    <row r="1105" spans="1:58" s="55" customFormat="1" ht="54" hidden="1" customHeight="1" x14ac:dyDescent="0.25">
      <c r="A1105" s="275" t="s">
        <v>7374</v>
      </c>
      <c r="B1105" s="276">
        <v>207</v>
      </c>
      <c r="C1105" s="253" t="s">
        <v>144</v>
      </c>
      <c r="D1105" s="217" t="s">
        <v>144</v>
      </c>
      <c r="E1105" s="276" t="s">
        <v>8056</v>
      </c>
      <c r="F1105" s="277" t="s">
        <v>5213</v>
      </c>
      <c r="G1105" s="277" t="s">
        <v>5216</v>
      </c>
      <c r="H1105" s="218" t="s">
        <v>5215</v>
      </c>
      <c r="I1105" s="218" t="s">
        <v>5216</v>
      </c>
      <c r="J1105" s="253" t="s">
        <v>144</v>
      </c>
      <c r="K1105" s="253" t="s">
        <v>144</v>
      </c>
      <c r="L1105" s="718" t="s">
        <v>5217</v>
      </c>
      <c r="M1105" s="217" t="s">
        <v>144</v>
      </c>
      <c r="N1105" s="217" t="s">
        <v>144</v>
      </c>
      <c r="O1105" s="253" t="s">
        <v>5218</v>
      </c>
      <c r="P1105" s="253" t="s">
        <v>5219</v>
      </c>
      <c r="Q1105" s="220" t="s">
        <v>338</v>
      </c>
      <c r="R1105" s="220" t="s">
        <v>339</v>
      </c>
      <c r="S1105" s="276" t="s">
        <v>147</v>
      </c>
      <c r="T1105" s="221" t="s">
        <v>144</v>
      </c>
      <c r="U1105" s="221" t="s">
        <v>144</v>
      </c>
      <c r="V1105" s="253">
        <v>1</v>
      </c>
      <c r="W1105" s="217" t="s">
        <v>144</v>
      </c>
      <c r="X1105" s="221">
        <v>43</v>
      </c>
      <c r="Y1105" s="221">
        <v>43</v>
      </c>
      <c r="Z1105" s="221" t="s">
        <v>144</v>
      </c>
      <c r="AA1105" s="217" t="s">
        <v>144</v>
      </c>
      <c r="AB1105" s="217" t="s">
        <v>144</v>
      </c>
      <c r="AC1105" s="253" t="s">
        <v>265</v>
      </c>
      <c r="AD1105" s="253" t="s">
        <v>144</v>
      </c>
      <c r="AE1105" s="253" t="s">
        <v>144</v>
      </c>
      <c r="AF1105" s="254" t="s">
        <v>144</v>
      </c>
      <c r="AG1105" s="838"/>
      <c r="AH1105" s="280"/>
      <c r="AI1105" s="281"/>
      <c r="AJ1105" s="253"/>
      <c r="AK1105" s="254"/>
      <c r="AL1105" s="281"/>
      <c r="AM1105" s="281"/>
      <c r="AN1105" s="253"/>
      <c r="AO1105" s="254"/>
      <c r="AP1105" s="281"/>
      <c r="AQ1105" s="281"/>
      <c r="AR1105" s="253"/>
      <c r="AS1105" s="254"/>
      <c r="AT1105" s="281"/>
      <c r="AU1105" s="281"/>
      <c r="AV1105" s="253"/>
      <c r="AW1105" s="254"/>
      <c r="AX1105" s="281"/>
      <c r="AY1105" s="281"/>
      <c r="AZ1105" s="253"/>
      <c r="BA1105" s="254"/>
      <c r="BB1105" s="280"/>
      <c r="BC1105" s="281"/>
      <c r="BD1105" s="253"/>
      <c r="BE1105" s="254"/>
      <c r="BF1105" s="838"/>
    </row>
    <row r="1106" spans="1:58" s="55" customFormat="1" ht="54" hidden="1" customHeight="1" x14ac:dyDescent="0.25">
      <c r="A1106" s="275" t="s">
        <v>7374</v>
      </c>
      <c r="B1106" s="276">
        <v>208</v>
      </c>
      <c r="C1106" s="253" t="s">
        <v>144</v>
      </c>
      <c r="D1106" s="217" t="s">
        <v>144</v>
      </c>
      <c r="E1106" s="276" t="s">
        <v>8057</v>
      </c>
      <c r="F1106" s="277" t="s">
        <v>5226</v>
      </c>
      <c r="G1106" s="277" t="s">
        <v>5227</v>
      </c>
      <c r="H1106" s="218" t="s">
        <v>5228</v>
      </c>
      <c r="I1106" s="218" t="s">
        <v>5229</v>
      </c>
      <c r="J1106" s="253" t="s">
        <v>144</v>
      </c>
      <c r="K1106" s="253" t="s">
        <v>144</v>
      </c>
      <c r="L1106" s="718" t="s">
        <v>5230</v>
      </c>
      <c r="M1106" s="217" t="s">
        <v>144</v>
      </c>
      <c r="N1106" s="217" t="s">
        <v>144</v>
      </c>
      <c r="O1106" s="253" t="s">
        <v>144</v>
      </c>
      <c r="P1106" s="253" t="s">
        <v>144</v>
      </c>
      <c r="Q1106" s="220" t="s">
        <v>338</v>
      </c>
      <c r="R1106" s="220" t="s">
        <v>339</v>
      </c>
      <c r="S1106" s="276" t="s">
        <v>147</v>
      </c>
      <c r="T1106" s="221" t="s">
        <v>144</v>
      </c>
      <c r="U1106" s="221" t="s">
        <v>144</v>
      </c>
      <c r="V1106" s="253">
        <v>3</v>
      </c>
      <c r="W1106" s="217" t="s">
        <v>144</v>
      </c>
      <c r="X1106" s="221">
        <v>43</v>
      </c>
      <c r="Y1106" s="221">
        <v>43</v>
      </c>
      <c r="Z1106" s="222" t="s">
        <v>144</v>
      </c>
      <c r="AA1106" s="217" t="s">
        <v>144</v>
      </c>
      <c r="AB1106" s="217" t="s">
        <v>144</v>
      </c>
      <c r="AC1106" s="253" t="s">
        <v>265</v>
      </c>
      <c r="AD1106" s="253" t="s">
        <v>144</v>
      </c>
      <c r="AE1106" s="253" t="s">
        <v>144</v>
      </c>
      <c r="AF1106" s="254" t="s">
        <v>144</v>
      </c>
      <c r="AG1106" s="838"/>
      <c r="AH1106" s="280"/>
      <c r="AI1106" s="281"/>
      <c r="AJ1106" s="253"/>
      <c r="AK1106" s="254"/>
      <c r="AL1106" s="281"/>
      <c r="AM1106" s="281"/>
      <c r="AN1106" s="253"/>
      <c r="AO1106" s="254"/>
      <c r="AP1106" s="281"/>
      <c r="AQ1106" s="281"/>
      <c r="AR1106" s="253"/>
      <c r="AS1106" s="254"/>
      <c r="AT1106" s="281"/>
      <c r="AU1106" s="281"/>
      <c r="AV1106" s="253"/>
      <c r="AW1106" s="254"/>
      <c r="AX1106" s="281"/>
      <c r="AY1106" s="281"/>
      <c r="AZ1106" s="253"/>
      <c r="BA1106" s="254"/>
      <c r="BB1106" s="280"/>
      <c r="BC1106" s="281"/>
      <c r="BD1106" s="253"/>
      <c r="BE1106" s="254"/>
      <c r="BF1106" s="838"/>
    </row>
    <row r="1107" spans="1:58" s="55" customFormat="1" ht="54" hidden="1" customHeight="1" x14ac:dyDescent="0.25">
      <c r="A1107" s="275" t="s">
        <v>7374</v>
      </c>
      <c r="B1107" s="276">
        <v>209</v>
      </c>
      <c r="C1107" s="253" t="s">
        <v>144</v>
      </c>
      <c r="D1107" s="217" t="s">
        <v>144</v>
      </c>
      <c r="E1107" s="276" t="s">
        <v>8058</v>
      </c>
      <c r="F1107" s="277" t="s">
        <v>5239</v>
      </c>
      <c r="G1107" s="277" t="s">
        <v>5240</v>
      </c>
      <c r="H1107" s="218" t="s">
        <v>5241</v>
      </c>
      <c r="I1107" s="377" t="s">
        <v>5242</v>
      </c>
      <c r="J1107" s="253" t="s">
        <v>144</v>
      </c>
      <c r="K1107" s="253" t="s">
        <v>144</v>
      </c>
      <c r="L1107" s="718" t="s">
        <v>8059</v>
      </c>
      <c r="M1107" s="217" t="s">
        <v>144</v>
      </c>
      <c r="N1107" s="217" t="s">
        <v>144</v>
      </c>
      <c r="O1107" s="253" t="s">
        <v>5244</v>
      </c>
      <c r="P1107" s="253" t="s">
        <v>5245</v>
      </c>
      <c r="Q1107" s="220" t="s">
        <v>338</v>
      </c>
      <c r="R1107" s="220" t="s">
        <v>339</v>
      </c>
      <c r="S1107" s="276" t="s">
        <v>147</v>
      </c>
      <c r="T1107" s="221" t="s">
        <v>144</v>
      </c>
      <c r="U1107" s="221" t="s">
        <v>144</v>
      </c>
      <c r="V1107" s="253">
        <v>3</v>
      </c>
      <c r="W1107" s="217" t="s">
        <v>144</v>
      </c>
      <c r="X1107" s="221">
        <v>43</v>
      </c>
      <c r="Y1107" s="221">
        <v>43</v>
      </c>
      <c r="Z1107" s="222" t="s">
        <v>144</v>
      </c>
      <c r="AA1107" s="217" t="s">
        <v>144</v>
      </c>
      <c r="AB1107" s="217" t="s">
        <v>144</v>
      </c>
      <c r="AC1107" s="253" t="s">
        <v>265</v>
      </c>
      <c r="AD1107" s="253" t="s">
        <v>144</v>
      </c>
      <c r="AE1107" s="253" t="s">
        <v>144</v>
      </c>
      <c r="AF1107" s="254" t="s">
        <v>144</v>
      </c>
      <c r="AG1107" s="838"/>
      <c r="AH1107" s="280"/>
      <c r="AI1107" s="281"/>
      <c r="AJ1107" s="253"/>
      <c r="AK1107" s="254"/>
      <c r="AL1107" s="281"/>
      <c r="AM1107" s="281"/>
      <c r="AN1107" s="253"/>
      <c r="AO1107" s="254"/>
      <c r="AP1107" s="281"/>
      <c r="AQ1107" s="281"/>
      <c r="AR1107" s="253"/>
      <c r="AS1107" s="254"/>
      <c r="AT1107" s="281"/>
      <c r="AU1107" s="281"/>
      <c r="AV1107" s="253"/>
      <c r="AW1107" s="254"/>
      <c r="AX1107" s="281"/>
      <c r="AY1107" s="281"/>
      <c r="AZ1107" s="253"/>
      <c r="BA1107" s="254"/>
      <c r="BB1107" s="280"/>
      <c r="BC1107" s="281"/>
      <c r="BD1107" s="253"/>
      <c r="BE1107" s="254"/>
      <c r="BF1107" s="838"/>
    </row>
    <row r="1108" spans="1:58" s="55" customFormat="1" ht="54" hidden="1" customHeight="1" x14ac:dyDescent="0.25">
      <c r="A1108" s="275" t="s">
        <v>7374</v>
      </c>
      <c r="B1108" s="276">
        <v>210</v>
      </c>
      <c r="C1108" s="253" t="s">
        <v>1022</v>
      </c>
      <c r="D1108" s="217" t="s">
        <v>1023</v>
      </c>
      <c r="E1108" s="276" t="s">
        <v>8060</v>
      </c>
      <c r="F1108" s="277" t="s">
        <v>5255</v>
      </c>
      <c r="G1108" s="277" t="s">
        <v>5256</v>
      </c>
      <c r="H1108" s="218" t="s">
        <v>5255</v>
      </c>
      <c r="I1108" s="277" t="s">
        <v>5256</v>
      </c>
      <c r="J1108" s="278" t="s">
        <v>144</v>
      </c>
      <c r="K1108" s="278" t="s">
        <v>144</v>
      </c>
      <c r="L1108" s="718" t="s">
        <v>8061</v>
      </c>
      <c r="M1108" s="253" t="s">
        <v>144</v>
      </c>
      <c r="N1108" s="302" t="s">
        <v>144</v>
      </c>
      <c r="O1108" s="253" t="s">
        <v>144</v>
      </c>
      <c r="P1108" s="253" t="s">
        <v>144</v>
      </c>
      <c r="Q1108" s="218" t="s">
        <v>144</v>
      </c>
      <c r="R1108" s="218" t="s">
        <v>144</v>
      </c>
      <c r="S1108" s="276" t="s">
        <v>147</v>
      </c>
      <c r="T1108" s="221" t="s">
        <v>144</v>
      </c>
      <c r="U1108" s="221" t="s">
        <v>144</v>
      </c>
      <c r="V1108" s="253">
        <v>20</v>
      </c>
      <c r="W1108" s="217" t="s">
        <v>144</v>
      </c>
      <c r="X1108" s="221" t="s">
        <v>144</v>
      </c>
      <c r="Y1108" s="221" t="s">
        <v>144</v>
      </c>
      <c r="Z1108" s="222" t="s">
        <v>144</v>
      </c>
      <c r="AA1108" s="217" t="s">
        <v>144</v>
      </c>
      <c r="AB1108" s="217" t="s">
        <v>144</v>
      </c>
      <c r="AC1108" s="253" t="s">
        <v>265</v>
      </c>
      <c r="AD1108" s="253" t="s">
        <v>144</v>
      </c>
      <c r="AE1108" s="253" t="s">
        <v>144</v>
      </c>
      <c r="AF1108" s="254" t="s">
        <v>144</v>
      </c>
      <c r="AG1108" s="838"/>
      <c r="AH1108" s="280"/>
      <c r="AI1108" s="281"/>
      <c r="AJ1108" s="253"/>
      <c r="AK1108" s="254"/>
      <c r="AL1108" s="281"/>
      <c r="AM1108" s="281"/>
      <c r="AN1108" s="253"/>
      <c r="AO1108" s="254"/>
      <c r="AP1108" s="281"/>
      <c r="AQ1108" s="281"/>
      <c r="AR1108" s="253"/>
      <c r="AS1108" s="254"/>
      <c r="AT1108" s="281"/>
      <c r="AU1108" s="281"/>
      <c r="AV1108" s="253"/>
      <c r="AW1108" s="254"/>
      <c r="AX1108" s="281"/>
      <c r="AY1108" s="281"/>
      <c r="AZ1108" s="253"/>
      <c r="BA1108" s="254"/>
      <c r="BB1108" s="280"/>
      <c r="BC1108" s="281"/>
      <c r="BD1108" s="253"/>
      <c r="BE1108" s="254"/>
      <c r="BF1108" s="838"/>
    </row>
    <row r="1109" spans="1:58" s="87" customFormat="1" ht="54" hidden="1" customHeight="1" x14ac:dyDescent="0.25">
      <c r="A1109" s="267" t="s">
        <v>7374</v>
      </c>
      <c r="B1109" s="268">
        <v>211</v>
      </c>
      <c r="C1109" s="240" t="s">
        <v>5290</v>
      </c>
      <c r="D1109" s="211" t="s">
        <v>5291</v>
      </c>
      <c r="E1109" s="298" t="s">
        <v>8062</v>
      </c>
      <c r="F1109" s="299" t="s">
        <v>5293</v>
      </c>
      <c r="G1109" s="269" t="s">
        <v>5294</v>
      </c>
      <c r="H1109" s="845" t="s">
        <v>5295</v>
      </c>
      <c r="I1109" s="269" t="s">
        <v>5296</v>
      </c>
      <c r="J1109" s="296" t="s">
        <v>140</v>
      </c>
      <c r="K1109" s="297" t="s">
        <v>140</v>
      </c>
      <c r="L1109" s="862" t="s">
        <v>5297</v>
      </c>
      <c r="M1109" s="847" t="s">
        <v>973</v>
      </c>
      <c r="N1109" s="211" t="s">
        <v>974</v>
      </c>
      <c r="O1109" s="240" t="s">
        <v>5298</v>
      </c>
      <c r="P1109" s="240" t="s">
        <v>5299</v>
      </c>
      <c r="Q1109" s="845" t="s">
        <v>144</v>
      </c>
      <c r="R1109" s="208" t="s">
        <v>144</v>
      </c>
      <c r="S1109" s="864" t="s">
        <v>147</v>
      </c>
      <c r="T1109" s="212" t="s">
        <v>144</v>
      </c>
      <c r="U1109" s="213" t="s">
        <v>144</v>
      </c>
      <c r="V1109" s="847">
        <v>1</v>
      </c>
      <c r="W1109" s="415" t="s">
        <v>144</v>
      </c>
      <c r="X1109" s="212">
        <v>42</v>
      </c>
      <c r="Y1109" s="212" t="s">
        <v>144</v>
      </c>
      <c r="Z1109" s="252" t="s">
        <v>25</v>
      </c>
      <c r="AA1109" s="240" t="s">
        <v>441</v>
      </c>
      <c r="AB1109" s="206" t="s">
        <v>140</v>
      </c>
      <c r="AC1109" s="847" t="s">
        <v>265</v>
      </c>
      <c r="AD1109" s="847" t="s">
        <v>144</v>
      </c>
      <c r="AE1109" s="847" t="s">
        <v>144</v>
      </c>
      <c r="AF1109" s="848" t="s">
        <v>144</v>
      </c>
      <c r="AG1109" s="838"/>
      <c r="AH1109" s="866" t="s">
        <v>8063</v>
      </c>
      <c r="AI1109" s="273" t="s">
        <v>8064</v>
      </c>
      <c r="AJ1109" s="872">
        <v>7</v>
      </c>
      <c r="AK1109" s="286" t="s">
        <v>8065</v>
      </c>
      <c r="AL1109" s="875" t="s">
        <v>294</v>
      </c>
      <c r="AM1109" s="301" t="s">
        <v>295</v>
      </c>
      <c r="AN1109" s="847">
        <v>7</v>
      </c>
      <c r="AO1109" s="187" t="s">
        <v>966</v>
      </c>
      <c r="AP1109" s="867"/>
      <c r="AQ1109" s="273"/>
      <c r="AR1109" s="847"/>
      <c r="AS1109" s="848"/>
      <c r="AT1109" s="867"/>
      <c r="AU1109" s="273"/>
      <c r="AV1109" s="847"/>
      <c r="AW1109" s="848"/>
      <c r="AX1109" s="867"/>
      <c r="AY1109" s="273"/>
      <c r="AZ1109" s="847"/>
      <c r="BA1109" s="848"/>
      <c r="BB1109" s="866"/>
      <c r="BC1109" s="273"/>
      <c r="BD1109" s="847"/>
      <c r="BE1109" s="848"/>
      <c r="BF1109" s="838"/>
    </row>
    <row r="1110" spans="1:58" s="87" customFormat="1" ht="54" hidden="1" customHeight="1" x14ac:dyDescent="0.25">
      <c r="A1110" s="267" t="s">
        <v>7374</v>
      </c>
      <c r="B1110" s="268">
        <v>212</v>
      </c>
      <c r="C1110" s="240" t="s">
        <v>5290</v>
      </c>
      <c r="D1110" s="211" t="s">
        <v>5291</v>
      </c>
      <c r="E1110" s="298" t="s">
        <v>8066</v>
      </c>
      <c r="F1110" s="299" t="s">
        <v>5306</v>
      </c>
      <c r="G1110" s="269" t="s">
        <v>5307</v>
      </c>
      <c r="H1110" s="845" t="s">
        <v>5308</v>
      </c>
      <c r="I1110" s="269" t="s">
        <v>5309</v>
      </c>
      <c r="J1110" s="296" t="s">
        <v>140</v>
      </c>
      <c r="K1110" s="297" t="s">
        <v>140</v>
      </c>
      <c r="L1110" s="862" t="s">
        <v>5310</v>
      </c>
      <c r="M1110" s="847" t="s">
        <v>973</v>
      </c>
      <c r="N1110" s="211" t="s">
        <v>974</v>
      </c>
      <c r="O1110" s="240" t="s">
        <v>5311</v>
      </c>
      <c r="P1110" s="240" t="s">
        <v>5312</v>
      </c>
      <c r="Q1110" s="845" t="s">
        <v>144</v>
      </c>
      <c r="R1110" s="208" t="s">
        <v>144</v>
      </c>
      <c r="S1110" s="864" t="s">
        <v>147</v>
      </c>
      <c r="T1110" s="212" t="s">
        <v>144</v>
      </c>
      <c r="U1110" s="213" t="s">
        <v>144</v>
      </c>
      <c r="V1110" s="847">
        <v>1</v>
      </c>
      <c r="W1110" s="415" t="s">
        <v>144</v>
      </c>
      <c r="X1110" s="212">
        <v>42</v>
      </c>
      <c r="Y1110" s="212" t="s">
        <v>144</v>
      </c>
      <c r="Z1110" s="212" t="s">
        <v>144</v>
      </c>
      <c r="AA1110" s="240" t="s">
        <v>441</v>
      </c>
      <c r="AB1110" s="206" t="s">
        <v>140</v>
      </c>
      <c r="AC1110" s="847" t="s">
        <v>265</v>
      </c>
      <c r="AD1110" s="847" t="s">
        <v>144</v>
      </c>
      <c r="AE1110" s="847" t="s">
        <v>144</v>
      </c>
      <c r="AF1110" s="848" t="s">
        <v>144</v>
      </c>
      <c r="AG1110" s="838"/>
      <c r="AH1110" s="866" t="s">
        <v>8067</v>
      </c>
      <c r="AI1110" s="273" t="s">
        <v>8068</v>
      </c>
      <c r="AJ1110" s="847">
        <v>6</v>
      </c>
      <c r="AK1110" s="848" t="s">
        <v>8069</v>
      </c>
      <c r="AL1110" s="875" t="s">
        <v>294</v>
      </c>
      <c r="AM1110" s="301" t="s">
        <v>295</v>
      </c>
      <c r="AN1110" s="847">
        <v>7</v>
      </c>
      <c r="AO1110" s="187" t="s">
        <v>966</v>
      </c>
      <c r="AP1110" s="867"/>
      <c r="AQ1110" s="273"/>
      <c r="AR1110" s="847"/>
      <c r="AS1110" s="848"/>
      <c r="AT1110" s="312"/>
      <c r="AU1110" s="313"/>
      <c r="AV1110" s="289"/>
      <c r="AW1110" s="848"/>
      <c r="AX1110" s="867"/>
      <c r="AY1110" s="273"/>
      <c r="AZ1110" s="847"/>
      <c r="BA1110" s="848"/>
      <c r="BB1110" s="866"/>
      <c r="BC1110" s="273"/>
      <c r="BD1110" s="847"/>
      <c r="BE1110" s="848"/>
      <c r="BF1110" s="838"/>
    </row>
    <row r="1111" spans="1:58" s="87" customFormat="1" ht="54" hidden="1" customHeight="1" x14ac:dyDescent="0.25">
      <c r="A1111" s="267" t="s">
        <v>7374</v>
      </c>
      <c r="B1111" s="268">
        <v>213</v>
      </c>
      <c r="C1111" s="240" t="s">
        <v>1022</v>
      </c>
      <c r="D1111" s="270" t="s">
        <v>1023</v>
      </c>
      <c r="E1111" s="298" t="s">
        <v>8070</v>
      </c>
      <c r="F1111" s="299" t="s">
        <v>5317</v>
      </c>
      <c r="G1111" s="269" t="s">
        <v>5318</v>
      </c>
      <c r="H1111" s="299" t="s">
        <v>5319</v>
      </c>
      <c r="I1111" s="269" t="s">
        <v>5320</v>
      </c>
      <c r="J1111" s="296" t="s">
        <v>140</v>
      </c>
      <c r="K1111" s="297" t="s">
        <v>140</v>
      </c>
      <c r="L1111" s="862" t="s">
        <v>5321</v>
      </c>
      <c r="M1111" s="206" t="s">
        <v>193</v>
      </c>
      <c r="N1111" s="211" t="s">
        <v>194</v>
      </c>
      <c r="O1111" s="240" t="s">
        <v>144</v>
      </c>
      <c r="P1111" s="240" t="s">
        <v>144</v>
      </c>
      <c r="Q1111" s="845" t="s">
        <v>144</v>
      </c>
      <c r="R1111" s="208" t="s">
        <v>144</v>
      </c>
      <c r="S1111" s="864" t="s">
        <v>746</v>
      </c>
      <c r="T1111" s="212" t="s">
        <v>1104</v>
      </c>
      <c r="U1111" s="213" t="s">
        <v>1105</v>
      </c>
      <c r="V1111" s="847">
        <v>19</v>
      </c>
      <c r="W1111" s="415" t="s">
        <v>144</v>
      </c>
      <c r="X1111" s="212">
        <v>42</v>
      </c>
      <c r="Y1111" s="212" t="s">
        <v>144</v>
      </c>
      <c r="Z1111" s="212" t="s">
        <v>144</v>
      </c>
      <c r="AA1111" s="240" t="s">
        <v>398</v>
      </c>
      <c r="AB1111" s="206" t="s">
        <v>140</v>
      </c>
      <c r="AC1111" s="847" t="s">
        <v>265</v>
      </c>
      <c r="AD1111" s="847" t="s">
        <v>144</v>
      </c>
      <c r="AE1111" s="847" t="s">
        <v>144</v>
      </c>
      <c r="AF1111" s="848" t="s">
        <v>144</v>
      </c>
      <c r="AG1111" s="838"/>
      <c r="AH1111" s="866"/>
      <c r="AI1111" s="273"/>
      <c r="AJ1111" s="847"/>
      <c r="AK1111" s="848"/>
      <c r="AL1111" s="867"/>
      <c r="AM1111" s="273"/>
      <c r="AN1111" s="847"/>
      <c r="AO1111" s="848"/>
      <c r="AP1111" s="867" t="s">
        <v>1107</v>
      </c>
      <c r="AQ1111" s="273" t="s">
        <v>1108</v>
      </c>
      <c r="AR1111" s="847">
        <v>7</v>
      </c>
      <c r="AS1111" s="286" t="s">
        <v>1109</v>
      </c>
      <c r="AT1111" s="867"/>
      <c r="AU1111" s="273"/>
      <c r="AV1111" s="847"/>
      <c r="AW1111" s="848"/>
      <c r="AX1111" s="867"/>
      <c r="AY1111" s="273"/>
      <c r="AZ1111" s="847"/>
      <c r="BA1111" s="848"/>
      <c r="BB1111" s="866"/>
      <c r="BC1111" s="273"/>
      <c r="BD1111" s="847"/>
      <c r="BE1111" s="848"/>
      <c r="BF1111" s="838"/>
    </row>
    <row r="1112" spans="1:58" s="87" customFormat="1" ht="54" hidden="1" customHeight="1" x14ac:dyDescent="0.25">
      <c r="A1112" s="267" t="s">
        <v>7374</v>
      </c>
      <c r="B1112" s="268">
        <v>214</v>
      </c>
      <c r="C1112" s="240" t="s">
        <v>1022</v>
      </c>
      <c r="D1112" s="270" t="s">
        <v>1023</v>
      </c>
      <c r="E1112" s="298" t="s">
        <v>8071</v>
      </c>
      <c r="F1112" s="299" t="s">
        <v>5323</v>
      </c>
      <c r="G1112" s="269" t="s">
        <v>5324</v>
      </c>
      <c r="H1112" s="845" t="s">
        <v>5323</v>
      </c>
      <c r="I1112" s="269" t="s">
        <v>5324</v>
      </c>
      <c r="J1112" s="296" t="s">
        <v>140</v>
      </c>
      <c r="K1112" s="297" t="s">
        <v>140</v>
      </c>
      <c r="L1112" s="862" t="s">
        <v>5325</v>
      </c>
      <c r="M1112" s="206" t="s">
        <v>973</v>
      </c>
      <c r="N1112" s="211" t="s">
        <v>974</v>
      </c>
      <c r="O1112" s="240" t="s">
        <v>814</v>
      </c>
      <c r="P1112" s="240" t="s">
        <v>815</v>
      </c>
      <c r="Q1112" s="845" t="s">
        <v>144</v>
      </c>
      <c r="R1112" s="208" t="s">
        <v>144</v>
      </c>
      <c r="S1112" s="864" t="s">
        <v>147</v>
      </c>
      <c r="T1112" s="212" t="s">
        <v>144</v>
      </c>
      <c r="U1112" s="213" t="s">
        <v>144</v>
      </c>
      <c r="V1112" s="847">
        <v>3</v>
      </c>
      <c r="W1112" s="415" t="s">
        <v>144</v>
      </c>
      <c r="X1112" s="212">
        <v>42</v>
      </c>
      <c r="Y1112" s="212" t="s">
        <v>144</v>
      </c>
      <c r="Z1112" s="212" t="s">
        <v>144</v>
      </c>
      <c r="AA1112" s="240" t="s">
        <v>398</v>
      </c>
      <c r="AB1112" s="206" t="s">
        <v>140</v>
      </c>
      <c r="AC1112" s="847" t="s">
        <v>265</v>
      </c>
      <c r="AD1112" s="847" t="s">
        <v>144</v>
      </c>
      <c r="AE1112" s="847" t="s">
        <v>144</v>
      </c>
      <c r="AF1112" s="848" t="s">
        <v>144</v>
      </c>
      <c r="AG1112" s="838"/>
      <c r="AH1112" s="866" t="s">
        <v>8072</v>
      </c>
      <c r="AI1112" s="273" t="s">
        <v>8073</v>
      </c>
      <c r="AJ1112" s="847">
        <v>7</v>
      </c>
      <c r="AK1112" s="848" t="s">
        <v>1280</v>
      </c>
      <c r="AL1112" s="867" t="s">
        <v>294</v>
      </c>
      <c r="AM1112" s="273" t="s">
        <v>295</v>
      </c>
      <c r="AN1112" s="847">
        <v>7</v>
      </c>
      <c r="AO1112" s="187" t="s">
        <v>966</v>
      </c>
      <c r="AP1112" s="867"/>
      <c r="AQ1112" s="273"/>
      <c r="AR1112" s="847"/>
      <c r="AS1112" s="848"/>
      <c r="AT1112" s="867"/>
      <c r="AU1112" s="273"/>
      <c r="AV1112" s="847"/>
      <c r="AW1112" s="848"/>
      <c r="AX1112" s="867"/>
      <c r="AY1112" s="273"/>
      <c r="AZ1112" s="847"/>
      <c r="BA1112" s="848"/>
      <c r="BB1112" s="866"/>
      <c r="BC1112" s="273"/>
      <c r="BD1112" s="847"/>
      <c r="BE1112" s="848"/>
      <c r="BF1112" s="838"/>
    </row>
    <row r="1113" spans="1:58" s="55" customFormat="1" ht="54" hidden="1" customHeight="1" x14ac:dyDescent="0.25">
      <c r="A1113" s="275" t="s">
        <v>7374</v>
      </c>
      <c r="B1113" s="276">
        <v>215</v>
      </c>
      <c r="C1113" s="253" t="s">
        <v>1022</v>
      </c>
      <c r="D1113" s="253" t="s">
        <v>1023</v>
      </c>
      <c r="E1113" s="276" t="s">
        <v>8074</v>
      </c>
      <c r="F1113" s="277" t="s">
        <v>5259</v>
      </c>
      <c r="G1113" s="277" t="s">
        <v>5260</v>
      </c>
      <c r="H1113" s="277" t="s">
        <v>5261</v>
      </c>
      <c r="I1113" s="277" t="s">
        <v>5262</v>
      </c>
      <c r="J1113" s="253" t="s">
        <v>144</v>
      </c>
      <c r="K1113" s="253" t="s">
        <v>144</v>
      </c>
      <c r="L1113" s="718" t="s">
        <v>5263</v>
      </c>
      <c r="M1113" s="253" t="s">
        <v>144</v>
      </c>
      <c r="N1113" s="253" t="s">
        <v>144</v>
      </c>
      <c r="O1113" s="253" t="s">
        <v>144</v>
      </c>
      <c r="P1113" s="253" t="s">
        <v>144</v>
      </c>
      <c r="Q1113" s="218" t="s">
        <v>144</v>
      </c>
      <c r="R1113" s="218" t="s">
        <v>144</v>
      </c>
      <c r="S1113" s="276" t="s">
        <v>746</v>
      </c>
      <c r="T1113" s="221" t="s">
        <v>144</v>
      </c>
      <c r="U1113" s="221" t="s">
        <v>144</v>
      </c>
      <c r="V1113" s="253">
        <v>19</v>
      </c>
      <c r="W1113" s="217" t="s">
        <v>144</v>
      </c>
      <c r="X1113" s="221">
        <v>43</v>
      </c>
      <c r="Y1113" s="221">
        <v>43</v>
      </c>
      <c r="Z1113" s="222" t="s">
        <v>144</v>
      </c>
      <c r="AA1113" s="253" t="s">
        <v>398</v>
      </c>
      <c r="AB1113" s="217" t="s">
        <v>144</v>
      </c>
      <c r="AC1113" s="253" t="s">
        <v>265</v>
      </c>
      <c r="AD1113" s="253" t="s">
        <v>144</v>
      </c>
      <c r="AE1113" s="253" t="s">
        <v>144</v>
      </c>
      <c r="AF1113" s="254" t="s">
        <v>144</v>
      </c>
      <c r="AG1113" s="838"/>
      <c r="AH1113" s="280"/>
      <c r="AI1113" s="281"/>
      <c r="AJ1113" s="253"/>
      <c r="AK1113" s="254"/>
      <c r="AL1113" s="281"/>
      <c r="AM1113" s="281"/>
      <c r="AN1113" s="253"/>
      <c r="AO1113" s="254"/>
      <c r="AP1113" s="281"/>
      <c r="AQ1113" s="281"/>
      <c r="AR1113" s="253"/>
      <c r="AS1113" s="254"/>
      <c r="AT1113" s="281"/>
      <c r="AU1113" s="281"/>
      <c r="AV1113" s="253"/>
      <c r="AW1113" s="254"/>
      <c r="AX1113" s="281"/>
      <c r="AY1113" s="281"/>
      <c r="AZ1113" s="253"/>
      <c r="BA1113" s="254"/>
      <c r="BB1113" s="280"/>
      <c r="BC1113" s="281"/>
      <c r="BD1113" s="253"/>
      <c r="BE1113" s="254"/>
      <c r="BF1113" s="838"/>
    </row>
    <row r="1114" spans="1:58" s="55" customFormat="1" ht="54" hidden="1" customHeight="1" x14ac:dyDescent="0.25">
      <c r="A1114" s="275" t="s">
        <v>7374</v>
      </c>
      <c r="B1114" s="276">
        <v>216</v>
      </c>
      <c r="C1114" s="253" t="s">
        <v>1022</v>
      </c>
      <c r="D1114" s="253" t="s">
        <v>1023</v>
      </c>
      <c r="E1114" s="276" t="s">
        <v>8075</v>
      </c>
      <c r="F1114" s="277" t="s">
        <v>8076</v>
      </c>
      <c r="G1114" s="277" t="s">
        <v>5267</v>
      </c>
      <c r="H1114" s="218" t="s">
        <v>5268</v>
      </c>
      <c r="I1114" s="218" t="s">
        <v>5267</v>
      </c>
      <c r="J1114" s="253" t="s">
        <v>144</v>
      </c>
      <c r="K1114" s="253" t="s">
        <v>144</v>
      </c>
      <c r="L1114" s="718" t="s">
        <v>5269</v>
      </c>
      <c r="M1114" s="253" t="s">
        <v>144</v>
      </c>
      <c r="N1114" s="253" t="s">
        <v>144</v>
      </c>
      <c r="O1114" s="253" t="s">
        <v>144</v>
      </c>
      <c r="P1114" s="253" t="s">
        <v>144</v>
      </c>
      <c r="Q1114" s="218" t="s">
        <v>144</v>
      </c>
      <c r="R1114" s="218" t="s">
        <v>144</v>
      </c>
      <c r="S1114" s="276" t="s">
        <v>147</v>
      </c>
      <c r="T1114" s="221" t="s">
        <v>144</v>
      </c>
      <c r="U1114" s="221" t="s">
        <v>144</v>
      </c>
      <c r="V1114" s="253">
        <v>3</v>
      </c>
      <c r="W1114" s="217" t="s">
        <v>144</v>
      </c>
      <c r="X1114" s="221">
        <v>43</v>
      </c>
      <c r="Y1114" s="221">
        <v>43</v>
      </c>
      <c r="Z1114" s="222" t="s">
        <v>144</v>
      </c>
      <c r="AA1114" s="253" t="s">
        <v>398</v>
      </c>
      <c r="AB1114" s="217" t="s">
        <v>144</v>
      </c>
      <c r="AC1114" s="253" t="s">
        <v>265</v>
      </c>
      <c r="AD1114" s="253" t="s">
        <v>144</v>
      </c>
      <c r="AE1114" s="253" t="s">
        <v>144</v>
      </c>
      <c r="AF1114" s="254" t="s">
        <v>144</v>
      </c>
      <c r="AG1114" s="838"/>
      <c r="AH1114" s="280"/>
      <c r="AI1114" s="281"/>
      <c r="AJ1114" s="253"/>
      <c r="AK1114" s="254"/>
      <c r="AL1114" s="281"/>
      <c r="AM1114" s="281"/>
      <c r="AN1114" s="253"/>
      <c r="AO1114" s="254"/>
      <c r="AP1114" s="281"/>
      <c r="AQ1114" s="281"/>
      <c r="AR1114" s="253"/>
      <c r="AS1114" s="254"/>
      <c r="AT1114" s="281"/>
      <c r="AU1114" s="281"/>
      <c r="AV1114" s="253"/>
      <c r="AW1114" s="254"/>
      <c r="AX1114" s="281"/>
      <c r="AY1114" s="281"/>
      <c r="AZ1114" s="253"/>
      <c r="BA1114" s="254"/>
      <c r="BB1114" s="280"/>
      <c r="BC1114" s="281"/>
      <c r="BD1114" s="253"/>
      <c r="BE1114" s="254"/>
      <c r="BF1114" s="838"/>
    </row>
    <row r="1115" spans="1:58" s="87" customFormat="1" ht="54" hidden="1" customHeight="1" x14ac:dyDescent="0.25">
      <c r="A1115" s="267" t="s">
        <v>7374</v>
      </c>
      <c r="B1115" s="268">
        <v>217</v>
      </c>
      <c r="C1115" s="240" t="s">
        <v>1022</v>
      </c>
      <c r="D1115" s="270" t="s">
        <v>1023</v>
      </c>
      <c r="E1115" s="268" t="s">
        <v>8077</v>
      </c>
      <c r="F1115" s="861" t="s">
        <v>5273</v>
      </c>
      <c r="G1115" s="269" t="s">
        <v>5274</v>
      </c>
      <c r="H1115" s="845" t="s">
        <v>5275</v>
      </c>
      <c r="I1115" s="208" t="s">
        <v>5276</v>
      </c>
      <c r="J1115" s="240" t="s">
        <v>140</v>
      </c>
      <c r="K1115" s="270" t="s">
        <v>140</v>
      </c>
      <c r="L1115" s="862" t="s">
        <v>5277</v>
      </c>
      <c r="M1115" s="206" t="s">
        <v>142</v>
      </c>
      <c r="N1115" s="211" t="s">
        <v>143</v>
      </c>
      <c r="O1115" s="240" t="s">
        <v>5278</v>
      </c>
      <c r="P1115" s="240" t="s">
        <v>5279</v>
      </c>
      <c r="Q1115" s="845" t="s">
        <v>144</v>
      </c>
      <c r="R1115" s="208" t="s">
        <v>144</v>
      </c>
      <c r="S1115" s="864" t="s">
        <v>147</v>
      </c>
      <c r="T1115" s="212" t="s">
        <v>144</v>
      </c>
      <c r="U1115" s="213" t="s">
        <v>144</v>
      </c>
      <c r="V1115" s="847">
        <v>1</v>
      </c>
      <c r="W1115" s="415" t="s">
        <v>144</v>
      </c>
      <c r="X1115" s="212">
        <v>43</v>
      </c>
      <c r="Y1115" s="212" t="s">
        <v>144</v>
      </c>
      <c r="Z1115" s="214" t="s">
        <v>144</v>
      </c>
      <c r="AA1115" s="240" t="s">
        <v>398</v>
      </c>
      <c r="AB1115" s="206" t="s">
        <v>140</v>
      </c>
      <c r="AC1115" s="847" t="s">
        <v>265</v>
      </c>
      <c r="AD1115" s="847" t="s">
        <v>144</v>
      </c>
      <c r="AE1115" s="847" t="s">
        <v>144</v>
      </c>
      <c r="AF1115" s="848" t="s">
        <v>144</v>
      </c>
      <c r="AG1115" s="838"/>
      <c r="AH1115" s="866" t="s">
        <v>266</v>
      </c>
      <c r="AI1115" s="273" t="s">
        <v>267</v>
      </c>
      <c r="AJ1115" s="847">
        <v>7</v>
      </c>
      <c r="AK1115" s="848" t="s">
        <v>1046</v>
      </c>
      <c r="AL1115" s="875" t="s">
        <v>294</v>
      </c>
      <c r="AM1115" s="301" t="s">
        <v>295</v>
      </c>
      <c r="AN1115" s="847">
        <v>7</v>
      </c>
      <c r="AO1115" s="187" t="s">
        <v>966</v>
      </c>
      <c r="AP1115" s="867"/>
      <c r="AQ1115" s="273"/>
      <c r="AR1115" s="847"/>
      <c r="AS1115" s="848"/>
      <c r="AT1115" s="867"/>
      <c r="AU1115" s="273"/>
      <c r="AV1115" s="847"/>
      <c r="AW1115" s="848"/>
      <c r="AX1115" s="867"/>
      <c r="AY1115" s="273"/>
      <c r="AZ1115" s="847"/>
      <c r="BA1115" s="848"/>
      <c r="BB1115" s="866"/>
      <c r="BC1115" s="273"/>
      <c r="BD1115" s="847"/>
      <c r="BE1115" s="848"/>
      <c r="BF1115" s="838"/>
    </row>
    <row r="1116" spans="1:58" s="87" customFormat="1" ht="54" hidden="1" customHeight="1" x14ac:dyDescent="0.25">
      <c r="A1116" s="267" t="s">
        <v>7374</v>
      </c>
      <c r="B1116" s="268">
        <v>218</v>
      </c>
      <c r="C1116" s="240" t="s">
        <v>1022</v>
      </c>
      <c r="D1116" s="270" t="s">
        <v>1023</v>
      </c>
      <c r="E1116" s="268" t="s">
        <v>8078</v>
      </c>
      <c r="F1116" s="861" t="s">
        <v>5281</v>
      </c>
      <c r="G1116" s="269" t="s">
        <v>5282</v>
      </c>
      <c r="H1116" s="845" t="s">
        <v>5283</v>
      </c>
      <c r="I1116" s="208" t="s">
        <v>5284</v>
      </c>
      <c r="J1116" s="240" t="s">
        <v>140</v>
      </c>
      <c r="K1116" s="270" t="s">
        <v>140</v>
      </c>
      <c r="L1116" s="862" t="s">
        <v>5285</v>
      </c>
      <c r="M1116" s="206" t="s">
        <v>193</v>
      </c>
      <c r="N1116" s="211" t="s">
        <v>194</v>
      </c>
      <c r="O1116" s="240" t="s">
        <v>5286</v>
      </c>
      <c r="P1116" s="240" t="s">
        <v>5287</v>
      </c>
      <c r="Q1116" s="845" t="s">
        <v>144</v>
      </c>
      <c r="R1116" s="208" t="s">
        <v>144</v>
      </c>
      <c r="S1116" s="864" t="s">
        <v>147</v>
      </c>
      <c r="T1116" s="212" t="s">
        <v>144</v>
      </c>
      <c r="U1116" s="213" t="s">
        <v>144</v>
      </c>
      <c r="V1116" s="847">
        <v>2</v>
      </c>
      <c r="W1116" s="415" t="s">
        <v>144</v>
      </c>
      <c r="X1116" s="212">
        <v>43</v>
      </c>
      <c r="Y1116" s="212" t="s">
        <v>144</v>
      </c>
      <c r="Z1116" s="214" t="s">
        <v>144</v>
      </c>
      <c r="AA1116" s="240" t="s">
        <v>398</v>
      </c>
      <c r="AB1116" s="206" t="s">
        <v>140</v>
      </c>
      <c r="AC1116" s="847" t="s">
        <v>265</v>
      </c>
      <c r="AD1116" s="847" t="s">
        <v>144</v>
      </c>
      <c r="AE1116" s="847" t="s">
        <v>144</v>
      </c>
      <c r="AF1116" s="848" t="s">
        <v>144</v>
      </c>
      <c r="AG1116" s="838"/>
      <c r="AH1116" s="866"/>
      <c r="AI1116" s="273"/>
      <c r="AJ1116" s="847"/>
      <c r="AK1116" s="848"/>
      <c r="AL1116" s="875" t="s">
        <v>294</v>
      </c>
      <c r="AM1116" s="301" t="s">
        <v>295</v>
      </c>
      <c r="AN1116" s="847">
        <v>7</v>
      </c>
      <c r="AO1116" s="187" t="s">
        <v>966</v>
      </c>
      <c r="AP1116" s="867"/>
      <c r="AQ1116" s="273"/>
      <c r="AR1116" s="847"/>
      <c r="AS1116" s="848"/>
      <c r="AT1116" s="867"/>
      <c r="AU1116" s="273"/>
      <c r="AV1116" s="847"/>
      <c r="AW1116" s="848"/>
      <c r="AX1116" s="867"/>
      <c r="AY1116" s="273"/>
      <c r="AZ1116" s="847"/>
      <c r="BA1116" s="848"/>
      <c r="BB1116" s="866"/>
      <c r="BC1116" s="273"/>
      <c r="BD1116" s="847"/>
      <c r="BE1116" s="848"/>
      <c r="BF1116" s="838"/>
    </row>
    <row r="1117" spans="1:58" s="55" customFormat="1" ht="54" customHeight="1" x14ac:dyDescent="0.25">
      <c r="A1117" s="275" t="s">
        <v>7374</v>
      </c>
      <c r="B1117" s="276">
        <v>219</v>
      </c>
      <c r="C1117" s="253" t="s">
        <v>144</v>
      </c>
      <c r="D1117" s="253" t="s">
        <v>144</v>
      </c>
      <c r="E1117" s="276" t="s">
        <v>8079</v>
      </c>
      <c r="F1117" s="277" t="s">
        <v>4829</v>
      </c>
      <c r="G1117" s="277" t="s">
        <v>251</v>
      </c>
      <c r="H1117" s="220" t="s">
        <v>336</v>
      </c>
      <c r="I1117" s="277" t="s">
        <v>337</v>
      </c>
      <c r="J1117" s="302" t="s">
        <v>144</v>
      </c>
      <c r="K1117" s="302" t="s">
        <v>144</v>
      </c>
      <c r="L1117" s="718" t="s">
        <v>5289</v>
      </c>
      <c r="M1117" s="253" t="s">
        <v>144</v>
      </c>
      <c r="N1117" s="302" t="s">
        <v>144</v>
      </c>
      <c r="O1117" s="253" t="s">
        <v>144</v>
      </c>
      <c r="P1117" s="253" t="s">
        <v>144</v>
      </c>
      <c r="Q1117" s="220" t="s">
        <v>338</v>
      </c>
      <c r="R1117" s="220" t="s">
        <v>339</v>
      </c>
      <c r="S1117" s="276" t="s">
        <v>147</v>
      </c>
      <c r="T1117" s="221" t="s">
        <v>144</v>
      </c>
      <c r="U1117" s="221" t="s">
        <v>144</v>
      </c>
      <c r="V1117" s="253">
        <v>23</v>
      </c>
      <c r="W1117" s="217" t="s">
        <v>144</v>
      </c>
      <c r="X1117" s="221" t="s">
        <v>144</v>
      </c>
      <c r="Y1117" s="221" t="s">
        <v>144</v>
      </c>
      <c r="Z1117" s="222" t="s">
        <v>144</v>
      </c>
      <c r="AA1117" s="217" t="s">
        <v>144</v>
      </c>
      <c r="AB1117" s="217" t="s">
        <v>144</v>
      </c>
      <c r="AC1117" s="253" t="s">
        <v>265</v>
      </c>
      <c r="AD1117" s="253" t="s">
        <v>144</v>
      </c>
      <c r="AE1117" s="253" t="s">
        <v>144</v>
      </c>
      <c r="AF1117" s="254" t="s">
        <v>144</v>
      </c>
      <c r="AG1117" s="838"/>
      <c r="AH1117" s="280"/>
      <c r="AI1117" s="281"/>
      <c r="AJ1117" s="253"/>
      <c r="AK1117" s="254"/>
      <c r="AL1117" s="281"/>
      <c r="AM1117" s="281"/>
      <c r="AN1117" s="253"/>
      <c r="AO1117" s="254"/>
      <c r="AP1117" s="281"/>
      <c r="AQ1117" s="281"/>
      <c r="AR1117" s="253"/>
      <c r="AS1117" s="254"/>
      <c r="AT1117" s="281"/>
      <c r="AU1117" s="281"/>
      <c r="AV1117" s="253"/>
      <c r="AW1117" s="254"/>
      <c r="AX1117" s="281"/>
      <c r="AY1117" s="281"/>
      <c r="AZ1117" s="253"/>
      <c r="BA1117" s="254"/>
      <c r="BB1117" s="280"/>
      <c r="BC1117" s="281"/>
      <c r="BD1117" s="253"/>
      <c r="BE1117" s="254"/>
      <c r="BF1117" s="838"/>
    </row>
    <row r="1118" spans="1:58" s="87" customFormat="1" ht="54" hidden="1" customHeight="1" x14ac:dyDescent="0.25">
      <c r="A1118" s="267" t="s">
        <v>7374</v>
      </c>
      <c r="B1118" s="268">
        <v>220</v>
      </c>
      <c r="C1118" s="240" t="s">
        <v>1022</v>
      </c>
      <c r="D1118" s="270" t="s">
        <v>1023</v>
      </c>
      <c r="E1118" s="298" t="s">
        <v>8080</v>
      </c>
      <c r="F1118" s="861" t="s">
        <v>1457</v>
      </c>
      <c r="G1118" s="269" t="s">
        <v>1458</v>
      </c>
      <c r="H1118" s="861" t="s">
        <v>5532</v>
      </c>
      <c r="I1118" s="269" t="s">
        <v>5533</v>
      </c>
      <c r="J1118" s="296" t="s">
        <v>140</v>
      </c>
      <c r="K1118" s="297" t="s">
        <v>140</v>
      </c>
      <c r="L1118" s="862" t="s">
        <v>5534</v>
      </c>
      <c r="M1118" s="206" t="s">
        <v>193</v>
      </c>
      <c r="N1118" s="211" t="s">
        <v>194</v>
      </c>
      <c r="O1118" s="240" t="s">
        <v>1462</v>
      </c>
      <c r="P1118" s="240" t="s">
        <v>1463</v>
      </c>
      <c r="Q1118" s="863" t="s">
        <v>1464</v>
      </c>
      <c r="R1118" s="271" t="s">
        <v>1465</v>
      </c>
      <c r="S1118" s="864" t="s">
        <v>147</v>
      </c>
      <c r="T1118" s="212" t="s">
        <v>144</v>
      </c>
      <c r="U1118" s="213" t="s">
        <v>144</v>
      </c>
      <c r="V1118" s="847">
        <v>5</v>
      </c>
      <c r="W1118" s="415" t="s">
        <v>144</v>
      </c>
      <c r="X1118" s="212">
        <v>43</v>
      </c>
      <c r="Y1118" s="212" t="s">
        <v>144</v>
      </c>
      <c r="Z1118" s="214" t="s">
        <v>144</v>
      </c>
      <c r="AA1118" s="240" t="s">
        <v>148</v>
      </c>
      <c r="AB1118" s="206" t="s">
        <v>140</v>
      </c>
      <c r="AC1118" s="847" t="s">
        <v>265</v>
      </c>
      <c r="AD1118" s="847" t="s">
        <v>144</v>
      </c>
      <c r="AE1118" s="847" t="s">
        <v>144</v>
      </c>
      <c r="AF1118" s="848" t="s">
        <v>144</v>
      </c>
      <c r="AG1118" s="838"/>
      <c r="AH1118" s="866"/>
      <c r="AI1118" s="273"/>
      <c r="AJ1118" s="847"/>
      <c r="AK1118" s="848"/>
      <c r="AL1118" s="875" t="s">
        <v>294</v>
      </c>
      <c r="AM1118" s="301" t="s">
        <v>295</v>
      </c>
      <c r="AN1118" s="847">
        <v>7</v>
      </c>
      <c r="AO1118" s="187" t="s">
        <v>966</v>
      </c>
      <c r="AP1118" s="867"/>
      <c r="AQ1118" s="273"/>
      <c r="AR1118" s="847"/>
      <c r="AS1118" s="848"/>
      <c r="AT1118" s="867"/>
      <c r="AU1118" s="273"/>
      <c r="AV1118" s="847"/>
      <c r="AW1118" s="848"/>
      <c r="AX1118" s="867"/>
      <c r="AY1118" s="273"/>
      <c r="AZ1118" s="847"/>
      <c r="BA1118" s="848"/>
      <c r="BB1118" s="866"/>
      <c r="BC1118" s="273"/>
      <c r="BD1118" s="847"/>
      <c r="BE1118" s="848"/>
      <c r="BF1118" s="838"/>
    </row>
    <row r="1119" spans="1:58" s="87" customFormat="1" ht="54" hidden="1" customHeight="1" x14ac:dyDescent="0.25">
      <c r="A1119" s="267" t="s">
        <v>7374</v>
      </c>
      <c r="B1119" s="268">
        <v>221</v>
      </c>
      <c r="C1119" s="240" t="s">
        <v>256</v>
      </c>
      <c r="D1119" s="270" t="s">
        <v>257</v>
      </c>
      <c r="E1119" s="298" t="s">
        <v>8081</v>
      </c>
      <c r="F1119" s="861" t="s">
        <v>5537</v>
      </c>
      <c r="G1119" s="269" t="s">
        <v>5538</v>
      </c>
      <c r="H1119" s="845" t="s">
        <v>5539</v>
      </c>
      <c r="I1119" s="269" t="s">
        <v>5540</v>
      </c>
      <c r="J1119" s="296" t="s">
        <v>140</v>
      </c>
      <c r="K1119" s="297" t="s">
        <v>140</v>
      </c>
      <c r="L1119" s="862" t="s">
        <v>5541</v>
      </c>
      <c r="M1119" s="206" t="s">
        <v>193</v>
      </c>
      <c r="N1119" s="211" t="s">
        <v>194</v>
      </c>
      <c r="O1119" s="240" t="s">
        <v>144</v>
      </c>
      <c r="P1119" s="240" t="s">
        <v>144</v>
      </c>
      <c r="Q1119" s="845" t="s">
        <v>8082</v>
      </c>
      <c r="R1119" s="208" t="s">
        <v>8083</v>
      </c>
      <c r="S1119" s="864" t="s">
        <v>147</v>
      </c>
      <c r="T1119" s="212" t="s">
        <v>144</v>
      </c>
      <c r="U1119" s="213" t="s">
        <v>144</v>
      </c>
      <c r="V1119" s="847">
        <v>40</v>
      </c>
      <c r="W1119" s="415" t="s">
        <v>144</v>
      </c>
      <c r="X1119" s="212">
        <v>43</v>
      </c>
      <c r="Y1119" s="212" t="s">
        <v>144</v>
      </c>
      <c r="Z1119" s="214" t="s">
        <v>144</v>
      </c>
      <c r="AA1119" s="240" t="s">
        <v>398</v>
      </c>
      <c r="AB1119" s="206" t="s">
        <v>140</v>
      </c>
      <c r="AC1119" s="847" t="s">
        <v>265</v>
      </c>
      <c r="AD1119" s="847" t="s">
        <v>144</v>
      </c>
      <c r="AE1119" s="847" t="s">
        <v>144</v>
      </c>
      <c r="AF1119" s="848" t="s">
        <v>144</v>
      </c>
      <c r="AG1119" s="838"/>
      <c r="AH1119" s="866"/>
      <c r="AI1119" s="273"/>
      <c r="AJ1119" s="847"/>
      <c r="AK1119" s="848"/>
      <c r="AL1119" s="867"/>
      <c r="AM1119" s="273"/>
      <c r="AN1119" s="847"/>
      <c r="AO1119" s="848"/>
      <c r="AP1119" s="867"/>
      <c r="AQ1119" s="273"/>
      <c r="AR1119" s="847"/>
      <c r="AS1119" s="848"/>
      <c r="AT1119" s="867"/>
      <c r="AU1119" s="273"/>
      <c r="AV1119" s="847"/>
      <c r="AW1119" s="848"/>
      <c r="AX1119" s="867"/>
      <c r="AY1119" s="273"/>
      <c r="AZ1119" s="847"/>
      <c r="BA1119" s="848"/>
      <c r="BB1119" s="866"/>
      <c r="BC1119" s="273"/>
      <c r="BD1119" s="847"/>
      <c r="BE1119" s="848"/>
      <c r="BF1119" s="838"/>
    </row>
    <row r="1120" spans="1:58" s="87" customFormat="1" ht="54" hidden="1" customHeight="1" x14ac:dyDescent="0.25">
      <c r="A1120" s="267" t="s">
        <v>7374</v>
      </c>
      <c r="B1120" s="268">
        <v>222</v>
      </c>
      <c r="C1120" s="240" t="s">
        <v>256</v>
      </c>
      <c r="D1120" s="270" t="s">
        <v>257</v>
      </c>
      <c r="E1120" s="298" t="s">
        <v>8084</v>
      </c>
      <c r="F1120" s="861" t="s">
        <v>5543</v>
      </c>
      <c r="G1120" s="269" t="s">
        <v>5544</v>
      </c>
      <c r="H1120" s="845" t="s">
        <v>5545</v>
      </c>
      <c r="I1120" s="269" t="s">
        <v>5546</v>
      </c>
      <c r="J1120" s="296" t="s">
        <v>140</v>
      </c>
      <c r="K1120" s="297" t="s">
        <v>140</v>
      </c>
      <c r="L1120" s="862" t="s">
        <v>8085</v>
      </c>
      <c r="M1120" s="206" t="s">
        <v>193</v>
      </c>
      <c r="N1120" s="211" t="s">
        <v>194</v>
      </c>
      <c r="O1120" s="240" t="s">
        <v>144</v>
      </c>
      <c r="P1120" s="240" t="s">
        <v>144</v>
      </c>
      <c r="Q1120" s="845" t="s">
        <v>8086</v>
      </c>
      <c r="R1120" s="208" t="s">
        <v>8087</v>
      </c>
      <c r="S1120" s="864" t="s">
        <v>147</v>
      </c>
      <c r="T1120" s="212" t="s">
        <v>144</v>
      </c>
      <c r="U1120" s="213" t="s">
        <v>144</v>
      </c>
      <c r="V1120" s="847">
        <v>40</v>
      </c>
      <c r="W1120" s="415" t="s">
        <v>144</v>
      </c>
      <c r="X1120" s="212">
        <v>43</v>
      </c>
      <c r="Y1120" s="212" t="s">
        <v>144</v>
      </c>
      <c r="Z1120" s="214" t="s">
        <v>144</v>
      </c>
      <c r="AA1120" s="240" t="s">
        <v>398</v>
      </c>
      <c r="AB1120" s="206" t="s">
        <v>140</v>
      </c>
      <c r="AC1120" s="847" t="s">
        <v>265</v>
      </c>
      <c r="AD1120" s="847" t="s">
        <v>144</v>
      </c>
      <c r="AE1120" s="847" t="s">
        <v>144</v>
      </c>
      <c r="AF1120" s="848" t="s">
        <v>144</v>
      </c>
      <c r="AG1120" s="838"/>
      <c r="AH1120" s="866"/>
      <c r="AI1120" s="273"/>
      <c r="AJ1120" s="847"/>
      <c r="AK1120" s="848"/>
      <c r="AL1120" s="867"/>
      <c r="AM1120" s="273"/>
      <c r="AN1120" s="847"/>
      <c r="AO1120" s="848"/>
      <c r="AP1120" s="867"/>
      <c r="AQ1120" s="273"/>
      <c r="AR1120" s="847"/>
      <c r="AS1120" s="848"/>
      <c r="AT1120" s="867"/>
      <c r="AU1120" s="273"/>
      <c r="AV1120" s="847"/>
      <c r="AW1120" s="848"/>
      <c r="AX1120" s="867"/>
      <c r="AY1120" s="273"/>
      <c r="AZ1120" s="847"/>
      <c r="BA1120" s="848"/>
      <c r="BB1120" s="866"/>
      <c r="BC1120" s="273"/>
      <c r="BD1120" s="847"/>
      <c r="BE1120" s="848"/>
      <c r="BF1120" s="838"/>
    </row>
    <row r="1121" spans="1:58" s="87" customFormat="1" ht="54" hidden="1" customHeight="1" x14ac:dyDescent="0.25">
      <c r="A1121" s="267" t="s">
        <v>7374</v>
      </c>
      <c r="B1121" s="268">
        <v>223</v>
      </c>
      <c r="C1121" s="240" t="s">
        <v>1022</v>
      </c>
      <c r="D1121" s="270" t="s">
        <v>1023</v>
      </c>
      <c r="E1121" s="298" t="s">
        <v>8088</v>
      </c>
      <c r="F1121" s="861" t="s">
        <v>5549</v>
      </c>
      <c r="G1121" s="269" t="s">
        <v>5550</v>
      </c>
      <c r="H1121" s="861" t="s">
        <v>5551</v>
      </c>
      <c r="I1121" s="269" t="s">
        <v>5552</v>
      </c>
      <c r="J1121" s="296" t="s">
        <v>140</v>
      </c>
      <c r="K1121" s="297" t="s">
        <v>140</v>
      </c>
      <c r="L1121" s="862" t="s">
        <v>5553</v>
      </c>
      <c r="M1121" s="847" t="s">
        <v>973</v>
      </c>
      <c r="N1121" s="211" t="s">
        <v>974</v>
      </c>
      <c r="O1121" s="240" t="s">
        <v>144</v>
      </c>
      <c r="P1121" s="240" t="s">
        <v>144</v>
      </c>
      <c r="Q1121" s="845" t="s">
        <v>144</v>
      </c>
      <c r="R1121" s="208" t="s">
        <v>144</v>
      </c>
      <c r="S1121" s="268" t="s">
        <v>746</v>
      </c>
      <c r="T1121" s="212" t="s">
        <v>1104</v>
      </c>
      <c r="U1121" s="213" t="s">
        <v>1105</v>
      </c>
      <c r="V1121" s="847">
        <v>19</v>
      </c>
      <c r="W1121" s="415" t="s">
        <v>144</v>
      </c>
      <c r="X1121" s="212">
        <v>43</v>
      </c>
      <c r="Y1121" s="212" t="s">
        <v>144</v>
      </c>
      <c r="Z1121" s="214" t="s">
        <v>144</v>
      </c>
      <c r="AA1121" s="240" t="s">
        <v>398</v>
      </c>
      <c r="AB1121" s="206" t="s">
        <v>140</v>
      </c>
      <c r="AC1121" s="847" t="s">
        <v>265</v>
      </c>
      <c r="AD1121" s="847" t="s">
        <v>144</v>
      </c>
      <c r="AE1121" s="847" t="s">
        <v>144</v>
      </c>
      <c r="AF1121" s="848" t="s">
        <v>144</v>
      </c>
      <c r="AG1121" s="838"/>
      <c r="AH1121" s="291" t="s">
        <v>8089</v>
      </c>
      <c r="AI1121" s="273" t="s">
        <v>8090</v>
      </c>
      <c r="AJ1121" s="847">
        <v>6</v>
      </c>
      <c r="AK1121" s="286" t="s">
        <v>8091</v>
      </c>
      <c r="AL1121" s="867"/>
      <c r="AM1121" s="273"/>
      <c r="AN1121" s="847"/>
      <c r="AO1121" s="848"/>
      <c r="AP1121" s="867" t="s">
        <v>1107</v>
      </c>
      <c r="AQ1121" s="273" t="s">
        <v>1108</v>
      </c>
      <c r="AR1121" s="847">
        <v>7</v>
      </c>
      <c r="AS1121" s="286" t="s">
        <v>1109</v>
      </c>
      <c r="AT1121" s="867"/>
      <c r="AU1121" s="273"/>
      <c r="AV1121" s="847"/>
      <c r="AW1121" s="848"/>
      <c r="AX1121" s="867"/>
      <c r="AY1121" s="273"/>
      <c r="AZ1121" s="847"/>
      <c r="BA1121" s="848"/>
      <c r="BB1121" s="866"/>
      <c r="BC1121" s="273"/>
      <c r="BD1121" s="847"/>
      <c r="BE1121" s="848"/>
      <c r="BF1121" s="838"/>
    </row>
    <row r="1122" spans="1:58" s="87" customFormat="1" ht="54" hidden="1" customHeight="1" x14ac:dyDescent="0.25">
      <c r="A1122" s="267" t="s">
        <v>7374</v>
      </c>
      <c r="B1122" s="268">
        <v>224</v>
      </c>
      <c r="C1122" s="240" t="s">
        <v>1022</v>
      </c>
      <c r="D1122" s="270" t="s">
        <v>1023</v>
      </c>
      <c r="E1122" s="298" t="s">
        <v>8092</v>
      </c>
      <c r="F1122" s="861" t="s">
        <v>5559</v>
      </c>
      <c r="G1122" s="269" t="s">
        <v>5560</v>
      </c>
      <c r="H1122" s="861" t="s">
        <v>5561</v>
      </c>
      <c r="I1122" s="269" t="s">
        <v>5562</v>
      </c>
      <c r="J1122" s="296" t="s">
        <v>140</v>
      </c>
      <c r="K1122" s="297" t="s">
        <v>140</v>
      </c>
      <c r="L1122" s="862" t="s">
        <v>5563</v>
      </c>
      <c r="M1122" s="847" t="s">
        <v>142</v>
      </c>
      <c r="N1122" s="211" t="s">
        <v>143</v>
      </c>
      <c r="O1122" s="240" t="s">
        <v>5564</v>
      </c>
      <c r="P1122" s="240" t="s">
        <v>5565</v>
      </c>
      <c r="Q1122" s="845" t="s">
        <v>144</v>
      </c>
      <c r="R1122" s="208" t="s">
        <v>144</v>
      </c>
      <c r="S1122" s="268" t="s">
        <v>147</v>
      </c>
      <c r="T1122" s="212" t="s">
        <v>144</v>
      </c>
      <c r="U1122" s="213" t="s">
        <v>144</v>
      </c>
      <c r="V1122" s="847">
        <v>1</v>
      </c>
      <c r="W1122" s="415" t="s">
        <v>144</v>
      </c>
      <c r="X1122" s="212">
        <v>43</v>
      </c>
      <c r="Y1122" s="212" t="s">
        <v>144</v>
      </c>
      <c r="Z1122" s="241" t="s">
        <v>144</v>
      </c>
      <c r="AA1122" s="240" t="s">
        <v>398</v>
      </c>
      <c r="AB1122" s="206" t="s">
        <v>140</v>
      </c>
      <c r="AC1122" s="847" t="s">
        <v>265</v>
      </c>
      <c r="AD1122" s="847" t="s">
        <v>144</v>
      </c>
      <c r="AE1122" s="847" t="s">
        <v>144</v>
      </c>
      <c r="AF1122" s="848" t="s">
        <v>144</v>
      </c>
      <c r="AG1122" s="838"/>
      <c r="AH1122" s="866" t="s">
        <v>266</v>
      </c>
      <c r="AI1122" s="273" t="s">
        <v>267</v>
      </c>
      <c r="AJ1122" s="847">
        <v>6</v>
      </c>
      <c r="AK1122" s="848" t="s">
        <v>1046</v>
      </c>
      <c r="AL1122" s="875" t="s">
        <v>294</v>
      </c>
      <c r="AM1122" s="301" t="s">
        <v>295</v>
      </c>
      <c r="AN1122" s="847">
        <v>7</v>
      </c>
      <c r="AO1122" s="187" t="s">
        <v>966</v>
      </c>
      <c r="AP1122" s="867"/>
      <c r="AQ1122" s="273"/>
      <c r="AR1122" s="847"/>
      <c r="AS1122" s="848"/>
      <c r="AT1122" s="867"/>
      <c r="AU1122" s="273"/>
      <c r="AV1122" s="847"/>
      <c r="AW1122" s="848"/>
      <c r="AX1122" s="867"/>
      <c r="AY1122" s="273"/>
      <c r="AZ1122" s="847"/>
      <c r="BA1122" s="848"/>
      <c r="BB1122" s="866"/>
      <c r="BC1122" s="273"/>
      <c r="BD1122" s="847"/>
      <c r="BE1122" s="848"/>
      <c r="BF1122" s="838"/>
    </row>
    <row r="1123" spans="1:58" s="87" customFormat="1" ht="54" hidden="1" customHeight="1" x14ac:dyDescent="0.25">
      <c r="A1123" s="267" t="s">
        <v>7374</v>
      </c>
      <c r="B1123" s="268">
        <v>225</v>
      </c>
      <c r="C1123" s="240" t="s">
        <v>1022</v>
      </c>
      <c r="D1123" s="270" t="s">
        <v>1023</v>
      </c>
      <c r="E1123" s="298" t="s">
        <v>8093</v>
      </c>
      <c r="F1123" s="861" t="s">
        <v>5570</v>
      </c>
      <c r="G1123" s="269" t="s">
        <v>5571</v>
      </c>
      <c r="H1123" s="861" t="s">
        <v>5570</v>
      </c>
      <c r="I1123" s="269" t="s">
        <v>5571</v>
      </c>
      <c r="J1123" s="296" t="s">
        <v>140</v>
      </c>
      <c r="K1123" s="297" t="s">
        <v>140</v>
      </c>
      <c r="L1123" s="862" t="s">
        <v>5572</v>
      </c>
      <c r="M1123" s="847" t="s">
        <v>973</v>
      </c>
      <c r="N1123" s="211" t="s">
        <v>974</v>
      </c>
      <c r="O1123" s="240" t="s">
        <v>5573</v>
      </c>
      <c r="P1123" s="240" t="s">
        <v>5574</v>
      </c>
      <c r="Q1123" s="845" t="s">
        <v>144</v>
      </c>
      <c r="R1123" s="208" t="s">
        <v>144</v>
      </c>
      <c r="S1123" s="268" t="s">
        <v>147</v>
      </c>
      <c r="T1123" s="212" t="s">
        <v>144</v>
      </c>
      <c r="U1123" s="213" t="s">
        <v>144</v>
      </c>
      <c r="V1123" s="847">
        <v>1</v>
      </c>
      <c r="W1123" s="415" t="s">
        <v>144</v>
      </c>
      <c r="X1123" s="212">
        <v>43</v>
      </c>
      <c r="Y1123" s="212" t="s">
        <v>144</v>
      </c>
      <c r="Z1123" s="241" t="s">
        <v>144</v>
      </c>
      <c r="AA1123" s="615" t="s">
        <v>733</v>
      </c>
      <c r="AB1123" s="206" t="s">
        <v>140</v>
      </c>
      <c r="AC1123" s="847" t="s">
        <v>265</v>
      </c>
      <c r="AD1123" s="847" t="s">
        <v>144</v>
      </c>
      <c r="AE1123" s="847" t="s">
        <v>144</v>
      </c>
      <c r="AF1123" s="848" t="s">
        <v>144</v>
      </c>
      <c r="AG1123" s="838"/>
      <c r="AH1123" s="866" t="s">
        <v>8094</v>
      </c>
      <c r="AI1123" s="273" t="s">
        <v>8095</v>
      </c>
      <c r="AJ1123" s="847">
        <v>6</v>
      </c>
      <c r="AK1123" s="848" t="s">
        <v>8096</v>
      </c>
      <c r="AL1123" s="875" t="s">
        <v>294</v>
      </c>
      <c r="AM1123" s="301" t="s">
        <v>295</v>
      </c>
      <c r="AN1123" s="847">
        <v>7</v>
      </c>
      <c r="AO1123" s="187" t="s">
        <v>966</v>
      </c>
      <c r="AP1123" s="867"/>
      <c r="AQ1123" s="273"/>
      <c r="AR1123" s="847"/>
      <c r="AS1123" s="848"/>
      <c r="AT1123" s="867"/>
      <c r="AU1123" s="273"/>
      <c r="AV1123" s="847"/>
      <c r="AW1123" s="848"/>
      <c r="AX1123" s="867"/>
      <c r="AY1123" s="273"/>
      <c r="AZ1123" s="847"/>
      <c r="BA1123" s="848"/>
      <c r="BB1123" s="866"/>
      <c r="BC1123" s="273"/>
      <c r="BD1123" s="847"/>
      <c r="BE1123" s="848"/>
      <c r="BF1123" s="838"/>
    </row>
    <row r="1124" spans="1:58" s="87" customFormat="1" ht="54" hidden="1" customHeight="1" x14ac:dyDescent="0.25">
      <c r="A1124" s="267" t="s">
        <v>7374</v>
      </c>
      <c r="B1124" s="268">
        <v>226</v>
      </c>
      <c r="C1124" s="240" t="s">
        <v>1022</v>
      </c>
      <c r="D1124" s="270" t="s">
        <v>1023</v>
      </c>
      <c r="E1124" s="298" t="s">
        <v>8097</v>
      </c>
      <c r="F1124" s="861" t="s">
        <v>5580</v>
      </c>
      <c r="G1124" s="269" t="s">
        <v>5581</v>
      </c>
      <c r="H1124" s="845" t="s">
        <v>5582</v>
      </c>
      <c r="I1124" s="269" t="s">
        <v>5583</v>
      </c>
      <c r="J1124" s="296" t="s">
        <v>140</v>
      </c>
      <c r="K1124" s="297" t="s">
        <v>140</v>
      </c>
      <c r="L1124" s="862" t="s">
        <v>5584</v>
      </c>
      <c r="M1124" s="847" t="s">
        <v>973</v>
      </c>
      <c r="N1124" s="211" t="s">
        <v>974</v>
      </c>
      <c r="O1124" s="240" t="s">
        <v>5585</v>
      </c>
      <c r="P1124" s="240" t="s">
        <v>5586</v>
      </c>
      <c r="Q1124" s="845" t="s">
        <v>144</v>
      </c>
      <c r="R1124" s="208" t="s">
        <v>144</v>
      </c>
      <c r="S1124" s="864" t="s">
        <v>147</v>
      </c>
      <c r="T1124" s="212" t="s">
        <v>144</v>
      </c>
      <c r="U1124" s="213" t="s">
        <v>144</v>
      </c>
      <c r="V1124" s="847">
        <v>6</v>
      </c>
      <c r="W1124" s="415" t="s">
        <v>144</v>
      </c>
      <c r="X1124" s="212">
        <v>43</v>
      </c>
      <c r="Y1124" s="212" t="s">
        <v>144</v>
      </c>
      <c r="Z1124" s="214" t="s">
        <v>144</v>
      </c>
      <c r="AA1124" s="240" t="s">
        <v>5336</v>
      </c>
      <c r="AB1124" s="206" t="s">
        <v>140</v>
      </c>
      <c r="AC1124" s="847" t="s">
        <v>265</v>
      </c>
      <c r="AD1124" s="847" t="s">
        <v>144</v>
      </c>
      <c r="AE1124" s="847" t="s">
        <v>144</v>
      </c>
      <c r="AF1124" s="848" t="s">
        <v>144</v>
      </c>
      <c r="AG1124" s="838"/>
      <c r="AH1124" s="866" t="s">
        <v>8098</v>
      </c>
      <c r="AI1124" s="273" t="s">
        <v>8099</v>
      </c>
      <c r="AJ1124" s="847">
        <v>6</v>
      </c>
      <c r="AK1124" s="848" t="s">
        <v>8100</v>
      </c>
      <c r="AL1124" s="875" t="s">
        <v>294</v>
      </c>
      <c r="AM1124" s="301" t="s">
        <v>295</v>
      </c>
      <c r="AN1124" s="847">
        <v>7</v>
      </c>
      <c r="AO1124" s="187" t="s">
        <v>966</v>
      </c>
      <c r="AP1124" s="867"/>
      <c r="AQ1124" s="273"/>
      <c r="AR1124" s="847"/>
      <c r="AS1124" s="848"/>
      <c r="AT1124" s="867"/>
      <c r="AU1124" s="273"/>
      <c r="AV1124" s="847"/>
      <c r="AW1124" s="848"/>
      <c r="AX1124" s="867"/>
      <c r="AY1124" s="273"/>
      <c r="AZ1124" s="847"/>
      <c r="BA1124" s="848"/>
      <c r="BB1124" s="866"/>
      <c r="BC1124" s="273"/>
      <c r="BD1124" s="847"/>
      <c r="BE1124" s="848"/>
      <c r="BF1124" s="838"/>
    </row>
    <row r="1125" spans="1:58" s="87" customFormat="1" ht="54" hidden="1" customHeight="1" x14ac:dyDescent="0.25">
      <c r="A1125" s="267" t="s">
        <v>7374</v>
      </c>
      <c r="B1125" s="268">
        <v>227</v>
      </c>
      <c r="C1125" s="240" t="s">
        <v>1022</v>
      </c>
      <c r="D1125" s="270" t="s">
        <v>1023</v>
      </c>
      <c r="E1125" s="298" t="s">
        <v>8101</v>
      </c>
      <c r="F1125" s="861" t="s">
        <v>5592</v>
      </c>
      <c r="G1125" s="269" t="s">
        <v>5593</v>
      </c>
      <c r="H1125" s="845" t="s">
        <v>5594</v>
      </c>
      <c r="I1125" s="208" t="s">
        <v>5595</v>
      </c>
      <c r="J1125" s="240" t="s">
        <v>140</v>
      </c>
      <c r="K1125" s="270" t="s">
        <v>140</v>
      </c>
      <c r="L1125" s="862" t="s">
        <v>5596</v>
      </c>
      <c r="M1125" s="847" t="s">
        <v>973</v>
      </c>
      <c r="N1125" s="211" t="s">
        <v>974</v>
      </c>
      <c r="O1125" s="240" t="s">
        <v>5597</v>
      </c>
      <c r="P1125" s="240" t="s">
        <v>5598</v>
      </c>
      <c r="Q1125" s="845" t="s">
        <v>144</v>
      </c>
      <c r="R1125" s="208" t="s">
        <v>144</v>
      </c>
      <c r="S1125" s="864" t="s">
        <v>147</v>
      </c>
      <c r="T1125" s="212" t="s">
        <v>144</v>
      </c>
      <c r="U1125" s="213" t="s">
        <v>144</v>
      </c>
      <c r="V1125" s="847">
        <v>1</v>
      </c>
      <c r="W1125" s="415" t="s">
        <v>144</v>
      </c>
      <c r="X1125" s="212">
        <v>43</v>
      </c>
      <c r="Y1125" s="212" t="s">
        <v>144</v>
      </c>
      <c r="Z1125" s="214" t="s">
        <v>144</v>
      </c>
      <c r="AA1125" s="240" t="s">
        <v>5336</v>
      </c>
      <c r="AB1125" s="206" t="s">
        <v>140</v>
      </c>
      <c r="AC1125" s="847" t="s">
        <v>265</v>
      </c>
      <c r="AD1125" s="847" t="s">
        <v>144</v>
      </c>
      <c r="AE1125" s="847" t="s">
        <v>144</v>
      </c>
      <c r="AF1125" s="848" t="s">
        <v>144</v>
      </c>
      <c r="AG1125" s="838"/>
      <c r="AH1125" s="866" t="s">
        <v>8098</v>
      </c>
      <c r="AI1125" s="273" t="s">
        <v>8099</v>
      </c>
      <c r="AJ1125" s="847">
        <v>6</v>
      </c>
      <c r="AK1125" s="848" t="s">
        <v>8100</v>
      </c>
      <c r="AL1125" s="875" t="s">
        <v>294</v>
      </c>
      <c r="AM1125" s="301" t="s">
        <v>295</v>
      </c>
      <c r="AN1125" s="847">
        <v>7</v>
      </c>
      <c r="AO1125" s="187" t="s">
        <v>966</v>
      </c>
      <c r="AP1125" s="867"/>
      <c r="AQ1125" s="273"/>
      <c r="AR1125" s="847"/>
      <c r="AS1125" s="848"/>
      <c r="AT1125" s="867" t="s">
        <v>8102</v>
      </c>
      <c r="AU1125" s="273" t="s">
        <v>8103</v>
      </c>
      <c r="AV1125" s="847">
        <v>6</v>
      </c>
      <c r="AW1125" s="286" t="s">
        <v>8104</v>
      </c>
      <c r="AX1125" s="867"/>
      <c r="AY1125" s="273"/>
      <c r="AZ1125" s="847"/>
      <c r="BA1125" s="848"/>
      <c r="BB1125" s="866"/>
      <c r="BC1125" s="273"/>
      <c r="BD1125" s="847"/>
      <c r="BE1125" s="848"/>
      <c r="BF1125" s="838"/>
    </row>
    <row r="1126" spans="1:58" s="87" customFormat="1" ht="54" hidden="1" customHeight="1" x14ac:dyDescent="0.25">
      <c r="A1126" s="267" t="s">
        <v>7374</v>
      </c>
      <c r="B1126" s="268">
        <v>228</v>
      </c>
      <c r="C1126" s="240" t="s">
        <v>5602</v>
      </c>
      <c r="D1126" s="270" t="s">
        <v>5603</v>
      </c>
      <c r="E1126" s="268" t="s">
        <v>8105</v>
      </c>
      <c r="F1126" s="861" t="s">
        <v>5605</v>
      </c>
      <c r="G1126" s="269" t="s">
        <v>5606</v>
      </c>
      <c r="H1126" s="861" t="s">
        <v>5607</v>
      </c>
      <c r="I1126" s="269" t="s">
        <v>5608</v>
      </c>
      <c r="J1126" s="296" t="s">
        <v>140</v>
      </c>
      <c r="K1126" s="297" t="s">
        <v>140</v>
      </c>
      <c r="L1126" s="862" t="s">
        <v>5609</v>
      </c>
      <c r="M1126" s="847" t="s">
        <v>973</v>
      </c>
      <c r="N1126" s="211" t="s">
        <v>974</v>
      </c>
      <c r="O1126" s="240" t="s">
        <v>5610</v>
      </c>
      <c r="P1126" s="240" t="s">
        <v>5611</v>
      </c>
      <c r="Q1126" s="845" t="s">
        <v>144</v>
      </c>
      <c r="R1126" s="208" t="s">
        <v>144</v>
      </c>
      <c r="S1126" s="864" t="s">
        <v>147</v>
      </c>
      <c r="T1126" s="212" t="s">
        <v>144</v>
      </c>
      <c r="U1126" s="213" t="s">
        <v>144</v>
      </c>
      <c r="V1126" s="847">
        <v>15</v>
      </c>
      <c r="W1126" s="415" t="s">
        <v>144</v>
      </c>
      <c r="X1126" s="212">
        <v>43</v>
      </c>
      <c r="Y1126" s="212" t="s">
        <v>144</v>
      </c>
      <c r="Z1126" s="241" t="s">
        <v>144</v>
      </c>
      <c r="AA1126" s="240" t="s">
        <v>8106</v>
      </c>
      <c r="AB1126" s="206" t="s">
        <v>140</v>
      </c>
      <c r="AC1126" s="847" t="s">
        <v>265</v>
      </c>
      <c r="AD1126" s="847" t="s">
        <v>144</v>
      </c>
      <c r="AE1126" s="847" t="s">
        <v>144</v>
      </c>
      <c r="AF1126" s="848" t="s">
        <v>144</v>
      </c>
      <c r="AG1126" s="838"/>
      <c r="AH1126" s="866" t="s">
        <v>8107</v>
      </c>
      <c r="AI1126" s="273" t="s">
        <v>8108</v>
      </c>
      <c r="AJ1126" s="847">
        <v>7</v>
      </c>
      <c r="AK1126" s="848" t="s">
        <v>8109</v>
      </c>
      <c r="AL1126" s="875" t="s">
        <v>8110</v>
      </c>
      <c r="AM1126" s="301" t="s">
        <v>8111</v>
      </c>
      <c r="AN1126" s="847">
        <v>7</v>
      </c>
      <c r="AO1126" s="848" t="s">
        <v>5618</v>
      </c>
      <c r="AP1126" s="867"/>
      <c r="AQ1126" s="273"/>
      <c r="AR1126" s="847"/>
      <c r="AS1126" s="848"/>
      <c r="AT1126" s="867"/>
      <c r="AU1126" s="273"/>
      <c r="AV1126" s="847"/>
      <c r="AW1126" s="848"/>
      <c r="AX1126" s="867"/>
      <c r="AY1126" s="273"/>
      <c r="AZ1126" s="847"/>
      <c r="BA1126" s="848"/>
      <c r="BB1126" s="866"/>
      <c r="BC1126" s="273"/>
      <c r="BD1126" s="847"/>
      <c r="BE1126" s="848"/>
      <c r="BF1126" s="838"/>
    </row>
    <row r="1127" spans="1:58" s="87" customFormat="1" ht="54" hidden="1" customHeight="1" x14ac:dyDescent="0.25">
      <c r="A1127" s="267" t="s">
        <v>7374</v>
      </c>
      <c r="B1127" s="268">
        <v>229</v>
      </c>
      <c r="C1127" s="240" t="s">
        <v>5602</v>
      </c>
      <c r="D1127" s="270" t="s">
        <v>5603</v>
      </c>
      <c r="E1127" s="268" t="s">
        <v>8112</v>
      </c>
      <c r="F1127" s="861" t="s">
        <v>5620</v>
      </c>
      <c r="G1127" s="269" t="s">
        <v>5621</v>
      </c>
      <c r="H1127" s="861" t="s">
        <v>5622</v>
      </c>
      <c r="I1127" s="269" t="s">
        <v>5623</v>
      </c>
      <c r="J1127" s="296" t="s">
        <v>140</v>
      </c>
      <c r="K1127" s="297" t="s">
        <v>140</v>
      </c>
      <c r="L1127" s="862" t="s">
        <v>5624</v>
      </c>
      <c r="M1127" s="847" t="s">
        <v>973</v>
      </c>
      <c r="N1127" s="211" t="s">
        <v>974</v>
      </c>
      <c r="O1127" s="240" t="s">
        <v>4634</v>
      </c>
      <c r="P1127" s="240" t="s">
        <v>4635</v>
      </c>
      <c r="Q1127" s="845" t="s">
        <v>144</v>
      </c>
      <c r="R1127" s="208" t="s">
        <v>144</v>
      </c>
      <c r="S1127" s="864" t="s">
        <v>147</v>
      </c>
      <c r="T1127" s="212" t="s">
        <v>144</v>
      </c>
      <c r="U1127" s="213" t="s">
        <v>144</v>
      </c>
      <c r="V1127" s="847">
        <v>2</v>
      </c>
      <c r="W1127" s="415" t="s">
        <v>144</v>
      </c>
      <c r="X1127" s="212">
        <v>43</v>
      </c>
      <c r="Y1127" s="212" t="s">
        <v>144</v>
      </c>
      <c r="Z1127" s="241" t="s">
        <v>144</v>
      </c>
      <c r="AA1127" s="240" t="s">
        <v>5625</v>
      </c>
      <c r="AB1127" s="206" t="s">
        <v>140</v>
      </c>
      <c r="AC1127" s="847" t="s">
        <v>265</v>
      </c>
      <c r="AD1127" s="847" t="s">
        <v>144</v>
      </c>
      <c r="AE1127" s="847" t="s">
        <v>144</v>
      </c>
      <c r="AF1127" s="848" t="s">
        <v>144</v>
      </c>
      <c r="AG1127" s="838"/>
      <c r="AH1127" s="866" t="s">
        <v>8113</v>
      </c>
      <c r="AI1127" s="273" t="s">
        <v>8114</v>
      </c>
      <c r="AJ1127" s="847">
        <v>7</v>
      </c>
      <c r="AK1127" s="848" t="s">
        <v>8115</v>
      </c>
      <c r="AL1127" s="875" t="s">
        <v>294</v>
      </c>
      <c r="AM1127" s="301" t="s">
        <v>295</v>
      </c>
      <c r="AN1127" s="847">
        <v>7</v>
      </c>
      <c r="AO1127" s="187" t="s">
        <v>966</v>
      </c>
      <c r="AP1127" s="867"/>
      <c r="AQ1127" s="273"/>
      <c r="AR1127" s="847"/>
      <c r="AS1127" s="848"/>
      <c r="AT1127" s="867"/>
      <c r="AU1127" s="273"/>
      <c r="AV1127" s="847"/>
      <c r="AW1127" s="848"/>
      <c r="AX1127" s="867"/>
      <c r="AY1127" s="273"/>
      <c r="AZ1127" s="847"/>
      <c r="BA1127" s="848"/>
      <c r="BB1127" s="866"/>
      <c r="BC1127" s="273"/>
      <c r="BD1127" s="847"/>
      <c r="BE1127" s="848"/>
      <c r="BF1127" s="838"/>
    </row>
    <row r="1128" spans="1:58" s="87" customFormat="1" ht="54" hidden="1" customHeight="1" x14ac:dyDescent="0.25">
      <c r="A1128" s="267" t="s">
        <v>7374</v>
      </c>
      <c r="B1128" s="268">
        <v>230</v>
      </c>
      <c r="C1128" s="240" t="s">
        <v>1022</v>
      </c>
      <c r="D1128" s="270" t="s">
        <v>1023</v>
      </c>
      <c r="E1128" s="298" t="s">
        <v>8116</v>
      </c>
      <c r="F1128" s="861" t="s">
        <v>5630</v>
      </c>
      <c r="G1128" s="269" t="s">
        <v>5631</v>
      </c>
      <c r="H1128" s="845" t="s">
        <v>5630</v>
      </c>
      <c r="I1128" s="269" t="s">
        <v>5631</v>
      </c>
      <c r="J1128" s="296" t="s">
        <v>140</v>
      </c>
      <c r="K1128" s="297" t="s">
        <v>140</v>
      </c>
      <c r="L1128" s="862" t="s">
        <v>5632</v>
      </c>
      <c r="M1128" s="847" t="s">
        <v>973</v>
      </c>
      <c r="N1128" s="211" t="s">
        <v>974</v>
      </c>
      <c r="O1128" s="240" t="s">
        <v>5633</v>
      </c>
      <c r="P1128" s="240" t="s">
        <v>5634</v>
      </c>
      <c r="Q1128" s="845" t="s">
        <v>144</v>
      </c>
      <c r="R1128" s="208" t="s">
        <v>144</v>
      </c>
      <c r="S1128" s="864" t="s">
        <v>147</v>
      </c>
      <c r="T1128" s="212" t="s">
        <v>144</v>
      </c>
      <c r="U1128" s="213" t="s">
        <v>144</v>
      </c>
      <c r="V1128" s="847">
        <v>1</v>
      </c>
      <c r="W1128" s="415" t="s">
        <v>144</v>
      </c>
      <c r="X1128" s="212">
        <v>43</v>
      </c>
      <c r="Y1128" s="212" t="s">
        <v>144</v>
      </c>
      <c r="Z1128" s="214" t="s">
        <v>144</v>
      </c>
      <c r="AA1128" s="240" t="s">
        <v>4543</v>
      </c>
      <c r="AB1128" s="206" t="s">
        <v>140</v>
      </c>
      <c r="AC1128" s="847" t="s">
        <v>265</v>
      </c>
      <c r="AD1128" s="847" t="s">
        <v>144</v>
      </c>
      <c r="AE1128" s="847" t="s">
        <v>144</v>
      </c>
      <c r="AF1128" s="848" t="s">
        <v>144</v>
      </c>
      <c r="AG1128" s="838"/>
      <c r="AH1128" s="866" t="s">
        <v>8117</v>
      </c>
      <c r="AI1128" s="273" t="s">
        <v>8118</v>
      </c>
      <c r="AJ1128" s="847">
        <v>6</v>
      </c>
      <c r="AK1128" s="848" t="s">
        <v>8119</v>
      </c>
      <c r="AL1128" s="875" t="s">
        <v>294</v>
      </c>
      <c r="AM1128" s="301" t="s">
        <v>295</v>
      </c>
      <c r="AN1128" s="847">
        <v>7</v>
      </c>
      <c r="AO1128" s="187" t="s">
        <v>966</v>
      </c>
      <c r="AP1128" s="867"/>
      <c r="AQ1128" s="273"/>
      <c r="AR1128" s="847"/>
      <c r="AS1128" s="848"/>
      <c r="AT1128" s="867"/>
      <c r="AU1128" s="273"/>
      <c r="AV1128" s="847"/>
      <c r="AW1128" s="848"/>
      <c r="AX1128" s="867"/>
      <c r="AY1128" s="273"/>
      <c r="AZ1128" s="847"/>
      <c r="BA1128" s="848"/>
      <c r="BB1128" s="866"/>
      <c r="BC1128" s="273"/>
      <c r="BD1128" s="847"/>
      <c r="BE1128" s="848"/>
      <c r="BF1128" s="838"/>
    </row>
    <row r="1129" spans="1:58" s="87" customFormat="1" ht="54" hidden="1" customHeight="1" x14ac:dyDescent="0.25">
      <c r="A1129" s="267" t="s">
        <v>7374</v>
      </c>
      <c r="B1129" s="268">
        <v>231</v>
      </c>
      <c r="C1129" s="240" t="s">
        <v>1022</v>
      </c>
      <c r="D1129" s="270" t="s">
        <v>1023</v>
      </c>
      <c r="E1129" s="298" t="s">
        <v>8120</v>
      </c>
      <c r="F1129" s="861" t="s">
        <v>5639</v>
      </c>
      <c r="G1129" s="269" t="s">
        <v>5640</v>
      </c>
      <c r="H1129" s="845" t="s">
        <v>5639</v>
      </c>
      <c r="I1129" s="269" t="s">
        <v>5640</v>
      </c>
      <c r="J1129" s="296" t="s">
        <v>140</v>
      </c>
      <c r="K1129" s="297" t="s">
        <v>140</v>
      </c>
      <c r="L1129" s="862" t="s">
        <v>5641</v>
      </c>
      <c r="M1129" s="847" t="s">
        <v>193</v>
      </c>
      <c r="N1129" s="211" t="s">
        <v>194</v>
      </c>
      <c r="O1129" s="240" t="s">
        <v>5642</v>
      </c>
      <c r="P1129" s="240" t="s">
        <v>5643</v>
      </c>
      <c r="Q1129" s="845" t="s">
        <v>144</v>
      </c>
      <c r="R1129" s="208" t="s">
        <v>144</v>
      </c>
      <c r="S1129" s="864" t="s">
        <v>147</v>
      </c>
      <c r="T1129" s="212" t="s">
        <v>144</v>
      </c>
      <c r="U1129" s="213" t="s">
        <v>144</v>
      </c>
      <c r="V1129" s="847">
        <v>1</v>
      </c>
      <c r="W1129" s="415" t="s">
        <v>144</v>
      </c>
      <c r="X1129" s="212">
        <v>43</v>
      </c>
      <c r="Y1129" s="212" t="s">
        <v>144</v>
      </c>
      <c r="Z1129" s="214" t="s">
        <v>144</v>
      </c>
      <c r="AA1129" s="240" t="s">
        <v>4543</v>
      </c>
      <c r="AB1129" s="206" t="s">
        <v>140</v>
      </c>
      <c r="AC1129" s="847" t="s">
        <v>265</v>
      </c>
      <c r="AD1129" s="847" t="s">
        <v>144</v>
      </c>
      <c r="AE1129" s="847" t="s">
        <v>144</v>
      </c>
      <c r="AF1129" s="848" t="s">
        <v>144</v>
      </c>
      <c r="AG1129" s="838"/>
      <c r="AH1129" s="866"/>
      <c r="AI1129" s="273"/>
      <c r="AJ1129" s="847"/>
      <c r="AK1129" s="848"/>
      <c r="AL1129" s="875" t="s">
        <v>294</v>
      </c>
      <c r="AM1129" s="301" t="s">
        <v>295</v>
      </c>
      <c r="AN1129" s="847">
        <v>7</v>
      </c>
      <c r="AO1129" s="187" t="s">
        <v>966</v>
      </c>
      <c r="AP1129" s="867"/>
      <c r="AQ1129" s="273"/>
      <c r="AR1129" s="847"/>
      <c r="AS1129" s="848"/>
      <c r="AT1129" s="867"/>
      <c r="AU1129" s="273"/>
      <c r="AV1129" s="847"/>
      <c r="AW1129" s="848"/>
      <c r="AX1129" s="867"/>
      <c r="AY1129" s="273"/>
      <c r="AZ1129" s="847"/>
      <c r="BA1129" s="848"/>
      <c r="BB1129" s="866"/>
      <c r="BC1129" s="273"/>
      <c r="BD1129" s="847"/>
      <c r="BE1129" s="848"/>
      <c r="BF1129" s="838"/>
    </row>
    <row r="1130" spans="1:58" s="87" customFormat="1" ht="54" hidden="1" customHeight="1" x14ac:dyDescent="0.25">
      <c r="A1130" s="267" t="s">
        <v>7374</v>
      </c>
      <c r="B1130" s="268">
        <v>232</v>
      </c>
      <c r="C1130" s="240" t="s">
        <v>1022</v>
      </c>
      <c r="D1130" s="270" t="s">
        <v>1023</v>
      </c>
      <c r="E1130" s="298" t="s">
        <v>8121</v>
      </c>
      <c r="F1130" s="861" t="s">
        <v>5645</v>
      </c>
      <c r="G1130" s="269" t="s">
        <v>5646</v>
      </c>
      <c r="H1130" s="845" t="s">
        <v>5645</v>
      </c>
      <c r="I1130" s="269" t="s">
        <v>5646</v>
      </c>
      <c r="J1130" s="296" t="s">
        <v>140</v>
      </c>
      <c r="K1130" s="297" t="s">
        <v>140</v>
      </c>
      <c r="L1130" s="862" t="s">
        <v>5647</v>
      </c>
      <c r="M1130" s="847" t="s">
        <v>193</v>
      </c>
      <c r="N1130" s="211" t="s">
        <v>194</v>
      </c>
      <c r="O1130" s="240" t="s">
        <v>5648</v>
      </c>
      <c r="P1130" s="240" t="s">
        <v>5649</v>
      </c>
      <c r="Q1130" s="845" t="s">
        <v>144</v>
      </c>
      <c r="R1130" s="208" t="s">
        <v>144</v>
      </c>
      <c r="S1130" s="864" t="s">
        <v>147</v>
      </c>
      <c r="T1130" s="212" t="s">
        <v>144</v>
      </c>
      <c r="U1130" s="213" t="s">
        <v>144</v>
      </c>
      <c r="V1130" s="847">
        <v>1</v>
      </c>
      <c r="W1130" s="415" t="s">
        <v>144</v>
      </c>
      <c r="X1130" s="212">
        <v>43</v>
      </c>
      <c r="Y1130" s="212" t="s">
        <v>144</v>
      </c>
      <c r="Z1130" s="252" t="s">
        <v>144</v>
      </c>
      <c r="AA1130" s="240" t="s">
        <v>8122</v>
      </c>
      <c r="AB1130" s="206" t="s">
        <v>140</v>
      </c>
      <c r="AC1130" s="847" t="s">
        <v>265</v>
      </c>
      <c r="AD1130" s="847" t="s">
        <v>144</v>
      </c>
      <c r="AE1130" s="847" t="s">
        <v>144</v>
      </c>
      <c r="AF1130" s="848" t="s">
        <v>144</v>
      </c>
      <c r="AG1130" s="838"/>
      <c r="AH1130" s="291"/>
      <c r="AI1130" s="273"/>
      <c r="AJ1130" s="240"/>
      <c r="AK1130" s="848"/>
      <c r="AL1130" s="875" t="s">
        <v>294</v>
      </c>
      <c r="AM1130" s="301" t="s">
        <v>295</v>
      </c>
      <c r="AN1130" s="847">
        <v>7</v>
      </c>
      <c r="AO1130" s="187" t="s">
        <v>966</v>
      </c>
      <c r="AP1130" s="867" t="s">
        <v>5651</v>
      </c>
      <c r="AQ1130" s="273" t="s">
        <v>5652</v>
      </c>
      <c r="AR1130" s="847">
        <v>7</v>
      </c>
      <c r="AS1130" s="286" t="s">
        <v>5653</v>
      </c>
      <c r="AT1130" s="867"/>
      <c r="AU1130" s="273"/>
      <c r="AV1130" s="847"/>
      <c r="AW1130" s="848"/>
      <c r="AX1130" s="867"/>
      <c r="AY1130" s="273"/>
      <c r="AZ1130" s="847"/>
      <c r="BA1130" s="848"/>
      <c r="BB1130" s="866"/>
      <c r="BC1130" s="273"/>
      <c r="BD1130" s="847"/>
      <c r="BE1130" s="848"/>
      <c r="BF1130" s="838"/>
    </row>
    <row r="1131" spans="1:58" s="87" customFormat="1" ht="54" hidden="1" customHeight="1" x14ac:dyDescent="0.25">
      <c r="A1131" s="267" t="s">
        <v>7374</v>
      </c>
      <c r="B1131" s="268">
        <v>233</v>
      </c>
      <c r="C1131" s="240" t="s">
        <v>2170</v>
      </c>
      <c r="D1131" s="270" t="s">
        <v>2171</v>
      </c>
      <c r="E1131" s="298" t="s">
        <v>8123</v>
      </c>
      <c r="F1131" s="861" t="s">
        <v>5655</v>
      </c>
      <c r="G1131" s="269" t="s">
        <v>5656</v>
      </c>
      <c r="H1131" s="861" t="s">
        <v>5657</v>
      </c>
      <c r="I1131" s="269" t="s">
        <v>5658</v>
      </c>
      <c r="J1131" s="296" t="s">
        <v>140</v>
      </c>
      <c r="K1131" s="297" t="s">
        <v>140</v>
      </c>
      <c r="L1131" s="862" t="s">
        <v>5659</v>
      </c>
      <c r="M1131" s="847" t="s">
        <v>973</v>
      </c>
      <c r="N1131" s="211" t="s">
        <v>974</v>
      </c>
      <c r="O1131" s="240" t="s">
        <v>144</v>
      </c>
      <c r="P1131" s="240" t="s">
        <v>144</v>
      </c>
      <c r="Q1131" s="845" t="s">
        <v>144</v>
      </c>
      <c r="R1131" s="208" t="s">
        <v>144</v>
      </c>
      <c r="S1131" s="864" t="s">
        <v>746</v>
      </c>
      <c r="T1131" s="212" t="s">
        <v>5660</v>
      </c>
      <c r="U1131" s="213" t="s">
        <v>5661</v>
      </c>
      <c r="V1131" s="847">
        <v>15</v>
      </c>
      <c r="W1131" s="415" t="s">
        <v>144</v>
      </c>
      <c r="X1131" s="212">
        <v>43</v>
      </c>
      <c r="Y1131" s="212" t="s">
        <v>144</v>
      </c>
      <c r="Z1131" s="214" t="s">
        <v>144</v>
      </c>
      <c r="AA1131" s="240" t="s">
        <v>4543</v>
      </c>
      <c r="AB1131" s="206" t="s">
        <v>140</v>
      </c>
      <c r="AC1131" s="847" t="s">
        <v>265</v>
      </c>
      <c r="AD1131" s="847" t="s">
        <v>144</v>
      </c>
      <c r="AE1131" s="847" t="s">
        <v>144</v>
      </c>
      <c r="AF1131" s="848" t="s">
        <v>144</v>
      </c>
      <c r="AG1131" s="838"/>
      <c r="AH1131" s="866" t="s">
        <v>8117</v>
      </c>
      <c r="AI1131" s="273" t="s">
        <v>8118</v>
      </c>
      <c r="AJ1131" s="847">
        <v>6</v>
      </c>
      <c r="AK1131" s="848" t="s">
        <v>8119</v>
      </c>
      <c r="AL1131" s="867"/>
      <c r="AM1131" s="273"/>
      <c r="AN1131" s="847"/>
      <c r="AO1131" s="848"/>
      <c r="AP1131" s="867" t="s">
        <v>1107</v>
      </c>
      <c r="AQ1131" s="273" t="s">
        <v>1108</v>
      </c>
      <c r="AR1131" s="847">
        <v>7</v>
      </c>
      <c r="AS1131" s="286" t="s">
        <v>1109</v>
      </c>
      <c r="AT1131" s="867"/>
      <c r="AU1131" s="273"/>
      <c r="AV1131" s="847"/>
      <c r="AW1131" s="848"/>
      <c r="AX1131" s="867"/>
      <c r="AY1131" s="273"/>
      <c r="AZ1131" s="847"/>
      <c r="BA1131" s="848"/>
      <c r="BB1131" s="866"/>
      <c r="BC1131" s="273"/>
      <c r="BD1131" s="847"/>
      <c r="BE1131" s="848"/>
      <c r="BF1131" s="838"/>
    </row>
    <row r="1132" spans="1:58" s="87" customFormat="1" ht="54" hidden="1" customHeight="1" x14ac:dyDescent="0.25">
      <c r="A1132" s="267" t="s">
        <v>7374</v>
      </c>
      <c r="B1132" s="268">
        <v>234</v>
      </c>
      <c r="C1132" s="240" t="s">
        <v>1022</v>
      </c>
      <c r="D1132" s="270" t="s">
        <v>1023</v>
      </c>
      <c r="E1132" s="298" t="s">
        <v>8124</v>
      </c>
      <c r="F1132" s="861" t="s">
        <v>5663</v>
      </c>
      <c r="G1132" s="269" t="s">
        <v>5664</v>
      </c>
      <c r="H1132" s="845" t="s">
        <v>5665</v>
      </c>
      <c r="I1132" s="269" t="s">
        <v>5666</v>
      </c>
      <c r="J1132" s="296" t="s">
        <v>140</v>
      </c>
      <c r="K1132" s="297" t="s">
        <v>140</v>
      </c>
      <c r="L1132" s="862" t="s">
        <v>5667</v>
      </c>
      <c r="M1132" s="847" t="s">
        <v>973</v>
      </c>
      <c r="N1132" s="211" t="s">
        <v>974</v>
      </c>
      <c r="O1132" s="240" t="s">
        <v>144</v>
      </c>
      <c r="P1132" s="240" t="s">
        <v>144</v>
      </c>
      <c r="Q1132" s="845" t="s">
        <v>144</v>
      </c>
      <c r="R1132" s="208" t="s">
        <v>144</v>
      </c>
      <c r="S1132" s="268" t="s">
        <v>746</v>
      </c>
      <c r="T1132" s="212" t="s">
        <v>1104</v>
      </c>
      <c r="U1132" s="213" t="s">
        <v>1105</v>
      </c>
      <c r="V1132" s="847">
        <v>19</v>
      </c>
      <c r="W1132" s="415" t="s">
        <v>144</v>
      </c>
      <c r="X1132" s="212">
        <v>43</v>
      </c>
      <c r="Y1132" s="212" t="s">
        <v>144</v>
      </c>
      <c r="Z1132" s="241" t="s">
        <v>144</v>
      </c>
      <c r="AA1132" s="240" t="s">
        <v>5668</v>
      </c>
      <c r="AB1132" s="206" t="s">
        <v>140</v>
      </c>
      <c r="AC1132" s="847" t="s">
        <v>265</v>
      </c>
      <c r="AD1132" s="847" t="s">
        <v>144</v>
      </c>
      <c r="AE1132" s="847" t="s">
        <v>144</v>
      </c>
      <c r="AF1132" s="848" t="s">
        <v>144</v>
      </c>
      <c r="AG1132" s="838"/>
      <c r="AH1132" s="866" t="s">
        <v>8117</v>
      </c>
      <c r="AI1132" s="273" t="s">
        <v>8118</v>
      </c>
      <c r="AJ1132" s="847">
        <v>6</v>
      </c>
      <c r="AK1132" s="848" t="s">
        <v>8119</v>
      </c>
      <c r="AL1132" s="867"/>
      <c r="AM1132" s="273"/>
      <c r="AN1132" s="847"/>
      <c r="AO1132" s="848"/>
      <c r="AP1132" s="867" t="s">
        <v>1107</v>
      </c>
      <c r="AQ1132" s="273" t="s">
        <v>1108</v>
      </c>
      <c r="AR1132" s="847">
        <v>7</v>
      </c>
      <c r="AS1132" s="286" t="s">
        <v>1109</v>
      </c>
      <c r="AT1132" s="867"/>
      <c r="AU1132" s="273"/>
      <c r="AV1132" s="847"/>
      <c r="AW1132" s="848"/>
      <c r="AX1132" s="867"/>
      <c r="AY1132" s="273"/>
      <c r="AZ1132" s="847"/>
      <c r="BA1132" s="848"/>
      <c r="BB1132" s="866"/>
      <c r="BC1132" s="273"/>
      <c r="BD1132" s="847"/>
      <c r="BE1132" s="848"/>
      <c r="BF1132" s="838"/>
    </row>
    <row r="1133" spans="1:58" s="87" customFormat="1" ht="54" hidden="1" customHeight="1" x14ac:dyDescent="0.25">
      <c r="A1133" s="267" t="s">
        <v>7374</v>
      </c>
      <c r="B1133" s="268">
        <v>235</v>
      </c>
      <c r="C1133" s="240" t="s">
        <v>1022</v>
      </c>
      <c r="D1133" s="270" t="s">
        <v>1023</v>
      </c>
      <c r="E1133" s="298" t="s">
        <v>8125</v>
      </c>
      <c r="F1133" s="861" t="s">
        <v>5670</v>
      </c>
      <c r="G1133" s="269" t="s">
        <v>5671</v>
      </c>
      <c r="H1133" s="845" t="s">
        <v>5672</v>
      </c>
      <c r="I1133" s="269" t="s">
        <v>5671</v>
      </c>
      <c r="J1133" s="296" t="s">
        <v>140</v>
      </c>
      <c r="K1133" s="297" t="s">
        <v>140</v>
      </c>
      <c r="L1133" s="862" t="s">
        <v>5673</v>
      </c>
      <c r="M1133" s="847" t="s">
        <v>973</v>
      </c>
      <c r="N1133" s="211" t="s">
        <v>974</v>
      </c>
      <c r="O1133" s="240" t="s">
        <v>814</v>
      </c>
      <c r="P1133" s="240" t="s">
        <v>815</v>
      </c>
      <c r="Q1133" s="845" t="s">
        <v>144</v>
      </c>
      <c r="R1133" s="208" t="s">
        <v>144</v>
      </c>
      <c r="S1133" s="864" t="s">
        <v>147</v>
      </c>
      <c r="T1133" s="212" t="s">
        <v>144</v>
      </c>
      <c r="U1133" s="213" t="s">
        <v>144</v>
      </c>
      <c r="V1133" s="847">
        <v>3</v>
      </c>
      <c r="W1133" s="415" t="s">
        <v>144</v>
      </c>
      <c r="X1133" s="212">
        <v>43</v>
      </c>
      <c r="Y1133" s="212" t="s">
        <v>144</v>
      </c>
      <c r="Z1133" s="214" t="s">
        <v>144</v>
      </c>
      <c r="AA1133" s="240" t="s">
        <v>5668</v>
      </c>
      <c r="AB1133" s="206" t="s">
        <v>140</v>
      </c>
      <c r="AC1133" s="847" t="s">
        <v>265</v>
      </c>
      <c r="AD1133" s="847" t="s">
        <v>144</v>
      </c>
      <c r="AE1133" s="847" t="s">
        <v>144</v>
      </c>
      <c r="AF1133" s="848" t="s">
        <v>144</v>
      </c>
      <c r="AG1133" s="838"/>
      <c r="AH1133" s="866" t="s">
        <v>8126</v>
      </c>
      <c r="AI1133" s="273" t="s">
        <v>8127</v>
      </c>
      <c r="AJ1133" s="847">
        <v>7</v>
      </c>
      <c r="AK1133" s="848" t="s">
        <v>1280</v>
      </c>
      <c r="AL1133" s="875" t="s">
        <v>294</v>
      </c>
      <c r="AM1133" s="301" t="s">
        <v>295</v>
      </c>
      <c r="AN1133" s="847">
        <v>7</v>
      </c>
      <c r="AO1133" s="187" t="s">
        <v>966</v>
      </c>
      <c r="AP1133" s="867"/>
      <c r="AQ1133" s="273"/>
      <c r="AR1133" s="847"/>
      <c r="AS1133" s="848"/>
      <c r="AT1133" s="867"/>
      <c r="AU1133" s="273"/>
      <c r="AV1133" s="847"/>
      <c r="AW1133" s="848"/>
      <c r="AX1133" s="867"/>
      <c r="AY1133" s="273"/>
      <c r="AZ1133" s="847"/>
      <c r="BA1133" s="848"/>
      <c r="BB1133" s="866"/>
      <c r="BC1133" s="273"/>
      <c r="BD1133" s="847"/>
      <c r="BE1133" s="848"/>
      <c r="BF1133" s="838"/>
    </row>
    <row r="1134" spans="1:58" s="87" customFormat="1" ht="54" hidden="1" customHeight="1" x14ac:dyDescent="0.25">
      <c r="A1134" s="267" t="s">
        <v>7374</v>
      </c>
      <c r="B1134" s="268">
        <v>236</v>
      </c>
      <c r="C1134" s="240" t="s">
        <v>1022</v>
      </c>
      <c r="D1134" s="270" t="s">
        <v>1023</v>
      </c>
      <c r="E1134" s="298" t="s">
        <v>8128</v>
      </c>
      <c r="F1134" s="861" t="s">
        <v>5677</v>
      </c>
      <c r="G1134" s="269" t="s">
        <v>5678</v>
      </c>
      <c r="H1134" s="861" t="s">
        <v>5679</v>
      </c>
      <c r="I1134" s="269" t="s">
        <v>5680</v>
      </c>
      <c r="J1134" s="296" t="s">
        <v>140</v>
      </c>
      <c r="K1134" s="297" t="s">
        <v>140</v>
      </c>
      <c r="L1134" s="862" t="s">
        <v>5681</v>
      </c>
      <c r="M1134" s="847" t="s">
        <v>973</v>
      </c>
      <c r="N1134" s="211" t="s">
        <v>974</v>
      </c>
      <c r="O1134" s="240" t="s">
        <v>144</v>
      </c>
      <c r="P1134" s="240" t="s">
        <v>144</v>
      </c>
      <c r="Q1134" s="845" t="s">
        <v>8129</v>
      </c>
      <c r="R1134" s="208" t="s">
        <v>8130</v>
      </c>
      <c r="S1134" s="268" t="s">
        <v>746</v>
      </c>
      <c r="T1134" s="212" t="s">
        <v>5682</v>
      </c>
      <c r="U1134" s="213" t="s">
        <v>5683</v>
      </c>
      <c r="V1134" s="847">
        <v>6</v>
      </c>
      <c r="W1134" s="415" t="s">
        <v>144</v>
      </c>
      <c r="X1134" s="212">
        <v>43</v>
      </c>
      <c r="Y1134" s="212" t="s">
        <v>144</v>
      </c>
      <c r="Z1134" s="214" t="s">
        <v>144</v>
      </c>
      <c r="AA1134" s="240" t="s">
        <v>8131</v>
      </c>
      <c r="AB1134" s="206" t="s">
        <v>140</v>
      </c>
      <c r="AC1134" s="847" t="s">
        <v>265</v>
      </c>
      <c r="AD1134" s="847" t="s">
        <v>144</v>
      </c>
      <c r="AE1134" s="847" t="s">
        <v>144</v>
      </c>
      <c r="AF1134" s="848" t="s">
        <v>144</v>
      </c>
      <c r="AG1134" s="838"/>
      <c r="AH1134" s="866" t="s">
        <v>8132</v>
      </c>
      <c r="AI1134" s="273" t="s">
        <v>8133</v>
      </c>
      <c r="AJ1134" s="847">
        <v>6</v>
      </c>
      <c r="AK1134" s="848" t="s">
        <v>8134</v>
      </c>
      <c r="AL1134" s="867"/>
      <c r="AM1134" s="273"/>
      <c r="AN1134" s="847"/>
      <c r="AO1134" s="848"/>
      <c r="AP1134" s="867" t="s">
        <v>1107</v>
      </c>
      <c r="AQ1134" s="273" t="s">
        <v>1108</v>
      </c>
      <c r="AR1134" s="847">
        <v>7</v>
      </c>
      <c r="AS1134" s="286" t="s">
        <v>1109</v>
      </c>
      <c r="AT1134" s="867"/>
      <c r="AU1134" s="273"/>
      <c r="AV1134" s="847"/>
      <c r="AW1134" s="848"/>
      <c r="AX1134" s="867"/>
      <c r="AY1134" s="273"/>
      <c r="AZ1134" s="847"/>
      <c r="BA1134" s="848"/>
      <c r="BB1134" s="866"/>
      <c r="BC1134" s="273"/>
      <c r="BD1134" s="847"/>
      <c r="BE1134" s="848"/>
      <c r="BF1134" s="838"/>
    </row>
    <row r="1135" spans="1:58" s="87" customFormat="1" ht="54" hidden="1" customHeight="1" x14ac:dyDescent="0.25">
      <c r="A1135" s="267" t="s">
        <v>7374</v>
      </c>
      <c r="B1135" s="268">
        <v>237</v>
      </c>
      <c r="C1135" s="240" t="s">
        <v>1022</v>
      </c>
      <c r="D1135" s="270" t="s">
        <v>1023</v>
      </c>
      <c r="E1135" s="298" t="s">
        <v>8135</v>
      </c>
      <c r="F1135" s="861" t="s">
        <v>5686</v>
      </c>
      <c r="G1135" s="269" t="s">
        <v>5687</v>
      </c>
      <c r="H1135" s="861" t="s">
        <v>5688</v>
      </c>
      <c r="I1135" s="269" t="s">
        <v>5689</v>
      </c>
      <c r="J1135" s="296" t="s">
        <v>140</v>
      </c>
      <c r="K1135" s="297" t="s">
        <v>140</v>
      </c>
      <c r="L1135" s="862" t="s">
        <v>5690</v>
      </c>
      <c r="M1135" s="847" t="s">
        <v>973</v>
      </c>
      <c r="N1135" s="211" t="s">
        <v>974</v>
      </c>
      <c r="O1135" s="240" t="s">
        <v>144</v>
      </c>
      <c r="P1135" s="240" t="s">
        <v>144</v>
      </c>
      <c r="Q1135" s="845" t="s">
        <v>5691</v>
      </c>
      <c r="R1135" s="208" t="s">
        <v>5692</v>
      </c>
      <c r="S1135" s="268" t="s">
        <v>746</v>
      </c>
      <c r="T1135" s="212" t="s">
        <v>5682</v>
      </c>
      <c r="U1135" s="213" t="s">
        <v>5683</v>
      </c>
      <c r="V1135" s="847">
        <v>6</v>
      </c>
      <c r="W1135" s="415" t="s">
        <v>144</v>
      </c>
      <c r="X1135" s="212">
        <v>43</v>
      </c>
      <c r="Y1135" s="212" t="s">
        <v>144</v>
      </c>
      <c r="Z1135" s="214" t="s">
        <v>144</v>
      </c>
      <c r="AA1135" s="240" t="s">
        <v>5693</v>
      </c>
      <c r="AB1135" s="206" t="s">
        <v>140</v>
      </c>
      <c r="AC1135" s="847" t="s">
        <v>265</v>
      </c>
      <c r="AD1135" s="847" t="s">
        <v>144</v>
      </c>
      <c r="AE1135" s="847" t="s">
        <v>144</v>
      </c>
      <c r="AF1135" s="848" t="s">
        <v>144</v>
      </c>
      <c r="AG1135" s="838"/>
      <c r="AH1135" s="866" t="s">
        <v>8132</v>
      </c>
      <c r="AI1135" s="273" t="s">
        <v>8133</v>
      </c>
      <c r="AJ1135" s="847">
        <v>6</v>
      </c>
      <c r="AK1135" s="848" t="s">
        <v>8134</v>
      </c>
      <c r="AL1135" s="867"/>
      <c r="AM1135" s="273"/>
      <c r="AN1135" s="847"/>
      <c r="AO1135" s="848"/>
      <c r="AP1135" s="867" t="s">
        <v>1107</v>
      </c>
      <c r="AQ1135" s="273" t="s">
        <v>1108</v>
      </c>
      <c r="AR1135" s="847">
        <v>7</v>
      </c>
      <c r="AS1135" s="286" t="s">
        <v>1109</v>
      </c>
      <c r="AT1135" s="867"/>
      <c r="AU1135" s="273"/>
      <c r="AV1135" s="847"/>
      <c r="AW1135" s="848"/>
      <c r="AX1135" s="867"/>
      <c r="AY1135" s="273"/>
      <c r="AZ1135" s="847"/>
      <c r="BA1135" s="848"/>
      <c r="BB1135" s="866"/>
      <c r="BC1135" s="273"/>
      <c r="BD1135" s="847"/>
      <c r="BE1135" s="848"/>
      <c r="BF1135" s="838"/>
    </row>
    <row r="1136" spans="1:58" s="87" customFormat="1" ht="54" hidden="1" customHeight="1" x14ac:dyDescent="0.25">
      <c r="A1136" s="267" t="s">
        <v>7374</v>
      </c>
      <c r="B1136" s="268">
        <v>238</v>
      </c>
      <c r="C1136" s="240" t="s">
        <v>1022</v>
      </c>
      <c r="D1136" s="270" t="s">
        <v>1023</v>
      </c>
      <c r="E1136" s="298" t="s">
        <v>8136</v>
      </c>
      <c r="F1136" s="861" t="s">
        <v>5695</v>
      </c>
      <c r="G1136" s="269" t="s">
        <v>5696</v>
      </c>
      <c r="H1136" s="861" t="s">
        <v>5697</v>
      </c>
      <c r="I1136" s="269" t="s">
        <v>5698</v>
      </c>
      <c r="J1136" s="296" t="s">
        <v>140</v>
      </c>
      <c r="K1136" s="297" t="s">
        <v>140</v>
      </c>
      <c r="L1136" s="862" t="s">
        <v>5699</v>
      </c>
      <c r="M1136" s="847" t="s">
        <v>973</v>
      </c>
      <c r="N1136" s="211" t="s">
        <v>974</v>
      </c>
      <c r="O1136" s="240" t="s">
        <v>144</v>
      </c>
      <c r="P1136" s="240" t="s">
        <v>144</v>
      </c>
      <c r="Q1136" s="845" t="s">
        <v>8137</v>
      </c>
      <c r="R1136" s="208" t="s">
        <v>8138</v>
      </c>
      <c r="S1136" s="268" t="s">
        <v>746</v>
      </c>
      <c r="T1136" s="212" t="s">
        <v>5682</v>
      </c>
      <c r="U1136" s="213" t="s">
        <v>5683</v>
      </c>
      <c r="V1136" s="847">
        <v>6</v>
      </c>
      <c r="W1136" s="415" t="s">
        <v>144</v>
      </c>
      <c r="X1136" s="212">
        <v>43</v>
      </c>
      <c r="Y1136" s="212" t="s">
        <v>144</v>
      </c>
      <c r="Z1136" s="241" t="s">
        <v>144</v>
      </c>
      <c r="AA1136" s="240" t="s">
        <v>4543</v>
      </c>
      <c r="AB1136" s="206" t="s">
        <v>140</v>
      </c>
      <c r="AC1136" s="847" t="s">
        <v>265</v>
      </c>
      <c r="AD1136" s="847" t="s">
        <v>144</v>
      </c>
      <c r="AE1136" s="847" t="s">
        <v>144</v>
      </c>
      <c r="AF1136" s="848" t="s">
        <v>144</v>
      </c>
      <c r="AG1136" s="838"/>
      <c r="AH1136" s="866" t="s">
        <v>8139</v>
      </c>
      <c r="AI1136" s="273" t="s">
        <v>8140</v>
      </c>
      <c r="AJ1136" s="847">
        <v>5</v>
      </c>
      <c r="AK1136" s="848" t="s">
        <v>8141</v>
      </c>
      <c r="AL1136" s="867"/>
      <c r="AM1136" s="273"/>
      <c r="AN1136" s="847"/>
      <c r="AO1136" s="848"/>
      <c r="AP1136" s="867" t="s">
        <v>1107</v>
      </c>
      <c r="AQ1136" s="273" t="s">
        <v>1108</v>
      </c>
      <c r="AR1136" s="847">
        <v>7</v>
      </c>
      <c r="AS1136" s="286" t="s">
        <v>1109</v>
      </c>
      <c r="AT1136" s="867"/>
      <c r="AU1136" s="273"/>
      <c r="AV1136" s="847"/>
      <c r="AW1136" s="848"/>
      <c r="AX1136" s="867"/>
      <c r="AY1136" s="273"/>
      <c r="AZ1136" s="847"/>
      <c r="BA1136" s="848"/>
      <c r="BB1136" s="866"/>
      <c r="BC1136" s="273"/>
      <c r="BD1136" s="847"/>
      <c r="BE1136" s="848"/>
      <c r="BF1136" s="838"/>
    </row>
    <row r="1137" spans="1:58" s="87" customFormat="1" ht="54" hidden="1" customHeight="1" x14ac:dyDescent="0.25">
      <c r="A1137" s="267" t="s">
        <v>7374</v>
      </c>
      <c r="B1137" s="268">
        <v>239</v>
      </c>
      <c r="C1137" s="240" t="s">
        <v>1022</v>
      </c>
      <c r="D1137" s="270" t="s">
        <v>1023</v>
      </c>
      <c r="E1137" s="298" t="s">
        <v>8142</v>
      </c>
      <c r="F1137" s="861" t="s">
        <v>5702</v>
      </c>
      <c r="G1137" s="269" t="s">
        <v>5703</v>
      </c>
      <c r="H1137" s="845" t="s">
        <v>5704</v>
      </c>
      <c r="I1137" s="269" t="s">
        <v>5705</v>
      </c>
      <c r="J1137" s="296" t="s">
        <v>140</v>
      </c>
      <c r="K1137" s="297" t="s">
        <v>140</v>
      </c>
      <c r="L1137" s="862" t="s">
        <v>5706</v>
      </c>
      <c r="M1137" s="847" t="s">
        <v>193</v>
      </c>
      <c r="N1137" s="211" t="s">
        <v>194</v>
      </c>
      <c r="O1137" s="240" t="s">
        <v>5707</v>
      </c>
      <c r="P1137" s="240" t="s">
        <v>5708</v>
      </c>
      <c r="Q1137" s="845" t="s">
        <v>144</v>
      </c>
      <c r="R1137" s="208" t="s">
        <v>144</v>
      </c>
      <c r="S1137" s="864" t="s">
        <v>147</v>
      </c>
      <c r="T1137" s="212" t="s">
        <v>144</v>
      </c>
      <c r="U1137" s="213" t="s">
        <v>144</v>
      </c>
      <c r="V1137" s="847">
        <v>1</v>
      </c>
      <c r="W1137" s="415" t="s">
        <v>144</v>
      </c>
      <c r="X1137" s="212">
        <v>43</v>
      </c>
      <c r="Y1137" s="212" t="s">
        <v>144</v>
      </c>
      <c r="Z1137" s="241" t="s">
        <v>144</v>
      </c>
      <c r="AA1137" s="240" t="s">
        <v>4543</v>
      </c>
      <c r="AB1137" s="206" t="s">
        <v>140</v>
      </c>
      <c r="AC1137" s="847" t="s">
        <v>265</v>
      </c>
      <c r="AD1137" s="847" t="s">
        <v>144</v>
      </c>
      <c r="AE1137" s="847" t="s">
        <v>144</v>
      </c>
      <c r="AF1137" s="848" t="s">
        <v>144</v>
      </c>
      <c r="AG1137" s="838"/>
      <c r="AH1137" s="866"/>
      <c r="AI1137" s="273"/>
      <c r="AJ1137" s="847"/>
      <c r="AK1137" s="848"/>
      <c r="AL1137" s="875" t="s">
        <v>294</v>
      </c>
      <c r="AM1137" s="301" t="s">
        <v>295</v>
      </c>
      <c r="AN1137" s="847">
        <v>7</v>
      </c>
      <c r="AO1137" s="187" t="s">
        <v>966</v>
      </c>
      <c r="AP1137" s="867"/>
      <c r="AQ1137" s="273"/>
      <c r="AR1137" s="847"/>
      <c r="AS1137" s="848"/>
      <c r="AT1137" s="867"/>
      <c r="AU1137" s="273"/>
      <c r="AV1137" s="847"/>
      <c r="AW1137" s="848"/>
      <c r="AX1137" s="867"/>
      <c r="AY1137" s="273"/>
      <c r="AZ1137" s="847"/>
      <c r="BA1137" s="848"/>
      <c r="BB1137" s="866"/>
      <c r="BC1137" s="273"/>
      <c r="BD1137" s="847"/>
      <c r="BE1137" s="848"/>
      <c r="BF1137" s="838"/>
    </row>
    <row r="1138" spans="1:58" s="87" customFormat="1" ht="54" hidden="1" customHeight="1" x14ac:dyDescent="0.25">
      <c r="A1138" s="267" t="s">
        <v>7374</v>
      </c>
      <c r="B1138" s="268">
        <v>240</v>
      </c>
      <c r="C1138" s="240" t="s">
        <v>1022</v>
      </c>
      <c r="D1138" s="270" t="s">
        <v>1023</v>
      </c>
      <c r="E1138" s="298" t="s">
        <v>8143</v>
      </c>
      <c r="F1138" s="861" t="s">
        <v>5710</v>
      </c>
      <c r="G1138" s="269" t="s">
        <v>5711</v>
      </c>
      <c r="H1138" s="845" t="s">
        <v>5712</v>
      </c>
      <c r="I1138" s="269" t="s">
        <v>5713</v>
      </c>
      <c r="J1138" s="296" t="s">
        <v>140</v>
      </c>
      <c r="K1138" s="297" t="s">
        <v>140</v>
      </c>
      <c r="L1138" s="862" t="s">
        <v>5714</v>
      </c>
      <c r="M1138" s="847" t="s">
        <v>973</v>
      </c>
      <c r="N1138" s="211" t="s">
        <v>974</v>
      </c>
      <c r="O1138" s="240" t="s">
        <v>5715</v>
      </c>
      <c r="P1138" s="240" t="s">
        <v>5716</v>
      </c>
      <c r="Q1138" s="845" t="s">
        <v>144</v>
      </c>
      <c r="R1138" s="208" t="s">
        <v>144</v>
      </c>
      <c r="S1138" s="864" t="s">
        <v>147</v>
      </c>
      <c r="T1138" s="212" t="s">
        <v>144</v>
      </c>
      <c r="U1138" s="213" t="s">
        <v>144</v>
      </c>
      <c r="V1138" s="847">
        <v>2</v>
      </c>
      <c r="W1138" s="415" t="s">
        <v>144</v>
      </c>
      <c r="X1138" s="212">
        <v>43</v>
      </c>
      <c r="Y1138" s="212" t="s">
        <v>144</v>
      </c>
      <c r="Z1138" s="241" t="s">
        <v>144</v>
      </c>
      <c r="AA1138" s="240" t="s">
        <v>4543</v>
      </c>
      <c r="AB1138" s="206" t="s">
        <v>140</v>
      </c>
      <c r="AC1138" s="847" t="s">
        <v>265</v>
      </c>
      <c r="AD1138" s="847" t="s">
        <v>144</v>
      </c>
      <c r="AE1138" s="847" t="s">
        <v>144</v>
      </c>
      <c r="AF1138" s="848" t="s">
        <v>144</v>
      </c>
      <c r="AG1138" s="838"/>
      <c r="AH1138" s="866" t="s">
        <v>8132</v>
      </c>
      <c r="AI1138" s="273" t="s">
        <v>8133</v>
      </c>
      <c r="AJ1138" s="847">
        <v>6</v>
      </c>
      <c r="AK1138" s="848" t="s">
        <v>8134</v>
      </c>
      <c r="AL1138" s="867" t="s">
        <v>294</v>
      </c>
      <c r="AM1138" s="273" t="s">
        <v>295</v>
      </c>
      <c r="AN1138" s="847">
        <v>7</v>
      </c>
      <c r="AO1138" s="187" t="s">
        <v>966</v>
      </c>
      <c r="AP1138" s="867"/>
      <c r="AQ1138" s="273"/>
      <c r="AR1138" s="847"/>
      <c r="AS1138" s="848"/>
      <c r="AT1138" s="867"/>
      <c r="AU1138" s="273"/>
      <c r="AV1138" s="847"/>
      <c r="AW1138" s="848"/>
      <c r="AX1138" s="867"/>
      <c r="AY1138" s="273"/>
      <c r="AZ1138" s="847"/>
      <c r="BA1138" s="848"/>
      <c r="BB1138" s="866"/>
      <c r="BC1138" s="273"/>
      <c r="BD1138" s="847"/>
      <c r="BE1138" s="848"/>
      <c r="BF1138" s="838"/>
    </row>
    <row r="1139" spans="1:58" s="87" customFormat="1" ht="54" hidden="1" customHeight="1" x14ac:dyDescent="0.25">
      <c r="A1139" s="267" t="s">
        <v>7374</v>
      </c>
      <c r="B1139" s="268">
        <v>241</v>
      </c>
      <c r="C1139" s="240" t="s">
        <v>1022</v>
      </c>
      <c r="D1139" s="270" t="s">
        <v>1023</v>
      </c>
      <c r="E1139" s="298" t="s">
        <v>8144</v>
      </c>
      <c r="F1139" s="861" t="s">
        <v>5718</v>
      </c>
      <c r="G1139" s="269" t="s">
        <v>5719</v>
      </c>
      <c r="H1139" s="845" t="s">
        <v>5720</v>
      </c>
      <c r="I1139" s="269" t="s">
        <v>5721</v>
      </c>
      <c r="J1139" s="296" t="s">
        <v>140</v>
      </c>
      <c r="K1139" s="297" t="s">
        <v>140</v>
      </c>
      <c r="L1139" s="862" t="s">
        <v>5722</v>
      </c>
      <c r="M1139" s="847" t="s">
        <v>973</v>
      </c>
      <c r="N1139" s="211" t="s">
        <v>974</v>
      </c>
      <c r="O1139" s="240" t="s">
        <v>5715</v>
      </c>
      <c r="P1139" s="240" t="s">
        <v>5716</v>
      </c>
      <c r="Q1139" s="845" t="s">
        <v>144</v>
      </c>
      <c r="R1139" s="208" t="s">
        <v>144</v>
      </c>
      <c r="S1139" s="864" t="s">
        <v>147</v>
      </c>
      <c r="T1139" s="212" t="s">
        <v>144</v>
      </c>
      <c r="U1139" s="213" t="s">
        <v>144</v>
      </c>
      <c r="V1139" s="847">
        <v>2</v>
      </c>
      <c r="W1139" s="415" t="s">
        <v>144</v>
      </c>
      <c r="X1139" s="212">
        <v>43</v>
      </c>
      <c r="Y1139" s="212" t="s">
        <v>144</v>
      </c>
      <c r="Z1139" s="214" t="s">
        <v>144</v>
      </c>
      <c r="AA1139" s="240" t="s">
        <v>5723</v>
      </c>
      <c r="AB1139" s="206" t="s">
        <v>140</v>
      </c>
      <c r="AC1139" s="847" t="s">
        <v>265</v>
      </c>
      <c r="AD1139" s="847" t="s">
        <v>144</v>
      </c>
      <c r="AE1139" s="847" t="s">
        <v>144</v>
      </c>
      <c r="AF1139" s="848" t="s">
        <v>144</v>
      </c>
      <c r="AG1139" s="838"/>
      <c r="AH1139" s="866" t="s">
        <v>8132</v>
      </c>
      <c r="AI1139" s="273" t="s">
        <v>8133</v>
      </c>
      <c r="AJ1139" s="847">
        <v>6</v>
      </c>
      <c r="AK1139" s="848" t="s">
        <v>8134</v>
      </c>
      <c r="AL1139" s="867" t="s">
        <v>294</v>
      </c>
      <c r="AM1139" s="273" t="s">
        <v>295</v>
      </c>
      <c r="AN1139" s="847">
        <v>7</v>
      </c>
      <c r="AO1139" s="187" t="s">
        <v>966</v>
      </c>
      <c r="AP1139" s="867"/>
      <c r="AQ1139" s="273"/>
      <c r="AR1139" s="847"/>
      <c r="AS1139" s="848"/>
      <c r="AT1139" s="867"/>
      <c r="AU1139" s="273"/>
      <c r="AV1139" s="847"/>
      <c r="AW1139" s="848"/>
      <c r="AX1139" s="867"/>
      <c r="AY1139" s="273"/>
      <c r="AZ1139" s="847"/>
      <c r="BA1139" s="848"/>
      <c r="BB1139" s="866"/>
      <c r="BC1139" s="273"/>
      <c r="BD1139" s="847"/>
      <c r="BE1139" s="848"/>
      <c r="BF1139" s="838"/>
    </row>
    <row r="1140" spans="1:58" s="87" customFormat="1" ht="54" hidden="1" customHeight="1" x14ac:dyDescent="0.25">
      <c r="A1140" s="267" t="s">
        <v>7374</v>
      </c>
      <c r="B1140" s="268">
        <v>242</v>
      </c>
      <c r="C1140" s="240" t="s">
        <v>1022</v>
      </c>
      <c r="D1140" s="270" t="s">
        <v>1023</v>
      </c>
      <c r="E1140" s="298" t="s">
        <v>8145</v>
      </c>
      <c r="F1140" s="861" t="s">
        <v>5725</v>
      </c>
      <c r="G1140" s="269" t="s">
        <v>5726</v>
      </c>
      <c r="H1140" s="861" t="s">
        <v>5727</v>
      </c>
      <c r="I1140" s="269" t="s">
        <v>5728</v>
      </c>
      <c r="J1140" s="296" t="s">
        <v>140</v>
      </c>
      <c r="K1140" s="297" t="s">
        <v>140</v>
      </c>
      <c r="L1140" s="862" t="s">
        <v>5729</v>
      </c>
      <c r="M1140" s="847" t="s">
        <v>973</v>
      </c>
      <c r="N1140" s="211" t="s">
        <v>974</v>
      </c>
      <c r="O1140" s="240" t="s">
        <v>144</v>
      </c>
      <c r="P1140" s="240" t="s">
        <v>144</v>
      </c>
      <c r="Q1140" s="845" t="s">
        <v>144</v>
      </c>
      <c r="R1140" s="208" t="s">
        <v>144</v>
      </c>
      <c r="S1140" s="268" t="s">
        <v>746</v>
      </c>
      <c r="T1140" s="212" t="s">
        <v>1104</v>
      </c>
      <c r="U1140" s="213" t="s">
        <v>1105</v>
      </c>
      <c r="V1140" s="847">
        <v>19</v>
      </c>
      <c r="W1140" s="415" t="s">
        <v>144</v>
      </c>
      <c r="X1140" s="212">
        <v>43</v>
      </c>
      <c r="Y1140" s="212" t="s">
        <v>144</v>
      </c>
      <c r="Z1140" s="214" t="s">
        <v>144</v>
      </c>
      <c r="AA1140" s="240" t="s">
        <v>5700</v>
      </c>
      <c r="AB1140" s="206" t="s">
        <v>140</v>
      </c>
      <c r="AC1140" s="847" t="s">
        <v>265</v>
      </c>
      <c r="AD1140" s="847" t="s">
        <v>144</v>
      </c>
      <c r="AE1140" s="847" t="s">
        <v>144</v>
      </c>
      <c r="AF1140" s="848" t="s">
        <v>144</v>
      </c>
      <c r="AG1140" s="838"/>
      <c r="AH1140" s="866" t="s">
        <v>8146</v>
      </c>
      <c r="AI1140" s="273" t="s">
        <v>8133</v>
      </c>
      <c r="AJ1140" s="847">
        <v>5</v>
      </c>
      <c r="AK1140" s="848" t="s">
        <v>8134</v>
      </c>
      <c r="AL1140" s="867"/>
      <c r="AM1140" s="273"/>
      <c r="AN1140" s="847"/>
      <c r="AO1140" s="848"/>
      <c r="AP1140" s="867" t="s">
        <v>1107</v>
      </c>
      <c r="AQ1140" s="273" t="s">
        <v>1108</v>
      </c>
      <c r="AR1140" s="847">
        <v>7</v>
      </c>
      <c r="AS1140" s="286" t="s">
        <v>1109</v>
      </c>
      <c r="AT1140" s="867"/>
      <c r="AU1140" s="273"/>
      <c r="AV1140" s="847"/>
      <c r="AW1140" s="848"/>
      <c r="AX1140" s="867"/>
      <c r="AY1140" s="273"/>
      <c r="AZ1140" s="847"/>
      <c r="BA1140" s="848"/>
      <c r="BB1140" s="866"/>
      <c r="BC1140" s="273"/>
      <c r="BD1140" s="847"/>
      <c r="BE1140" s="848"/>
      <c r="BF1140" s="838"/>
    </row>
    <row r="1141" spans="1:58" s="87" customFormat="1" ht="54" hidden="1" customHeight="1" x14ac:dyDescent="0.25">
      <c r="A1141" s="267" t="s">
        <v>7374</v>
      </c>
      <c r="B1141" s="268">
        <v>243</v>
      </c>
      <c r="C1141" s="240" t="s">
        <v>1022</v>
      </c>
      <c r="D1141" s="270" t="s">
        <v>1023</v>
      </c>
      <c r="E1141" s="298" t="s">
        <v>8147</v>
      </c>
      <c r="F1141" s="861" t="s">
        <v>5734</v>
      </c>
      <c r="G1141" s="269" t="s">
        <v>5735</v>
      </c>
      <c r="H1141" s="845" t="s">
        <v>5736</v>
      </c>
      <c r="I1141" s="269" t="s">
        <v>5735</v>
      </c>
      <c r="J1141" s="296" t="s">
        <v>140</v>
      </c>
      <c r="K1141" s="297" t="s">
        <v>140</v>
      </c>
      <c r="L1141" s="862" t="s">
        <v>5737</v>
      </c>
      <c r="M1141" s="847" t="s">
        <v>973</v>
      </c>
      <c r="N1141" s="211" t="s">
        <v>974</v>
      </c>
      <c r="O1141" s="240" t="s">
        <v>814</v>
      </c>
      <c r="P1141" s="240" t="s">
        <v>815</v>
      </c>
      <c r="Q1141" s="845" t="s">
        <v>144</v>
      </c>
      <c r="R1141" s="208" t="s">
        <v>144</v>
      </c>
      <c r="S1141" s="864" t="s">
        <v>147</v>
      </c>
      <c r="T1141" s="212" t="s">
        <v>144</v>
      </c>
      <c r="U1141" s="213" t="s">
        <v>144</v>
      </c>
      <c r="V1141" s="847">
        <v>3</v>
      </c>
      <c r="W1141" s="415" t="s">
        <v>144</v>
      </c>
      <c r="X1141" s="212">
        <v>43</v>
      </c>
      <c r="Y1141" s="212" t="s">
        <v>144</v>
      </c>
      <c r="Z1141" s="214" t="s">
        <v>144</v>
      </c>
      <c r="AA1141" s="240" t="s">
        <v>5700</v>
      </c>
      <c r="AB1141" s="206" t="s">
        <v>140</v>
      </c>
      <c r="AC1141" s="847" t="s">
        <v>265</v>
      </c>
      <c r="AD1141" s="847" t="s">
        <v>144</v>
      </c>
      <c r="AE1141" s="847" t="s">
        <v>144</v>
      </c>
      <c r="AF1141" s="848" t="s">
        <v>144</v>
      </c>
      <c r="AG1141" s="838"/>
      <c r="AH1141" s="866" t="s">
        <v>8148</v>
      </c>
      <c r="AI1141" s="273" t="s">
        <v>8149</v>
      </c>
      <c r="AJ1141" s="847">
        <v>7</v>
      </c>
      <c r="AK1141" s="848" t="s">
        <v>1280</v>
      </c>
      <c r="AL1141" s="875" t="s">
        <v>294</v>
      </c>
      <c r="AM1141" s="301" t="s">
        <v>295</v>
      </c>
      <c r="AN1141" s="847">
        <v>7</v>
      </c>
      <c r="AO1141" s="187" t="s">
        <v>966</v>
      </c>
      <c r="AP1141" s="867"/>
      <c r="AQ1141" s="273"/>
      <c r="AR1141" s="847"/>
      <c r="AS1141" s="848"/>
      <c r="AT1141" s="867"/>
      <c r="AU1141" s="273"/>
      <c r="AV1141" s="847"/>
      <c r="AW1141" s="848"/>
      <c r="AX1141" s="867"/>
      <c r="AY1141" s="273"/>
      <c r="AZ1141" s="847"/>
      <c r="BA1141" s="848"/>
      <c r="BB1141" s="866"/>
      <c r="BC1141" s="273"/>
      <c r="BD1141" s="847"/>
      <c r="BE1141" s="848"/>
      <c r="BF1141" s="838"/>
    </row>
    <row r="1142" spans="1:58" s="87" customFormat="1" ht="54" hidden="1" customHeight="1" x14ac:dyDescent="0.25">
      <c r="A1142" s="267" t="s">
        <v>7374</v>
      </c>
      <c r="B1142" s="268">
        <v>244</v>
      </c>
      <c r="C1142" s="240" t="s">
        <v>723</v>
      </c>
      <c r="D1142" s="270" t="s">
        <v>723</v>
      </c>
      <c r="E1142" s="298" t="s">
        <v>8150</v>
      </c>
      <c r="F1142" s="861" t="s">
        <v>5741</v>
      </c>
      <c r="G1142" s="269" t="s">
        <v>5742</v>
      </c>
      <c r="H1142" s="845" t="s">
        <v>5743</v>
      </c>
      <c r="I1142" s="269" t="s">
        <v>5744</v>
      </c>
      <c r="J1142" s="296" t="s">
        <v>140</v>
      </c>
      <c r="K1142" s="297" t="s">
        <v>140</v>
      </c>
      <c r="L1142" s="862" t="s">
        <v>5745</v>
      </c>
      <c r="M1142" s="847" t="s">
        <v>973</v>
      </c>
      <c r="N1142" s="211" t="s">
        <v>974</v>
      </c>
      <c r="O1142" s="240" t="s">
        <v>144</v>
      </c>
      <c r="P1142" s="240" t="s">
        <v>144</v>
      </c>
      <c r="Q1142" s="845" t="s">
        <v>5757</v>
      </c>
      <c r="R1142" s="208" t="s">
        <v>5758</v>
      </c>
      <c r="S1142" s="864" t="s">
        <v>746</v>
      </c>
      <c r="T1142" s="212" t="s">
        <v>5660</v>
      </c>
      <c r="U1142" s="213" t="s">
        <v>5661</v>
      </c>
      <c r="V1142" s="847">
        <v>15</v>
      </c>
      <c r="W1142" s="415" t="s">
        <v>144</v>
      </c>
      <c r="X1142" s="212">
        <v>43</v>
      </c>
      <c r="Y1142" s="212" t="s">
        <v>144</v>
      </c>
      <c r="Z1142" s="214" t="s">
        <v>144</v>
      </c>
      <c r="AA1142" s="240" t="s">
        <v>4543</v>
      </c>
      <c r="AB1142" s="206" t="s">
        <v>140</v>
      </c>
      <c r="AC1142" s="847" t="s">
        <v>265</v>
      </c>
      <c r="AD1142" s="847" t="s">
        <v>144</v>
      </c>
      <c r="AE1142" s="847" t="s">
        <v>144</v>
      </c>
      <c r="AF1142" s="848" t="s">
        <v>144</v>
      </c>
      <c r="AG1142" s="838"/>
      <c r="AH1142" s="866" t="s">
        <v>8151</v>
      </c>
      <c r="AI1142" s="273" t="s">
        <v>8152</v>
      </c>
      <c r="AJ1142" s="847">
        <v>6</v>
      </c>
      <c r="AK1142" s="848" t="s">
        <v>8153</v>
      </c>
      <c r="AL1142" s="867"/>
      <c r="AM1142" s="273"/>
      <c r="AN1142" s="847"/>
      <c r="AO1142" s="848"/>
      <c r="AP1142" s="867"/>
      <c r="AQ1142" s="273"/>
      <c r="AR1142" s="847"/>
      <c r="AS1142" s="848"/>
      <c r="AT1142" s="867"/>
      <c r="AU1142" s="273"/>
      <c r="AV1142" s="847"/>
      <c r="AW1142" s="848"/>
      <c r="AX1142" s="867"/>
      <c r="AY1142" s="273"/>
      <c r="AZ1142" s="847"/>
      <c r="BA1142" s="848"/>
      <c r="BB1142" s="866"/>
      <c r="BC1142" s="273"/>
      <c r="BD1142" s="847"/>
      <c r="BE1142" s="848"/>
      <c r="BF1142" s="838"/>
    </row>
    <row r="1143" spans="1:58" s="87" customFormat="1" ht="54" hidden="1" customHeight="1" x14ac:dyDescent="0.25">
      <c r="A1143" s="267" t="s">
        <v>7374</v>
      </c>
      <c r="B1143" s="268">
        <v>245</v>
      </c>
      <c r="C1143" s="240" t="s">
        <v>723</v>
      </c>
      <c r="D1143" s="270" t="s">
        <v>723</v>
      </c>
      <c r="E1143" s="298" t="s">
        <v>8154</v>
      </c>
      <c r="F1143" s="861" t="s">
        <v>5752</v>
      </c>
      <c r="G1143" s="269" t="s">
        <v>5753</v>
      </c>
      <c r="H1143" s="845" t="s">
        <v>5754</v>
      </c>
      <c r="I1143" s="269" t="s">
        <v>5755</v>
      </c>
      <c r="J1143" s="296" t="s">
        <v>140</v>
      </c>
      <c r="K1143" s="297" t="s">
        <v>140</v>
      </c>
      <c r="L1143" s="862" t="s">
        <v>5756</v>
      </c>
      <c r="M1143" s="847" t="s">
        <v>973</v>
      </c>
      <c r="N1143" s="211" t="s">
        <v>974</v>
      </c>
      <c r="O1143" s="240" t="s">
        <v>144</v>
      </c>
      <c r="P1143" s="240" t="s">
        <v>144</v>
      </c>
      <c r="Q1143" s="845" t="s">
        <v>5757</v>
      </c>
      <c r="R1143" s="208" t="s">
        <v>5758</v>
      </c>
      <c r="S1143" s="864" t="s">
        <v>746</v>
      </c>
      <c r="T1143" s="212" t="s">
        <v>5660</v>
      </c>
      <c r="U1143" s="213" t="s">
        <v>5661</v>
      </c>
      <c r="V1143" s="847">
        <v>15</v>
      </c>
      <c r="W1143" s="415" t="s">
        <v>144</v>
      </c>
      <c r="X1143" s="212">
        <v>43</v>
      </c>
      <c r="Y1143" s="212" t="s">
        <v>144</v>
      </c>
      <c r="Z1143" s="241" t="s">
        <v>144</v>
      </c>
      <c r="AA1143" s="240" t="s">
        <v>4543</v>
      </c>
      <c r="AB1143" s="206" t="s">
        <v>140</v>
      </c>
      <c r="AC1143" s="847" t="s">
        <v>265</v>
      </c>
      <c r="AD1143" s="847" t="s">
        <v>144</v>
      </c>
      <c r="AE1143" s="847" t="s">
        <v>144</v>
      </c>
      <c r="AF1143" s="848" t="s">
        <v>144</v>
      </c>
      <c r="AG1143" s="838"/>
      <c r="AH1143" s="866" t="s">
        <v>8151</v>
      </c>
      <c r="AI1143" s="273" t="s">
        <v>8152</v>
      </c>
      <c r="AJ1143" s="847">
        <v>6</v>
      </c>
      <c r="AK1143" s="848" t="s">
        <v>8153</v>
      </c>
      <c r="AL1143" s="867"/>
      <c r="AM1143" s="273"/>
      <c r="AN1143" s="847"/>
      <c r="AO1143" s="848"/>
      <c r="AP1143" s="867"/>
      <c r="AQ1143" s="273"/>
      <c r="AR1143" s="847"/>
      <c r="AS1143" s="848"/>
      <c r="AT1143" s="867"/>
      <c r="AU1143" s="273"/>
      <c r="AV1143" s="847"/>
      <c r="AW1143" s="848"/>
      <c r="AX1143" s="867"/>
      <c r="AY1143" s="273"/>
      <c r="AZ1143" s="847"/>
      <c r="BA1143" s="848"/>
      <c r="BB1143" s="866"/>
      <c r="BC1143" s="273"/>
      <c r="BD1143" s="847"/>
      <c r="BE1143" s="848"/>
      <c r="BF1143" s="838"/>
    </row>
    <row r="1144" spans="1:58" s="55" customFormat="1" ht="54" hidden="1" customHeight="1" x14ac:dyDescent="0.25">
      <c r="A1144" s="275" t="s">
        <v>7374</v>
      </c>
      <c r="B1144" s="276">
        <v>246</v>
      </c>
      <c r="C1144" s="253" t="s">
        <v>1022</v>
      </c>
      <c r="D1144" s="253" t="s">
        <v>1023</v>
      </c>
      <c r="E1144" s="276" t="s">
        <v>8155</v>
      </c>
      <c r="F1144" s="277" t="s">
        <v>5764</v>
      </c>
      <c r="G1144" s="277" t="s">
        <v>5765</v>
      </c>
      <c r="H1144" s="218" t="s">
        <v>5766</v>
      </c>
      <c r="I1144" s="218" t="s">
        <v>5767</v>
      </c>
      <c r="J1144" s="253" t="s">
        <v>144</v>
      </c>
      <c r="K1144" s="253" t="s">
        <v>144</v>
      </c>
      <c r="L1144" s="718" t="s">
        <v>5768</v>
      </c>
      <c r="M1144" s="253" t="s">
        <v>144</v>
      </c>
      <c r="N1144" s="253" t="s">
        <v>144</v>
      </c>
      <c r="O1144" s="253" t="s">
        <v>144</v>
      </c>
      <c r="P1144" s="253" t="s">
        <v>144</v>
      </c>
      <c r="Q1144" s="218" t="s">
        <v>144</v>
      </c>
      <c r="R1144" s="218" t="s">
        <v>144</v>
      </c>
      <c r="S1144" s="276" t="s">
        <v>746</v>
      </c>
      <c r="T1144" s="221" t="s">
        <v>5660</v>
      </c>
      <c r="U1144" s="221" t="s">
        <v>5661</v>
      </c>
      <c r="V1144" s="253">
        <v>15</v>
      </c>
      <c r="W1144" s="217" t="s">
        <v>144</v>
      </c>
      <c r="X1144" s="221">
        <v>43</v>
      </c>
      <c r="Y1144" s="221">
        <v>43</v>
      </c>
      <c r="Z1144" s="221" t="s">
        <v>144</v>
      </c>
      <c r="AA1144" s="253" t="s">
        <v>144</v>
      </c>
      <c r="AB1144" s="217" t="s">
        <v>144</v>
      </c>
      <c r="AC1144" s="253" t="s">
        <v>265</v>
      </c>
      <c r="AD1144" s="253" t="s">
        <v>144</v>
      </c>
      <c r="AE1144" s="253" t="s">
        <v>144</v>
      </c>
      <c r="AF1144" s="254" t="s">
        <v>144</v>
      </c>
      <c r="AG1144" s="838"/>
      <c r="AH1144" s="280"/>
      <c r="AI1144" s="281"/>
      <c r="AJ1144" s="253"/>
      <c r="AK1144" s="254"/>
      <c r="AL1144" s="281"/>
      <c r="AM1144" s="281"/>
      <c r="AN1144" s="253"/>
      <c r="AO1144" s="254"/>
      <c r="AP1144" s="281"/>
      <c r="AQ1144" s="281"/>
      <c r="AR1144" s="253"/>
      <c r="AS1144" s="254"/>
      <c r="AT1144" s="281"/>
      <c r="AU1144" s="281"/>
      <c r="AV1144" s="253"/>
      <c r="AW1144" s="254"/>
      <c r="AX1144" s="281"/>
      <c r="AY1144" s="281"/>
      <c r="AZ1144" s="253"/>
      <c r="BA1144" s="254"/>
      <c r="BB1144" s="280"/>
      <c r="BC1144" s="281"/>
      <c r="BD1144" s="253"/>
      <c r="BE1144" s="254"/>
      <c r="BF1144" s="838"/>
    </row>
    <row r="1145" spans="1:58" s="55" customFormat="1" ht="54" hidden="1" customHeight="1" x14ac:dyDescent="0.25">
      <c r="A1145" s="275" t="s">
        <v>7374</v>
      </c>
      <c r="B1145" s="276">
        <v>247</v>
      </c>
      <c r="C1145" s="253" t="s">
        <v>1022</v>
      </c>
      <c r="D1145" s="253" t="s">
        <v>1023</v>
      </c>
      <c r="E1145" s="276" t="s">
        <v>8156</v>
      </c>
      <c r="F1145" s="277" t="s">
        <v>5770</v>
      </c>
      <c r="G1145" s="277" t="s">
        <v>5771</v>
      </c>
      <c r="H1145" s="218" t="s">
        <v>8157</v>
      </c>
      <c r="I1145" s="218" t="s">
        <v>144</v>
      </c>
      <c r="J1145" s="253" t="s">
        <v>144</v>
      </c>
      <c r="K1145" s="253" t="s">
        <v>144</v>
      </c>
      <c r="L1145" s="718" t="s">
        <v>5774</v>
      </c>
      <c r="M1145" s="253" t="s">
        <v>144</v>
      </c>
      <c r="N1145" s="253" t="s">
        <v>144</v>
      </c>
      <c r="O1145" s="253" t="s">
        <v>144</v>
      </c>
      <c r="P1145" s="253" t="s">
        <v>144</v>
      </c>
      <c r="Q1145" s="218" t="s">
        <v>144</v>
      </c>
      <c r="R1145" s="218" t="s">
        <v>144</v>
      </c>
      <c r="S1145" s="276" t="s">
        <v>746</v>
      </c>
      <c r="T1145" s="221" t="s">
        <v>5660</v>
      </c>
      <c r="U1145" s="221" t="s">
        <v>5661</v>
      </c>
      <c r="V1145" s="253">
        <v>15</v>
      </c>
      <c r="W1145" s="217" t="s">
        <v>144</v>
      </c>
      <c r="X1145" s="221">
        <v>43</v>
      </c>
      <c r="Y1145" s="221">
        <v>43</v>
      </c>
      <c r="Z1145" s="221" t="s">
        <v>144</v>
      </c>
      <c r="AA1145" s="253" t="s">
        <v>144</v>
      </c>
      <c r="AB1145" s="217" t="s">
        <v>144</v>
      </c>
      <c r="AC1145" s="253" t="s">
        <v>265</v>
      </c>
      <c r="AD1145" s="253" t="s">
        <v>144</v>
      </c>
      <c r="AE1145" s="253" t="s">
        <v>144</v>
      </c>
      <c r="AF1145" s="254" t="s">
        <v>144</v>
      </c>
      <c r="AG1145" s="838"/>
      <c r="AH1145" s="280"/>
      <c r="AI1145" s="281"/>
      <c r="AJ1145" s="253"/>
      <c r="AK1145" s="254"/>
      <c r="AL1145" s="281"/>
      <c r="AM1145" s="281"/>
      <c r="AN1145" s="253"/>
      <c r="AO1145" s="254"/>
      <c r="AP1145" s="281"/>
      <c r="AQ1145" s="281"/>
      <c r="AR1145" s="253"/>
      <c r="AS1145" s="254"/>
      <c r="AT1145" s="281"/>
      <c r="AU1145" s="281"/>
      <c r="AV1145" s="253"/>
      <c r="AW1145" s="254"/>
      <c r="AX1145" s="281"/>
      <c r="AY1145" s="281"/>
      <c r="AZ1145" s="253"/>
      <c r="BA1145" s="254"/>
      <c r="BB1145" s="280"/>
      <c r="BC1145" s="281"/>
      <c r="BD1145" s="253"/>
      <c r="BE1145" s="254"/>
      <c r="BF1145" s="838"/>
    </row>
    <row r="1146" spans="1:58" s="87" customFormat="1" ht="54" hidden="1" customHeight="1" x14ac:dyDescent="0.25">
      <c r="A1146" s="267" t="s">
        <v>7374</v>
      </c>
      <c r="B1146" s="268">
        <v>248</v>
      </c>
      <c r="C1146" s="240" t="s">
        <v>1022</v>
      </c>
      <c r="D1146" s="270" t="s">
        <v>1023</v>
      </c>
      <c r="E1146" s="298" t="s">
        <v>8158</v>
      </c>
      <c r="F1146" s="861" t="s">
        <v>5776</v>
      </c>
      <c r="G1146" s="269" t="s">
        <v>5777</v>
      </c>
      <c r="H1146" s="845" t="s">
        <v>5778</v>
      </c>
      <c r="I1146" s="269" t="s">
        <v>5779</v>
      </c>
      <c r="J1146" s="296" t="s">
        <v>140</v>
      </c>
      <c r="K1146" s="297" t="s">
        <v>140</v>
      </c>
      <c r="L1146" s="862" t="s">
        <v>5780</v>
      </c>
      <c r="M1146" s="847" t="s">
        <v>973</v>
      </c>
      <c r="N1146" s="211" t="s">
        <v>974</v>
      </c>
      <c r="O1146" s="240" t="s">
        <v>144</v>
      </c>
      <c r="P1146" s="240" t="s">
        <v>144</v>
      </c>
      <c r="Q1146" s="845" t="s">
        <v>144</v>
      </c>
      <c r="R1146" s="208" t="s">
        <v>144</v>
      </c>
      <c r="S1146" s="864" t="s">
        <v>746</v>
      </c>
      <c r="T1146" s="212" t="s">
        <v>5660</v>
      </c>
      <c r="U1146" s="213" t="s">
        <v>5661</v>
      </c>
      <c r="V1146" s="847">
        <v>15</v>
      </c>
      <c r="W1146" s="415" t="s">
        <v>144</v>
      </c>
      <c r="X1146" s="212">
        <v>43</v>
      </c>
      <c r="Y1146" s="212" t="s">
        <v>144</v>
      </c>
      <c r="Z1146" s="214" t="s">
        <v>144</v>
      </c>
      <c r="AA1146" s="240" t="s">
        <v>4543</v>
      </c>
      <c r="AB1146" s="206" t="s">
        <v>140</v>
      </c>
      <c r="AC1146" s="847" t="s">
        <v>265</v>
      </c>
      <c r="AD1146" s="847" t="s">
        <v>144</v>
      </c>
      <c r="AE1146" s="847" t="s">
        <v>144</v>
      </c>
      <c r="AF1146" s="848" t="s">
        <v>144</v>
      </c>
      <c r="AG1146" s="838"/>
      <c r="AH1146" s="866" t="s">
        <v>8146</v>
      </c>
      <c r="AI1146" s="273" t="s">
        <v>8133</v>
      </c>
      <c r="AJ1146" s="847">
        <v>5</v>
      </c>
      <c r="AK1146" s="848" t="s">
        <v>8134</v>
      </c>
      <c r="AL1146" s="867"/>
      <c r="AM1146" s="273"/>
      <c r="AN1146" s="847"/>
      <c r="AO1146" s="848"/>
      <c r="AP1146" s="867"/>
      <c r="AQ1146" s="273"/>
      <c r="AR1146" s="847"/>
      <c r="AS1146" s="848"/>
      <c r="AT1146" s="867"/>
      <c r="AU1146" s="273"/>
      <c r="AV1146" s="847"/>
      <c r="AW1146" s="848"/>
      <c r="AX1146" s="867"/>
      <c r="AY1146" s="273"/>
      <c r="AZ1146" s="847"/>
      <c r="BA1146" s="848"/>
      <c r="BB1146" s="866"/>
      <c r="BC1146" s="273"/>
      <c r="BD1146" s="847"/>
      <c r="BE1146" s="848"/>
      <c r="BF1146" s="838"/>
    </row>
    <row r="1147" spans="1:58" s="87" customFormat="1" ht="54" hidden="1" customHeight="1" x14ac:dyDescent="0.25">
      <c r="A1147" s="267" t="s">
        <v>7374</v>
      </c>
      <c r="B1147" s="268">
        <v>249</v>
      </c>
      <c r="C1147" s="240" t="s">
        <v>2206</v>
      </c>
      <c r="D1147" s="270" t="s">
        <v>2207</v>
      </c>
      <c r="E1147" s="298" t="s">
        <v>8159</v>
      </c>
      <c r="F1147" s="861" t="s">
        <v>5782</v>
      </c>
      <c r="G1147" s="269" t="s">
        <v>5783</v>
      </c>
      <c r="H1147" s="845" t="s">
        <v>5784</v>
      </c>
      <c r="I1147" s="342" t="s">
        <v>5785</v>
      </c>
      <c r="J1147" s="344" t="s">
        <v>140</v>
      </c>
      <c r="K1147" s="352" t="s">
        <v>140</v>
      </c>
      <c r="L1147" s="862" t="s">
        <v>5786</v>
      </c>
      <c r="M1147" s="847" t="s">
        <v>973</v>
      </c>
      <c r="N1147" s="211" t="s">
        <v>974</v>
      </c>
      <c r="O1147" s="240" t="s">
        <v>5787</v>
      </c>
      <c r="P1147" s="240" t="s">
        <v>5788</v>
      </c>
      <c r="Q1147" s="845" t="s">
        <v>144</v>
      </c>
      <c r="R1147" s="208" t="s">
        <v>144</v>
      </c>
      <c r="S1147" s="864" t="s">
        <v>147</v>
      </c>
      <c r="T1147" s="212" t="s">
        <v>144</v>
      </c>
      <c r="U1147" s="213" t="s">
        <v>144</v>
      </c>
      <c r="V1147" s="847">
        <v>1</v>
      </c>
      <c r="W1147" s="415" t="s">
        <v>144</v>
      </c>
      <c r="X1147" s="212" t="s">
        <v>925</v>
      </c>
      <c r="Y1147" s="212" t="s">
        <v>144</v>
      </c>
      <c r="Z1147" s="212" t="s">
        <v>144</v>
      </c>
      <c r="AA1147" s="240" t="s">
        <v>5336</v>
      </c>
      <c r="AB1147" s="206" t="s">
        <v>140</v>
      </c>
      <c r="AC1147" s="847" t="s">
        <v>265</v>
      </c>
      <c r="AD1147" s="240" t="s">
        <v>144</v>
      </c>
      <c r="AE1147" s="240" t="s">
        <v>144</v>
      </c>
      <c r="AF1147" s="295" t="s">
        <v>144</v>
      </c>
      <c r="AG1147" s="838"/>
      <c r="AH1147" s="866" t="s">
        <v>8098</v>
      </c>
      <c r="AI1147" s="273" t="s">
        <v>8099</v>
      </c>
      <c r="AJ1147" s="847">
        <v>7</v>
      </c>
      <c r="AK1147" s="848" t="s">
        <v>8100</v>
      </c>
      <c r="AL1147" s="875" t="s">
        <v>294</v>
      </c>
      <c r="AM1147" s="301" t="s">
        <v>295</v>
      </c>
      <c r="AN1147" s="847">
        <v>7</v>
      </c>
      <c r="AO1147" s="187" t="s">
        <v>966</v>
      </c>
      <c r="AP1147" s="867"/>
      <c r="AQ1147" s="273"/>
      <c r="AR1147" s="847"/>
      <c r="AS1147" s="848"/>
      <c r="AT1147" s="867"/>
      <c r="AU1147" s="273"/>
      <c r="AV1147" s="847"/>
      <c r="AW1147" s="848"/>
      <c r="AX1147" s="867"/>
      <c r="AY1147" s="273"/>
      <c r="AZ1147" s="847"/>
      <c r="BA1147" s="848"/>
      <c r="BB1147" s="866"/>
      <c r="BC1147" s="273"/>
      <c r="BD1147" s="847"/>
      <c r="BE1147" s="848"/>
      <c r="BF1147" s="838"/>
    </row>
    <row r="1148" spans="1:58" s="87" customFormat="1" ht="54" hidden="1" customHeight="1" x14ac:dyDescent="0.25">
      <c r="A1148" s="267" t="s">
        <v>7374</v>
      </c>
      <c r="B1148" s="268">
        <v>250</v>
      </c>
      <c r="C1148" s="240" t="s">
        <v>2206</v>
      </c>
      <c r="D1148" s="270" t="s">
        <v>2207</v>
      </c>
      <c r="E1148" s="298" t="s">
        <v>8160</v>
      </c>
      <c r="F1148" s="861" t="s">
        <v>5790</v>
      </c>
      <c r="G1148" s="269" t="s">
        <v>5791</v>
      </c>
      <c r="H1148" s="845" t="s">
        <v>5792</v>
      </c>
      <c r="I1148" s="294" t="s">
        <v>5793</v>
      </c>
      <c r="J1148" s="325" t="s">
        <v>140</v>
      </c>
      <c r="K1148" s="326" t="s">
        <v>140</v>
      </c>
      <c r="L1148" s="862" t="s">
        <v>5794</v>
      </c>
      <c r="M1148" s="847" t="s">
        <v>193</v>
      </c>
      <c r="N1148" s="211" t="s">
        <v>194</v>
      </c>
      <c r="O1148" s="240" t="s">
        <v>5795</v>
      </c>
      <c r="P1148" s="240" t="s">
        <v>5796</v>
      </c>
      <c r="Q1148" s="845" t="s">
        <v>144</v>
      </c>
      <c r="R1148" s="208" t="s">
        <v>144</v>
      </c>
      <c r="S1148" s="864" t="s">
        <v>147</v>
      </c>
      <c r="T1148" s="212" t="s">
        <v>144</v>
      </c>
      <c r="U1148" s="213" t="s">
        <v>144</v>
      </c>
      <c r="V1148" s="847">
        <v>1</v>
      </c>
      <c r="W1148" s="415" t="s">
        <v>144</v>
      </c>
      <c r="X1148" s="212" t="s">
        <v>925</v>
      </c>
      <c r="Y1148" s="212" t="s">
        <v>144</v>
      </c>
      <c r="Z1148" s="252" t="s">
        <v>144</v>
      </c>
      <c r="AA1148" s="240" t="s">
        <v>5797</v>
      </c>
      <c r="AB1148" s="206" t="s">
        <v>140</v>
      </c>
      <c r="AC1148" s="847" t="s">
        <v>265</v>
      </c>
      <c r="AD1148" s="240" t="s">
        <v>144</v>
      </c>
      <c r="AE1148" s="240" t="s">
        <v>144</v>
      </c>
      <c r="AF1148" s="295" t="s">
        <v>144</v>
      </c>
      <c r="AG1148" s="838"/>
      <c r="AH1148" s="339"/>
      <c r="AI1148" s="313"/>
      <c r="AJ1148" s="289"/>
      <c r="AK1148" s="314"/>
      <c r="AL1148" s="875" t="s">
        <v>294</v>
      </c>
      <c r="AM1148" s="301" t="s">
        <v>295</v>
      </c>
      <c r="AN1148" s="847">
        <v>7</v>
      </c>
      <c r="AO1148" s="187" t="s">
        <v>966</v>
      </c>
      <c r="AP1148" s="867"/>
      <c r="AQ1148" s="273"/>
      <c r="AR1148" s="847"/>
      <c r="AS1148" s="848"/>
      <c r="AT1148" s="867"/>
      <c r="AU1148" s="273"/>
      <c r="AV1148" s="847"/>
      <c r="AW1148" s="848"/>
      <c r="AX1148" s="867"/>
      <c r="AY1148" s="273"/>
      <c r="AZ1148" s="847"/>
      <c r="BA1148" s="848"/>
      <c r="BB1148" s="866"/>
      <c r="BC1148" s="273"/>
      <c r="BD1148" s="847"/>
      <c r="BE1148" s="848"/>
      <c r="BF1148" s="838"/>
    </row>
    <row r="1149" spans="1:58" s="87" customFormat="1" ht="54" hidden="1" customHeight="1" x14ac:dyDescent="0.25">
      <c r="A1149" s="267" t="s">
        <v>7374</v>
      </c>
      <c r="B1149" s="268">
        <v>251</v>
      </c>
      <c r="C1149" s="240" t="s">
        <v>1022</v>
      </c>
      <c r="D1149" s="270" t="s">
        <v>1023</v>
      </c>
      <c r="E1149" s="298" t="s">
        <v>8161</v>
      </c>
      <c r="F1149" s="861" t="s">
        <v>5799</v>
      </c>
      <c r="G1149" s="269" t="s">
        <v>5800</v>
      </c>
      <c r="H1149" s="845" t="s">
        <v>5801</v>
      </c>
      <c r="I1149" s="269" t="s">
        <v>5802</v>
      </c>
      <c r="J1149" s="296" t="s">
        <v>140</v>
      </c>
      <c r="K1149" s="297" t="s">
        <v>140</v>
      </c>
      <c r="L1149" s="862" t="s">
        <v>5803</v>
      </c>
      <c r="M1149" s="240" t="s">
        <v>973</v>
      </c>
      <c r="N1149" s="211" t="s">
        <v>974</v>
      </c>
      <c r="O1149" s="240" t="s">
        <v>144</v>
      </c>
      <c r="P1149" s="240" t="s">
        <v>144</v>
      </c>
      <c r="Q1149" s="845" t="s">
        <v>144</v>
      </c>
      <c r="R1149" s="208" t="s">
        <v>144</v>
      </c>
      <c r="S1149" s="864" t="s">
        <v>746</v>
      </c>
      <c r="T1149" s="212" t="s">
        <v>1104</v>
      </c>
      <c r="U1149" s="213" t="s">
        <v>1105</v>
      </c>
      <c r="V1149" s="847">
        <v>19</v>
      </c>
      <c r="W1149" s="415" t="s">
        <v>144</v>
      </c>
      <c r="X1149" s="212">
        <v>43</v>
      </c>
      <c r="Y1149" s="212" t="s">
        <v>144</v>
      </c>
      <c r="Z1149" s="214" t="s">
        <v>144</v>
      </c>
      <c r="AA1149" s="240" t="s">
        <v>398</v>
      </c>
      <c r="AB1149" s="206" t="s">
        <v>140</v>
      </c>
      <c r="AC1149" s="847" t="s">
        <v>265</v>
      </c>
      <c r="AD1149" s="847" t="s">
        <v>144</v>
      </c>
      <c r="AE1149" s="847" t="s">
        <v>144</v>
      </c>
      <c r="AF1149" s="848" t="s">
        <v>144</v>
      </c>
      <c r="AG1149" s="838"/>
      <c r="AH1149" s="866" t="s">
        <v>8162</v>
      </c>
      <c r="AI1149" s="273" t="s">
        <v>8163</v>
      </c>
      <c r="AJ1149" s="847">
        <v>5</v>
      </c>
      <c r="AK1149" s="848" t="s">
        <v>8164</v>
      </c>
      <c r="AL1149" s="867"/>
      <c r="AM1149" s="273"/>
      <c r="AN1149" s="847"/>
      <c r="AO1149" s="848"/>
      <c r="AP1149" s="867" t="s">
        <v>1107</v>
      </c>
      <c r="AQ1149" s="273" t="s">
        <v>1108</v>
      </c>
      <c r="AR1149" s="847">
        <v>7</v>
      </c>
      <c r="AS1149" s="286" t="s">
        <v>1109</v>
      </c>
      <c r="AT1149" s="867"/>
      <c r="AU1149" s="273"/>
      <c r="AV1149" s="847"/>
      <c r="AW1149" s="848"/>
      <c r="AX1149" s="867"/>
      <c r="AY1149" s="273"/>
      <c r="AZ1149" s="847"/>
      <c r="BA1149" s="848"/>
      <c r="BB1149" s="866"/>
      <c r="BC1149" s="273"/>
      <c r="BD1149" s="847"/>
      <c r="BE1149" s="848"/>
      <c r="BF1149" s="838"/>
    </row>
    <row r="1150" spans="1:58" s="87" customFormat="1" ht="54" hidden="1" customHeight="1" x14ac:dyDescent="0.25">
      <c r="A1150" s="267" t="s">
        <v>7374</v>
      </c>
      <c r="B1150" s="268">
        <v>252</v>
      </c>
      <c r="C1150" s="240" t="s">
        <v>1022</v>
      </c>
      <c r="D1150" s="270" t="s">
        <v>1023</v>
      </c>
      <c r="E1150" s="298" t="s">
        <v>8165</v>
      </c>
      <c r="F1150" s="861" t="s">
        <v>5808</v>
      </c>
      <c r="G1150" s="269" t="s">
        <v>5809</v>
      </c>
      <c r="H1150" s="861" t="s">
        <v>5810</v>
      </c>
      <c r="I1150" s="269" t="s">
        <v>5811</v>
      </c>
      <c r="J1150" s="296" t="s">
        <v>140</v>
      </c>
      <c r="K1150" s="297" t="s">
        <v>140</v>
      </c>
      <c r="L1150" s="862" t="s">
        <v>5812</v>
      </c>
      <c r="M1150" s="206" t="s">
        <v>973</v>
      </c>
      <c r="N1150" s="211" t="s">
        <v>974</v>
      </c>
      <c r="O1150" s="240" t="s">
        <v>814</v>
      </c>
      <c r="P1150" s="240" t="s">
        <v>815</v>
      </c>
      <c r="Q1150" s="845" t="s">
        <v>144</v>
      </c>
      <c r="R1150" s="208" t="s">
        <v>144</v>
      </c>
      <c r="S1150" s="864" t="s">
        <v>147</v>
      </c>
      <c r="T1150" s="212" t="s">
        <v>144</v>
      </c>
      <c r="U1150" s="213" t="s">
        <v>144</v>
      </c>
      <c r="V1150" s="847">
        <v>3</v>
      </c>
      <c r="W1150" s="415" t="s">
        <v>144</v>
      </c>
      <c r="X1150" s="212">
        <v>43</v>
      </c>
      <c r="Y1150" s="212" t="s">
        <v>144</v>
      </c>
      <c r="Z1150" s="214" t="s">
        <v>144</v>
      </c>
      <c r="AA1150" s="240" t="s">
        <v>398</v>
      </c>
      <c r="AB1150" s="206" t="s">
        <v>140</v>
      </c>
      <c r="AC1150" s="847" t="s">
        <v>265</v>
      </c>
      <c r="AD1150" s="847" t="s">
        <v>144</v>
      </c>
      <c r="AE1150" s="847" t="s">
        <v>144</v>
      </c>
      <c r="AF1150" s="848" t="s">
        <v>144</v>
      </c>
      <c r="AG1150" s="838"/>
      <c r="AH1150" s="866" t="s">
        <v>8166</v>
      </c>
      <c r="AI1150" s="273" t="s">
        <v>8167</v>
      </c>
      <c r="AJ1150" s="847">
        <v>7</v>
      </c>
      <c r="AK1150" s="848" t="s">
        <v>1280</v>
      </c>
      <c r="AL1150" s="875" t="s">
        <v>294</v>
      </c>
      <c r="AM1150" s="301" t="s">
        <v>295</v>
      </c>
      <c r="AN1150" s="847">
        <v>7</v>
      </c>
      <c r="AO1150" s="187" t="s">
        <v>966</v>
      </c>
      <c r="AP1150" s="867"/>
      <c r="AQ1150" s="273"/>
      <c r="AR1150" s="847"/>
      <c r="AS1150" s="848"/>
      <c r="AT1150" s="867"/>
      <c r="AU1150" s="273"/>
      <c r="AV1150" s="847"/>
      <c r="AW1150" s="848"/>
      <c r="AX1150" s="867"/>
      <c r="AY1150" s="273"/>
      <c r="AZ1150" s="847"/>
      <c r="BA1150" s="848"/>
      <c r="BB1150" s="866"/>
      <c r="BC1150" s="273"/>
      <c r="BD1150" s="847"/>
      <c r="BE1150" s="848"/>
      <c r="BF1150" s="838"/>
    </row>
    <row r="1151" spans="1:58" s="87" customFormat="1" ht="54" hidden="1" customHeight="1" x14ac:dyDescent="0.25">
      <c r="A1151" s="267" t="s">
        <v>7374</v>
      </c>
      <c r="B1151" s="268">
        <v>253</v>
      </c>
      <c r="C1151" s="240" t="s">
        <v>2096</v>
      </c>
      <c r="D1151" s="270" t="s">
        <v>2097</v>
      </c>
      <c r="E1151" s="298" t="s">
        <v>8168</v>
      </c>
      <c r="F1151" s="861" t="s">
        <v>5816</v>
      </c>
      <c r="G1151" s="269" t="s">
        <v>5817</v>
      </c>
      <c r="H1151" s="845" t="s">
        <v>5818</v>
      </c>
      <c r="I1151" s="269" t="s">
        <v>5819</v>
      </c>
      <c r="J1151" s="296" t="s">
        <v>140</v>
      </c>
      <c r="K1151" s="297" t="s">
        <v>140</v>
      </c>
      <c r="L1151" s="862" t="s">
        <v>5820</v>
      </c>
      <c r="M1151" s="240" t="s">
        <v>973</v>
      </c>
      <c r="N1151" s="211" t="s">
        <v>974</v>
      </c>
      <c r="O1151" s="240" t="s">
        <v>144</v>
      </c>
      <c r="P1151" s="240" t="s">
        <v>144</v>
      </c>
      <c r="Q1151" s="845" t="s">
        <v>144</v>
      </c>
      <c r="R1151" s="208" t="s">
        <v>144</v>
      </c>
      <c r="S1151" s="864" t="s">
        <v>746</v>
      </c>
      <c r="T1151" s="212" t="s">
        <v>1104</v>
      </c>
      <c r="U1151" s="213" t="s">
        <v>1105</v>
      </c>
      <c r="V1151" s="847">
        <v>19</v>
      </c>
      <c r="W1151" s="415" t="s">
        <v>144</v>
      </c>
      <c r="X1151" s="212">
        <v>43</v>
      </c>
      <c r="Y1151" s="212" t="s">
        <v>144</v>
      </c>
      <c r="Z1151" s="214" t="s">
        <v>144</v>
      </c>
      <c r="AA1151" s="240" t="s">
        <v>398</v>
      </c>
      <c r="AB1151" s="206" t="s">
        <v>140</v>
      </c>
      <c r="AC1151" s="847" t="s">
        <v>265</v>
      </c>
      <c r="AD1151" s="847" t="s">
        <v>144</v>
      </c>
      <c r="AE1151" s="847" t="s">
        <v>144</v>
      </c>
      <c r="AF1151" s="848" t="s">
        <v>144</v>
      </c>
      <c r="AG1151" s="838"/>
      <c r="AH1151" s="866" t="s">
        <v>8162</v>
      </c>
      <c r="AI1151" s="273" t="s">
        <v>8163</v>
      </c>
      <c r="AJ1151" s="847">
        <v>5</v>
      </c>
      <c r="AK1151" s="848" t="s">
        <v>8164</v>
      </c>
      <c r="AL1151" s="867"/>
      <c r="AM1151" s="273"/>
      <c r="AN1151" s="847"/>
      <c r="AO1151" s="848"/>
      <c r="AP1151" s="867" t="s">
        <v>1107</v>
      </c>
      <c r="AQ1151" s="273" t="s">
        <v>1108</v>
      </c>
      <c r="AR1151" s="847">
        <v>7</v>
      </c>
      <c r="AS1151" s="286" t="s">
        <v>1109</v>
      </c>
      <c r="AT1151" s="867"/>
      <c r="AU1151" s="273"/>
      <c r="AV1151" s="847"/>
      <c r="AW1151" s="848"/>
      <c r="AX1151" s="867"/>
      <c r="AY1151" s="273"/>
      <c r="AZ1151" s="847"/>
      <c r="BA1151" s="848"/>
      <c r="BB1151" s="866"/>
      <c r="BC1151" s="273"/>
      <c r="BD1151" s="847"/>
      <c r="BE1151" s="848"/>
      <c r="BF1151" s="838"/>
    </row>
    <row r="1152" spans="1:58" s="87" customFormat="1" ht="54" hidden="1" customHeight="1" x14ac:dyDescent="0.25">
      <c r="A1152" s="267" t="s">
        <v>7374</v>
      </c>
      <c r="B1152" s="268">
        <v>254</v>
      </c>
      <c r="C1152" s="240" t="s">
        <v>2096</v>
      </c>
      <c r="D1152" s="270" t="s">
        <v>2097</v>
      </c>
      <c r="E1152" s="298" t="s">
        <v>8169</v>
      </c>
      <c r="F1152" s="861" t="s">
        <v>5822</v>
      </c>
      <c r="G1152" s="269" t="s">
        <v>5823</v>
      </c>
      <c r="H1152" s="845" t="s">
        <v>5824</v>
      </c>
      <c r="I1152" s="269" t="s">
        <v>5823</v>
      </c>
      <c r="J1152" s="296" t="s">
        <v>140</v>
      </c>
      <c r="K1152" s="297" t="s">
        <v>140</v>
      </c>
      <c r="L1152" s="862" t="s">
        <v>5825</v>
      </c>
      <c r="M1152" s="206" t="s">
        <v>973</v>
      </c>
      <c r="N1152" s="211" t="s">
        <v>974</v>
      </c>
      <c r="O1152" s="240" t="s">
        <v>814</v>
      </c>
      <c r="P1152" s="240" t="s">
        <v>815</v>
      </c>
      <c r="Q1152" s="845" t="s">
        <v>144</v>
      </c>
      <c r="R1152" s="208" t="s">
        <v>144</v>
      </c>
      <c r="S1152" s="864" t="s">
        <v>147</v>
      </c>
      <c r="T1152" s="212" t="s">
        <v>144</v>
      </c>
      <c r="U1152" s="213" t="s">
        <v>144</v>
      </c>
      <c r="V1152" s="847">
        <v>3</v>
      </c>
      <c r="W1152" s="415" t="s">
        <v>144</v>
      </c>
      <c r="X1152" s="212">
        <v>43</v>
      </c>
      <c r="Y1152" s="212" t="s">
        <v>144</v>
      </c>
      <c r="Z1152" s="214" t="s">
        <v>144</v>
      </c>
      <c r="AA1152" s="240" t="s">
        <v>398</v>
      </c>
      <c r="AB1152" s="206" t="s">
        <v>140</v>
      </c>
      <c r="AC1152" s="847" t="s">
        <v>265</v>
      </c>
      <c r="AD1152" s="847" t="s">
        <v>144</v>
      </c>
      <c r="AE1152" s="847" t="s">
        <v>144</v>
      </c>
      <c r="AF1152" s="848" t="s">
        <v>144</v>
      </c>
      <c r="AG1152" s="838"/>
      <c r="AH1152" s="866" t="s">
        <v>8170</v>
      </c>
      <c r="AI1152" s="273" t="s">
        <v>8171</v>
      </c>
      <c r="AJ1152" s="847">
        <v>7</v>
      </c>
      <c r="AK1152" s="848" t="s">
        <v>1280</v>
      </c>
      <c r="AL1152" s="875" t="s">
        <v>294</v>
      </c>
      <c r="AM1152" s="301" t="s">
        <v>295</v>
      </c>
      <c r="AN1152" s="847">
        <v>7</v>
      </c>
      <c r="AO1152" s="187" t="s">
        <v>966</v>
      </c>
      <c r="AP1152" s="867"/>
      <c r="AQ1152" s="273"/>
      <c r="AR1152" s="847"/>
      <c r="AS1152" s="848"/>
      <c r="AT1152" s="867"/>
      <c r="AU1152" s="273"/>
      <c r="AV1152" s="847"/>
      <c r="AW1152" s="848"/>
      <c r="AX1152" s="867"/>
      <c r="AY1152" s="273"/>
      <c r="AZ1152" s="847"/>
      <c r="BA1152" s="848"/>
      <c r="BB1152" s="866"/>
      <c r="BC1152" s="273"/>
      <c r="BD1152" s="847"/>
      <c r="BE1152" s="848"/>
      <c r="BF1152" s="838"/>
    </row>
    <row r="1153" spans="1:58" s="87" customFormat="1" ht="54" hidden="1" customHeight="1" x14ac:dyDescent="0.25">
      <c r="A1153" s="267" t="s">
        <v>7374</v>
      </c>
      <c r="B1153" s="268">
        <v>255</v>
      </c>
      <c r="C1153" s="240" t="s">
        <v>1955</v>
      </c>
      <c r="D1153" s="270" t="s">
        <v>1956</v>
      </c>
      <c r="E1153" s="298" t="s">
        <v>8172</v>
      </c>
      <c r="F1153" s="861" t="s">
        <v>5829</v>
      </c>
      <c r="G1153" s="269" t="s">
        <v>5830</v>
      </c>
      <c r="H1153" s="861" t="s">
        <v>5831</v>
      </c>
      <c r="I1153" s="269" t="s">
        <v>5832</v>
      </c>
      <c r="J1153" s="296" t="s">
        <v>140</v>
      </c>
      <c r="K1153" s="297" t="s">
        <v>140</v>
      </c>
      <c r="L1153" s="862" t="s">
        <v>5833</v>
      </c>
      <c r="M1153" s="206" t="s">
        <v>193</v>
      </c>
      <c r="N1153" s="211" t="s">
        <v>194</v>
      </c>
      <c r="O1153" s="240" t="s">
        <v>144</v>
      </c>
      <c r="P1153" s="240" t="s">
        <v>144</v>
      </c>
      <c r="Q1153" s="845" t="s">
        <v>144</v>
      </c>
      <c r="R1153" s="208" t="s">
        <v>144</v>
      </c>
      <c r="S1153" s="268" t="s">
        <v>746</v>
      </c>
      <c r="T1153" s="212" t="s">
        <v>1104</v>
      </c>
      <c r="U1153" s="213" t="s">
        <v>1105</v>
      </c>
      <c r="V1153" s="847">
        <v>19</v>
      </c>
      <c r="W1153" s="415" t="s">
        <v>144</v>
      </c>
      <c r="X1153" s="212">
        <v>43</v>
      </c>
      <c r="Y1153" s="212" t="s">
        <v>144</v>
      </c>
      <c r="Z1153" s="241" t="s">
        <v>144</v>
      </c>
      <c r="AA1153" s="240" t="s">
        <v>5836</v>
      </c>
      <c r="AB1153" s="206" t="s">
        <v>140</v>
      </c>
      <c r="AC1153" s="847" t="s">
        <v>265</v>
      </c>
      <c r="AD1153" s="847" t="s">
        <v>144</v>
      </c>
      <c r="AE1153" s="847" t="s">
        <v>144</v>
      </c>
      <c r="AF1153" s="848" t="s">
        <v>144</v>
      </c>
      <c r="AG1153" s="838"/>
      <c r="AH1153" s="866"/>
      <c r="AI1153" s="273"/>
      <c r="AJ1153" s="847"/>
      <c r="AK1153" s="848"/>
      <c r="AL1153" s="867"/>
      <c r="AM1153" s="273"/>
      <c r="AN1153" s="847"/>
      <c r="AO1153" s="848"/>
      <c r="AP1153" s="867" t="s">
        <v>1107</v>
      </c>
      <c r="AQ1153" s="273" t="s">
        <v>1108</v>
      </c>
      <c r="AR1153" s="847">
        <v>7</v>
      </c>
      <c r="AS1153" s="286" t="s">
        <v>1109</v>
      </c>
      <c r="AT1153" s="867"/>
      <c r="AU1153" s="273"/>
      <c r="AV1153" s="847"/>
      <c r="AW1153" s="848"/>
      <c r="AX1153" s="867"/>
      <c r="AY1153" s="273"/>
      <c r="AZ1153" s="847"/>
      <c r="BA1153" s="848"/>
      <c r="BB1153" s="866"/>
      <c r="BC1153" s="273"/>
      <c r="BD1153" s="847"/>
      <c r="BE1153" s="848"/>
      <c r="BF1153" s="838"/>
    </row>
    <row r="1154" spans="1:58" s="87" customFormat="1" ht="54" hidden="1" customHeight="1" x14ac:dyDescent="0.25">
      <c r="A1154" s="267" t="s">
        <v>7374</v>
      </c>
      <c r="B1154" s="268">
        <v>256</v>
      </c>
      <c r="C1154" s="240" t="s">
        <v>1955</v>
      </c>
      <c r="D1154" s="270" t="s">
        <v>1956</v>
      </c>
      <c r="E1154" s="298" t="s">
        <v>8173</v>
      </c>
      <c r="F1154" s="861" t="s">
        <v>5838</v>
      </c>
      <c r="G1154" s="269" t="s">
        <v>5839</v>
      </c>
      <c r="H1154" s="861" t="s">
        <v>5838</v>
      </c>
      <c r="I1154" s="269" t="s">
        <v>5839</v>
      </c>
      <c r="J1154" s="296" t="s">
        <v>140</v>
      </c>
      <c r="K1154" s="297" t="s">
        <v>140</v>
      </c>
      <c r="L1154" s="862" t="s">
        <v>5840</v>
      </c>
      <c r="M1154" s="847" t="s">
        <v>973</v>
      </c>
      <c r="N1154" s="211" t="s">
        <v>974</v>
      </c>
      <c r="O1154" s="240" t="s">
        <v>814</v>
      </c>
      <c r="P1154" s="240" t="s">
        <v>815</v>
      </c>
      <c r="Q1154" s="845" t="s">
        <v>144</v>
      </c>
      <c r="R1154" s="208" t="s">
        <v>144</v>
      </c>
      <c r="S1154" s="864" t="s">
        <v>147</v>
      </c>
      <c r="T1154" s="212" t="s">
        <v>144</v>
      </c>
      <c r="U1154" s="213" t="s">
        <v>144</v>
      </c>
      <c r="V1154" s="847">
        <v>3</v>
      </c>
      <c r="W1154" s="415" t="s">
        <v>144</v>
      </c>
      <c r="X1154" s="212">
        <v>43</v>
      </c>
      <c r="Y1154" s="212" t="s">
        <v>144</v>
      </c>
      <c r="Z1154" s="241" t="s">
        <v>144</v>
      </c>
      <c r="AA1154" s="240" t="s">
        <v>5836</v>
      </c>
      <c r="AB1154" s="206" t="s">
        <v>140</v>
      </c>
      <c r="AC1154" s="847" t="s">
        <v>265</v>
      </c>
      <c r="AD1154" s="847" t="s">
        <v>144</v>
      </c>
      <c r="AE1154" s="847" t="s">
        <v>144</v>
      </c>
      <c r="AF1154" s="848" t="s">
        <v>144</v>
      </c>
      <c r="AG1154" s="838"/>
      <c r="AH1154" s="866" t="s">
        <v>8174</v>
      </c>
      <c r="AI1154" s="273" t="s">
        <v>8175</v>
      </c>
      <c r="AJ1154" s="847">
        <v>7</v>
      </c>
      <c r="AK1154" s="848" t="s">
        <v>1280</v>
      </c>
      <c r="AL1154" s="875" t="s">
        <v>294</v>
      </c>
      <c r="AM1154" s="301" t="s">
        <v>295</v>
      </c>
      <c r="AN1154" s="847">
        <v>7</v>
      </c>
      <c r="AO1154" s="187" t="s">
        <v>966</v>
      </c>
      <c r="AP1154" s="867"/>
      <c r="AQ1154" s="273"/>
      <c r="AR1154" s="847"/>
      <c r="AS1154" s="848"/>
      <c r="AT1154" s="867"/>
      <c r="AU1154" s="273"/>
      <c r="AV1154" s="847"/>
      <c r="AW1154" s="848"/>
      <c r="AX1154" s="867"/>
      <c r="AY1154" s="273"/>
      <c r="AZ1154" s="847"/>
      <c r="BA1154" s="848"/>
      <c r="BB1154" s="866"/>
      <c r="BC1154" s="273"/>
      <c r="BD1154" s="847"/>
      <c r="BE1154" s="848"/>
      <c r="BF1154" s="838"/>
    </row>
    <row r="1155" spans="1:58" s="87" customFormat="1" ht="54" hidden="1" customHeight="1" x14ac:dyDescent="0.25">
      <c r="A1155" s="267" t="s">
        <v>7374</v>
      </c>
      <c r="B1155" s="268">
        <v>257</v>
      </c>
      <c r="C1155" s="240" t="s">
        <v>1372</v>
      </c>
      <c r="D1155" s="270" t="s">
        <v>1373</v>
      </c>
      <c r="E1155" s="268" t="s">
        <v>8176</v>
      </c>
      <c r="F1155" s="861" t="s">
        <v>5922</v>
      </c>
      <c r="G1155" s="269" t="s">
        <v>5923</v>
      </c>
      <c r="H1155" s="845" t="s">
        <v>5924</v>
      </c>
      <c r="I1155" s="269" t="s">
        <v>2984</v>
      </c>
      <c r="J1155" s="296" t="s">
        <v>140</v>
      </c>
      <c r="K1155" s="297" t="s">
        <v>140</v>
      </c>
      <c r="L1155" s="862" t="s">
        <v>5925</v>
      </c>
      <c r="M1155" s="206" t="s">
        <v>973</v>
      </c>
      <c r="N1155" s="211" t="s">
        <v>974</v>
      </c>
      <c r="O1155" s="240" t="s">
        <v>5926</v>
      </c>
      <c r="P1155" s="240" t="s">
        <v>5927</v>
      </c>
      <c r="Q1155" s="845" t="s">
        <v>144</v>
      </c>
      <c r="R1155" s="208" t="s">
        <v>144</v>
      </c>
      <c r="S1155" s="864" t="s">
        <v>147</v>
      </c>
      <c r="T1155" s="212" t="s">
        <v>144</v>
      </c>
      <c r="U1155" s="213" t="s">
        <v>144</v>
      </c>
      <c r="V1155" s="847">
        <v>7</v>
      </c>
      <c r="W1155" s="415" t="s">
        <v>144</v>
      </c>
      <c r="X1155" s="212">
        <v>43</v>
      </c>
      <c r="Y1155" s="212" t="s">
        <v>144</v>
      </c>
      <c r="Z1155" s="241" t="s">
        <v>144</v>
      </c>
      <c r="AA1155" s="615" t="s">
        <v>733</v>
      </c>
      <c r="AB1155" s="206" t="s">
        <v>140</v>
      </c>
      <c r="AC1155" s="847" t="s">
        <v>265</v>
      </c>
      <c r="AD1155" s="847" t="s">
        <v>144</v>
      </c>
      <c r="AE1155" s="847" t="s">
        <v>144</v>
      </c>
      <c r="AF1155" s="848" t="s">
        <v>144</v>
      </c>
      <c r="AG1155" s="838"/>
      <c r="AH1155" s="291" t="s">
        <v>7478</v>
      </c>
      <c r="AI1155" s="273" t="s">
        <v>7479</v>
      </c>
      <c r="AJ1155" s="847">
        <v>6</v>
      </c>
      <c r="AK1155" s="848" t="s">
        <v>7480</v>
      </c>
      <c r="AL1155" s="875" t="s">
        <v>294</v>
      </c>
      <c r="AM1155" s="301" t="s">
        <v>295</v>
      </c>
      <c r="AN1155" s="847">
        <v>7</v>
      </c>
      <c r="AO1155" s="187" t="s">
        <v>966</v>
      </c>
      <c r="AP1155" s="867"/>
      <c r="AQ1155" s="273"/>
      <c r="AR1155" s="847"/>
      <c r="AS1155" s="848"/>
      <c r="AT1155" s="867"/>
      <c r="AU1155" s="273"/>
      <c r="AV1155" s="847"/>
      <c r="AW1155" s="848"/>
      <c r="AX1155" s="867"/>
      <c r="AY1155" s="273"/>
      <c r="AZ1155" s="847"/>
      <c r="BA1155" s="848"/>
      <c r="BB1155" s="866"/>
      <c r="BC1155" s="273"/>
      <c r="BD1155" s="847"/>
      <c r="BE1155" s="848"/>
      <c r="BF1155" s="838"/>
    </row>
    <row r="1156" spans="1:58" s="92" customFormat="1" ht="54" hidden="1" customHeight="1" x14ac:dyDescent="0.25">
      <c r="A1156" s="267" t="s">
        <v>7374</v>
      </c>
      <c r="B1156" s="268">
        <v>258</v>
      </c>
      <c r="C1156" s="240" t="s">
        <v>1372</v>
      </c>
      <c r="D1156" s="270" t="s">
        <v>1373</v>
      </c>
      <c r="E1156" s="268" t="s">
        <v>8177</v>
      </c>
      <c r="F1156" s="861" t="s">
        <v>5930</v>
      </c>
      <c r="G1156" s="353" t="s">
        <v>5931</v>
      </c>
      <c r="H1156" s="845" t="s">
        <v>5932</v>
      </c>
      <c r="I1156" s="353" t="s">
        <v>5931</v>
      </c>
      <c r="J1156" s="354" t="s">
        <v>140</v>
      </c>
      <c r="K1156" s="355" t="s">
        <v>140</v>
      </c>
      <c r="L1156" s="862" t="s">
        <v>5933</v>
      </c>
      <c r="M1156" s="206" t="s">
        <v>973</v>
      </c>
      <c r="N1156" s="211" t="s">
        <v>974</v>
      </c>
      <c r="O1156" s="240" t="s">
        <v>5934</v>
      </c>
      <c r="P1156" s="240" t="s">
        <v>5935</v>
      </c>
      <c r="Q1156" s="845" t="s">
        <v>144</v>
      </c>
      <c r="R1156" s="208" t="s">
        <v>144</v>
      </c>
      <c r="S1156" s="864" t="s">
        <v>147</v>
      </c>
      <c r="T1156" s="212" t="s">
        <v>144</v>
      </c>
      <c r="U1156" s="213" t="s">
        <v>144</v>
      </c>
      <c r="V1156" s="847">
        <v>2</v>
      </c>
      <c r="W1156" s="415" t="s">
        <v>144</v>
      </c>
      <c r="X1156" s="212">
        <v>43</v>
      </c>
      <c r="Y1156" s="212" t="s">
        <v>144</v>
      </c>
      <c r="Z1156" s="241" t="s">
        <v>144</v>
      </c>
      <c r="AA1156" s="615" t="s">
        <v>733</v>
      </c>
      <c r="AB1156" s="206" t="s">
        <v>140</v>
      </c>
      <c r="AC1156" s="847" t="s">
        <v>265</v>
      </c>
      <c r="AD1156" s="847" t="s">
        <v>144</v>
      </c>
      <c r="AE1156" s="847" t="s">
        <v>144</v>
      </c>
      <c r="AF1156" s="848" t="s">
        <v>144</v>
      </c>
      <c r="AG1156" s="838"/>
      <c r="AH1156" s="291" t="s">
        <v>8178</v>
      </c>
      <c r="AI1156" s="273" t="s">
        <v>8179</v>
      </c>
      <c r="AJ1156" s="847">
        <v>6</v>
      </c>
      <c r="AK1156" s="848" t="s">
        <v>8180</v>
      </c>
      <c r="AL1156" s="875" t="s">
        <v>294</v>
      </c>
      <c r="AM1156" s="301" t="s">
        <v>295</v>
      </c>
      <c r="AN1156" s="847">
        <v>7</v>
      </c>
      <c r="AO1156" s="187" t="s">
        <v>966</v>
      </c>
      <c r="AP1156" s="867"/>
      <c r="AQ1156" s="273"/>
      <c r="AR1156" s="847"/>
      <c r="AS1156" s="848"/>
      <c r="AT1156" s="867"/>
      <c r="AU1156" s="273"/>
      <c r="AV1156" s="847"/>
      <c r="AW1156" s="848"/>
      <c r="AX1156" s="867"/>
      <c r="AY1156" s="273"/>
      <c r="AZ1156" s="847"/>
      <c r="BA1156" s="848"/>
      <c r="BB1156" s="866"/>
      <c r="BC1156" s="273"/>
      <c r="BD1156" s="847"/>
      <c r="BE1156" s="848"/>
      <c r="BF1156" s="838"/>
    </row>
    <row r="1157" spans="1:58" s="92" customFormat="1" ht="54" hidden="1" customHeight="1" x14ac:dyDescent="0.25">
      <c r="A1157" s="267" t="s">
        <v>7374</v>
      </c>
      <c r="B1157" s="268">
        <v>259</v>
      </c>
      <c r="C1157" s="240" t="s">
        <v>1372</v>
      </c>
      <c r="D1157" s="270" t="s">
        <v>1373</v>
      </c>
      <c r="E1157" s="268" t="s">
        <v>8181</v>
      </c>
      <c r="F1157" s="861" t="s">
        <v>5940</v>
      </c>
      <c r="G1157" s="353" t="s">
        <v>5941</v>
      </c>
      <c r="H1157" s="861" t="s">
        <v>5942</v>
      </c>
      <c r="I1157" s="353" t="s">
        <v>5943</v>
      </c>
      <c r="J1157" s="354" t="s">
        <v>140</v>
      </c>
      <c r="K1157" s="355" t="s">
        <v>140</v>
      </c>
      <c r="L1157" s="862" t="s">
        <v>5944</v>
      </c>
      <c r="M1157" s="206" t="s">
        <v>973</v>
      </c>
      <c r="N1157" s="211" t="s">
        <v>974</v>
      </c>
      <c r="O1157" s="240" t="s">
        <v>548</v>
      </c>
      <c r="P1157" s="240" t="s">
        <v>549</v>
      </c>
      <c r="Q1157" s="845" t="s">
        <v>144</v>
      </c>
      <c r="R1157" s="208" t="s">
        <v>144</v>
      </c>
      <c r="S1157" s="864" t="s">
        <v>147</v>
      </c>
      <c r="T1157" s="212" t="s">
        <v>144</v>
      </c>
      <c r="U1157" s="213" t="s">
        <v>144</v>
      </c>
      <c r="V1157" s="240">
        <v>2</v>
      </c>
      <c r="W1157" s="206" t="s">
        <v>144</v>
      </c>
      <c r="X1157" s="212">
        <v>43</v>
      </c>
      <c r="Y1157" s="212" t="s">
        <v>144</v>
      </c>
      <c r="Z1157" s="241" t="s">
        <v>144</v>
      </c>
      <c r="AA1157" s="615" t="s">
        <v>733</v>
      </c>
      <c r="AB1157" s="206" t="s">
        <v>140</v>
      </c>
      <c r="AC1157" s="847" t="s">
        <v>265</v>
      </c>
      <c r="AD1157" s="847" t="s">
        <v>144</v>
      </c>
      <c r="AE1157" s="847" t="s">
        <v>144</v>
      </c>
      <c r="AF1157" s="848" t="s">
        <v>144</v>
      </c>
      <c r="AG1157" s="838"/>
      <c r="AH1157" s="291" t="s">
        <v>8182</v>
      </c>
      <c r="AI1157" s="273" t="s">
        <v>8183</v>
      </c>
      <c r="AJ1157" s="847">
        <v>6</v>
      </c>
      <c r="AK1157" s="848" t="s">
        <v>8184</v>
      </c>
      <c r="AL1157" s="875" t="s">
        <v>294</v>
      </c>
      <c r="AM1157" s="301" t="s">
        <v>295</v>
      </c>
      <c r="AN1157" s="847">
        <v>7</v>
      </c>
      <c r="AO1157" s="187" t="s">
        <v>966</v>
      </c>
      <c r="AP1157" s="867"/>
      <c r="AQ1157" s="273"/>
      <c r="AR1157" s="847"/>
      <c r="AS1157" s="848"/>
      <c r="AT1157" s="867"/>
      <c r="AU1157" s="273"/>
      <c r="AV1157" s="847"/>
      <c r="AW1157" s="848"/>
      <c r="AX1157" s="867"/>
      <c r="AY1157" s="273"/>
      <c r="AZ1157" s="847"/>
      <c r="BA1157" s="848"/>
      <c r="BB1157" s="866"/>
      <c r="BC1157" s="273"/>
      <c r="BD1157" s="847"/>
      <c r="BE1157" s="848"/>
      <c r="BF1157" s="838"/>
    </row>
    <row r="1158" spans="1:58" s="92" customFormat="1" ht="54" hidden="1" customHeight="1" x14ac:dyDescent="0.25">
      <c r="A1158" s="267" t="s">
        <v>7374</v>
      </c>
      <c r="B1158" s="268">
        <v>260</v>
      </c>
      <c r="C1158" s="240" t="s">
        <v>1372</v>
      </c>
      <c r="D1158" s="270" t="s">
        <v>1373</v>
      </c>
      <c r="E1158" s="268" t="s">
        <v>8185</v>
      </c>
      <c r="F1158" s="861" t="s">
        <v>5950</v>
      </c>
      <c r="G1158" s="353" t="s">
        <v>5951</v>
      </c>
      <c r="H1158" s="845" t="s">
        <v>5952</v>
      </c>
      <c r="I1158" s="353" t="s">
        <v>5951</v>
      </c>
      <c r="J1158" s="354" t="s">
        <v>140</v>
      </c>
      <c r="K1158" s="355" t="s">
        <v>140</v>
      </c>
      <c r="L1158" s="862" t="s">
        <v>5953</v>
      </c>
      <c r="M1158" s="206" t="s">
        <v>973</v>
      </c>
      <c r="N1158" s="211" t="s">
        <v>974</v>
      </c>
      <c r="O1158" s="240" t="s">
        <v>5934</v>
      </c>
      <c r="P1158" s="240" t="s">
        <v>5935</v>
      </c>
      <c r="Q1158" s="845" t="s">
        <v>144</v>
      </c>
      <c r="R1158" s="208" t="s">
        <v>144</v>
      </c>
      <c r="S1158" s="864" t="s">
        <v>147</v>
      </c>
      <c r="T1158" s="212" t="s">
        <v>144</v>
      </c>
      <c r="U1158" s="213" t="s">
        <v>144</v>
      </c>
      <c r="V1158" s="847">
        <v>2</v>
      </c>
      <c r="W1158" s="415" t="s">
        <v>144</v>
      </c>
      <c r="X1158" s="212">
        <v>43</v>
      </c>
      <c r="Y1158" s="212" t="s">
        <v>144</v>
      </c>
      <c r="Z1158" s="241" t="s">
        <v>144</v>
      </c>
      <c r="AA1158" s="615" t="s">
        <v>733</v>
      </c>
      <c r="AB1158" s="206" t="s">
        <v>140</v>
      </c>
      <c r="AC1158" s="847" t="s">
        <v>265</v>
      </c>
      <c r="AD1158" s="847" t="s">
        <v>144</v>
      </c>
      <c r="AE1158" s="847" t="s">
        <v>144</v>
      </c>
      <c r="AF1158" s="848" t="s">
        <v>144</v>
      </c>
      <c r="AG1158" s="838"/>
      <c r="AH1158" s="291" t="s">
        <v>8186</v>
      </c>
      <c r="AI1158" s="273" t="s">
        <v>8187</v>
      </c>
      <c r="AJ1158" s="847">
        <v>6</v>
      </c>
      <c r="AK1158" s="848" t="s">
        <v>8188</v>
      </c>
      <c r="AL1158" s="875" t="s">
        <v>294</v>
      </c>
      <c r="AM1158" s="301" t="s">
        <v>295</v>
      </c>
      <c r="AN1158" s="847">
        <v>7</v>
      </c>
      <c r="AO1158" s="187" t="s">
        <v>966</v>
      </c>
      <c r="AP1158" s="867"/>
      <c r="AQ1158" s="273"/>
      <c r="AR1158" s="847"/>
      <c r="AS1158" s="848"/>
      <c r="AT1158" s="867"/>
      <c r="AU1158" s="273"/>
      <c r="AV1158" s="847"/>
      <c r="AW1158" s="848"/>
      <c r="AX1158" s="867"/>
      <c r="AY1158" s="273"/>
      <c r="AZ1158" s="847"/>
      <c r="BA1158" s="848"/>
      <c r="BB1158" s="866"/>
      <c r="BC1158" s="273"/>
      <c r="BD1158" s="847"/>
      <c r="BE1158" s="848"/>
      <c r="BF1158" s="838"/>
    </row>
    <row r="1159" spans="1:58" s="92" customFormat="1" ht="54" hidden="1" customHeight="1" x14ac:dyDescent="0.25">
      <c r="A1159" s="267" t="s">
        <v>7374</v>
      </c>
      <c r="B1159" s="268">
        <v>261</v>
      </c>
      <c r="C1159" s="240" t="s">
        <v>1372</v>
      </c>
      <c r="D1159" s="270" t="s">
        <v>1373</v>
      </c>
      <c r="E1159" s="268" t="s">
        <v>8189</v>
      </c>
      <c r="F1159" s="861" t="s">
        <v>5958</v>
      </c>
      <c r="G1159" s="353" t="s">
        <v>5959</v>
      </c>
      <c r="H1159" s="861" t="s">
        <v>5960</v>
      </c>
      <c r="I1159" s="353" t="s">
        <v>5961</v>
      </c>
      <c r="J1159" s="354" t="s">
        <v>140</v>
      </c>
      <c r="K1159" s="355" t="s">
        <v>140</v>
      </c>
      <c r="L1159" s="862" t="s">
        <v>5962</v>
      </c>
      <c r="M1159" s="206" t="s">
        <v>973</v>
      </c>
      <c r="N1159" s="211" t="s">
        <v>974</v>
      </c>
      <c r="O1159" s="240" t="s">
        <v>548</v>
      </c>
      <c r="P1159" s="240" t="s">
        <v>549</v>
      </c>
      <c r="Q1159" s="845" t="s">
        <v>144</v>
      </c>
      <c r="R1159" s="208" t="s">
        <v>144</v>
      </c>
      <c r="S1159" s="864" t="s">
        <v>147</v>
      </c>
      <c r="T1159" s="212" t="s">
        <v>144</v>
      </c>
      <c r="U1159" s="213" t="s">
        <v>144</v>
      </c>
      <c r="V1159" s="240">
        <v>2</v>
      </c>
      <c r="W1159" s="206" t="s">
        <v>144</v>
      </c>
      <c r="X1159" s="212">
        <v>43</v>
      </c>
      <c r="Y1159" s="212" t="s">
        <v>144</v>
      </c>
      <c r="Z1159" s="241" t="s">
        <v>144</v>
      </c>
      <c r="AA1159" s="615" t="s">
        <v>733</v>
      </c>
      <c r="AB1159" s="206" t="s">
        <v>140</v>
      </c>
      <c r="AC1159" s="847" t="s">
        <v>265</v>
      </c>
      <c r="AD1159" s="847" t="s">
        <v>144</v>
      </c>
      <c r="AE1159" s="847" t="s">
        <v>144</v>
      </c>
      <c r="AF1159" s="848" t="s">
        <v>144</v>
      </c>
      <c r="AG1159" s="838"/>
      <c r="AH1159" s="291" t="s">
        <v>8190</v>
      </c>
      <c r="AI1159" s="273" t="s">
        <v>8191</v>
      </c>
      <c r="AJ1159" s="847">
        <v>6</v>
      </c>
      <c r="AK1159" s="848" t="s">
        <v>8192</v>
      </c>
      <c r="AL1159" s="875" t="s">
        <v>294</v>
      </c>
      <c r="AM1159" s="301" t="s">
        <v>295</v>
      </c>
      <c r="AN1159" s="847">
        <v>7</v>
      </c>
      <c r="AO1159" s="187" t="s">
        <v>966</v>
      </c>
      <c r="AP1159" s="867"/>
      <c r="AQ1159" s="273"/>
      <c r="AR1159" s="847"/>
      <c r="AS1159" s="848"/>
      <c r="AT1159" s="867"/>
      <c r="AU1159" s="273"/>
      <c r="AV1159" s="847"/>
      <c r="AW1159" s="848"/>
      <c r="AX1159" s="867"/>
      <c r="AY1159" s="273"/>
      <c r="AZ1159" s="847"/>
      <c r="BA1159" s="848"/>
      <c r="BB1159" s="866"/>
      <c r="BC1159" s="273"/>
      <c r="BD1159" s="847"/>
      <c r="BE1159" s="848"/>
      <c r="BF1159" s="838"/>
    </row>
    <row r="1160" spans="1:58" s="92" customFormat="1" ht="54" hidden="1" customHeight="1" x14ac:dyDescent="0.25">
      <c r="A1160" s="267" t="s">
        <v>7374</v>
      </c>
      <c r="B1160" s="268">
        <v>262</v>
      </c>
      <c r="C1160" s="240" t="s">
        <v>1372</v>
      </c>
      <c r="D1160" s="270" t="s">
        <v>1373</v>
      </c>
      <c r="E1160" s="298" t="s">
        <v>8193</v>
      </c>
      <c r="F1160" s="861" t="s">
        <v>5967</v>
      </c>
      <c r="G1160" s="269" t="s">
        <v>5968</v>
      </c>
      <c r="H1160" s="845" t="s">
        <v>5969</v>
      </c>
      <c r="I1160" s="353" t="s">
        <v>5970</v>
      </c>
      <c r="J1160" s="354" t="s">
        <v>140</v>
      </c>
      <c r="K1160" s="355" t="s">
        <v>140</v>
      </c>
      <c r="L1160" s="862" t="s">
        <v>5971</v>
      </c>
      <c r="M1160" s="206" t="s">
        <v>973</v>
      </c>
      <c r="N1160" s="211" t="s">
        <v>974</v>
      </c>
      <c r="O1160" s="240" t="s">
        <v>144</v>
      </c>
      <c r="P1160" s="240" t="s">
        <v>144</v>
      </c>
      <c r="Q1160" s="845" t="s">
        <v>5834</v>
      </c>
      <c r="R1160" s="208" t="s">
        <v>5835</v>
      </c>
      <c r="S1160" s="864" t="s">
        <v>746</v>
      </c>
      <c r="T1160" s="212" t="s">
        <v>1104</v>
      </c>
      <c r="U1160" s="213" t="s">
        <v>1105</v>
      </c>
      <c r="V1160" s="847">
        <v>19</v>
      </c>
      <c r="W1160" s="415" t="s">
        <v>144</v>
      </c>
      <c r="X1160" s="212">
        <v>43</v>
      </c>
      <c r="Y1160" s="212" t="s">
        <v>144</v>
      </c>
      <c r="Z1160" s="241" t="s">
        <v>144</v>
      </c>
      <c r="AA1160" s="615" t="s">
        <v>733</v>
      </c>
      <c r="AB1160" s="206" t="s">
        <v>140</v>
      </c>
      <c r="AC1160" s="847" t="s">
        <v>265</v>
      </c>
      <c r="AD1160" s="847" t="s">
        <v>144</v>
      </c>
      <c r="AE1160" s="847" t="s">
        <v>144</v>
      </c>
      <c r="AF1160" s="848" t="s">
        <v>144</v>
      </c>
      <c r="AG1160" s="838"/>
      <c r="AH1160" s="291" t="s">
        <v>7478</v>
      </c>
      <c r="AI1160" s="273" t="s">
        <v>7479</v>
      </c>
      <c r="AJ1160" s="847">
        <v>5</v>
      </c>
      <c r="AK1160" s="848" t="s">
        <v>7480</v>
      </c>
      <c r="AL1160" s="867"/>
      <c r="AM1160" s="273"/>
      <c r="AN1160" s="847"/>
      <c r="AO1160" s="848"/>
      <c r="AP1160" s="867" t="s">
        <v>1107</v>
      </c>
      <c r="AQ1160" s="273" t="s">
        <v>1108</v>
      </c>
      <c r="AR1160" s="847">
        <v>7</v>
      </c>
      <c r="AS1160" s="286" t="s">
        <v>1109</v>
      </c>
      <c r="AT1160" s="867"/>
      <c r="AU1160" s="273"/>
      <c r="AV1160" s="847"/>
      <c r="AW1160" s="848"/>
      <c r="AX1160" s="867"/>
      <c r="AY1160" s="273"/>
      <c r="AZ1160" s="847"/>
      <c r="BA1160" s="848"/>
      <c r="BB1160" s="866"/>
      <c r="BC1160" s="273"/>
      <c r="BD1160" s="847"/>
      <c r="BE1160" s="848"/>
      <c r="BF1160" s="838"/>
    </row>
    <row r="1161" spans="1:58" s="87" customFormat="1" ht="54" hidden="1" customHeight="1" x14ac:dyDescent="0.25">
      <c r="A1161" s="267" t="s">
        <v>7374</v>
      </c>
      <c r="B1161" s="268">
        <v>263</v>
      </c>
      <c r="C1161" s="240" t="s">
        <v>1372</v>
      </c>
      <c r="D1161" s="270" t="s">
        <v>1373</v>
      </c>
      <c r="E1161" s="298" t="s">
        <v>8194</v>
      </c>
      <c r="F1161" s="861" t="s">
        <v>5973</v>
      </c>
      <c r="G1161" s="269" t="s">
        <v>5974</v>
      </c>
      <c r="H1161" s="845" t="s">
        <v>5975</v>
      </c>
      <c r="I1161" s="269" t="s">
        <v>5976</v>
      </c>
      <c r="J1161" s="296" t="s">
        <v>140</v>
      </c>
      <c r="K1161" s="297" t="s">
        <v>140</v>
      </c>
      <c r="L1161" s="862" t="s">
        <v>5977</v>
      </c>
      <c r="M1161" s="206" t="s">
        <v>973</v>
      </c>
      <c r="N1161" s="211" t="s">
        <v>974</v>
      </c>
      <c r="O1161" s="240" t="s">
        <v>814</v>
      </c>
      <c r="P1161" s="240" t="s">
        <v>815</v>
      </c>
      <c r="Q1161" s="845" t="s">
        <v>144</v>
      </c>
      <c r="R1161" s="208" t="s">
        <v>144</v>
      </c>
      <c r="S1161" s="864" t="s">
        <v>147</v>
      </c>
      <c r="T1161" s="212" t="s">
        <v>144</v>
      </c>
      <c r="U1161" s="213" t="s">
        <v>144</v>
      </c>
      <c r="V1161" s="847">
        <v>3</v>
      </c>
      <c r="W1161" s="415" t="s">
        <v>144</v>
      </c>
      <c r="X1161" s="212">
        <v>43</v>
      </c>
      <c r="Y1161" s="212" t="s">
        <v>144</v>
      </c>
      <c r="Z1161" s="241" t="s">
        <v>144</v>
      </c>
      <c r="AA1161" s="615" t="s">
        <v>733</v>
      </c>
      <c r="AB1161" s="206" t="s">
        <v>140</v>
      </c>
      <c r="AC1161" s="847" t="s">
        <v>265</v>
      </c>
      <c r="AD1161" s="847" t="s">
        <v>144</v>
      </c>
      <c r="AE1161" s="847" t="s">
        <v>144</v>
      </c>
      <c r="AF1161" s="848" t="s">
        <v>144</v>
      </c>
      <c r="AG1161" s="838"/>
      <c r="AH1161" s="866" t="s">
        <v>8195</v>
      </c>
      <c r="AI1161" s="273" t="s">
        <v>8196</v>
      </c>
      <c r="AJ1161" s="847">
        <v>7</v>
      </c>
      <c r="AK1161" s="848" t="s">
        <v>1280</v>
      </c>
      <c r="AL1161" s="875" t="s">
        <v>294</v>
      </c>
      <c r="AM1161" s="301" t="s">
        <v>295</v>
      </c>
      <c r="AN1161" s="847">
        <v>7</v>
      </c>
      <c r="AO1161" s="187" t="s">
        <v>966</v>
      </c>
      <c r="AP1161" s="867"/>
      <c r="AQ1161" s="273"/>
      <c r="AR1161" s="847"/>
      <c r="AS1161" s="848"/>
      <c r="AT1161" s="867"/>
      <c r="AU1161" s="273"/>
      <c r="AV1161" s="847"/>
      <c r="AW1161" s="848"/>
      <c r="AX1161" s="867"/>
      <c r="AY1161" s="273"/>
      <c r="AZ1161" s="847"/>
      <c r="BA1161" s="848"/>
      <c r="BB1161" s="866"/>
      <c r="BC1161" s="273"/>
      <c r="BD1161" s="847"/>
      <c r="BE1161" s="848"/>
      <c r="BF1161" s="838"/>
    </row>
    <row r="1162" spans="1:58" s="87" customFormat="1" ht="54" hidden="1" customHeight="1" x14ac:dyDescent="0.25">
      <c r="A1162" s="267" t="s">
        <v>7374</v>
      </c>
      <c r="B1162" s="268">
        <v>264</v>
      </c>
      <c r="C1162" s="240" t="s">
        <v>2513</v>
      </c>
      <c r="D1162" s="270" t="s">
        <v>2514</v>
      </c>
      <c r="E1162" s="298" t="s">
        <v>8197</v>
      </c>
      <c r="F1162" s="861" t="s">
        <v>5981</v>
      </c>
      <c r="G1162" s="269" t="s">
        <v>5982</v>
      </c>
      <c r="H1162" s="845" t="s">
        <v>5983</v>
      </c>
      <c r="I1162" s="208" t="s">
        <v>5984</v>
      </c>
      <c r="J1162" s="240" t="s">
        <v>140</v>
      </c>
      <c r="K1162" s="270" t="s">
        <v>140</v>
      </c>
      <c r="L1162" s="862" t="s">
        <v>5985</v>
      </c>
      <c r="M1162" s="206" t="s">
        <v>973</v>
      </c>
      <c r="N1162" s="211" t="s">
        <v>974</v>
      </c>
      <c r="O1162" s="240" t="s">
        <v>144</v>
      </c>
      <c r="P1162" s="240" t="s">
        <v>144</v>
      </c>
      <c r="Q1162" s="845" t="s">
        <v>5834</v>
      </c>
      <c r="R1162" s="208" t="s">
        <v>5835</v>
      </c>
      <c r="S1162" s="864" t="s">
        <v>746</v>
      </c>
      <c r="T1162" s="212" t="s">
        <v>1104</v>
      </c>
      <c r="U1162" s="213" t="s">
        <v>1105</v>
      </c>
      <c r="V1162" s="847">
        <v>19</v>
      </c>
      <c r="W1162" s="415" t="s">
        <v>144</v>
      </c>
      <c r="X1162" s="212">
        <v>43</v>
      </c>
      <c r="Y1162" s="212" t="s">
        <v>144</v>
      </c>
      <c r="Z1162" s="241" t="s">
        <v>144</v>
      </c>
      <c r="AA1162" s="615" t="s">
        <v>733</v>
      </c>
      <c r="AB1162" s="206" t="s">
        <v>140</v>
      </c>
      <c r="AC1162" s="847" t="s">
        <v>265</v>
      </c>
      <c r="AD1162" s="847" t="s">
        <v>144</v>
      </c>
      <c r="AE1162" s="847" t="s">
        <v>144</v>
      </c>
      <c r="AF1162" s="848" t="s">
        <v>144</v>
      </c>
      <c r="AG1162" s="838"/>
      <c r="AH1162" s="291" t="s">
        <v>7478</v>
      </c>
      <c r="AI1162" s="273" t="s">
        <v>7479</v>
      </c>
      <c r="AJ1162" s="847">
        <v>5</v>
      </c>
      <c r="AK1162" s="848" t="s">
        <v>7480</v>
      </c>
      <c r="AL1162" s="867"/>
      <c r="AM1162" s="273"/>
      <c r="AN1162" s="847"/>
      <c r="AO1162" s="848"/>
      <c r="AP1162" s="867" t="s">
        <v>1107</v>
      </c>
      <c r="AQ1162" s="273" t="s">
        <v>1108</v>
      </c>
      <c r="AR1162" s="847">
        <v>7</v>
      </c>
      <c r="AS1162" s="286" t="s">
        <v>1109</v>
      </c>
      <c r="AT1162" s="867"/>
      <c r="AU1162" s="273"/>
      <c r="AV1162" s="847"/>
      <c r="AW1162" s="848"/>
      <c r="AX1162" s="867"/>
      <c r="AY1162" s="273"/>
      <c r="AZ1162" s="847"/>
      <c r="BA1162" s="848"/>
      <c r="BB1162" s="866"/>
      <c r="BC1162" s="273"/>
      <c r="BD1162" s="847"/>
      <c r="BE1162" s="848"/>
      <c r="BF1162" s="838"/>
    </row>
    <row r="1163" spans="1:58" s="87" customFormat="1" ht="54" hidden="1" customHeight="1" x14ac:dyDescent="0.25">
      <c r="A1163" s="267" t="s">
        <v>7374</v>
      </c>
      <c r="B1163" s="268">
        <v>265</v>
      </c>
      <c r="C1163" s="240" t="s">
        <v>2513</v>
      </c>
      <c r="D1163" s="270" t="s">
        <v>2514</v>
      </c>
      <c r="E1163" s="298" t="s">
        <v>8198</v>
      </c>
      <c r="F1163" s="861" t="s">
        <v>5987</v>
      </c>
      <c r="G1163" s="269" t="s">
        <v>8199</v>
      </c>
      <c r="H1163" s="845" t="s">
        <v>5989</v>
      </c>
      <c r="I1163" s="269" t="s">
        <v>5990</v>
      </c>
      <c r="J1163" s="296" t="s">
        <v>140</v>
      </c>
      <c r="K1163" s="297" t="s">
        <v>140</v>
      </c>
      <c r="L1163" s="862" t="s">
        <v>5991</v>
      </c>
      <c r="M1163" s="206" t="s">
        <v>973</v>
      </c>
      <c r="N1163" s="211" t="s">
        <v>974</v>
      </c>
      <c r="O1163" s="240" t="s">
        <v>814</v>
      </c>
      <c r="P1163" s="240" t="s">
        <v>815</v>
      </c>
      <c r="Q1163" s="845" t="s">
        <v>144</v>
      </c>
      <c r="R1163" s="208" t="s">
        <v>144</v>
      </c>
      <c r="S1163" s="864" t="s">
        <v>147</v>
      </c>
      <c r="T1163" s="212" t="s">
        <v>144</v>
      </c>
      <c r="U1163" s="213" t="s">
        <v>144</v>
      </c>
      <c r="V1163" s="847">
        <v>3</v>
      </c>
      <c r="W1163" s="415" t="s">
        <v>144</v>
      </c>
      <c r="X1163" s="212">
        <v>43</v>
      </c>
      <c r="Y1163" s="212" t="s">
        <v>144</v>
      </c>
      <c r="Z1163" s="241" t="s">
        <v>144</v>
      </c>
      <c r="AA1163" s="615" t="s">
        <v>733</v>
      </c>
      <c r="AB1163" s="206" t="s">
        <v>140</v>
      </c>
      <c r="AC1163" s="847" t="s">
        <v>265</v>
      </c>
      <c r="AD1163" s="847" t="s">
        <v>144</v>
      </c>
      <c r="AE1163" s="847" t="s">
        <v>144</v>
      </c>
      <c r="AF1163" s="848" t="s">
        <v>144</v>
      </c>
      <c r="AG1163" s="838"/>
      <c r="AH1163" s="866" t="s">
        <v>8200</v>
      </c>
      <c r="AI1163" s="273" t="s">
        <v>8201</v>
      </c>
      <c r="AJ1163" s="847">
        <v>7</v>
      </c>
      <c r="AK1163" s="848" t="s">
        <v>1280</v>
      </c>
      <c r="AL1163" s="875" t="s">
        <v>294</v>
      </c>
      <c r="AM1163" s="301" t="s">
        <v>295</v>
      </c>
      <c r="AN1163" s="847">
        <v>7</v>
      </c>
      <c r="AO1163" s="187" t="s">
        <v>966</v>
      </c>
      <c r="AP1163" s="867"/>
      <c r="AQ1163" s="273"/>
      <c r="AR1163" s="847"/>
      <c r="AS1163" s="848"/>
      <c r="AT1163" s="867"/>
      <c r="AU1163" s="273"/>
      <c r="AV1163" s="847"/>
      <c r="AW1163" s="848"/>
      <c r="AX1163" s="867"/>
      <c r="AY1163" s="273"/>
      <c r="AZ1163" s="847"/>
      <c r="BA1163" s="848"/>
      <c r="BB1163" s="866"/>
      <c r="BC1163" s="273"/>
      <c r="BD1163" s="847"/>
      <c r="BE1163" s="848"/>
      <c r="BF1163" s="838"/>
    </row>
    <row r="1164" spans="1:58" s="87" customFormat="1" ht="54" hidden="1" customHeight="1" x14ac:dyDescent="0.25">
      <c r="A1164" s="267" t="s">
        <v>7374</v>
      </c>
      <c r="B1164" s="268">
        <v>266</v>
      </c>
      <c r="C1164" s="240" t="s">
        <v>1372</v>
      </c>
      <c r="D1164" s="270" t="s">
        <v>1373</v>
      </c>
      <c r="E1164" s="298" t="s">
        <v>8202</v>
      </c>
      <c r="F1164" s="861" t="s">
        <v>5995</v>
      </c>
      <c r="G1164" s="269" t="s">
        <v>5996</v>
      </c>
      <c r="H1164" s="845" t="s">
        <v>5997</v>
      </c>
      <c r="I1164" s="208" t="s">
        <v>5998</v>
      </c>
      <c r="J1164" s="240" t="s">
        <v>140</v>
      </c>
      <c r="K1164" s="270" t="s">
        <v>140</v>
      </c>
      <c r="L1164" s="862" t="s">
        <v>5999</v>
      </c>
      <c r="M1164" s="206" t="s">
        <v>973</v>
      </c>
      <c r="N1164" s="211" t="s">
        <v>974</v>
      </c>
      <c r="O1164" s="240" t="s">
        <v>144</v>
      </c>
      <c r="P1164" s="240" t="s">
        <v>144</v>
      </c>
      <c r="Q1164" s="845" t="s">
        <v>5834</v>
      </c>
      <c r="R1164" s="208" t="s">
        <v>5835</v>
      </c>
      <c r="S1164" s="864" t="s">
        <v>746</v>
      </c>
      <c r="T1164" s="212" t="s">
        <v>1104</v>
      </c>
      <c r="U1164" s="213" t="s">
        <v>1105</v>
      </c>
      <c r="V1164" s="847">
        <v>19</v>
      </c>
      <c r="W1164" s="415" t="s">
        <v>144</v>
      </c>
      <c r="X1164" s="212">
        <v>43</v>
      </c>
      <c r="Y1164" s="212" t="s">
        <v>144</v>
      </c>
      <c r="Z1164" s="241" t="s">
        <v>144</v>
      </c>
      <c r="AA1164" s="615" t="s">
        <v>733</v>
      </c>
      <c r="AB1164" s="206" t="s">
        <v>140</v>
      </c>
      <c r="AC1164" s="847" t="s">
        <v>265</v>
      </c>
      <c r="AD1164" s="847" t="s">
        <v>144</v>
      </c>
      <c r="AE1164" s="847" t="s">
        <v>144</v>
      </c>
      <c r="AF1164" s="848" t="s">
        <v>144</v>
      </c>
      <c r="AG1164" s="838"/>
      <c r="AH1164" s="291" t="s">
        <v>7478</v>
      </c>
      <c r="AI1164" s="273" t="s">
        <v>7479</v>
      </c>
      <c r="AJ1164" s="847">
        <v>5</v>
      </c>
      <c r="AK1164" s="848" t="s">
        <v>7480</v>
      </c>
      <c r="AL1164" s="867"/>
      <c r="AM1164" s="273"/>
      <c r="AN1164" s="847"/>
      <c r="AO1164" s="848"/>
      <c r="AP1164" s="867" t="s">
        <v>1107</v>
      </c>
      <c r="AQ1164" s="273" t="s">
        <v>1108</v>
      </c>
      <c r="AR1164" s="847">
        <v>7</v>
      </c>
      <c r="AS1164" s="286" t="s">
        <v>1109</v>
      </c>
      <c r="AT1164" s="867"/>
      <c r="AU1164" s="273"/>
      <c r="AV1164" s="847"/>
      <c r="AW1164" s="848"/>
      <c r="AX1164" s="867"/>
      <c r="AY1164" s="273"/>
      <c r="AZ1164" s="847"/>
      <c r="BA1164" s="848"/>
      <c r="BB1164" s="866"/>
      <c r="BC1164" s="273"/>
      <c r="BD1164" s="847"/>
      <c r="BE1164" s="848"/>
      <c r="BF1164" s="838"/>
    </row>
    <row r="1165" spans="1:58" s="92" customFormat="1" ht="54" hidden="1" customHeight="1" x14ac:dyDescent="0.25">
      <c r="A1165" s="267" t="s">
        <v>7374</v>
      </c>
      <c r="B1165" s="268">
        <v>267</v>
      </c>
      <c r="C1165" s="240" t="s">
        <v>1372</v>
      </c>
      <c r="D1165" s="270" t="s">
        <v>1373</v>
      </c>
      <c r="E1165" s="298" t="s">
        <v>8203</v>
      </c>
      <c r="F1165" s="861" t="s">
        <v>6001</v>
      </c>
      <c r="G1165" s="353" t="s">
        <v>6002</v>
      </c>
      <c r="H1165" s="845" t="s">
        <v>6003</v>
      </c>
      <c r="I1165" s="208" t="s">
        <v>6004</v>
      </c>
      <c r="J1165" s="240" t="s">
        <v>140</v>
      </c>
      <c r="K1165" s="270" t="s">
        <v>140</v>
      </c>
      <c r="L1165" s="862" t="s">
        <v>6005</v>
      </c>
      <c r="M1165" s="206" t="s">
        <v>973</v>
      </c>
      <c r="N1165" s="211" t="s">
        <v>974</v>
      </c>
      <c r="O1165" s="240" t="s">
        <v>814</v>
      </c>
      <c r="P1165" s="240" t="s">
        <v>815</v>
      </c>
      <c r="Q1165" s="845" t="s">
        <v>144</v>
      </c>
      <c r="R1165" s="208" t="s">
        <v>144</v>
      </c>
      <c r="S1165" s="864" t="s">
        <v>147</v>
      </c>
      <c r="T1165" s="212" t="s">
        <v>144</v>
      </c>
      <c r="U1165" s="213" t="s">
        <v>144</v>
      </c>
      <c r="V1165" s="847">
        <v>3</v>
      </c>
      <c r="W1165" s="415" t="s">
        <v>144</v>
      </c>
      <c r="X1165" s="212">
        <v>43</v>
      </c>
      <c r="Y1165" s="212" t="s">
        <v>144</v>
      </c>
      <c r="Z1165" s="241" t="s">
        <v>144</v>
      </c>
      <c r="AA1165" s="615" t="s">
        <v>733</v>
      </c>
      <c r="AB1165" s="206" t="s">
        <v>140</v>
      </c>
      <c r="AC1165" s="847" t="s">
        <v>265</v>
      </c>
      <c r="AD1165" s="847" t="s">
        <v>144</v>
      </c>
      <c r="AE1165" s="847" t="s">
        <v>144</v>
      </c>
      <c r="AF1165" s="848" t="s">
        <v>144</v>
      </c>
      <c r="AG1165" s="838"/>
      <c r="AH1165" s="291" t="s">
        <v>8204</v>
      </c>
      <c r="AI1165" s="273" t="s">
        <v>8205</v>
      </c>
      <c r="AJ1165" s="240">
        <v>7</v>
      </c>
      <c r="AK1165" s="848" t="s">
        <v>1280</v>
      </c>
      <c r="AL1165" s="875" t="s">
        <v>294</v>
      </c>
      <c r="AM1165" s="301" t="s">
        <v>295</v>
      </c>
      <c r="AN1165" s="847">
        <v>7</v>
      </c>
      <c r="AO1165" s="187" t="s">
        <v>966</v>
      </c>
      <c r="AP1165" s="867"/>
      <c r="AQ1165" s="273"/>
      <c r="AR1165" s="847"/>
      <c r="AS1165" s="848"/>
      <c r="AT1165" s="867"/>
      <c r="AU1165" s="273"/>
      <c r="AV1165" s="847"/>
      <c r="AW1165" s="848"/>
      <c r="AX1165" s="867"/>
      <c r="AY1165" s="273"/>
      <c r="AZ1165" s="847"/>
      <c r="BA1165" s="848"/>
      <c r="BB1165" s="866"/>
      <c r="BC1165" s="273"/>
      <c r="BD1165" s="847"/>
      <c r="BE1165" s="848"/>
      <c r="BF1165" s="838"/>
    </row>
    <row r="1166" spans="1:58" s="92" customFormat="1" ht="54" hidden="1" customHeight="1" x14ac:dyDescent="0.25">
      <c r="A1166" s="267" t="s">
        <v>7374</v>
      </c>
      <c r="B1166" s="268">
        <v>268</v>
      </c>
      <c r="C1166" s="240" t="s">
        <v>1372</v>
      </c>
      <c r="D1166" s="270" t="s">
        <v>1373</v>
      </c>
      <c r="E1166" s="298" t="s">
        <v>8206</v>
      </c>
      <c r="F1166" s="861" t="s">
        <v>6009</v>
      </c>
      <c r="G1166" s="269" t="s">
        <v>6010</v>
      </c>
      <c r="H1166" s="845" t="s">
        <v>6011</v>
      </c>
      <c r="I1166" s="208" t="s">
        <v>6012</v>
      </c>
      <c r="J1166" s="240" t="s">
        <v>140</v>
      </c>
      <c r="K1166" s="270" t="s">
        <v>140</v>
      </c>
      <c r="L1166" s="862" t="s">
        <v>6013</v>
      </c>
      <c r="M1166" s="206" t="s">
        <v>973</v>
      </c>
      <c r="N1166" s="211" t="s">
        <v>974</v>
      </c>
      <c r="O1166" s="240" t="s">
        <v>144</v>
      </c>
      <c r="P1166" s="240" t="s">
        <v>144</v>
      </c>
      <c r="Q1166" s="845" t="s">
        <v>5834</v>
      </c>
      <c r="R1166" s="208" t="s">
        <v>5835</v>
      </c>
      <c r="S1166" s="864" t="s">
        <v>746</v>
      </c>
      <c r="T1166" s="212" t="s">
        <v>1104</v>
      </c>
      <c r="U1166" s="213" t="s">
        <v>1105</v>
      </c>
      <c r="V1166" s="847">
        <v>19</v>
      </c>
      <c r="W1166" s="415" t="s">
        <v>144</v>
      </c>
      <c r="X1166" s="212">
        <v>43</v>
      </c>
      <c r="Y1166" s="212" t="s">
        <v>144</v>
      </c>
      <c r="Z1166" s="241" t="s">
        <v>144</v>
      </c>
      <c r="AA1166" s="615" t="s">
        <v>733</v>
      </c>
      <c r="AB1166" s="206" t="s">
        <v>140</v>
      </c>
      <c r="AC1166" s="847" t="s">
        <v>265</v>
      </c>
      <c r="AD1166" s="847" t="s">
        <v>144</v>
      </c>
      <c r="AE1166" s="847" t="s">
        <v>144</v>
      </c>
      <c r="AF1166" s="848" t="s">
        <v>144</v>
      </c>
      <c r="AG1166" s="838"/>
      <c r="AH1166" s="291" t="s">
        <v>7478</v>
      </c>
      <c r="AI1166" s="273" t="s">
        <v>7479</v>
      </c>
      <c r="AJ1166" s="847">
        <v>5</v>
      </c>
      <c r="AK1166" s="848" t="s">
        <v>7480</v>
      </c>
      <c r="AL1166" s="867"/>
      <c r="AM1166" s="273"/>
      <c r="AN1166" s="847"/>
      <c r="AO1166" s="848"/>
      <c r="AP1166" s="867" t="s">
        <v>1107</v>
      </c>
      <c r="AQ1166" s="273" t="s">
        <v>1108</v>
      </c>
      <c r="AR1166" s="847">
        <v>7</v>
      </c>
      <c r="AS1166" s="286" t="s">
        <v>1109</v>
      </c>
      <c r="AT1166" s="867"/>
      <c r="AU1166" s="273"/>
      <c r="AV1166" s="847"/>
      <c r="AW1166" s="848"/>
      <c r="AX1166" s="867"/>
      <c r="AY1166" s="273"/>
      <c r="AZ1166" s="847"/>
      <c r="BA1166" s="848"/>
      <c r="BB1166" s="866"/>
      <c r="BC1166" s="273"/>
      <c r="BD1166" s="847"/>
      <c r="BE1166" s="848"/>
      <c r="BF1166" s="838"/>
    </row>
    <row r="1167" spans="1:58" s="92" customFormat="1" ht="54" hidden="1" customHeight="1" x14ac:dyDescent="0.25">
      <c r="A1167" s="267" t="s">
        <v>7374</v>
      </c>
      <c r="B1167" s="268">
        <v>269</v>
      </c>
      <c r="C1167" s="240" t="s">
        <v>1372</v>
      </c>
      <c r="D1167" s="270" t="s">
        <v>1373</v>
      </c>
      <c r="E1167" s="298" t="s">
        <v>8207</v>
      </c>
      <c r="F1167" s="861" t="s">
        <v>6015</v>
      </c>
      <c r="G1167" s="353" t="s">
        <v>6016</v>
      </c>
      <c r="H1167" s="845" t="s">
        <v>6017</v>
      </c>
      <c r="I1167" s="353" t="s">
        <v>6018</v>
      </c>
      <c r="J1167" s="354" t="s">
        <v>140</v>
      </c>
      <c r="K1167" s="355" t="s">
        <v>140</v>
      </c>
      <c r="L1167" s="862" t="s">
        <v>6019</v>
      </c>
      <c r="M1167" s="206" t="s">
        <v>973</v>
      </c>
      <c r="N1167" s="211" t="s">
        <v>974</v>
      </c>
      <c r="O1167" s="240" t="s">
        <v>814</v>
      </c>
      <c r="P1167" s="240" t="s">
        <v>815</v>
      </c>
      <c r="Q1167" s="845" t="s">
        <v>144</v>
      </c>
      <c r="R1167" s="208" t="s">
        <v>144</v>
      </c>
      <c r="S1167" s="864" t="s">
        <v>147</v>
      </c>
      <c r="T1167" s="212" t="s">
        <v>144</v>
      </c>
      <c r="U1167" s="213" t="s">
        <v>144</v>
      </c>
      <c r="V1167" s="847">
        <v>3</v>
      </c>
      <c r="W1167" s="415" t="s">
        <v>144</v>
      </c>
      <c r="X1167" s="212">
        <v>43</v>
      </c>
      <c r="Y1167" s="212" t="s">
        <v>144</v>
      </c>
      <c r="Z1167" s="241" t="s">
        <v>144</v>
      </c>
      <c r="AA1167" s="615" t="s">
        <v>733</v>
      </c>
      <c r="AB1167" s="206" t="s">
        <v>140</v>
      </c>
      <c r="AC1167" s="847" t="s">
        <v>265</v>
      </c>
      <c r="AD1167" s="847" t="s">
        <v>144</v>
      </c>
      <c r="AE1167" s="847" t="s">
        <v>144</v>
      </c>
      <c r="AF1167" s="848" t="s">
        <v>144</v>
      </c>
      <c r="AG1167" s="838"/>
      <c r="AH1167" s="291" t="s">
        <v>8208</v>
      </c>
      <c r="AI1167" s="273" t="s">
        <v>8209</v>
      </c>
      <c r="AJ1167" s="847">
        <v>7</v>
      </c>
      <c r="AK1167" s="848" t="s">
        <v>1280</v>
      </c>
      <c r="AL1167" s="875" t="s">
        <v>294</v>
      </c>
      <c r="AM1167" s="301" t="s">
        <v>295</v>
      </c>
      <c r="AN1167" s="847">
        <v>7</v>
      </c>
      <c r="AO1167" s="187" t="s">
        <v>966</v>
      </c>
      <c r="AP1167" s="867"/>
      <c r="AQ1167" s="273"/>
      <c r="AR1167" s="847"/>
      <c r="AS1167" s="848"/>
      <c r="AT1167" s="867"/>
      <c r="AU1167" s="273"/>
      <c r="AV1167" s="847"/>
      <c r="AW1167" s="848"/>
      <c r="AX1167" s="867"/>
      <c r="AY1167" s="273"/>
      <c r="AZ1167" s="847"/>
      <c r="BA1167" s="848"/>
      <c r="BB1167" s="866"/>
      <c r="BC1167" s="273"/>
      <c r="BD1167" s="847"/>
      <c r="BE1167" s="848"/>
      <c r="BF1167" s="838"/>
    </row>
    <row r="1168" spans="1:58" s="87" customFormat="1" ht="54" hidden="1" customHeight="1" x14ac:dyDescent="0.25">
      <c r="A1168" s="267" t="s">
        <v>7374</v>
      </c>
      <c r="B1168" s="268">
        <v>270</v>
      </c>
      <c r="C1168" s="240" t="s">
        <v>684</v>
      </c>
      <c r="D1168" s="270" t="s">
        <v>685</v>
      </c>
      <c r="E1168" s="298" t="s">
        <v>8210</v>
      </c>
      <c r="F1168" s="861" t="s">
        <v>6023</v>
      </c>
      <c r="G1168" s="269" t="s">
        <v>6024</v>
      </c>
      <c r="H1168" s="845" t="s">
        <v>6025</v>
      </c>
      <c r="I1168" s="208" t="s">
        <v>6026</v>
      </c>
      <c r="J1168" s="240" t="s">
        <v>140</v>
      </c>
      <c r="K1168" s="270" t="s">
        <v>140</v>
      </c>
      <c r="L1168" s="862" t="s">
        <v>6027</v>
      </c>
      <c r="M1168" s="206" t="s">
        <v>973</v>
      </c>
      <c r="N1168" s="211" t="s">
        <v>974</v>
      </c>
      <c r="O1168" s="240" t="s">
        <v>144</v>
      </c>
      <c r="P1168" s="240" t="s">
        <v>144</v>
      </c>
      <c r="Q1168" s="845" t="s">
        <v>5834</v>
      </c>
      <c r="R1168" s="208" t="s">
        <v>5835</v>
      </c>
      <c r="S1168" s="864" t="s">
        <v>746</v>
      </c>
      <c r="T1168" s="212" t="s">
        <v>1104</v>
      </c>
      <c r="U1168" s="213" t="s">
        <v>1105</v>
      </c>
      <c r="V1168" s="847">
        <v>19</v>
      </c>
      <c r="W1168" s="415" t="s">
        <v>144</v>
      </c>
      <c r="X1168" s="212">
        <v>43</v>
      </c>
      <c r="Y1168" s="212" t="s">
        <v>144</v>
      </c>
      <c r="Z1168" s="241" t="s">
        <v>144</v>
      </c>
      <c r="AA1168" s="615" t="s">
        <v>733</v>
      </c>
      <c r="AB1168" s="206" t="s">
        <v>140</v>
      </c>
      <c r="AC1168" s="847" t="s">
        <v>265</v>
      </c>
      <c r="AD1168" s="847" t="s">
        <v>144</v>
      </c>
      <c r="AE1168" s="847" t="s">
        <v>144</v>
      </c>
      <c r="AF1168" s="848" t="s">
        <v>144</v>
      </c>
      <c r="AG1168" s="838"/>
      <c r="AH1168" s="291" t="s">
        <v>7478</v>
      </c>
      <c r="AI1168" s="273" t="s">
        <v>7479</v>
      </c>
      <c r="AJ1168" s="847">
        <v>5</v>
      </c>
      <c r="AK1168" s="848" t="s">
        <v>7480</v>
      </c>
      <c r="AL1168" s="867"/>
      <c r="AM1168" s="273"/>
      <c r="AN1168" s="847"/>
      <c r="AO1168" s="848"/>
      <c r="AP1168" s="867" t="s">
        <v>1107</v>
      </c>
      <c r="AQ1168" s="273" t="s">
        <v>1108</v>
      </c>
      <c r="AR1168" s="847">
        <v>7</v>
      </c>
      <c r="AS1168" s="286" t="s">
        <v>1109</v>
      </c>
      <c r="AT1168" s="867"/>
      <c r="AU1168" s="273"/>
      <c r="AV1168" s="847"/>
      <c r="AW1168" s="848"/>
      <c r="AX1168" s="867"/>
      <c r="AY1168" s="273"/>
      <c r="AZ1168" s="847"/>
      <c r="BA1168" s="848"/>
      <c r="BB1168" s="866"/>
      <c r="BC1168" s="273"/>
      <c r="BD1168" s="847"/>
      <c r="BE1168" s="848"/>
      <c r="BF1168" s="838"/>
    </row>
    <row r="1169" spans="1:58" s="87" customFormat="1" ht="54" hidden="1" customHeight="1" x14ac:dyDescent="0.25">
      <c r="A1169" s="267" t="s">
        <v>7374</v>
      </c>
      <c r="B1169" s="268">
        <v>271</v>
      </c>
      <c r="C1169" s="240" t="s">
        <v>684</v>
      </c>
      <c r="D1169" s="270" t="s">
        <v>685</v>
      </c>
      <c r="E1169" s="298" t="s">
        <v>8211</v>
      </c>
      <c r="F1169" s="861" t="s">
        <v>6029</v>
      </c>
      <c r="G1169" s="269" t="s">
        <v>6030</v>
      </c>
      <c r="H1169" s="845" t="s">
        <v>6031</v>
      </c>
      <c r="I1169" s="269" t="s">
        <v>6030</v>
      </c>
      <c r="J1169" s="296" t="s">
        <v>140</v>
      </c>
      <c r="K1169" s="297" t="s">
        <v>140</v>
      </c>
      <c r="L1169" s="862" t="s">
        <v>6032</v>
      </c>
      <c r="M1169" s="206" t="s">
        <v>973</v>
      </c>
      <c r="N1169" s="211" t="s">
        <v>974</v>
      </c>
      <c r="O1169" s="240" t="s">
        <v>814</v>
      </c>
      <c r="P1169" s="240" t="s">
        <v>815</v>
      </c>
      <c r="Q1169" s="845" t="s">
        <v>144</v>
      </c>
      <c r="R1169" s="208" t="s">
        <v>144</v>
      </c>
      <c r="S1169" s="864" t="s">
        <v>147</v>
      </c>
      <c r="T1169" s="212" t="s">
        <v>144</v>
      </c>
      <c r="U1169" s="213" t="s">
        <v>144</v>
      </c>
      <c r="V1169" s="847">
        <v>3</v>
      </c>
      <c r="W1169" s="415" t="s">
        <v>144</v>
      </c>
      <c r="X1169" s="212">
        <v>43</v>
      </c>
      <c r="Y1169" s="212" t="s">
        <v>144</v>
      </c>
      <c r="Z1169" s="241" t="s">
        <v>144</v>
      </c>
      <c r="AA1169" s="615" t="s">
        <v>733</v>
      </c>
      <c r="AB1169" s="206" t="s">
        <v>140</v>
      </c>
      <c r="AC1169" s="847" t="s">
        <v>265</v>
      </c>
      <c r="AD1169" s="847" t="s">
        <v>144</v>
      </c>
      <c r="AE1169" s="847" t="s">
        <v>144</v>
      </c>
      <c r="AF1169" s="848" t="s">
        <v>144</v>
      </c>
      <c r="AG1169" s="838"/>
      <c r="AH1169" s="291" t="s">
        <v>8212</v>
      </c>
      <c r="AI1169" s="273" t="s">
        <v>8213</v>
      </c>
      <c r="AJ1169" s="847">
        <v>7</v>
      </c>
      <c r="AK1169" s="848" t="s">
        <v>1280</v>
      </c>
      <c r="AL1169" s="875" t="s">
        <v>294</v>
      </c>
      <c r="AM1169" s="301" t="s">
        <v>295</v>
      </c>
      <c r="AN1169" s="847">
        <v>7</v>
      </c>
      <c r="AO1169" s="187" t="s">
        <v>966</v>
      </c>
      <c r="AP1169" s="867"/>
      <c r="AQ1169" s="273"/>
      <c r="AR1169" s="847"/>
      <c r="AS1169" s="848"/>
      <c r="AT1169" s="867"/>
      <c r="AU1169" s="273"/>
      <c r="AV1169" s="847"/>
      <c r="AW1169" s="848"/>
      <c r="AX1169" s="867"/>
      <c r="AY1169" s="273"/>
      <c r="AZ1169" s="847"/>
      <c r="BA1169" s="848"/>
      <c r="BB1169" s="866"/>
      <c r="BC1169" s="273"/>
      <c r="BD1169" s="847"/>
      <c r="BE1169" s="848"/>
      <c r="BF1169" s="838"/>
    </row>
    <row r="1170" spans="1:58" s="87" customFormat="1" ht="54" hidden="1" customHeight="1" x14ac:dyDescent="0.25">
      <c r="A1170" s="267" t="s">
        <v>7374</v>
      </c>
      <c r="B1170" s="268">
        <v>272</v>
      </c>
      <c r="C1170" s="240" t="s">
        <v>684</v>
      </c>
      <c r="D1170" s="270" t="s">
        <v>685</v>
      </c>
      <c r="E1170" s="298" t="s">
        <v>8214</v>
      </c>
      <c r="F1170" s="861" t="s">
        <v>6036</v>
      </c>
      <c r="G1170" s="269" t="s">
        <v>6037</v>
      </c>
      <c r="H1170" s="845" t="s">
        <v>8215</v>
      </c>
      <c r="I1170" s="208" t="s">
        <v>6039</v>
      </c>
      <c r="J1170" s="240" t="s">
        <v>140</v>
      </c>
      <c r="K1170" s="270" t="s">
        <v>140</v>
      </c>
      <c r="L1170" s="862" t="s">
        <v>6040</v>
      </c>
      <c r="M1170" s="206" t="s">
        <v>973</v>
      </c>
      <c r="N1170" s="211" t="s">
        <v>974</v>
      </c>
      <c r="O1170" s="240" t="s">
        <v>144</v>
      </c>
      <c r="P1170" s="240" t="s">
        <v>144</v>
      </c>
      <c r="Q1170" s="845" t="s">
        <v>5834</v>
      </c>
      <c r="R1170" s="208" t="s">
        <v>5835</v>
      </c>
      <c r="S1170" s="864" t="s">
        <v>746</v>
      </c>
      <c r="T1170" s="212" t="s">
        <v>1104</v>
      </c>
      <c r="U1170" s="213" t="s">
        <v>1105</v>
      </c>
      <c r="V1170" s="847">
        <v>19</v>
      </c>
      <c r="W1170" s="415" t="s">
        <v>144</v>
      </c>
      <c r="X1170" s="212">
        <v>43</v>
      </c>
      <c r="Y1170" s="212" t="s">
        <v>144</v>
      </c>
      <c r="Z1170" s="241" t="s">
        <v>144</v>
      </c>
      <c r="AA1170" s="615" t="s">
        <v>733</v>
      </c>
      <c r="AB1170" s="206" t="s">
        <v>140</v>
      </c>
      <c r="AC1170" s="847" t="s">
        <v>265</v>
      </c>
      <c r="AD1170" s="847" t="s">
        <v>144</v>
      </c>
      <c r="AE1170" s="847" t="s">
        <v>144</v>
      </c>
      <c r="AF1170" s="848" t="s">
        <v>144</v>
      </c>
      <c r="AG1170" s="838"/>
      <c r="AH1170" s="291" t="s">
        <v>7478</v>
      </c>
      <c r="AI1170" s="273" t="s">
        <v>7479</v>
      </c>
      <c r="AJ1170" s="847">
        <v>5</v>
      </c>
      <c r="AK1170" s="848" t="s">
        <v>7480</v>
      </c>
      <c r="AL1170" s="867"/>
      <c r="AM1170" s="273"/>
      <c r="AN1170" s="847"/>
      <c r="AO1170" s="848"/>
      <c r="AP1170" s="867" t="s">
        <v>1107</v>
      </c>
      <c r="AQ1170" s="273" t="s">
        <v>1108</v>
      </c>
      <c r="AR1170" s="847">
        <v>7</v>
      </c>
      <c r="AS1170" s="286" t="s">
        <v>1109</v>
      </c>
      <c r="AT1170" s="867"/>
      <c r="AU1170" s="273"/>
      <c r="AV1170" s="847"/>
      <c r="AW1170" s="848"/>
      <c r="AX1170" s="867"/>
      <c r="AY1170" s="273"/>
      <c r="AZ1170" s="847"/>
      <c r="BA1170" s="848"/>
      <c r="BB1170" s="866"/>
      <c r="BC1170" s="273"/>
      <c r="BD1170" s="847"/>
      <c r="BE1170" s="848"/>
      <c r="BF1170" s="838"/>
    </row>
    <row r="1171" spans="1:58" s="87" customFormat="1" ht="54" hidden="1" customHeight="1" x14ac:dyDescent="0.25">
      <c r="A1171" s="267" t="s">
        <v>7374</v>
      </c>
      <c r="B1171" s="268">
        <v>273</v>
      </c>
      <c r="C1171" s="240" t="s">
        <v>684</v>
      </c>
      <c r="D1171" s="270" t="s">
        <v>685</v>
      </c>
      <c r="E1171" s="298" t="s">
        <v>8216</v>
      </c>
      <c r="F1171" s="861" t="s">
        <v>6042</v>
      </c>
      <c r="G1171" s="269" t="s">
        <v>6043</v>
      </c>
      <c r="H1171" s="845" t="s">
        <v>6044</v>
      </c>
      <c r="I1171" s="269" t="s">
        <v>6045</v>
      </c>
      <c r="J1171" s="296" t="s">
        <v>140</v>
      </c>
      <c r="K1171" s="297" t="s">
        <v>140</v>
      </c>
      <c r="L1171" s="862" t="s">
        <v>6046</v>
      </c>
      <c r="M1171" s="206" t="s">
        <v>973</v>
      </c>
      <c r="N1171" s="211" t="s">
        <v>974</v>
      </c>
      <c r="O1171" s="240" t="s">
        <v>814</v>
      </c>
      <c r="P1171" s="240" t="s">
        <v>815</v>
      </c>
      <c r="Q1171" s="845" t="s">
        <v>144</v>
      </c>
      <c r="R1171" s="208" t="s">
        <v>144</v>
      </c>
      <c r="S1171" s="864" t="s">
        <v>147</v>
      </c>
      <c r="T1171" s="212" t="s">
        <v>144</v>
      </c>
      <c r="U1171" s="213" t="s">
        <v>144</v>
      </c>
      <c r="V1171" s="847">
        <v>3</v>
      </c>
      <c r="W1171" s="415" t="s">
        <v>144</v>
      </c>
      <c r="X1171" s="212">
        <v>43</v>
      </c>
      <c r="Y1171" s="212" t="s">
        <v>144</v>
      </c>
      <c r="Z1171" s="241" t="s">
        <v>144</v>
      </c>
      <c r="AA1171" s="615" t="s">
        <v>733</v>
      </c>
      <c r="AB1171" s="206" t="s">
        <v>140</v>
      </c>
      <c r="AC1171" s="847" t="s">
        <v>265</v>
      </c>
      <c r="AD1171" s="847" t="s">
        <v>144</v>
      </c>
      <c r="AE1171" s="847" t="s">
        <v>144</v>
      </c>
      <c r="AF1171" s="848" t="s">
        <v>144</v>
      </c>
      <c r="AG1171" s="838"/>
      <c r="AH1171" s="291" t="s">
        <v>8217</v>
      </c>
      <c r="AI1171" s="273" t="s">
        <v>8218</v>
      </c>
      <c r="AJ1171" s="847">
        <v>7</v>
      </c>
      <c r="AK1171" s="848" t="s">
        <v>1280</v>
      </c>
      <c r="AL1171" s="875" t="s">
        <v>294</v>
      </c>
      <c r="AM1171" s="301" t="s">
        <v>295</v>
      </c>
      <c r="AN1171" s="847">
        <v>7</v>
      </c>
      <c r="AO1171" s="187" t="s">
        <v>966</v>
      </c>
      <c r="AP1171" s="867"/>
      <c r="AQ1171" s="273"/>
      <c r="AR1171" s="847"/>
      <c r="AS1171" s="848"/>
      <c r="AT1171" s="867"/>
      <c r="AU1171" s="273"/>
      <c r="AV1171" s="847"/>
      <c r="AW1171" s="848"/>
      <c r="AX1171" s="867"/>
      <c r="AY1171" s="273"/>
      <c r="AZ1171" s="847"/>
      <c r="BA1171" s="848"/>
      <c r="BB1171" s="866"/>
      <c r="BC1171" s="273"/>
      <c r="BD1171" s="847"/>
      <c r="BE1171" s="848"/>
      <c r="BF1171" s="838"/>
    </row>
    <row r="1172" spans="1:58" s="92" customFormat="1" ht="54" hidden="1" customHeight="1" x14ac:dyDescent="0.25">
      <c r="A1172" s="267" t="s">
        <v>7374</v>
      </c>
      <c r="B1172" s="268">
        <v>274</v>
      </c>
      <c r="C1172" s="240" t="s">
        <v>684</v>
      </c>
      <c r="D1172" s="270" t="s">
        <v>685</v>
      </c>
      <c r="E1172" s="298" t="s">
        <v>8219</v>
      </c>
      <c r="F1172" s="861" t="s">
        <v>8220</v>
      </c>
      <c r="G1172" s="269" t="s">
        <v>6051</v>
      </c>
      <c r="H1172" s="845" t="s">
        <v>6052</v>
      </c>
      <c r="I1172" s="208" t="s">
        <v>6053</v>
      </c>
      <c r="J1172" s="240" t="s">
        <v>140</v>
      </c>
      <c r="K1172" s="270" t="s">
        <v>140</v>
      </c>
      <c r="L1172" s="862" t="s">
        <v>6054</v>
      </c>
      <c r="M1172" s="206" t="s">
        <v>973</v>
      </c>
      <c r="N1172" s="211" t="s">
        <v>974</v>
      </c>
      <c r="O1172" s="240" t="s">
        <v>144</v>
      </c>
      <c r="P1172" s="240" t="s">
        <v>144</v>
      </c>
      <c r="Q1172" s="845" t="s">
        <v>5834</v>
      </c>
      <c r="R1172" s="208" t="s">
        <v>5835</v>
      </c>
      <c r="S1172" s="864" t="s">
        <v>746</v>
      </c>
      <c r="T1172" s="212" t="s">
        <v>1104</v>
      </c>
      <c r="U1172" s="213" t="s">
        <v>1105</v>
      </c>
      <c r="V1172" s="847">
        <v>19</v>
      </c>
      <c r="W1172" s="415" t="s">
        <v>144</v>
      </c>
      <c r="X1172" s="212">
        <v>43</v>
      </c>
      <c r="Y1172" s="212" t="s">
        <v>144</v>
      </c>
      <c r="Z1172" s="241" t="s">
        <v>144</v>
      </c>
      <c r="AA1172" s="615" t="s">
        <v>733</v>
      </c>
      <c r="AB1172" s="206" t="s">
        <v>140</v>
      </c>
      <c r="AC1172" s="847" t="s">
        <v>265</v>
      </c>
      <c r="AD1172" s="847" t="s">
        <v>144</v>
      </c>
      <c r="AE1172" s="847" t="s">
        <v>144</v>
      </c>
      <c r="AF1172" s="848" t="s">
        <v>144</v>
      </c>
      <c r="AG1172" s="838"/>
      <c r="AH1172" s="291" t="s">
        <v>7478</v>
      </c>
      <c r="AI1172" s="273" t="s">
        <v>7479</v>
      </c>
      <c r="AJ1172" s="847">
        <v>5</v>
      </c>
      <c r="AK1172" s="848" t="s">
        <v>7480</v>
      </c>
      <c r="AL1172" s="867"/>
      <c r="AM1172" s="273"/>
      <c r="AN1172" s="847"/>
      <c r="AO1172" s="848"/>
      <c r="AP1172" s="867" t="s">
        <v>1107</v>
      </c>
      <c r="AQ1172" s="273" t="s">
        <v>1108</v>
      </c>
      <c r="AR1172" s="847">
        <v>7</v>
      </c>
      <c r="AS1172" s="286" t="s">
        <v>1109</v>
      </c>
      <c r="AT1172" s="867"/>
      <c r="AU1172" s="273"/>
      <c r="AV1172" s="847"/>
      <c r="AW1172" s="848"/>
      <c r="AX1172" s="867"/>
      <c r="AY1172" s="273"/>
      <c r="AZ1172" s="847"/>
      <c r="BA1172" s="848"/>
      <c r="BB1172" s="866"/>
      <c r="BC1172" s="273"/>
      <c r="BD1172" s="847"/>
      <c r="BE1172" s="848"/>
      <c r="BF1172" s="838"/>
    </row>
    <row r="1173" spans="1:58" s="87" customFormat="1" ht="54" hidden="1" customHeight="1" x14ac:dyDescent="0.25">
      <c r="A1173" s="267" t="s">
        <v>7374</v>
      </c>
      <c r="B1173" s="268">
        <v>275</v>
      </c>
      <c r="C1173" s="240" t="s">
        <v>684</v>
      </c>
      <c r="D1173" s="270" t="s">
        <v>685</v>
      </c>
      <c r="E1173" s="298" t="s">
        <v>8221</v>
      </c>
      <c r="F1173" s="861" t="s">
        <v>6056</v>
      </c>
      <c r="G1173" s="269" t="s">
        <v>6057</v>
      </c>
      <c r="H1173" s="845" t="s">
        <v>6058</v>
      </c>
      <c r="I1173" s="269" t="s">
        <v>6059</v>
      </c>
      <c r="J1173" s="296" t="s">
        <v>140</v>
      </c>
      <c r="K1173" s="297" t="s">
        <v>140</v>
      </c>
      <c r="L1173" s="862" t="s">
        <v>6060</v>
      </c>
      <c r="M1173" s="206" t="s">
        <v>973</v>
      </c>
      <c r="N1173" s="211" t="s">
        <v>974</v>
      </c>
      <c r="O1173" s="240" t="s">
        <v>814</v>
      </c>
      <c r="P1173" s="240" t="s">
        <v>815</v>
      </c>
      <c r="Q1173" s="845" t="s">
        <v>144</v>
      </c>
      <c r="R1173" s="208" t="s">
        <v>144</v>
      </c>
      <c r="S1173" s="864" t="s">
        <v>147</v>
      </c>
      <c r="T1173" s="212" t="s">
        <v>144</v>
      </c>
      <c r="U1173" s="213" t="s">
        <v>144</v>
      </c>
      <c r="V1173" s="847">
        <v>3</v>
      </c>
      <c r="W1173" s="415" t="s">
        <v>144</v>
      </c>
      <c r="X1173" s="212">
        <v>43</v>
      </c>
      <c r="Y1173" s="212" t="s">
        <v>144</v>
      </c>
      <c r="Z1173" s="241" t="s">
        <v>144</v>
      </c>
      <c r="AA1173" s="615" t="s">
        <v>733</v>
      </c>
      <c r="AB1173" s="206" t="s">
        <v>140</v>
      </c>
      <c r="AC1173" s="847" t="s">
        <v>265</v>
      </c>
      <c r="AD1173" s="847" t="s">
        <v>144</v>
      </c>
      <c r="AE1173" s="847" t="s">
        <v>144</v>
      </c>
      <c r="AF1173" s="848" t="s">
        <v>144</v>
      </c>
      <c r="AG1173" s="838"/>
      <c r="AH1173" s="291" t="s">
        <v>8222</v>
      </c>
      <c r="AI1173" s="273" t="s">
        <v>8223</v>
      </c>
      <c r="AJ1173" s="847">
        <v>7</v>
      </c>
      <c r="AK1173" s="848" t="s">
        <v>1280</v>
      </c>
      <c r="AL1173" s="875" t="s">
        <v>294</v>
      </c>
      <c r="AM1173" s="301" t="s">
        <v>295</v>
      </c>
      <c r="AN1173" s="847">
        <v>7</v>
      </c>
      <c r="AO1173" s="187" t="s">
        <v>966</v>
      </c>
      <c r="AP1173" s="867"/>
      <c r="AQ1173" s="273"/>
      <c r="AR1173" s="847"/>
      <c r="AS1173" s="848"/>
      <c r="AT1173" s="867"/>
      <c r="AU1173" s="273"/>
      <c r="AV1173" s="847"/>
      <c r="AW1173" s="848"/>
      <c r="AX1173" s="867"/>
      <c r="AY1173" s="273"/>
      <c r="AZ1173" s="847"/>
      <c r="BA1173" s="848"/>
      <c r="BB1173" s="866"/>
      <c r="BC1173" s="273"/>
      <c r="BD1173" s="847"/>
      <c r="BE1173" s="848"/>
      <c r="BF1173" s="838"/>
    </row>
    <row r="1174" spans="1:58" s="87" customFormat="1" ht="54" hidden="1" customHeight="1" x14ac:dyDescent="0.25">
      <c r="A1174" s="267" t="s">
        <v>7374</v>
      </c>
      <c r="B1174" s="268">
        <v>276</v>
      </c>
      <c r="C1174" s="240" t="s">
        <v>5290</v>
      </c>
      <c r="D1174" s="270" t="s">
        <v>5291</v>
      </c>
      <c r="E1174" s="298" t="s">
        <v>8224</v>
      </c>
      <c r="F1174" s="861" t="s">
        <v>6064</v>
      </c>
      <c r="G1174" s="269" t="s">
        <v>6065</v>
      </c>
      <c r="H1174" s="845" t="s">
        <v>6066</v>
      </c>
      <c r="I1174" s="294" t="s">
        <v>6067</v>
      </c>
      <c r="J1174" s="325" t="s">
        <v>140</v>
      </c>
      <c r="K1174" s="326" t="s">
        <v>140</v>
      </c>
      <c r="L1174" s="862" t="s">
        <v>6068</v>
      </c>
      <c r="M1174" s="847" t="s">
        <v>973</v>
      </c>
      <c r="N1174" s="211" t="s">
        <v>974</v>
      </c>
      <c r="O1174" s="240" t="s">
        <v>6069</v>
      </c>
      <c r="P1174" s="240" t="s">
        <v>6070</v>
      </c>
      <c r="Q1174" s="845" t="s">
        <v>144</v>
      </c>
      <c r="R1174" s="208" t="s">
        <v>144</v>
      </c>
      <c r="S1174" s="864" t="s">
        <v>147</v>
      </c>
      <c r="T1174" s="212" t="s">
        <v>144</v>
      </c>
      <c r="U1174" s="213" t="s">
        <v>144</v>
      </c>
      <c r="V1174" s="847">
        <v>2</v>
      </c>
      <c r="W1174" s="415" t="s">
        <v>144</v>
      </c>
      <c r="X1174" s="212">
        <v>43</v>
      </c>
      <c r="Y1174" s="212" t="s">
        <v>144</v>
      </c>
      <c r="Z1174" s="214" t="s">
        <v>144</v>
      </c>
      <c r="AA1174" s="240" t="s">
        <v>441</v>
      </c>
      <c r="AB1174" s="206" t="s">
        <v>140</v>
      </c>
      <c r="AC1174" s="847" t="s">
        <v>265</v>
      </c>
      <c r="AD1174" s="847" t="s">
        <v>144</v>
      </c>
      <c r="AE1174" s="847" t="s">
        <v>144</v>
      </c>
      <c r="AF1174" s="848" t="s">
        <v>144</v>
      </c>
      <c r="AG1174" s="838"/>
      <c r="AH1174" s="866" t="s">
        <v>8067</v>
      </c>
      <c r="AI1174" s="273" t="s">
        <v>8068</v>
      </c>
      <c r="AJ1174" s="847">
        <v>6</v>
      </c>
      <c r="AK1174" s="848" t="s">
        <v>8069</v>
      </c>
      <c r="AL1174" s="875" t="s">
        <v>294</v>
      </c>
      <c r="AM1174" s="301" t="s">
        <v>295</v>
      </c>
      <c r="AN1174" s="847">
        <v>7</v>
      </c>
      <c r="AO1174" s="187" t="s">
        <v>966</v>
      </c>
      <c r="AP1174" s="867"/>
      <c r="AQ1174" s="273"/>
      <c r="AR1174" s="847"/>
      <c r="AS1174" s="848"/>
      <c r="AT1174" s="867"/>
      <c r="AU1174" s="273"/>
      <c r="AV1174" s="847"/>
      <c r="AW1174" s="848"/>
      <c r="AX1174" s="867"/>
      <c r="AY1174" s="273"/>
      <c r="AZ1174" s="847"/>
      <c r="BA1174" s="848"/>
      <c r="BB1174" s="866"/>
      <c r="BC1174" s="273"/>
      <c r="BD1174" s="847"/>
      <c r="BE1174" s="848"/>
      <c r="BF1174" s="838"/>
    </row>
    <row r="1175" spans="1:58" s="87" customFormat="1" ht="54" hidden="1" customHeight="1" x14ac:dyDescent="0.25">
      <c r="A1175" s="267" t="s">
        <v>7374</v>
      </c>
      <c r="B1175" s="268">
        <v>277</v>
      </c>
      <c r="C1175" s="240" t="s">
        <v>5290</v>
      </c>
      <c r="D1175" s="270" t="s">
        <v>5291</v>
      </c>
      <c r="E1175" s="298" t="s">
        <v>8225</v>
      </c>
      <c r="F1175" s="861" t="s">
        <v>6073</v>
      </c>
      <c r="G1175" s="269" t="s">
        <v>6074</v>
      </c>
      <c r="H1175" s="845" t="s">
        <v>6075</v>
      </c>
      <c r="I1175" s="294" t="s">
        <v>6074</v>
      </c>
      <c r="J1175" s="325" t="s">
        <v>140</v>
      </c>
      <c r="K1175" s="326" t="s">
        <v>140</v>
      </c>
      <c r="L1175" s="862" t="s">
        <v>6076</v>
      </c>
      <c r="M1175" s="847" t="s">
        <v>973</v>
      </c>
      <c r="N1175" s="211" t="s">
        <v>974</v>
      </c>
      <c r="O1175" s="240" t="s">
        <v>6077</v>
      </c>
      <c r="P1175" s="240" t="s">
        <v>6078</v>
      </c>
      <c r="Q1175" s="845" t="s">
        <v>144</v>
      </c>
      <c r="R1175" s="208" t="s">
        <v>144</v>
      </c>
      <c r="S1175" s="864" t="s">
        <v>147</v>
      </c>
      <c r="T1175" s="212" t="s">
        <v>144</v>
      </c>
      <c r="U1175" s="213" t="s">
        <v>144</v>
      </c>
      <c r="V1175" s="847">
        <v>2</v>
      </c>
      <c r="W1175" s="415" t="s">
        <v>144</v>
      </c>
      <c r="X1175" s="212">
        <v>43</v>
      </c>
      <c r="Y1175" s="212" t="s">
        <v>144</v>
      </c>
      <c r="Z1175" s="214" t="s">
        <v>144</v>
      </c>
      <c r="AA1175" s="240" t="s">
        <v>441</v>
      </c>
      <c r="AB1175" s="206" t="s">
        <v>140</v>
      </c>
      <c r="AC1175" s="847" t="s">
        <v>265</v>
      </c>
      <c r="AD1175" s="847" t="s">
        <v>144</v>
      </c>
      <c r="AE1175" s="847" t="s">
        <v>144</v>
      </c>
      <c r="AF1175" s="848" t="s">
        <v>144</v>
      </c>
      <c r="AG1175" s="838"/>
      <c r="AH1175" s="866" t="s">
        <v>8067</v>
      </c>
      <c r="AI1175" s="273" t="s">
        <v>8068</v>
      </c>
      <c r="AJ1175" s="847">
        <v>6</v>
      </c>
      <c r="AK1175" s="848" t="s">
        <v>8069</v>
      </c>
      <c r="AL1175" s="875" t="s">
        <v>294</v>
      </c>
      <c r="AM1175" s="301" t="s">
        <v>295</v>
      </c>
      <c r="AN1175" s="847">
        <v>7</v>
      </c>
      <c r="AO1175" s="187" t="s">
        <v>966</v>
      </c>
      <c r="AP1175" s="867"/>
      <c r="AQ1175" s="273"/>
      <c r="AR1175" s="847"/>
      <c r="AS1175" s="848"/>
      <c r="AT1175" s="867"/>
      <c r="AU1175" s="273"/>
      <c r="AV1175" s="847"/>
      <c r="AW1175" s="848"/>
      <c r="AX1175" s="867"/>
      <c r="AY1175" s="273"/>
      <c r="AZ1175" s="847"/>
      <c r="BA1175" s="848"/>
      <c r="BB1175" s="866"/>
      <c r="BC1175" s="273"/>
      <c r="BD1175" s="847"/>
      <c r="BE1175" s="848"/>
      <c r="BF1175" s="838"/>
    </row>
    <row r="1176" spans="1:58" s="87" customFormat="1" ht="54" hidden="1" customHeight="1" x14ac:dyDescent="0.25">
      <c r="A1176" s="267" t="s">
        <v>7374</v>
      </c>
      <c r="B1176" s="268">
        <v>278</v>
      </c>
      <c r="C1176" s="240" t="s">
        <v>5290</v>
      </c>
      <c r="D1176" s="270" t="s">
        <v>5291</v>
      </c>
      <c r="E1176" s="298" t="s">
        <v>8226</v>
      </c>
      <c r="F1176" s="861" t="s">
        <v>6080</v>
      </c>
      <c r="G1176" s="269" t="s">
        <v>6081</v>
      </c>
      <c r="H1176" s="845" t="s">
        <v>6082</v>
      </c>
      <c r="I1176" s="294" t="s">
        <v>6083</v>
      </c>
      <c r="J1176" s="325" t="s">
        <v>140</v>
      </c>
      <c r="K1176" s="326" t="s">
        <v>140</v>
      </c>
      <c r="L1176" s="862" t="s">
        <v>6084</v>
      </c>
      <c r="M1176" s="847" t="s">
        <v>973</v>
      </c>
      <c r="N1176" s="211" t="s">
        <v>974</v>
      </c>
      <c r="O1176" s="240" t="s">
        <v>6085</v>
      </c>
      <c r="P1176" s="240" t="s">
        <v>6086</v>
      </c>
      <c r="Q1176" s="845" t="s">
        <v>144</v>
      </c>
      <c r="R1176" s="208" t="s">
        <v>144</v>
      </c>
      <c r="S1176" s="864" t="s">
        <v>147</v>
      </c>
      <c r="T1176" s="212" t="s">
        <v>144</v>
      </c>
      <c r="U1176" s="213" t="s">
        <v>144</v>
      </c>
      <c r="V1176" s="847">
        <v>2</v>
      </c>
      <c r="W1176" s="415" t="s">
        <v>144</v>
      </c>
      <c r="X1176" s="212">
        <v>43</v>
      </c>
      <c r="Y1176" s="212" t="s">
        <v>144</v>
      </c>
      <c r="Z1176" s="214" t="s">
        <v>144</v>
      </c>
      <c r="AA1176" s="240" t="s">
        <v>441</v>
      </c>
      <c r="AB1176" s="206" t="s">
        <v>140</v>
      </c>
      <c r="AC1176" s="847" t="s">
        <v>265</v>
      </c>
      <c r="AD1176" s="847" t="s">
        <v>144</v>
      </c>
      <c r="AE1176" s="847" t="s">
        <v>144</v>
      </c>
      <c r="AF1176" s="848" t="s">
        <v>144</v>
      </c>
      <c r="AG1176" s="838"/>
      <c r="AH1176" s="866" t="s">
        <v>8067</v>
      </c>
      <c r="AI1176" s="273" t="s">
        <v>8068</v>
      </c>
      <c r="AJ1176" s="847">
        <v>6</v>
      </c>
      <c r="AK1176" s="848" t="s">
        <v>8069</v>
      </c>
      <c r="AL1176" s="875" t="s">
        <v>294</v>
      </c>
      <c r="AM1176" s="301" t="s">
        <v>295</v>
      </c>
      <c r="AN1176" s="847">
        <v>7</v>
      </c>
      <c r="AO1176" s="187" t="s">
        <v>966</v>
      </c>
      <c r="AP1176" s="867"/>
      <c r="AQ1176" s="273"/>
      <c r="AR1176" s="847"/>
      <c r="AS1176" s="848"/>
      <c r="AT1176" s="867"/>
      <c r="AU1176" s="273"/>
      <c r="AV1176" s="847"/>
      <c r="AW1176" s="848"/>
      <c r="AX1176" s="867"/>
      <c r="AY1176" s="273"/>
      <c r="AZ1176" s="847"/>
      <c r="BA1176" s="848"/>
      <c r="BB1176" s="866"/>
      <c r="BC1176" s="273"/>
      <c r="BD1176" s="847"/>
      <c r="BE1176" s="848"/>
      <c r="BF1176" s="838"/>
    </row>
    <row r="1177" spans="1:58" s="87" customFormat="1" ht="54" hidden="1" customHeight="1" x14ac:dyDescent="0.25">
      <c r="A1177" s="267" t="s">
        <v>7374</v>
      </c>
      <c r="B1177" s="268">
        <v>279</v>
      </c>
      <c r="C1177" s="240" t="s">
        <v>5290</v>
      </c>
      <c r="D1177" s="270" t="s">
        <v>5291</v>
      </c>
      <c r="E1177" s="298" t="s">
        <v>8227</v>
      </c>
      <c r="F1177" s="861" t="s">
        <v>6088</v>
      </c>
      <c r="G1177" s="269" t="s">
        <v>6089</v>
      </c>
      <c r="H1177" s="845" t="s">
        <v>6090</v>
      </c>
      <c r="I1177" s="208" t="s">
        <v>6091</v>
      </c>
      <c r="J1177" s="240" t="s">
        <v>140</v>
      </c>
      <c r="K1177" s="270" t="s">
        <v>140</v>
      </c>
      <c r="L1177" s="862" t="s">
        <v>6092</v>
      </c>
      <c r="M1177" s="847" t="s">
        <v>973</v>
      </c>
      <c r="N1177" s="211" t="s">
        <v>974</v>
      </c>
      <c r="O1177" s="240" t="s">
        <v>144</v>
      </c>
      <c r="P1177" s="240" t="s">
        <v>144</v>
      </c>
      <c r="Q1177" s="845" t="s">
        <v>144</v>
      </c>
      <c r="R1177" s="208" t="s">
        <v>144</v>
      </c>
      <c r="S1177" s="864" t="s">
        <v>147</v>
      </c>
      <c r="T1177" s="212" t="s">
        <v>144</v>
      </c>
      <c r="U1177" s="213" t="s">
        <v>144</v>
      </c>
      <c r="V1177" s="847">
        <v>20</v>
      </c>
      <c r="W1177" s="415" t="s">
        <v>144</v>
      </c>
      <c r="X1177" s="212">
        <v>43</v>
      </c>
      <c r="Y1177" s="212" t="s">
        <v>144</v>
      </c>
      <c r="Z1177" s="252" t="s">
        <v>144</v>
      </c>
      <c r="AA1177" s="240" t="s">
        <v>441</v>
      </c>
      <c r="AB1177" s="206" t="s">
        <v>140</v>
      </c>
      <c r="AC1177" s="847" t="s">
        <v>265</v>
      </c>
      <c r="AD1177" s="847" t="s">
        <v>144</v>
      </c>
      <c r="AE1177" s="847" t="s">
        <v>144</v>
      </c>
      <c r="AF1177" s="848" t="s">
        <v>144</v>
      </c>
      <c r="AG1177" s="838"/>
      <c r="AH1177" s="866" t="s">
        <v>8228</v>
      </c>
      <c r="AI1177" s="273" t="s">
        <v>8229</v>
      </c>
      <c r="AJ1177" s="847">
        <v>6</v>
      </c>
      <c r="AK1177" s="848" t="s">
        <v>8230</v>
      </c>
      <c r="AL1177" s="867"/>
      <c r="AM1177" s="273"/>
      <c r="AN1177" s="847"/>
      <c r="AO1177" s="848"/>
      <c r="AP1177" s="867"/>
      <c r="AQ1177" s="273"/>
      <c r="AR1177" s="847"/>
      <c r="AS1177" s="848"/>
      <c r="AT1177" s="867"/>
      <c r="AU1177" s="273"/>
      <c r="AV1177" s="847"/>
      <c r="AW1177" s="848"/>
      <c r="AX1177" s="867" t="s">
        <v>1047</v>
      </c>
      <c r="AY1177" s="273" t="s">
        <v>1048</v>
      </c>
      <c r="AZ1177" s="847">
        <v>7</v>
      </c>
      <c r="BA1177" s="848" t="s">
        <v>1049</v>
      </c>
      <c r="BB1177" s="866"/>
      <c r="BC1177" s="273"/>
      <c r="BD1177" s="847"/>
      <c r="BE1177" s="848"/>
      <c r="BF1177" s="838"/>
    </row>
    <row r="1178" spans="1:58" s="87" customFormat="1" ht="54" hidden="1" customHeight="1" x14ac:dyDescent="0.25">
      <c r="A1178" s="267" t="s">
        <v>7374</v>
      </c>
      <c r="B1178" s="268">
        <v>280</v>
      </c>
      <c r="C1178" s="240" t="s">
        <v>5290</v>
      </c>
      <c r="D1178" s="270" t="s">
        <v>5291</v>
      </c>
      <c r="E1178" s="298" t="s">
        <v>8231</v>
      </c>
      <c r="F1178" s="861" t="s">
        <v>6097</v>
      </c>
      <c r="G1178" s="269" t="s">
        <v>6098</v>
      </c>
      <c r="H1178" s="845" t="s">
        <v>6099</v>
      </c>
      <c r="I1178" s="269" t="s">
        <v>6100</v>
      </c>
      <c r="J1178" s="296" t="s">
        <v>140</v>
      </c>
      <c r="K1178" s="297" t="s">
        <v>140</v>
      </c>
      <c r="L1178" s="862" t="s">
        <v>6101</v>
      </c>
      <c r="M1178" s="206" t="s">
        <v>193</v>
      </c>
      <c r="N1178" s="211" t="s">
        <v>194</v>
      </c>
      <c r="O1178" s="240" t="s">
        <v>144</v>
      </c>
      <c r="P1178" s="240" t="s">
        <v>144</v>
      </c>
      <c r="Q1178" s="845" t="s">
        <v>8232</v>
      </c>
      <c r="R1178" s="208" t="s">
        <v>8233</v>
      </c>
      <c r="S1178" s="864" t="s">
        <v>147</v>
      </c>
      <c r="T1178" s="212" t="s">
        <v>144</v>
      </c>
      <c r="U1178" s="213" t="s">
        <v>144</v>
      </c>
      <c r="V1178" s="847">
        <v>10</v>
      </c>
      <c r="W1178" s="415" t="s">
        <v>144</v>
      </c>
      <c r="X1178" s="212">
        <v>43</v>
      </c>
      <c r="Y1178" s="212" t="s">
        <v>144</v>
      </c>
      <c r="Z1178" s="212" t="s">
        <v>25</v>
      </c>
      <c r="AA1178" s="240" t="s">
        <v>8234</v>
      </c>
      <c r="AB1178" s="206" t="s">
        <v>140</v>
      </c>
      <c r="AC1178" s="847" t="s">
        <v>265</v>
      </c>
      <c r="AD1178" s="847" t="s">
        <v>144</v>
      </c>
      <c r="AE1178" s="847" t="s">
        <v>144</v>
      </c>
      <c r="AF1178" s="848" t="s">
        <v>144</v>
      </c>
      <c r="AG1178" s="838"/>
      <c r="AH1178" s="866"/>
      <c r="AI1178" s="273"/>
      <c r="AJ1178" s="847"/>
      <c r="AK1178" s="848"/>
      <c r="AL1178" s="867"/>
      <c r="AM1178" s="273"/>
      <c r="AN1178" s="847"/>
      <c r="AO1178" s="848"/>
      <c r="AP1178" s="867"/>
      <c r="AQ1178" s="273"/>
      <c r="AR1178" s="847"/>
      <c r="AS1178" s="848"/>
      <c r="AT1178" s="867"/>
      <c r="AU1178" s="273"/>
      <c r="AV1178" s="847"/>
      <c r="AW1178" s="848"/>
      <c r="AX1178" s="873" t="s">
        <v>8235</v>
      </c>
      <c r="AY1178" s="406" t="s">
        <v>8236</v>
      </c>
      <c r="AZ1178" s="872" t="s">
        <v>1061</v>
      </c>
      <c r="BA1178" s="878" t="s">
        <v>1732</v>
      </c>
      <c r="BB1178" s="866"/>
      <c r="BC1178" s="273"/>
      <c r="BD1178" s="847"/>
      <c r="BE1178" s="848"/>
      <c r="BF1178" s="838"/>
    </row>
    <row r="1179" spans="1:58" s="87" customFormat="1" ht="54" hidden="1" customHeight="1" x14ac:dyDescent="0.25">
      <c r="A1179" s="267" t="s">
        <v>7374</v>
      </c>
      <c r="B1179" s="268">
        <v>281</v>
      </c>
      <c r="C1179" s="240" t="s">
        <v>5290</v>
      </c>
      <c r="D1179" s="270" t="s">
        <v>5291</v>
      </c>
      <c r="E1179" s="298" t="s">
        <v>8237</v>
      </c>
      <c r="F1179" s="861" t="s">
        <v>6108</v>
      </c>
      <c r="G1179" s="269" t="s">
        <v>6109</v>
      </c>
      <c r="H1179" s="861" t="s">
        <v>6110</v>
      </c>
      <c r="I1179" s="269" t="s">
        <v>6111</v>
      </c>
      <c r="J1179" s="296" t="s">
        <v>140</v>
      </c>
      <c r="K1179" s="297" t="s">
        <v>140</v>
      </c>
      <c r="L1179" s="862" t="s">
        <v>6112</v>
      </c>
      <c r="M1179" s="847" t="s">
        <v>973</v>
      </c>
      <c r="N1179" s="211" t="s">
        <v>974</v>
      </c>
      <c r="O1179" s="240" t="s">
        <v>144</v>
      </c>
      <c r="P1179" s="240" t="s">
        <v>144</v>
      </c>
      <c r="Q1179" s="845" t="s">
        <v>144</v>
      </c>
      <c r="R1179" s="208" t="s">
        <v>144</v>
      </c>
      <c r="S1179" s="864" t="s">
        <v>746</v>
      </c>
      <c r="T1179" s="212" t="s">
        <v>5660</v>
      </c>
      <c r="U1179" s="213" t="s">
        <v>5661</v>
      </c>
      <c r="V1179" s="847">
        <v>15</v>
      </c>
      <c r="W1179" s="415" t="s">
        <v>144</v>
      </c>
      <c r="X1179" s="212">
        <v>43</v>
      </c>
      <c r="Y1179" s="212" t="s">
        <v>144</v>
      </c>
      <c r="Z1179" s="214" t="s">
        <v>144</v>
      </c>
      <c r="AA1179" s="240" t="s">
        <v>441</v>
      </c>
      <c r="AB1179" s="206" t="s">
        <v>140</v>
      </c>
      <c r="AC1179" s="847" t="s">
        <v>265</v>
      </c>
      <c r="AD1179" s="847" t="s">
        <v>144</v>
      </c>
      <c r="AE1179" s="847" t="s">
        <v>144</v>
      </c>
      <c r="AF1179" s="848" t="s">
        <v>144</v>
      </c>
      <c r="AG1179" s="838"/>
      <c r="AH1179" s="866" t="s">
        <v>8067</v>
      </c>
      <c r="AI1179" s="273" t="s">
        <v>8068</v>
      </c>
      <c r="AJ1179" s="847">
        <v>6</v>
      </c>
      <c r="AK1179" s="848" t="s">
        <v>8069</v>
      </c>
      <c r="AL1179" s="867"/>
      <c r="AM1179" s="273"/>
      <c r="AN1179" s="847"/>
      <c r="AO1179" s="848"/>
      <c r="AP1179" s="867"/>
      <c r="AQ1179" s="273"/>
      <c r="AR1179" s="847"/>
      <c r="AS1179" s="848"/>
      <c r="AT1179" s="867"/>
      <c r="AU1179" s="273"/>
      <c r="AV1179" s="847"/>
      <c r="AW1179" s="848"/>
      <c r="AX1179" s="867"/>
      <c r="AY1179" s="273"/>
      <c r="AZ1179" s="847"/>
      <c r="BA1179" s="848"/>
      <c r="BB1179" s="866"/>
      <c r="BC1179" s="273"/>
      <c r="BD1179" s="847"/>
      <c r="BE1179" s="848"/>
      <c r="BF1179" s="838"/>
    </row>
    <row r="1180" spans="1:58" s="87" customFormat="1" ht="54" hidden="1" customHeight="1" x14ac:dyDescent="0.25">
      <c r="A1180" s="267" t="s">
        <v>7374</v>
      </c>
      <c r="B1180" s="268">
        <v>282</v>
      </c>
      <c r="C1180" s="240" t="s">
        <v>5290</v>
      </c>
      <c r="D1180" s="270" t="s">
        <v>5291</v>
      </c>
      <c r="E1180" s="298" t="s">
        <v>8238</v>
      </c>
      <c r="F1180" s="861" t="s">
        <v>6114</v>
      </c>
      <c r="G1180" s="269" t="s">
        <v>6115</v>
      </c>
      <c r="H1180" s="845" t="s">
        <v>6116</v>
      </c>
      <c r="I1180" s="353" t="s">
        <v>6117</v>
      </c>
      <c r="J1180" s="354" t="s">
        <v>140</v>
      </c>
      <c r="K1180" s="355" t="s">
        <v>140</v>
      </c>
      <c r="L1180" s="862" t="s">
        <v>6118</v>
      </c>
      <c r="M1180" s="847" t="s">
        <v>973</v>
      </c>
      <c r="N1180" s="211" t="s">
        <v>974</v>
      </c>
      <c r="O1180" s="240" t="s">
        <v>144</v>
      </c>
      <c r="P1180" s="240" t="s">
        <v>144</v>
      </c>
      <c r="Q1180" s="845" t="s">
        <v>144</v>
      </c>
      <c r="R1180" s="208" t="s">
        <v>144</v>
      </c>
      <c r="S1180" s="864" t="s">
        <v>746</v>
      </c>
      <c r="T1180" s="212" t="s">
        <v>1104</v>
      </c>
      <c r="U1180" s="213" t="s">
        <v>1105</v>
      </c>
      <c r="V1180" s="847">
        <v>19</v>
      </c>
      <c r="W1180" s="415" t="s">
        <v>144</v>
      </c>
      <c r="X1180" s="212">
        <v>43</v>
      </c>
      <c r="Y1180" s="212" t="s">
        <v>144</v>
      </c>
      <c r="Z1180" s="214" t="s">
        <v>144</v>
      </c>
      <c r="AA1180" s="240" t="s">
        <v>441</v>
      </c>
      <c r="AB1180" s="206" t="s">
        <v>140</v>
      </c>
      <c r="AC1180" s="847" t="s">
        <v>265</v>
      </c>
      <c r="AD1180" s="847" t="s">
        <v>144</v>
      </c>
      <c r="AE1180" s="847" t="s">
        <v>144</v>
      </c>
      <c r="AF1180" s="848" t="s">
        <v>144</v>
      </c>
      <c r="AG1180" s="838"/>
      <c r="AH1180" s="866" t="s">
        <v>8067</v>
      </c>
      <c r="AI1180" s="273" t="s">
        <v>8068</v>
      </c>
      <c r="AJ1180" s="847">
        <v>6</v>
      </c>
      <c r="AK1180" s="848" t="s">
        <v>8069</v>
      </c>
      <c r="AL1180" s="867"/>
      <c r="AM1180" s="273"/>
      <c r="AN1180" s="847"/>
      <c r="AO1180" s="848"/>
      <c r="AP1180" s="867" t="s">
        <v>6119</v>
      </c>
      <c r="AQ1180" s="273" t="s">
        <v>6120</v>
      </c>
      <c r="AR1180" s="847">
        <v>7</v>
      </c>
      <c r="AS1180" s="848" t="s">
        <v>6121</v>
      </c>
      <c r="AT1180" s="867"/>
      <c r="AU1180" s="273"/>
      <c r="AV1180" s="847"/>
      <c r="AW1180" s="848"/>
      <c r="AX1180" s="867"/>
      <c r="AY1180" s="273"/>
      <c r="AZ1180" s="847"/>
      <c r="BA1180" s="848"/>
      <c r="BB1180" s="866"/>
      <c r="BC1180" s="273"/>
      <c r="BD1180" s="847"/>
      <c r="BE1180" s="848"/>
      <c r="BF1180" s="838"/>
    </row>
    <row r="1181" spans="1:58" s="87" customFormat="1" ht="54" hidden="1" customHeight="1" x14ac:dyDescent="0.25">
      <c r="A1181" s="267" t="s">
        <v>7374</v>
      </c>
      <c r="B1181" s="268">
        <v>283</v>
      </c>
      <c r="C1181" s="240" t="s">
        <v>5290</v>
      </c>
      <c r="D1181" s="270" t="s">
        <v>5291</v>
      </c>
      <c r="E1181" s="298" t="s">
        <v>8239</v>
      </c>
      <c r="F1181" s="861" t="s">
        <v>6123</v>
      </c>
      <c r="G1181" s="269" t="s">
        <v>6124</v>
      </c>
      <c r="H1181" s="845" t="s">
        <v>6125</v>
      </c>
      <c r="I1181" s="269" t="s">
        <v>6124</v>
      </c>
      <c r="J1181" s="296" t="s">
        <v>140</v>
      </c>
      <c r="K1181" s="297" t="s">
        <v>140</v>
      </c>
      <c r="L1181" s="862" t="s">
        <v>6126</v>
      </c>
      <c r="M1181" s="847" t="s">
        <v>973</v>
      </c>
      <c r="N1181" s="211" t="s">
        <v>974</v>
      </c>
      <c r="O1181" s="240" t="s">
        <v>814</v>
      </c>
      <c r="P1181" s="240" t="s">
        <v>815</v>
      </c>
      <c r="Q1181" s="845" t="s">
        <v>144</v>
      </c>
      <c r="R1181" s="208" t="s">
        <v>144</v>
      </c>
      <c r="S1181" s="864" t="s">
        <v>147</v>
      </c>
      <c r="T1181" s="212" t="s">
        <v>144</v>
      </c>
      <c r="U1181" s="213" t="s">
        <v>144</v>
      </c>
      <c r="V1181" s="847">
        <v>3</v>
      </c>
      <c r="W1181" s="415" t="s">
        <v>144</v>
      </c>
      <c r="X1181" s="212">
        <v>43</v>
      </c>
      <c r="Y1181" s="212" t="s">
        <v>144</v>
      </c>
      <c r="Z1181" s="214" t="s">
        <v>144</v>
      </c>
      <c r="AA1181" s="240" t="s">
        <v>441</v>
      </c>
      <c r="AB1181" s="206" t="s">
        <v>140</v>
      </c>
      <c r="AC1181" s="847" t="s">
        <v>265</v>
      </c>
      <c r="AD1181" s="847" t="s">
        <v>144</v>
      </c>
      <c r="AE1181" s="847" t="s">
        <v>144</v>
      </c>
      <c r="AF1181" s="848" t="s">
        <v>144</v>
      </c>
      <c r="AG1181" s="838"/>
      <c r="AH1181" s="866" t="s">
        <v>8240</v>
      </c>
      <c r="AI1181" s="273" t="s">
        <v>8241</v>
      </c>
      <c r="AJ1181" s="847">
        <v>7</v>
      </c>
      <c r="AK1181" s="848" t="s">
        <v>1280</v>
      </c>
      <c r="AL1181" s="875" t="s">
        <v>294</v>
      </c>
      <c r="AM1181" s="301" t="s">
        <v>295</v>
      </c>
      <c r="AN1181" s="847">
        <v>7</v>
      </c>
      <c r="AO1181" s="187" t="s">
        <v>966</v>
      </c>
      <c r="AP1181" s="867"/>
      <c r="AQ1181" s="273"/>
      <c r="AR1181" s="847"/>
      <c r="AS1181" s="848"/>
      <c r="AT1181" s="867"/>
      <c r="AU1181" s="273"/>
      <c r="AV1181" s="847"/>
      <c r="AW1181" s="848"/>
      <c r="AX1181" s="867"/>
      <c r="AY1181" s="273"/>
      <c r="AZ1181" s="847"/>
      <c r="BA1181" s="848"/>
      <c r="BB1181" s="866"/>
      <c r="BC1181" s="273"/>
      <c r="BD1181" s="847"/>
      <c r="BE1181" s="848"/>
      <c r="BF1181" s="838"/>
    </row>
    <row r="1182" spans="1:58" s="87" customFormat="1" ht="54" hidden="1" customHeight="1" x14ac:dyDescent="0.25">
      <c r="A1182" s="267" t="s">
        <v>7374</v>
      </c>
      <c r="B1182" s="268">
        <v>284</v>
      </c>
      <c r="C1182" s="240" t="s">
        <v>5290</v>
      </c>
      <c r="D1182" s="270" t="s">
        <v>5291</v>
      </c>
      <c r="E1182" s="298" t="s">
        <v>8242</v>
      </c>
      <c r="F1182" s="861" t="s">
        <v>6130</v>
      </c>
      <c r="G1182" s="269" t="s">
        <v>6131</v>
      </c>
      <c r="H1182" s="845" t="s">
        <v>6132</v>
      </c>
      <c r="I1182" s="353" t="s">
        <v>6133</v>
      </c>
      <c r="J1182" s="354" t="s">
        <v>140</v>
      </c>
      <c r="K1182" s="355" t="s">
        <v>140</v>
      </c>
      <c r="L1182" s="862" t="s">
        <v>6134</v>
      </c>
      <c r="M1182" s="847" t="s">
        <v>973</v>
      </c>
      <c r="N1182" s="211" t="s">
        <v>974</v>
      </c>
      <c r="O1182" s="240" t="s">
        <v>144</v>
      </c>
      <c r="P1182" s="240" t="s">
        <v>144</v>
      </c>
      <c r="Q1182" s="845" t="s">
        <v>144</v>
      </c>
      <c r="R1182" s="208" t="s">
        <v>144</v>
      </c>
      <c r="S1182" s="864" t="s">
        <v>746</v>
      </c>
      <c r="T1182" s="212" t="s">
        <v>1104</v>
      </c>
      <c r="U1182" s="213" t="s">
        <v>1105</v>
      </c>
      <c r="V1182" s="847">
        <v>19</v>
      </c>
      <c r="W1182" s="415" t="s">
        <v>144</v>
      </c>
      <c r="X1182" s="212">
        <v>43</v>
      </c>
      <c r="Y1182" s="212" t="s">
        <v>144</v>
      </c>
      <c r="Z1182" s="214" t="s">
        <v>144</v>
      </c>
      <c r="AA1182" s="240" t="s">
        <v>441</v>
      </c>
      <c r="AB1182" s="206" t="s">
        <v>140</v>
      </c>
      <c r="AC1182" s="847" t="s">
        <v>265</v>
      </c>
      <c r="AD1182" s="847" t="s">
        <v>144</v>
      </c>
      <c r="AE1182" s="847" t="s">
        <v>144</v>
      </c>
      <c r="AF1182" s="848" t="s">
        <v>144</v>
      </c>
      <c r="AG1182" s="838"/>
      <c r="AH1182" s="866" t="s">
        <v>8067</v>
      </c>
      <c r="AI1182" s="273" t="s">
        <v>8068</v>
      </c>
      <c r="AJ1182" s="847">
        <v>6</v>
      </c>
      <c r="AK1182" s="848" t="s">
        <v>8069</v>
      </c>
      <c r="AL1182" s="867"/>
      <c r="AM1182" s="273"/>
      <c r="AN1182" s="847"/>
      <c r="AO1182" s="848"/>
      <c r="AP1182" s="867" t="s">
        <v>1107</v>
      </c>
      <c r="AQ1182" s="273" t="s">
        <v>1108</v>
      </c>
      <c r="AR1182" s="847">
        <v>7</v>
      </c>
      <c r="AS1182" s="286" t="s">
        <v>1109</v>
      </c>
      <c r="AT1182" s="867"/>
      <c r="AU1182" s="273"/>
      <c r="AV1182" s="847"/>
      <c r="AW1182" s="848"/>
      <c r="AX1182" s="867"/>
      <c r="AY1182" s="273"/>
      <c r="AZ1182" s="847"/>
      <c r="BA1182" s="848"/>
      <c r="BB1182" s="866"/>
      <c r="BC1182" s="273"/>
      <c r="BD1182" s="847"/>
      <c r="BE1182" s="848"/>
      <c r="BF1182" s="838"/>
    </row>
    <row r="1183" spans="1:58" s="87" customFormat="1" ht="54" hidden="1" customHeight="1" x14ac:dyDescent="0.25">
      <c r="A1183" s="267" t="s">
        <v>7374</v>
      </c>
      <c r="B1183" s="268">
        <v>285</v>
      </c>
      <c r="C1183" s="240" t="s">
        <v>5290</v>
      </c>
      <c r="D1183" s="270" t="s">
        <v>5291</v>
      </c>
      <c r="E1183" s="298" t="s">
        <v>8243</v>
      </c>
      <c r="F1183" s="861" t="s">
        <v>6136</v>
      </c>
      <c r="G1183" s="269" t="s">
        <v>6137</v>
      </c>
      <c r="H1183" s="845" t="s">
        <v>8244</v>
      </c>
      <c r="I1183" s="269" t="s">
        <v>6137</v>
      </c>
      <c r="J1183" s="296" t="s">
        <v>140</v>
      </c>
      <c r="K1183" s="297" t="s">
        <v>140</v>
      </c>
      <c r="L1183" s="862" t="s">
        <v>6139</v>
      </c>
      <c r="M1183" s="847" t="s">
        <v>973</v>
      </c>
      <c r="N1183" s="211" t="s">
        <v>974</v>
      </c>
      <c r="O1183" s="240" t="s">
        <v>814</v>
      </c>
      <c r="P1183" s="240" t="s">
        <v>815</v>
      </c>
      <c r="Q1183" s="845" t="s">
        <v>144</v>
      </c>
      <c r="R1183" s="208" t="s">
        <v>144</v>
      </c>
      <c r="S1183" s="864" t="s">
        <v>147</v>
      </c>
      <c r="T1183" s="212" t="s">
        <v>144</v>
      </c>
      <c r="U1183" s="213" t="s">
        <v>144</v>
      </c>
      <c r="V1183" s="847">
        <v>3</v>
      </c>
      <c r="W1183" s="415" t="s">
        <v>144</v>
      </c>
      <c r="X1183" s="212">
        <v>43</v>
      </c>
      <c r="Y1183" s="212" t="s">
        <v>144</v>
      </c>
      <c r="Z1183" s="214" t="s">
        <v>144</v>
      </c>
      <c r="AA1183" s="240" t="s">
        <v>441</v>
      </c>
      <c r="AB1183" s="206" t="s">
        <v>140</v>
      </c>
      <c r="AC1183" s="847" t="s">
        <v>265</v>
      </c>
      <c r="AD1183" s="847" t="s">
        <v>144</v>
      </c>
      <c r="AE1183" s="847" t="s">
        <v>144</v>
      </c>
      <c r="AF1183" s="848" t="s">
        <v>144</v>
      </c>
      <c r="AG1183" s="838"/>
      <c r="AH1183" s="866" t="s">
        <v>8245</v>
      </c>
      <c r="AI1183" s="273" t="s">
        <v>8246</v>
      </c>
      <c r="AJ1183" s="847">
        <v>7</v>
      </c>
      <c r="AK1183" s="848" t="s">
        <v>1280</v>
      </c>
      <c r="AL1183" s="875" t="s">
        <v>294</v>
      </c>
      <c r="AM1183" s="301" t="s">
        <v>295</v>
      </c>
      <c r="AN1183" s="847">
        <v>7</v>
      </c>
      <c r="AO1183" s="187" t="s">
        <v>966</v>
      </c>
      <c r="AP1183" s="867"/>
      <c r="AQ1183" s="273"/>
      <c r="AR1183" s="847"/>
      <c r="AS1183" s="848"/>
      <c r="AT1183" s="867"/>
      <c r="AU1183" s="273"/>
      <c r="AV1183" s="847"/>
      <c r="AW1183" s="848"/>
      <c r="AX1183" s="867"/>
      <c r="AY1183" s="273"/>
      <c r="AZ1183" s="847"/>
      <c r="BA1183" s="848"/>
      <c r="BB1183" s="866"/>
      <c r="BC1183" s="273"/>
      <c r="BD1183" s="847"/>
      <c r="BE1183" s="848"/>
      <c r="BF1183" s="838"/>
    </row>
    <row r="1184" spans="1:58" s="87" customFormat="1" ht="54" hidden="1" customHeight="1" x14ac:dyDescent="0.25">
      <c r="A1184" s="267" t="s">
        <v>7374</v>
      </c>
      <c r="B1184" s="268">
        <v>286</v>
      </c>
      <c r="C1184" s="240" t="s">
        <v>5290</v>
      </c>
      <c r="D1184" s="270" t="s">
        <v>5291</v>
      </c>
      <c r="E1184" s="298" t="s">
        <v>8247</v>
      </c>
      <c r="F1184" s="861" t="s">
        <v>6143</v>
      </c>
      <c r="G1184" s="269" t="s">
        <v>6144</v>
      </c>
      <c r="H1184" s="845" t="s">
        <v>6145</v>
      </c>
      <c r="I1184" s="353" t="s">
        <v>6146</v>
      </c>
      <c r="J1184" s="354" t="s">
        <v>140</v>
      </c>
      <c r="K1184" s="355" t="s">
        <v>140</v>
      </c>
      <c r="L1184" s="862" t="s">
        <v>6147</v>
      </c>
      <c r="M1184" s="847" t="s">
        <v>973</v>
      </c>
      <c r="N1184" s="211" t="s">
        <v>974</v>
      </c>
      <c r="O1184" s="240" t="s">
        <v>144</v>
      </c>
      <c r="P1184" s="240" t="s">
        <v>144</v>
      </c>
      <c r="Q1184" s="845" t="s">
        <v>144</v>
      </c>
      <c r="R1184" s="208" t="s">
        <v>144</v>
      </c>
      <c r="S1184" s="864" t="s">
        <v>746</v>
      </c>
      <c r="T1184" s="212" t="s">
        <v>1104</v>
      </c>
      <c r="U1184" s="213" t="s">
        <v>1105</v>
      </c>
      <c r="V1184" s="847">
        <v>19</v>
      </c>
      <c r="W1184" s="415" t="s">
        <v>144</v>
      </c>
      <c r="X1184" s="212">
        <v>43</v>
      </c>
      <c r="Y1184" s="212" t="s">
        <v>144</v>
      </c>
      <c r="Z1184" s="214" t="s">
        <v>144</v>
      </c>
      <c r="AA1184" s="240" t="s">
        <v>441</v>
      </c>
      <c r="AB1184" s="206" t="s">
        <v>140</v>
      </c>
      <c r="AC1184" s="847" t="s">
        <v>265</v>
      </c>
      <c r="AD1184" s="847" t="s">
        <v>144</v>
      </c>
      <c r="AE1184" s="847" t="s">
        <v>144</v>
      </c>
      <c r="AF1184" s="848" t="s">
        <v>144</v>
      </c>
      <c r="AG1184" s="838"/>
      <c r="AH1184" s="866" t="s">
        <v>8067</v>
      </c>
      <c r="AI1184" s="273" t="s">
        <v>8068</v>
      </c>
      <c r="AJ1184" s="847">
        <v>6</v>
      </c>
      <c r="AK1184" s="848" t="s">
        <v>8069</v>
      </c>
      <c r="AL1184" s="867"/>
      <c r="AM1184" s="273"/>
      <c r="AN1184" s="847"/>
      <c r="AO1184" s="848"/>
      <c r="AP1184" s="867" t="s">
        <v>1107</v>
      </c>
      <c r="AQ1184" s="273" t="s">
        <v>1108</v>
      </c>
      <c r="AR1184" s="847">
        <v>7</v>
      </c>
      <c r="AS1184" s="286" t="s">
        <v>1109</v>
      </c>
      <c r="AT1184" s="867"/>
      <c r="AU1184" s="273"/>
      <c r="AV1184" s="847"/>
      <c r="AW1184" s="848"/>
      <c r="AX1184" s="867"/>
      <c r="AY1184" s="273"/>
      <c r="AZ1184" s="847"/>
      <c r="BA1184" s="848"/>
      <c r="BB1184" s="866"/>
      <c r="BC1184" s="273"/>
      <c r="BD1184" s="847"/>
      <c r="BE1184" s="848"/>
      <c r="BF1184" s="838"/>
    </row>
    <row r="1185" spans="1:58" s="87" customFormat="1" ht="54" hidden="1" customHeight="1" x14ac:dyDescent="0.25">
      <c r="A1185" s="267" t="s">
        <v>7374</v>
      </c>
      <c r="B1185" s="268">
        <v>287</v>
      </c>
      <c r="C1185" s="240" t="s">
        <v>5290</v>
      </c>
      <c r="D1185" s="270" t="s">
        <v>5291</v>
      </c>
      <c r="E1185" s="298" t="s">
        <v>8248</v>
      </c>
      <c r="F1185" s="861" t="s">
        <v>6149</v>
      </c>
      <c r="G1185" s="269" t="s">
        <v>6150</v>
      </c>
      <c r="H1185" s="845" t="s">
        <v>6151</v>
      </c>
      <c r="I1185" s="269" t="s">
        <v>6150</v>
      </c>
      <c r="J1185" s="296" t="s">
        <v>140</v>
      </c>
      <c r="K1185" s="297" t="s">
        <v>140</v>
      </c>
      <c r="L1185" s="862" t="s">
        <v>6152</v>
      </c>
      <c r="M1185" s="206" t="s">
        <v>973</v>
      </c>
      <c r="N1185" s="211" t="s">
        <v>974</v>
      </c>
      <c r="O1185" s="240" t="s">
        <v>814</v>
      </c>
      <c r="P1185" s="240" t="s">
        <v>815</v>
      </c>
      <c r="Q1185" s="845" t="s">
        <v>144</v>
      </c>
      <c r="R1185" s="208" t="s">
        <v>144</v>
      </c>
      <c r="S1185" s="864" t="s">
        <v>147</v>
      </c>
      <c r="T1185" s="212" t="s">
        <v>144</v>
      </c>
      <c r="U1185" s="213" t="s">
        <v>144</v>
      </c>
      <c r="V1185" s="847">
        <v>3</v>
      </c>
      <c r="W1185" s="415" t="s">
        <v>144</v>
      </c>
      <c r="X1185" s="212">
        <v>43</v>
      </c>
      <c r="Y1185" s="212" t="s">
        <v>144</v>
      </c>
      <c r="Z1185" s="214" t="s">
        <v>144</v>
      </c>
      <c r="AA1185" s="240" t="s">
        <v>441</v>
      </c>
      <c r="AB1185" s="206" t="s">
        <v>140</v>
      </c>
      <c r="AC1185" s="847" t="s">
        <v>265</v>
      </c>
      <c r="AD1185" s="847" t="s">
        <v>144</v>
      </c>
      <c r="AE1185" s="847" t="s">
        <v>144</v>
      </c>
      <c r="AF1185" s="848" t="s">
        <v>144</v>
      </c>
      <c r="AG1185" s="838"/>
      <c r="AH1185" s="866" t="s">
        <v>8249</v>
      </c>
      <c r="AI1185" s="273" t="s">
        <v>8250</v>
      </c>
      <c r="AJ1185" s="847">
        <v>7</v>
      </c>
      <c r="AK1185" s="848" t="s">
        <v>1280</v>
      </c>
      <c r="AL1185" s="875" t="s">
        <v>294</v>
      </c>
      <c r="AM1185" s="301" t="s">
        <v>295</v>
      </c>
      <c r="AN1185" s="847">
        <v>7</v>
      </c>
      <c r="AO1185" s="187" t="s">
        <v>966</v>
      </c>
      <c r="AP1185" s="867"/>
      <c r="AQ1185" s="273"/>
      <c r="AR1185" s="847"/>
      <c r="AS1185" s="848"/>
      <c r="AT1185" s="867"/>
      <c r="AU1185" s="273"/>
      <c r="AV1185" s="847"/>
      <c r="AW1185" s="848"/>
      <c r="AX1185" s="867"/>
      <c r="AY1185" s="273"/>
      <c r="AZ1185" s="847"/>
      <c r="BA1185" s="848"/>
      <c r="BB1185" s="866"/>
      <c r="BC1185" s="273"/>
      <c r="BD1185" s="847"/>
      <c r="BE1185" s="848"/>
      <c r="BF1185" s="838"/>
    </row>
    <row r="1186" spans="1:58" s="87" customFormat="1" ht="54" hidden="1" customHeight="1" x14ac:dyDescent="0.25">
      <c r="A1186" s="267" t="s">
        <v>7374</v>
      </c>
      <c r="B1186" s="268">
        <v>288</v>
      </c>
      <c r="C1186" s="240" t="s">
        <v>2135</v>
      </c>
      <c r="D1186" s="211" t="s">
        <v>2136</v>
      </c>
      <c r="E1186" s="268" t="s">
        <v>8251</v>
      </c>
      <c r="F1186" s="861" t="s">
        <v>6156</v>
      </c>
      <c r="G1186" s="269" t="s">
        <v>6157</v>
      </c>
      <c r="H1186" s="861" t="s">
        <v>6158</v>
      </c>
      <c r="I1186" s="269" t="s">
        <v>6159</v>
      </c>
      <c r="J1186" s="296" t="s">
        <v>140</v>
      </c>
      <c r="K1186" s="297" t="s">
        <v>140</v>
      </c>
      <c r="L1186" s="862" t="s">
        <v>6160</v>
      </c>
      <c r="M1186" s="206" t="s">
        <v>142</v>
      </c>
      <c r="N1186" s="211" t="s">
        <v>143</v>
      </c>
      <c r="O1186" s="240" t="s">
        <v>814</v>
      </c>
      <c r="P1186" s="240" t="s">
        <v>815</v>
      </c>
      <c r="Q1186" s="845" t="s">
        <v>144</v>
      </c>
      <c r="R1186" s="208" t="s">
        <v>144</v>
      </c>
      <c r="S1186" s="864" t="s">
        <v>147</v>
      </c>
      <c r="T1186" s="212" t="s">
        <v>144</v>
      </c>
      <c r="U1186" s="213" t="s">
        <v>144</v>
      </c>
      <c r="V1186" s="847">
        <v>3</v>
      </c>
      <c r="W1186" s="415" t="s">
        <v>144</v>
      </c>
      <c r="X1186" s="212">
        <v>43</v>
      </c>
      <c r="Y1186" s="212" t="s">
        <v>144</v>
      </c>
      <c r="Z1186" s="214" t="s">
        <v>144</v>
      </c>
      <c r="AA1186" s="240" t="s">
        <v>148</v>
      </c>
      <c r="AB1186" s="206" t="s">
        <v>140</v>
      </c>
      <c r="AC1186" s="847" t="s">
        <v>265</v>
      </c>
      <c r="AD1186" s="847" t="s">
        <v>144</v>
      </c>
      <c r="AE1186" s="847" t="s">
        <v>144</v>
      </c>
      <c r="AF1186" s="848" t="s">
        <v>144</v>
      </c>
      <c r="AG1186" s="838"/>
      <c r="AH1186" s="866" t="s">
        <v>266</v>
      </c>
      <c r="AI1186" s="273" t="s">
        <v>267</v>
      </c>
      <c r="AJ1186" s="847">
        <v>7</v>
      </c>
      <c r="AK1186" s="848" t="s">
        <v>1046</v>
      </c>
      <c r="AL1186" s="875" t="s">
        <v>294</v>
      </c>
      <c r="AM1186" s="301" t="s">
        <v>295</v>
      </c>
      <c r="AN1186" s="847">
        <v>7</v>
      </c>
      <c r="AO1186" s="187" t="s">
        <v>966</v>
      </c>
      <c r="AP1186" s="867"/>
      <c r="AQ1186" s="273"/>
      <c r="AR1186" s="847"/>
      <c r="AS1186" s="848"/>
      <c r="AT1186" s="867"/>
      <c r="AU1186" s="273"/>
      <c r="AV1186" s="847"/>
      <c r="AW1186" s="848"/>
      <c r="AX1186" s="867"/>
      <c r="AY1186" s="273"/>
      <c r="AZ1186" s="847"/>
      <c r="BA1186" s="848"/>
      <c r="BB1186" s="866"/>
      <c r="BC1186" s="273"/>
      <c r="BD1186" s="847"/>
      <c r="BE1186" s="848"/>
      <c r="BF1186" s="838"/>
    </row>
    <row r="1187" spans="1:58" s="55" customFormat="1" ht="54" hidden="1" customHeight="1" x14ac:dyDescent="0.25">
      <c r="A1187" s="275" t="s">
        <v>7374</v>
      </c>
      <c r="B1187" s="276">
        <v>289</v>
      </c>
      <c r="C1187" s="253" t="s">
        <v>2135</v>
      </c>
      <c r="D1187" s="217" t="s">
        <v>2136</v>
      </c>
      <c r="E1187" s="276" t="s">
        <v>8252</v>
      </c>
      <c r="F1187" s="277" t="s">
        <v>8253</v>
      </c>
      <c r="G1187" s="277" t="s">
        <v>8254</v>
      </c>
      <c r="H1187" s="218" t="s">
        <v>8255</v>
      </c>
      <c r="I1187" s="277" t="s">
        <v>8256</v>
      </c>
      <c r="J1187" s="302" t="s">
        <v>144</v>
      </c>
      <c r="K1187" s="302" t="s">
        <v>144</v>
      </c>
      <c r="L1187" s="718" t="s">
        <v>6166</v>
      </c>
      <c r="M1187" s="217" t="s">
        <v>144</v>
      </c>
      <c r="N1187" s="217" t="s">
        <v>144</v>
      </c>
      <c r="O1187" s="253" t="s">
        <v>6167</v>
      </c>
      <c r="P1187" s="253" t="s">
        <v>6168</v>
      </c>
      <c r="Q1187" s="220" t="s">
        <v>338</v>
      </c>
      <c r="R1187" s="220" t="s">
        <v>339</v>
      </c>
      <c r="S1187" s="276" t="s">
        <v>147</v>
      </c>
      <c r="T1187" s="221" t="s">
        <v>144</v>
      </c>
      <c r="U1187" s="221" t="s">
        <v>144</v>
      </c>
      <c r="V1187" s="253">
        <v>12</v>
      </c>
      <c r="W1187" s="217" t="s">
        <v>144</v>
      </c>
      <c r="X1187" s="221">
        <v>43</v>
      </c>
      <c r="Y1187" s="221">
        <v>43</v>
      </c>
      <c r="Z1187" s="222" t="s">
        <v>144</v>
      </c>
      <c r="AA1187" s="253" t="s">
        <v>2512</v>
      </c>
      <c r="AB1187" s="217" t="s">
        <v>144</v>
      </c>
      <c r="AC1187" s="253" t="s">
        <v>265</v>
      </c>
      <c r="AD1187" s="253" t="s">
        <v>144</v>
      </c>
      <c r="AE1187" s="253" t="s">
        <v>144</v>
      </c>
      <c r="AF1187" s="254" t="s">
        <v>144</v>
      </c>
      <c r="AG1187" s="838"/>
      <c r="AH1187" s="280"/>
      <c r="AI1187" s="281"/>
      <c r="AJ1187" s="253"/>
      <c r="AK1187" s="254"/>
      <c r="AL1187" s="281"/>
      <c r="AM1187" s="281"/>
      <c r="AN1187" s="253"/>
      <c r="AO1187" s="254"/>
      <c r="AP1187" s="281"/>
      <c r="AQ1187" s="281"/>
      <c r="AR1187" s="253"/>
      <c r="AS1187" s="254"/>
      <c r="AT1187" s="281"/>
      <c r="AU1187" s="281"/>
      <c r="AV1187" s="253"/>
      <c r="AW1187" s="254"/>
      <c r="AX1187" s="281"/>
      <c r="AY1187" s="281"/>
      <c r="AZ1187" s="253"/>
      <c r="BA1187" s="254"/>
      <c r="BB1187" s="280"/>
      <c r="BC1187" s="281"/>
      <c r="BD1187" s="253"/>
      <c r="BE1187" s="254"/>
      <c r="BF1187" s="838"/>
    </row>
    <row r="1188" spans="1:58" s="55" customFormat="1" ht="54" hidden="1" customHeight="1" x14ac:dyDescent="0.25">
      <c r="A1188" s="275" t="s">
        <v>7374</v>
      </c>
      <c r="B1188" s="276">
        <v>290</v>
      </c>
      <c r="C1188" s="253" t="s">
        <v>144</v>
      </c>
      <c r="D1188" s="217" t="s">
        <v>144</v>
      </c>
      <c r="E1188" s="276" t="s">
        <v>8257</v>
      </c>
      <c r="F1188" s="277" t="s">
        <v>8258</v>
      </c>
      <c r="G1188" s="277" t="s">
        <v>8259</v>
      </c>
      <c r="H1188" s="277" t="s">
        <v>8260</v>
      </c>
      <c r="I1188" s="277" t="s">
        <v>8261</v>
      </c>
      <c r="J1188" s="302" t="s">
        <v>144</v>
      </c>
      <c r="K1188" s="302" t="s">
        <v>144</v>
      </c>
      <c r="L1188" s="718" t="s">
        <v>6178</v>
      </c>
      <c r="M1188" s="217" t="s">
        <v>144</v>
      </c>
      <c r="N1188" s="217" t="s">
        <v>144</v>
      </c>
      <c r="O1188" s="253" t="s">
        <v>144</v>
      </c>
      <c r="P1188" s="253" t="s">
        <v>144</v>
      </c>
      <c r="Q1188" s="220" t="s">
        <v>338</v>
      </c>
      <c r="R1188" s="220" t="s">
        <v>339</v>
      </c>
      <c r="S1188" s="276" t="s">
        <v>746</v>
      </c>
      <c r="T1188" s="221" t="s">
        <v>1104</v>
      </c>
      <c r="U1188" s="221" t="s">
        <v>1105</v>
      </c>
      <c r="V1188" s="253">
        <v>19</v>
      </c>
      <c r="W1188" s="217" t="s">
        <v>144</v>
      </c>
      <c r="X1188" s="221">
        <v>43</v>
      </c>
      <c r="Y1188" s="221">
        <v>43</v>
      </c>
      <c r="Z1188" s="222" t="s">
        <v>144</v>
      </c>
      <c r="AA1188" s="253" t="s">
        <v>144</v>
      </c>
      <c r="AB1188" s="217" t="s">
        <v>144</v>
      </c>
      <c r="AC1188" s="253" t="s">
        <v>265</v>
      </c>
      <c r="AD1188" s="253" t="s">
        <v>144</v>
      </c>
      <c r="AE1188" s="253" t="s">
        <v>144</v>
      </c>
      <c r="AF1188" s="254" t="s">
        <v>144</v>
      </c>
      <c r="AG1188" s="838"/>
      <c r="AH1188" s="280"/>
      <c r="AI1188" s="281"/>
      <c r="AJ1188" s="253"/>
      <c r="AK1188" s="254"/>
      <c r="AL1188" s="281"/>
      <c r="AM1188" s="281"/>
      <c r="AN1188" s="253"/>
      <c r="AO1188" s="254"/>
      <c r="AP1188" s="281"/>
      <c r="AQ1188" s="281"/>
      <c r="AR1188" s="253"/>
      <c r="AS1188" s="254"/>
      <c r="AT1188" s="281"/>
      <c r="AU1188" s="281"/>
      <c r="AV1188" s="253"/>
      <c r="AW1188" s="254"/>
      <c r="AX1188" s="281"/>
      <c r="AY1188" s="281"/>
      <c r="AZ1188" s="253"/>
      <c r="BA1188" s="254"/>
      <c r="BB1188" s="280"/>
      <c r="BC1188" s="281"/>
      <c r="BD1188" s="253"/>
      <c r="BE1188" s="254"/>
      <c r="BF1188" s="838"/>
    </row>
    <row r="1189" spans="1:58" s="87" customFormat="1" ht="54" hidden="1" customHeight="1" x14ac:dyDescent="0.25">
      <c r="A1189" s="267" t="s">
        <v>7374</v>
      </c>
      <c r="B1189" s="268">
        <v>291</v>
      </c>
      <c r="C1189" s="240" t="s">
        <v>2135</v>
      </c>
      <c r="D1189" s="211" t="s">
        <v>2136</v>
      </c>
      <c r="E1189" s="268" t="s">
        <v>8262</v>
      </c>
      <c r="F1189" s="861" t="s">
        <v>6184</v>
      </c>
      <c r="G1189" s="269" t="s">
        <v>6185</v>
      </c>
      <c r="H1189" s="207" t="s">
        <v>8263</v>
      </c>
      <c r="I1189" s="269" t="s">
        <v>8264</v>
      </c>
      <c r="J1189" s="296" t="s">
        <v>140</v>
      </c>
      <c r="K1189" s="297" t="s">
        <v>140</v>
      </c>
      <c r="L1189" s="862" t="s">
        <v>6188</v>
      </c>
      <c r="M1189" s="206" t="s">
        <v>142</v>
      </c>
      <c r="N1189" s="211" t="s">
        <v>143</v>
      </c>
      <c r="O1189" s="240" t="s">
        <v>6167</v>
      </c>
      <c r="P1189" s="240" t="s">
        <v>6168</v>
      </c>
      <c r="Q1189" s="845" t="s">
        <v>144</v>
      </c>
      <c r="R1189" s="208" t="s">
        <v>144</v>
      </c>
      <c r="S1189" s="864" t="s">
        <v>147</v>
      </c>
      <c r="T1189" s="212" t="s">
        <v>144</v>
      </c>
      <c r="U1189" s="213" t="s">
        <v>144</v>
      </c>
      <c r="V1189" s="847">
        <v>12</v>
      </c>
      <c r="W1189" s="415" t="s">
        <v>144</v>
      </c>
      <c r="X1189" s="212">
        <v>43</v>
      </c>
      <c r="Y1189" s="212" t="s">
        <v>144</v>
      </c>
      <c r="Z1189" s="214" t="s">
        <v>144</v>
      </c>
      <c r="AA1189" s="240" t="s">
        <v>148</v>
      </c>
      <c r="AB1189" s="206" t="s">
        <v>140</v>
      </c>
      <c r="AC1189" s="847" t="s">
        <v>265</v>
      </c>
      <c r="AD1189" s="847" t="s">
        <v>144</v>
      </c>
      <c r="AE1189" s="847" t="s">
        <v>144</v>
      </c>
      <c r="AF1189" s="848" t="s">
        <v>144</v>
      </c>
      <c r="AG1189" s="838"/>
      <c r="AH1189" s="866" t="s">
        <v>266</v>
      </c>
      <c r="AI1189" s="273" t="s">
        <v>267</v>
      </c>
      <c r="AJ1189" s="847">
        <v>7</v>
      </c>
      <c r="AK1189" s="848" t="s">
        <v>1046</v>
      </c>
      <c r="AL1189" s="875" t="s">
        <v>294</v>
      </c>
      <c r="AM1189" s="301" t="s">
        <v>295</v>
      </c>
      <c r="AN1189" s="847">
        <v>7</v>
      </c>
      <c r="AO1189" s="187" t="s">
        <v>966</v>
      </c>
      <c r="AP1189" s="867"/>
      <c r="AQ1189" s="273"/>
      <c r="AR1189" s="847"/>
      <c r="AS1189" s="848"/>
      <c r="AT1189" s="867"/>
      <c r="AU1189" s="273"/>
      <c r="AV1189" s="847"/>
      <c r="AW1189" s="848"/>
      <c r="AX1189" s="867"/>
      <c r="AY1189" s="273"/>
      <c r="AZ1189" s="847"/>
      <c r="BA1189" s="848"/>
      <c r="BB1189" s="866"/>
      <c r="BC1189" s="273"/>
      <c r="BD1189" s="847"/>
      <c r="BE1189" s="848"/>
      <c r="BF1189" s="838"/>
    </row>
    <row r="1190" spans="1:58" s="87" customFormat="1" ht="54" hidden="1" customHeight="1" x14ac:dyDescent="0.25">
      <c r="A1190" s="267" t="s">
        <v>7374</v>
      </c>
      <c r="B1190" s="268">
        <v>292</v>
      </c>
      <c r="C1190" s="240" t="s">
        <v>2135</v>
      </c>
      <c r="D1190" s="211" t="s">
        <v>2136</v>
      </c>
      <c r="E1190" s="268" t="s">
        <v>8265</v>
      </c>
      <c r="F1190" s="861" t="s">
        <v>6192</v>
      </c>
      <c r="G1190" s="269" t="s">
        <v>6193</v>
      </c>
      <c r="H1190" s="861" t="s">
        <v>6194</v>
      </c>
      <c r="I1190" s="269" t="s">
        <v>6195</v>
      </c>
      <c r="J1190" s="296" t="s">
        <v>140</v>
      </c>
      <c r="K1190" s="297" t="s">
        <v>140</v>
      </c>
      <c r="L1190" s="862" t="s">
        <v>6196</v>
      </c>
      <c r="M1190" s="206" t="s">
        <v>973</v>
      </c>
      <c r="N1190" s="211" t="s">
        <v>974</v>
      </c>
      <c r="O1190" s="240" t="s">
        <v>144</v>
      </c>
      <c r="P1190" s="240" t="s">
        <v>144</v>
      </c>
      <c r="Q1190" s="845" t="s">
        <v>144</v>
      </c>
      <c r="R1190" s="208" t="s">
        <v>144</v>
      </c>
      <c r="S1190" s="864" t="s">
        <v>746</v>
      </c>
      <c r="T1190" s="212" t="s">
        <v>1104</v>
      </c>
      <c r="U1190" s="213" t="s">
        <v>1105</v>
      </c>
      <c r="V1190" s="847">
        <v>19</v>
      </c>
      <c r="W1190" s="415" t="s">
        <v>144</v>
      </c>
      <c r="X1190" s="212">
        <v>43</v>
      </c>
      <c r="Y1190" s="212" t="s">
        <v>144</v>
      </c>
      <c r="Z1190" s="214" t="s">
        <v>144</v>
      </c>
      <c r="AA1190" s="240" t="s">
        <v>148</v>
      </c>
      <c r="AB1190" s="206" t="s">
        <v>140</v>
      </c>
      <c r="AC1190" s="847" t="s">
        <v>265</v>
      </c>
      <c r="AD1190" s="847" t="s">
        <v>144</v>
      </c>
      <c r="AE1190" s="847" t="s">
        <v>144</v>
      </c>
      <c r="AF1190" s="848" t="s">
        <v>144</v>
      </c>
      <c r="AG1190" s="838"/>
      <c r="AH1190" s="866" t="s">
        <v>8266</v>
      </c>
      <c r="AI1190" s="273" t="s">
        <v>8267</v>
      </c>
      <c r="AJ1190" s="847">
        <v>7</v>
      </c>
      <c r="AK1190" s="286" t="s">
        <v>8268</v>
      </c>
      <c r="AL1190" s="867"/>
      <c r="AM1190" s="273"/>
      <c r="AN1190" s="847"/>
      <c r="AO1190" s="848"/>
      <c r="AP1190" s="867"/>
      <c r="AQ1190" s="273"/>
      <c r="AR1190" s="847"/>
      <c r="AS1190" s="848"/>
      <c r="AT1190" s="867"/>
      <c r="AU1190" s="273"/>
      <c r="AV1190" s="847"/>
      <c r="AW1190" s="848"/>
      <c r="AX1190" s="867"/>
      <c r="AY1190" s="273"/>
      <c r="AZ1190" s="847"/>
      <c r="BA1190" s="848"/>
      <c r="BB1190" s="866"/>
      <c r="BC1190" s="273"/>
      <c r="BD1190" s="847"/>
      <c r="BE1190" s="848"/>
      <c r="BF1190" s="838"/>
    </row>
    <row r="1191" spans="1:58" s="55" customFormat="1" ht="54" hidden="1" customHeight="1" x14ac:dyDescent="0.25">
      <c r="A1191" s="275" t="s">
        <v>7374</v>
      </c>
      <c r="B1191" s="276">
        <v>293</v>
      </c>
      <c r="C1191" s="253" t="s">
        <v>2135</v>
      </c>
      <c r="D1191" s="217" t="s">
        <v>2136</v>
      </c>
      <c r="E1191" s="276" t="s">
        <v>8269</v>
      </c>
      <c r="F1191" s="277" t="s">
        <v>8270</v>
      </c>
      <c r="G1191" s="277" t="s">
        <v>8271</v>
      </c>
      <c r="H1191" s="277" t="s">
        <v>8272</v>
      </c>
      <c r="I1191" s="277" t="s">
        <v>8273</v>
      </c>
      <c r="J1191" s="302" t="s">
        <v>144</v>
      </c>
      <c r="K1191" s="302" t="s">
        <v>144</v>
      </c>
      <c r="L1191" s="718" t="s">
        <v>6205</v>
      </c>
      <c r="M1191" s="217" t="s">
        <v>144</v>
      </c>
      <c r="N1191" s="217" t="s">
        <v>144</v>
      </c>
      <c r="O1191" s="253" t="s">
        <v>6167</v>
      </c>
      <c r="P1191" s="253" t="s">
        <v>6168</v>
      </c>
      <c r="Q1191" s="220" t="s">
        <v>338</v>
      </c>
      <c r="R1191" s="220" t="s">
        <v>339</v>
      </c>
      <c r="S1191" s="276" t="s">
        <v>147</v>
      </c>
      <c r="T1191" s="221" t="s">
        <v>144</v>
      </c>
      <c r="U1191" s="221" t="s">
        <v>144</v>
      </c>
      <c r="V1191" s="253">
        <v>12</v>
      </c>
      <c r="W1191" s="217" t="s">
        <v>144</v>
      </c>
      <c r="X1191" s="221">
        <v>43</v>
      </c>
      <c r="Y1191" s="221">
        <v>43</v>
      </c>
      <c r="Z1191" s="222" t="s">
        <v>144</v>
      </c>
      <c r="AA1191" s="217" t="s">
        <v>144</v>
      </c>
      <c r="AB1191" s="217" t="s">
        <v>144</v>
      </c>
      <c r="AC1191" s="253" t="s">
        <v>265</v>
      </c>
      <c r="AD1191" s="253" t="s">
        <v>144</v>
      </c>
      <c r="AE1191" s="253" t="s">
        <v>144</v>
      </c>
      <c r="AF1191" s="254" t="s">
        <v>144</v>
      </c>
      <c r="AG1191" s="838"/>
      <c r="AH1191" s="280"/>
      <c r="AI1191" s="281"/>
      <c r="AJ1191" s="253"/>
      <c r="AK1191" s="254"/>
      <c r="AL1191" s="281"/>
      <c r="AM1191" s="281"/>
      <c r="AN1191" s="253"/>
      <c r="AO1191" s="254"/>
      <c r="AP1191" s="281"/>
      <c r="AQ1191" s="281"/>
      <c r="AR1191" s="253"/>
      <c r="AS1191" s="254"/>
      <c r="AT1191" s="281"/>
      <c r="AU1191" s="281"/>
      <c r="AV1191" s="253"/>
      <c r="AW1191" s="254"/>
      <c r="AX1191" s="281"/>
      <c r="AY1191" s="281"/>
      <c r="AZ1191" s="253"/>
      <c r="BA1191" s="254"/>
      <c r="BB1191" s="280"/>
      <c r="BC1191" s="281"/>
      <c r="BD1191" s="253"/>
      <c r="BE1191" s="254"/>
      <c r="BF1191" s="838"/>
    </row>
    <row r="1192" spans="1:58" s="55" customFormat="1" ht="54" hidden="1" customHeight="1" x14ac:dyDescent="0.25">
      <c r="A1192" s="275" t="s">
        <v>7374</v>
      </c>
      <c r="B1192" s="276">
        <v>294</v>
      </c>
      <c r="C1192" s="253" t="s">
        <v>144</v>
      </c>
      <c r="D1192" s="217" t="s">
        <v>144</v>
      </c>
      <c r="E1192" s="276" t="s">
        <v>8274</v>
      </c>
      <c r="F1192" s="277" t="s">
        <v>6210</v>
      </c>
      <c r="G1192" s="277" t="s">
        <v>6211</v>
      </c>
      <c r="H1192" s="277" t="s">
        <v>8275</v>
      </c>
      <c r="I1192" s="277" t="s">
        <v>8276</v>
      </c>
      <c r="J1192" s="302" t="s">
        <v>144</v>
      </c>
      <c r="K1192" s="302" t="s">
        <v>144</v>
      </c>
      <c r="L1192" s="718" t="s">
        <v>6214</v>
      </c>
      <c r="M1192" s="217" t="s">
        <v>144</v>
      </c>
      <c r="N1192" s="217" t="s">
        <v>144</v>
      </c>
      <c r="O1192" s="253" t="s">
        <v>144</v>
      </c>
      <c r="P1192" s="253" t="s">
        <v>144</v>
      </c>
      <c r="Q1192" s="220" t="s">
        <v>338</v>
      </c>
      <c r="R1192" s="220" t="s">
        <v>339</v>
      </c>
      <c r="S1192" s="276" t="s">
        <v>746</v>
      </c>
      <c r="T1192" s="221" t="s">
        <v>1104</v>
      </c>
      <c r="U1192" s="221" t="s">
        <v>1105</v>
      </c>
      <c r="V1192" s="253">
        <v>19</v>
      </c>
      <c r="W1192" s="217" t="s">
        <v>144</v>
      </c>
      <c r="X1192" s="221">
        <v>43</v>
      </c>
      <c r="Y1192" s="221">
        <v>43</v>
      </c>
      <c r="Z1192" s="222" t="s">
        <v>144</v>
      </c>
      <c r="AA1192" s="217" t="s">
        <v>144</v>
      </c>
      <c r="AB1192" s="217" t="s">
        <v>144</v>
      </c>
      <c r="AC1192" s="253" t="s">
        <v>265</v>
      </c>
      <c r="AD1192" s="253" t="s">
        <v>144</v>
      </c>
      <c r="AE1192" s="253" t="s">
        <v>144</v>
      </c>
      <c r="AF1192" s="254" t="s">
        <v>144</v>
      </c>
      <c r="AG1192" s="838"/>
      <c r="AH1192" s="280"/>
      <c r="AI1192" s="281"/>
      <c r="AJ1192" s="253"/>
      <c r="AK1192" s="254"/>
      <c r="AL1192" s="281"/>
      <c r="AM1192" s="281"/>
      <c r="AN1192" s="253"/>
      <c r="AO1192" s="254"/>
      <c r="AP1192" s="281"/>
      <c r="AQ1192" s="281"/>
      <c r="AR1192" s="253"/>
      <c r="AS1192" s="254"/>
      <c r="AT1192" s="281"/>
      <c r="AU1192" s="281"/>
      <c r="AV1192" s="253"/>
      <c r="AW1192" s="254"/>
      <c r="AX1192" s="281"/>
      <c r="AY1192" s="281"/>
      <c r="AZ1192" s="253"/>
      <c r="BA1192" s="254"/>
      <c r="BB1192" s="280"/>
      <c r="BC1192" s="281"/>
      <c r="BD1192" s="253"/>
      <c r="BE1192" s="254"/>
      <c r="BF1192" s="838"/>
    </row>
    <row r="1193" spans="1:58" s="55" customFormat="1" ht="54" hidden="1" customHeight="1" x14ac:dyDescent="0.25">
      <c r="A1193" s="275" t="s">
        <v>7374</v>
      </c>
      <c r="B1193" s="276">
        <v>295</v>
      </c>
      <c r="C1193" s="253" t="s">
        <v>2135</v>
      </c>
      <c r="D1193" s="217" t="s">
        <v>2136</v>
      </c>
      <c r="E1193" s="276" t="s">
        <v>8277</v>
      </c>
      <c r="F1193" s="277" t="s">
        <v>8278</v>
      </c>
      <c r="G1193" s="277" t="s">
        <v>8279</v>
      </c>
      <c r="H1193" s="277" t="s">
        <v>8280</v>
      </c>
      <c r="I1193" s="277" t="s">
        <v>8281</v>
      </c>
      <c r="J1193" s="302" t="s">
        <v>144</v>
      </c>
      <c r="K1193" s="302" t="s">
        <v>144</v>
      </c>
      <c r="L1193" s="718" t="s">
        <v>6223</v>
      </c>
      <c r="M1193" s="217" t="s">
        <v>144</v>
      </c>
      <c r="N1193" s="217" t="s">
        <v>144</v>
      </c>
      <c r="O1193" s="253" t="s">
        <v>6167</v>
      </c>
      <c r="P1193" s="253" t="s">
        <v>6168</v>
      </c>
      <c r="Q1193" s="220" t="s">
        <v>338</v>
      </c>
      <c r="R1193" s="220" t="s">
        <v>339</v>
      </c>
      <c r="S1193" s="276" t="s">
        <v>147</v>
      </c>
      <c r="T1193" s="221" t="s">
        <v>144</v>
      </c>
      <c r="U1193" s="221" t="s">
        <v>144</v>
      </c>
      <c r="V1193" s="253">
        <v>12</v>
      </c>
      <c r="W1193" s="217" t="s">
        <v>144</v>
      </c>
      <c r="X1193" s="221">
        <v>43</v>
      </c>
      <c r="Y1193" s="221">
        <v>43</v>
      </c>
      <c r="Z1193" s="222" t="s">
        <v>144</v>
      </c>
      <c r="AA1193" s="217" t="s">
        <v>144</v>
      </c>
      <c r="AB1193" s="217" t="s">
        <v>144</v>
      </c>
      <c r="AC1193" s="253" t="s">
        <v>265</v>
      </c>
      <c r="AD1193" s="253" t="s">
        <v>144</v>
      </c>
      <c r="AE1193" s="253" t="s">
        <v>144</v>
      </c>
      <c r="AF1193" s="254" t="s">
        <v>144</v>
      </c>
      <c r="AG1193" s="838"/>
      <c r="AH1193" s="280"/>
      <c r="AI1193" s="281"/>
      <c r="AJ1193" s="253"/>
      <c r="AK1193" s="254"/>
      <c r="AL1193" s="281"/>
      <c r="AM1193" s="281"/>
      <c r="AN1193" s="253"/>
      <c r="AO1193" s="254"/>
      <c r="AP1193" s="281"/>
      <c r="AQ1193" s="281"/>
      <c r="AR1193" s="253"/>
      <c r="AS1193" s="254"/>
      <c r="AT1193" s="281"/>
      <c r="AU1193" s="281"/>
      <c r="AV1193" s="253"/>
      <c r="AW1193" s="254"/>
      <c r="AX1193" s="281"/>
      <c r="AY1193" s="281"/>
      <c r="AZ1193" s="253"/>
      <c r="BA1193" s="254"/>
      <c r="BB1193" s="280"/>
      <c r="BC1193" s="281"/>
      <c r="BD1193" s="253"/>
      <c r="BE1193" s="254"/>
      <c r="BF1193" s="838"/>
    </row>
    <row r="1194" spans="1:58" s="55" customFormat="1" ht="54" hidden="1" customHeight="1" x14ac:dyDescent="0.25">
      <c r="A1194" s="275" t="s">
        <v>7374</v>
      </c>
      <c r="B1194" s="276">
        <v>296</v>
      </c>
      <c r="C1194" s="253" t="s">
        <v>144</v>
      </c>
      <c r="D1194" s="217" t="s">
        <v>144</v>
      </c>
      <c r="E1194" s="276" t="s">
        <v>8282</v>
      </c>
      <c r="F1194" s="277" t="s">
        <v>8283</v>
      </c>
      <c r="G1194" s="277" t="s">
        <v>8284</v>
      </c>
      <c r="H1194" s="277" t="s">
        <v>8285</v>
      </c>
      <c r="I1194" s="277" t="s">
        <v>8286</v>
      </c>
      <c r="J1194" s="302" t="s">
        <v>144</v>
      </c>
      <c r="K1194" s="302" t="s">
        <v>144</v>
      </c>
      <c r="L1194" s="718" t="s">
        <v>8287</v>
      </c>
      <c r="M1194" s="217" t="s">
        <v>144</v>
      </c>
      <c r="N1194" s="217" t="s">
        <v>144</v>
      </c>
      <c r="O1194" s="253" t="s">
        <v>144</v>
      </c>
      <c r="P1194" s="253" t="s">
        <v>144</v>
      </c>
      <c r="Q1194" s="220" t="s">
        <v>338</v>
      </c>
      <c r="R1194" s="220" t="s">
        <v>339</v>
      </c>
      <c r="S1194" s="276" t="s">
        <v>746</v>
      </c>
      <c r="T1194" s="221" t="s">
        <v>1104</v>
      </c>
      <c r="U1194" s="221" t="s">
        <v>1105</v>
      </c>
      <c r="V1194" s="253">
        <v>19</v>
      </c>
      <c r="W1194" s="217" t="s">
        <v>144</v>
      </c>
      <c r="X1194" s="221">
        <v>43</v>
      </c>
      <c r="Y1194" s="221">
        <v>43</v>
      </c>
      <c r="Z1194" s="222" t="s">
        <v>144</v>
      </c>
      <c r="AA1194" s="217" t="s">
        <v>144</v>
      </c>
      <c r="AB1194" s="217" t="s">
        <v>144</v>
      </c>
      <c r="AC1194" s="253" t="s">
        <v>265</v>
      </c>
      <c r="AD1194" s="253" t="s">
        <v>144</v>
      </c>
      <c r="AE1194" s="253" t="s">
        <v>144</v>
      </c>
      <c r="AF1194" s="254" t="s">
        <v>144</v>
      </c>
      <c r="AG1194" s="838"/>
      <c r="AH1194" s="280"/>
      <c r="AI1194" s="281"/>
      <c r="AJ1194" s="253"/>
      <c r="AK1194" s="254"/>
      <c r="AL1194" s="281"/>
      <c r="AM1194" s="281"/>
      <c r="AN1194" s="253"/>
      <c r="AO1194" s="254"/>
      <c r="AP1194" s="281"/>
      <c r="AQ1194" s="281"/>
      <c r="AR1194" s="253"/>
      <c r="AS1194" s="254"/>
      <c r="AT1194" s="281"/>
      <c r="AU1194" s="281"/>
      <c r="AV1194" s="253"/>
      <c r="AW1194" s="254"/>
      <c r="AX1194" s="281"/>
      <c r="AY1194" s="281"/>
      <c r="AZ1194" s="253"/>
      <c r="BA1194" s="254"/>
      <c r="BB1194" s="280"/>
      <c r="BC1194" s="281"/>
      <c r="BD1194" s="253"/>
      <c r="BE1194" s="254"/>
      <c r="BF1194" s="838"/>
    </row>
    <row r="1195" spans="1:58" s="55" customFormat="1" ht="54" hidden="1" customHeight="1" x14ac:dyDescent="0.25">
      <c r="A1195" s="275" t="s">
        <v>7374</v>
      </c>
      <c r="B1195" s="276">
        <v>297</v>
      </c>
      <c r="C1195" s="253" t="s">
        <v>2135</v>
      </c>
      <c r="D1195" s="217" t="s">
        <v>2136</v>
      </c>
      <c r="E1195" s="276" t="s">
        <v>8288</v>
      </c>
      <c r="F1195" s="277" t="s">
        <v>8289</v>
      </c>
      <c r="G1195" s="277" t="s">
        <v>8290</v>
      </c>
      <c r="H1195" s="277" t="s">
        <v>8291</v>
      </c>
      <c r="I1195" s="277" t="s">
        <v>8292</v>
      </c>
      <c r="J1195" s="302" t="s">
        <v>144</v>
      </c>
      <c r="K1195" s="302" t="s">
        <v>144</v>
      </c>
      <c r="L1195" s="718" t="s">
        <v>6242</v>
      </c>
      <c r="M1195" s="217" t="s">
        <v>144</v>
      </c>
      <c r="N1195" s="217" t="s">
        <v>144</v>
      </c>
      <c r="O1195" s="253" t="s">
        <v>6167</v>
      </c>
      <c r="P1195" s="253" t="s">
        <v>6168</v>
      </c>
      <c r="Q1195" s="220" t="s">
        <v>338</v>
      </c>
      <c r="R1195" s="220" t="s">
        <v>339</v>
      </c>
      <c r="S1195" s="276" t="s">
        <v>147</v>
      </c>
      <c r="T1195" s="221" t="s">
        <v>144</v>
      </c>
      <c r="U1195" s="221" t="s">
        <v>144</v>
      </c>
      <c r="V1195" s="253">
        <v>12</v>
      </c>
      <c r="W1195" s="217" t="s">
        <v>144</v>
      </c>
      <c r="X1195" s="221">
        <v>43</v>
      </c>
      <c r="Y1195" s="221">
        <v>43</v>
      </c>
      <c r="Z1195" s="222" t="s">
        <v>144</v>
      </c>
      <c r="AA1195" s="217" t="s">
        <v>144</v>
      </c>
      <c r="AB1195" s="217" t="s">
        <v>144</v>
      </c>
      <c r="AC1195" s="253" t="s">
        <v>265</v>
      </c>
      <c r="AD1195" s="253" t="s">
        <v>144</v>
      </c>
      <c r="AE1195" s="253" t="s">
        <v>144</v>
      </c>
      <c r="AF1195" s="254" t="s">
        <v>144</v>
      </c>
      <c r="AG1195" s="838"/>
      <c r="AH1195" s="280"/>
      <c r="AI1195" s="281"/>
      <c r="AJ1195" s="253"/>
      <c r="AK1195" s="254"/>
      <c r="AL1195" s="281"/>
      <c r="AM1195" s="281"/>
      <c r="AN1195" s="253"/>
      <c r="AO1195" s="254"/>
      <c r="AP1195" s="281"/>
      <c r="AQ1195" s="281"/>
      <c r="AR1195" s="253"/>
      <c r="AS1195" s="254"/>
      <c r="AT1195" s="281"/>
      <c r="AU1195" s="281"/>
      <c r="AV1195" s="253"/>
      <c r="AW1195" s="254"/>
      <c r="AX1195" s="281"/>
      <c r="AY1195" s="281"/>
      <c r="AZ1195" s="253"/>
      <c r="BA1195" s="254"/>
      <c r="BB1195" s="280"/>
      <c r="BC1195" s="281"/>
      <c r="BD1195" s="253"/>
      <c r="BE1195" s="254"/>
      <c r="BF1195" s="838"/>
    </row>
    <row r="1196" spans="1:58" s="55" customFormat="1" ht="54" hidden="1" customHeight="1" x14ac:dyDescent="0.25">
      <c r="A1196" s="275" t="s">
        <v>7374</v>
      </c>
      <c r="B1196" s="276">
        <v>298</v>
      </c>
      <c r="C1196" s="253" t="s">
        <v>144</v>
      </c>
      <c r="D1196" s="217" t="s">
        <v>144</v>
      </c>
      <c r="E1196" s="276" t="s">
        <v>8293</v>
      </c>
      <c r="F1196" s="277" t="s">
        <v>6244</v>
      </c>
      <c r="G1196" s="277" t="s">
        <v>6245</v>
      </c>
      <c r="H1196" s="277" t="s">
        <v>8294</v>
      </c>
      <c r="I1196" s="277" t="s">
        <v>8295</v>
      </c>
      <c r="J1196" s="302" t="s">
        <v>144</v>
      </c>
      <c r="K1196" s="302" t="s">
        <v>144</v>
      </c>
      <c r="L1196" s="718" t="s">
        <v>8296</v>
      </c>
      <c r="M1196" s="217" t="s">
        <v>144</v>
      </c>
      <c r="N1196" s="217" t="s">
        <v>144</v>
      </c>
      <c r="O1196" s="253" t="s">
        <v>144</v>
      </c>
      <c r="P1196" s="253" t="s">
        <v>144</v>
      </c>
      <c r="Q1196" s="220" t="s">
        <v>338</v>
      </c>
      <c r="R1196" s="220" t="s">
        <v>339</v>
      </c>
      <c r="S1196" s="276" t="s">
        <v>746</v>
      </c>
      <c r="T1196" s="221" t="s">
        <v>1104</v>
      </c>
      <c r="U1196" s="221" t="s">
        <v>1105</v>
      </c>
      <c r="V1196" s="253">
        <v>19</v>
      </c>
      <c r="W1196" s="217" t="s">
        <v>144</v>
      </c>
      <c r="X1196" s="221">
        <v>43</v>
      </c>
      <c r="Y1196" s="221">
        <v>43</v>
      </c>
      <c r="Z1196" s="222" t="s">
        <v>144</v>
      </c>
      <c r="AA1196" s="217" t="s">
        <v>144</v>
      </c>
      <c r="AB1196" s="217" t="s">
        <v>144</v>
      </c>
      <c r="AC1196" s="253" t="s">
        <v>265</v>
      </c>
      <c r="AD1196" s="253" t="s">
        <v>144</v>
      </c>
      <c r="AE1196" s="253" t="s">
        <v>144</v>
      </c>
      <c r="AF1196" s="254" t="s">
        <v>144</v>
      </c>
      <c r="AG1196" s="838"/>
      <c r="AH1196" s="280"/>
      <c r="AI1196" s="281"/>
      <c r="AJ1196" s="253"/>
      <c r="AK1196" s="254"/>
      <c r="AL1196" s="281"/>
      <c r="AM1196" s="281"/>
      <c r="AN1196" s="253"/>
      <c r="AO1196" s="254"/>
      <c r="AP1196" s="281"/>
      <c r="AQ1196" s="281"/>
      <c r="AR1196" s="253"/>
      <c r="AS1196" s="254"/>
      <c r="AT1196" s="281"/>
      <c r="AU1196" s="281"/>
      <c r="AV1196" s="253"/>
      <c r="AW1196" s="254"/>
      <c r="AX1196" s="281"/>
      <c r="AY1196" s="281"/>
      <c r="AZ1196" s="253"/>
      <c r="BA1196" s="254"/>
      <c r="BB1196" s="280"/>
      <c r="BC1196" s="281"/>
      <c r="BD1196" s="253"/>
      <c r="BE1196" s="254"/>
      <c r="BF1196" s="838"/>
    </row>
    <row r="1197" spans="1:58" s="55" customFormat="1" ht="54" hidden="1" customHeight="1" x14ac:dyDescent="0.25">
      <c r="A1197" s="275" t="s">
        <v>7374</v>
      </c>
      <c r="B1197" s="276">
        <v>299</v>
      </c>
      <c r="C1197" s="253" t="s">
        <v>2135</v>
      </c>
      <c r="D1197" s="217" t="s">
        <v>2136</v>
      </c>
      <c r="E1197" s="276" t="s">
        <v>8297</v>
      </c>
      <c r="F1197" s="277" t="s">
        <v>8298</v>
      </c>
      <c r="G1197" s="277" t="s">
        <v>8299</v>
      </c>
      <c r="H1197" s="277" t="s">
        <v>8300</v>
      </c>
      <c r="I1197" s="277" t="s">
        <v>8301</v>
      </c>
      <c r="J1197" s="302" t="s">
        <v>144</v>
      </c>
      <c r="K1197" s="302" t="s">
        <v>144</v>
      </c>
      <c r="L1197" s="718" t="s">
        <v>6257</v>
      </c>
      <c r="M1197" s="217" t="s">
        <v>144</v>
      </c>
      <c r="N1197" s="217" t="s">
        <v>144</v>
      </c>
      <c r="O1197" s="253" t="s">
        <v>6167</v>
      </c>
      <c r="P1197" s="253" t="s">
        <v>6168</v>
      </c>
      <c r="Q1197" s="220" t="s">
        <v>338</v>
      </c>
      <c r="R1197" s="220" t="s">
        <v>339</v>
      </c>
      <c r="S1197" s="276" t="s">
        <v>147</v>
      </c>
      <c r="T1197" s="221" t="s">
        <v>144</v>
      </c>
      <c r="U1197" s="221" t="s">
        <v>144</v>
      </c>
      <c r="V1197" s="253">
        <v>12</v>
      </c>
      <c r="W1197" s="217" t="s">
        <v>144</v>
      </c>
      <c r="X1197" s="221">
        <v>43</v>
      </c>
      <c r="Y1197" s="221">
        <v>43</v>
      </c>
      <c r="Z1197" s="222" t="s">
        <v>144</v>
      </c>
      <c r="AA1197" s="217" t="s">
        <v>144</v>
      </c>
      <c r="AB1197" s="217" t="s">
        <v>144</v>
      </c>
      <c r="AC1197" s="253" t="s">
        <v>265</v>
      </c>
      <c r="AD1197" s="253" t="s">
        <v>144</v>
      </c>
      <c r="AE1197" s="253" t="s">
        <v>144</v>
      </c>
      <c r="AF1197" s="254" t="s">
        <v>144</v>
      </c>
      <c r="AG1197" s="838"/>
      <c r="AH1197" s="280"/>
      <c r="AI1197" s="281"/>
      <c r="AJ1197" s="253"/>
      <c r="AK1197" s="254"/>
      <c r="AL1197" s="281"/>
      <c r="AM1197" s="281"/>
      <c r="AN1197" s="253"/>
      <c r="AO1197" s="254"/>
      <c r="AP1197" s="281"/>
      <c r="AQ1197" s="281"/>
      <c r="AR1197" s="253"/>
      <c r="AS1197" s="254"/>
      <c r="AT1197" s="281"/>
      <c r="AU1197" s="281"/>
      <c r="AV1197" s="253"/>
      <c r="AW1197" s="254"/>
      <c r="AX1197" s="281"/>
      <c r="AY1197" s="281"/>
      <c r="AZ1197" s="253"/>
      <c r="BA1197" s="254"/>
      <c r="BB1197" s="280"/>
      <c r="BC1197" s="281"/>
      <c r="BD1197" s="253"/>
      <c r="BE1197" s="254"/>
      <c r="BF1197" s="838"/>
    </row>
    <row r="1198" spans="1:58" s="55" customFormat="1" ht="54" hidden="1" customHeight="1" x14ac:dyDescent="0.25">
      <c r="A1198" s="275" t="s">
        <v>7374</v>
      </c>
      <c r="B1198" s="276">
        <v>300</v>
      </c>
      <c r="C1198" s="253" t="s">
        <v>144</v>
      </c>
      <c r="D1198" s="217" t="s">
        <v>144</v>
      </c>
      <c r="E1198" s="276" t="s">
        <v>8302</v>
      </c>
      <c r="F1198" s="277" t="s">
        <v>8303</v>
      </c>
      <c r="G1198" s="277" t="s">
        <v>6264</v>
      </c>
      <c r="H1198" s="277" t="s">
        <v>8304</v>
      </c>
      <c r="I1198" s="277" t="s">
        <v>8305</v>
      </c>
      <c r="J1198" s="302" t="s">
        <v>144</v>
      </c>
      <c r="K1198" s="302" t="s">
        <v>144</v>
      </c>
      <c r="L1198" s="718" t="s">
        <v>6267</v>
      </c>
      <c r="M1198" s="217" t="s">
        <v>144</v>
      </c>
      <c r="N1198" s="217" t="s">
        <v>144</v>
      </c>
      <c r="O1198" s="253" t="s">
        <v>144</v>
      </c>
      <c r="P1198" s="253" t="s">
        <v>144</v>
      </c>
      <c r="Q1198" s="220" t="s">
        <v>338</v>
      </c>
      <c r="R1198" s="220" t="s">
        <v>339</v>
      </c>
      <c r="S1198" s="276" t="s">
        <v>746</v>
      </c>
      <c r="T1198" s="221" t="s">
        <v>1104</v>
      </c>
      <c r="U1198" s="221" t="s">
        <v>1105</v>
      </c>
      <c r="V1198" s="253">
        <v>19</v>
      </c>
      <c r="W1198" s="217" t="s">
        <v>144</v>
      </c>
      <c r="X1198" s="221">
        <v>43</v>
      </c>
      <c r="Y1198" s="221">
        <v>43</v>
      </c>
      <c r="Z1198" s="222" t="s">
        <v>144</v>
      </c>
      <c r="AA1198" s="217" t="s">
        <v>144</v>
      </c>
      <c r="AB1198" s="217" t="s">
        <v>144</v>
      </c>
      <c r="AC1198" s="253" t="s">
        <v>265</v>
      </c>
      <c r="AD1198" s="253" t="s">
        <v>144</v>
      </c>
      <c r="AE1198" s="253" t="s">
        <v>144</v>
      </c>
      <c r="AF1198" s="254" t="s">
        <v>144</v>
      </c>
      <c r="AG1198" s="838"/>
      <c r="AH1198" s="280"/>
      <c r="AI1198" s="281"/>
      <c r="AJ1198" s="253"/>
      <c r="AK1198" s="254"/>
      <c r="AL1198" s="281"/>
      <c r="AM1198" s="281"/>
      <c r="AN1198" s="253"/>
      <c r="AO1198" s="254"/>
      <c r="AP1198" s="281"/>
      <c r="AQ1198" s="281"/>
      <c r="AR1198" s="253"/>
      <c r="AS1198" s="254"/>
      <c r="AT1198" s="281"/>
      <c r="AU1198" s="281"/>
      <c r="AV1198" s="253"/>
      <c r="AW1198" s="254"/>
      <c r="AX1198" s="281"/>
      <c r="AY1198" s="281"/>
      <c r="AZ1198" s="253"/>
      <c r="BA1198" s="254"/>
      <c r="BB1198" s="280"/>
      <c r="BC1198" s="281"/>
      <c r="BD1198" s="253"/>
      <c r="BE1198" s="254"/>
      <c r="BF1198" s="838"/>
    </row>
    <row r="1199" spans="1:58" s="57" customFormat="1" ht="54" hidden="1" customHeight="1" x14ac:dyDescent="0.25">
      <c r="A1199" s="275" t="s">
        <v>7374</v>
      </c>
      <c r="B1199" s="276">
        <v>301</v>
      </c>
      <c r="C1199" s="253" t="s">
        <v>2135</v>
      </c>
      <c r="D1199" s="253" t="s">
        <v>2136</v>
      </c>
      <c r="E1199" s="276" t="s">
        <v>8306</v>
      </c>
      <c r="F1199" s="277" t="s">
        <v>6361</v>
      </c>
      <c r="G1199" s="277" t="s">
        <v>6362</v>
      </c>
      <c r="H1199" s="218" t="s">
        <v>6363</v>
      </c>
      <c r="I1199" s="277" t="s">
        <v>6362</v>
      </c>
      <c r="J1199" s="253" t="s">
        <v>144</v>
      </c>
      <c r="K1199" s="302" t="s">
        <v>144</v>
      </c>
      <c r="L1199" s="718" t="s">
        <v>6364</v>
      </c>
      <c r="M1199" s="253" t="s">
        <v>144</v>
      </c>
      <c r="N1199" s="302" t="s">
        <v>144</v>
      </c>
      <c r="O1199" s="253" t="s">
        <v>144</v>
      </c>
      <c r="P1199" s="253" t="s">
        <v>144</v>
      </c>
      <c r="Q1199" s="218" t="s">
        <v>8307</v>
      </c>
      <c r="R1199" s="218" t="s">
        <v>8308</v>
      </c>
      <c r="S1199" s="276" t="s">
        <v>147</v>
      </c>
      <c r="T1199" s="221" t="s">
        <v>144</v>
      </c>
      <c r="U1199" s="221" t="s">
        <v>144</v>
      </c>
      <c r="V1199" s="253">
        <v>12</v>
      </c>
      <c r="W1199" s="217" t="s">
        <v>144</v>
      </c>
      <c r="X1199" s="221">
        <v>44</v>
      </c>
      <c r="Y1199" s="374" t="s">
        <v>2285</v>
      </c>
      <c r="Z1199" s="374" t="s">
        <v>25</v>
      </c>
      <c r="AA1199" s="253" t="s">
        <v>148</v>
      </c>
      <c r="AB1199" s="217" t="s">
        <v>144</v>
      </c>
      <c r="AC1199" s="253" t="s">
        <v>265</v>
      </c>
      <c r="AD1199" s="253" t="s">
        <v>144</v>
      </c>
      <c r="AE1199" s="253" t="s">
        <v>144</v>
      </c>
      <c r="AF1199" s="254" t="s">
        <v>144</v>
      </c>
      <c r="AG1199" s="681"/>
      <c r="AH1199" s="453"/>
      <c r="AI1199" s="454"/>
      <c r="AJ1199" s="432"/>
      <c r="AK1199" s="455"/>
      <c r="AL1199" s="454"/>
      <c r="AM1199" s="454"/>
      <c r="AN1199" s="432"/>
      <c r="AO1199" s="456"/>
      <c r="AP1199" s="454"/>
      <c r="AQ1199" s="454"/>
      <c r="AR1199" s="432"/>
      <c r="AS1199" s="455"/>
      <c r="AT1199" s="454"/>
      <c r="AU1199" s="454"/>
      <c r="AV1199" s="432"/>
      <c r="AW1199" s="455"/>
      <c r="AX1199" s="281"/>
      <c r="AY1199" s="281"/>
      <c r="AZ1199" s="253"/>
      <c r="BA1199" s="254"/>
      <c r="BB1199" s="280"/>
      <c r="BC1199" s="281"/>
      <c r="BD1199" s="253"/>
      <c r="BE1199" s="254"/>
      <c r="BF1199" s="838"/>
    </row>
    <row r="1200" spans="1:58" s="87" customFormat="1" ht="54" hidden="1" customHeight="1" x14ac:dyDescent="0.25">
      <c r="A1200" s="275" t="s">
        <v>7374</v>
      </c>
      <c r="B1200" s="276">
        <v>302</v>
      </c>
      <c r="C1200" s="253" t="s">
        <v>2135</v>
      </c>
      <c r="D1200" s="217" t="s">
        <v>2136</v>
      </c>
      <c r="E1200" s="276" t="s">
        <v>8309</v>
      </c>
      <c r="F1200" s="277" t="s">
        <v>6368</v>
      </c>
      <c r="G1200" s="277" t="s">
        <v>6369</v>
      </c>
      <c r="H1200" s="277" t="s">
        <v>6368</v>
      </c>
      <c r="I1200" s="277" t="s">
        <v>6369</v>
      </c>
      <c r="J1200" s="302" t="s">
        <v>144</v>
      </c>
      <c r="K1200" s="302" t="s">
        <v>144</v>
      </c>
      <c r="L1200" s="718" t="s">
        <v>6370</v>
      </c>
      <c r="M1200" s="217" t="s">
        <v>144</v>
      </c>
      <c r="N1200" s="217" t="s">
        <v>144</v>
      </c>
      <c r="O1200" s="253" t="s">
        <v>144</v>
      </c>
      <c r="P1200" s="253" t="s">
        <v>144</v>
      </c>
      <c r="Q1200" s="218" t="s">
        <v>144</v>
      </c>
      <c r="R1200" s="218" t="s">
        <v>144</v>
      </c>
      <c r="S1200" s="276" t="s">
        <v>147</v>
      </c>
      <c r="T1200" s="221" t="s">
        <v>144</v>
      </c>
      <c r="U1200" s="221" t="s">
        <v>144</v>
      </c>
      <c r="V1200" s="253">
        <v>12</v>
      </c>
      <c r="W1200" s="253" t="s">
        <v>144</v>
      </c>
      <c r="X1200" s="221">
        <v>44</v>
      </c>
      <c r="Y1200" s="221">
        <v>44</v>
      </c>
      <c r="Z1200" s="222" t="s">
        <v>144</v>
      </c>
      <c r="AA1200" s="253" t="s">
        <v>148</v>
      </c>
      <c r="AB1200" s="217" t="s">
        <v>144</v>
      </c>
      <c r="AC1200" s="253" t="s">
        <v>265</v>
      </c>
      <c r="AD1200" s="253" t="s">
        <v>144</v>
      </c>
      <c r="AE1200" s="253" t="s">
        <v>144</v>
      </c>
      <c r="AF1200" s="254" t="s">
        <v>144</v>
      </c>
      <c r="AG1200" s="681"/>
      <c r="AH1200" s="280"/>
      <c r="AI1200" s="281"/>
      <c r="AJ1200" s="253"/>
      <c r="AK1200" s="254"/>
      <c r="AL1200" s="281"/>
      <c r="AM1200" s="281"/>
      <c r="AN1200" s="253"/>
      <c r="AO1200" s="254"/>
      <c r="AP1200" s="281"/>
      <c r="AQ1200" s="281"/>
      <c r="AR1200" s="253"/>
      <c r="AS1200" s="254"/>
      <c r="AT1200" s="281"/>
      <c r="AU1200" s="281"/>
      <c r="AV1200" s="253"/>
      <c r="AW1200" s="254"/>
      <c r="AX1200" s="281"/>
      <c r="AY1200" s="281"/>
      <c r="AZ1200" s="253"/>
      <c r="BA1200" s="254"/>
      <c r="BB1200" s="280"/>
      <c r="BC1200" s="281"/>
      <c r="BD1200" s="253"/>
      <c r="BE1200" s="254"/>
      <c r="BF1200" s="838"/>
    </row>
    <row r="1201" spans="1:58" s="55" customFormat="1" ht="54" hidden="1" customHeight="1" x14ac:dyDescent="0.25">
      <c r="A1201" s="275" t="s">
        <v>7374</v>
      </c>
      <c r="B1201" s="276">
        <v>303</v>
      </c>
      <c r="C1201" s="253" t="s">
        <v>2135</v>
      </c>
      <c r="D1201" s="217" t="s">
        <v>2136</v>
      </c>
      <c r="E1201" s="276" t="s">
        <v>8310</v>
      </c>
      <c r="F1201" s="277" t="s">
        <v>6372</v>
      </c>
      <c r="G1201" s="277" t="s">
        <v>6373</v>
      </c>
      <c r="H1201" s="277" t="s">
        <v>6372</v>
      </c>
      <c r="I1201" s="277" t="s">
        <v>6374</v>
      </c>
      <c r="J1201" s="302" t="s">
        <v>144</v>
      </c>
      <c r="K1201" s="302" t="s">
        <v>144</v>
      </c>
      <c r="L1201" s="718" t="s">
        <v>6375</v>
      </c>
      <c r="M1201" s="253" t="s">
        <v>144</v>
      </c>
      <c r="N1201" s="217" t="s">
        <v>144</v>
      </c>
      <c r="O1201" s="253" t="s">
        <v>144</v>
      </c>
      <c r="P1201" s="253" t="s">
        <v>144</v>
      </c>
      <c r="Q1201" s="218" t="s">
        <v>6376</v>
      </c>
      <c r="R1201" s="218" t="s">
        <v>6377</v>
      </c>
      <c r="S1201" s="276" t="s">
        <v>147</v>
      </c>
      <c r="T1201" s="221" t="s">
        <v>144</v>
      </c>
      <c r="U1201" s="221" t="s">
        <v>144</v>
      </c>
      <c r="V1201" s="253">
        <v>12</v>
      </c>
      <c r="W1201" s="432" t="s">
        <v>144</v>
      </c>
      <c r="X1201" s="221">
        <v>44</v>
      </c>
      <c r="Y1201" s="374" t="s">
        <v>2285</v>
      </c>
      <c r="Z1201" s="374" t="s">
        <v>25</v>
      </c>
      <c r="AA1201" s="253" t="s">
        <v>8311</v>
      </c>
      <c r="AB1201" s="217" t="s">
        <v>144</v>
      </c>
      <c r="AC1201" s="253" t="s">
        <v>265</v>
      </c>
      <c r="AD1201" s="253" t="s">
        <v>144</v>
      </c>
      <c r="AE1201" s="253" t="s">
        <v>144</v>
      </c>
      <c r="AF1201" s="254" t="s">
        <v>144</v>
      </c>
      <c r="AG1201" s="681"/>
      <c r="AH1201" s="420"/>
      <c r="AI1201" s="421"/>
      <c r="AJ1201" s="422"/>
      <c r="AK1201" s="779"/>
      <c r="AL1201" s="281"/>
      <c r="AM1201" s="281"/>
      <c r="AN1201" s="253"/>
      <c r="AO1201" s="254"/>
      <c r="AP1201" s="281"/>
      <c r="AQ1201" s="281"/>
      <c r="AR1201" s="253"/>
      <c r="AS1201" s="254"/>
      <c r="AT1201" s="281"/>
      <c r="AU1201" s="281"/>
      <c r="AV1201" s="253"/>
      <c r="AW1201" s="254"/>
      <c r="AX1201" s="281"/>
      <c r="AY1201" s="281"/>
      <c r="AZ1201" s="253"/>
      <c r="BA1201" s="254"/>
      <c r="BB1201" s="280"/>
      <c r="BC1201" s="281"/>
      <c r="BD1201" s="253"/>
      <c r="BE1201" s="254"/>
      <c r="BF1201" s="681"/>
    </row>
    <row r="1202" spans="1:58" s="87" customFormat="1" ht="54" hidden="1" customHeight="1" x14ac:dyDescent="0.25">
      <c r="A1202" s="267" t="s">
        <v>7374</v>
      </c>
      <c r="B1202" s="268">
        <v>304</v>
      </c>
      <c r="C1202" s="240" t="s">
        <v>1372</v>
      </c>
      <c r="D1202" s="211" t="s">
        <v>1373</v>
      </c>
      <c r="E1202" s="268" t="s">
        <v>8312</v>
      </c>
      <c r="F1202" s="861" t="s">
        <v>6437</v>
      </c>
      <c r="G1202" s="269" t="s">
        <v>6438</v>
      </c>
      <c r="H1202" s="861" t="s">
        <v>6439</v>
      </c>
      <c r="I1202" s="269" t="s">
        <v>6440</v>
      </c>
      <c r="J1202" s="296" t="s">
        <v>140</v>
      </c>
      <c r="K1202" s="297" t="s">
        <v>140</v>
      </c>
      <c r="L1202" s="862" t="s">
        <v>6441</v>
      </c>
      <c r="M1202" s="206" t="s">
        <v>973</v>
      </c>
      <c r="N1202" s="211" t="s">
        <v>974</v>
      </c>
      <c r="O1202" s="240" t="s">
        <v>5926</v>
      </c>
      <c r="P1202" s="240" t="s">
        <v>5927</v>
      </c>
      <c r="Q1202" s="845" t="s">
        <v>6434</v>
      </c>
      <c r="R1202" s="208" t="s">
        <v>6435</v>
      </c>
      <c r="S1202" s="864" t="s">
        <v>147</v>
      </c>
      <c r="T1202" s="212" t="s">
        <v>144</v>
      </c>
      <c r="U1202" s="213" t="s">
        <v>144</v>
      </c>
      <c r="V1202" s="847">
        <v>7</v>
      </c>
      <c r="W1202" s="437" t="s">
        <v>144</v>
      </c>
      <c r="X1202" s="212">
        <v>44</v>
      </c>
      <c r="Y1202" s="212" t="s">
        <v>144</v>
      </c>
      <c r="Z1202" s="241" t="s">
        <v>144</v>
      </c>
      <c r="AA1202" s="615" t="s">
        <v>733</v>
      </c>
      <c r="AB1202" s="206" t="s">
        <v>140</v>
      </c>
      <c r="AC1202" s="847" t="s">
        <v>265</v>
      </c>
      <c r="AD1202" s="847" t="s">
        <v>144</v>
      </c>
      <c r="AE1202" s="847" t="s">
        <v>144</v>
      </c>
      <c r="AF1202" s="848" t="s">
        <v>144</v>
      </c>
      <c r="AG1202" s="838"/>
      <c r="AH1202" s="866" t="s">
        <v>7478</v>
      </c>
      <c r="AI1202" s="315" t="s">
        <v>7479</v>
      </c>
      <c r="AJ1202" s="847">
        <v>6</v>
      </c>
      <c r="AK1202" s="848" t="s">
        <v>7480</v>
      </c>
      <c r="AL1202" s="867" t="s">
        <v>294</v>
      </c>
      <c r="AM1202" s="273" t="s">
        <v>295</v>
      </c>
      <c r="AN1202" s="847">
        <v>7</v>
      </c>
      <c r="AO1202" s="187" t="s">
        <v>966</v>
      </c>
      <c r="AP1202" s="867"/>
      <c r="AQ1202" s="273"/>
      <c r="AR1202" s="847"/>
      <c r="AS1202" s="848"/>
      <c r="AT1202" s="867"/>
      <c r="AU1202" s="273"/>
      <c r="AV1202" s="847"/>
      <c r="AW1202" s="848"/>
      <c r="AX1202" s="867"/>
      <c r="AY1202" s="273"/>
      <c r="AZ1202" s="847"/>
      <c r="BA1202" s="848"/>
      <c r="BB1202" s="866"/>
      <c r="BC1202" s="273"/>
      <c r="BD1202" s="847"/>
      <c r="BE1202" s="848"/>
      <c r="BF1202" s="838"/>
    </row>
    <row r="1203" spans="1:58" s="87" customFormat="1" ht="54" hidden="1" customHeight="1" x14ac:dyDescent="0.25">
      <c r="A1203" s="267" t="s">
        <v>7374</v>
      </c>
      <c r="B1203" s="268">
        <v>305</v>
      </c>
      <c r="C1203" s="240" t="s">
        <v>684</v>
      </c>
      <c r="D1203" s="211" t="s">
        <v>685</v>
      </c>
      <c r="E1203" s="268" t="s">
        <v>8313</v>
      </c>
      <c r="F1203" s="861" t="s">
        <v>6443</v>
      </c>
      <c r="G1203" s="269" t="s">
        <v>6444</v>
      </c>
      <c r="H1203" s="861" t="s">
        <v>6445</v>
      </c>
      <c r="I1203" s="269" t="s">
        <v>6446</v>
      </c>
      <c r="J1203" s="296" t="s">
        <v>140</v>
      </c>
      <c r="K1203" s="297" t="s">
        <v>140</v>
      </c>
      <c r="L1203" s="862" t="s">
        <v>6447</v>
      </c>
      <c r="M1203" s="206" t="s">
        <v>973</v>
      </c>
      <c r="N1203" s="211" t="s">
        <v>974</v>
      </c>
      <c r="O1203" s="240" t="s">
        <v>144</v>
      </c>
      <c r="P1203" s="240" t="s">
        <v>144</v>
      </c>
      <c r="Q1203" s="845" t="s">
        <v>6434</v>
      </c>
      <c r="R1203" s="208" t="s">
        <v>6435</v>
      </c>
      <c r="S1203" s="864" t="s">
        <v>746</v>
      </c>
      <c r="T1203" s="212" t="s">
        <v>1104</v>
      </c>
      <c r="U1203" s="213" t="s">
        <v>1105</v>
      </c>
      <c r="V1203" s="847">
        <v>19</v>
      </c>
      <c r="W1203" s="437" t="s">
        <v>144</v>
      </c>
      <c r="X1203" s="212">
        <v>44</v>
      </c>
      <c r="Y1203" s="212" t="s">
        <v>144</v>
      </c>
      <c r="Z1203" s="241" t="s">
        <v>144</v>
      </c>
      <c r="AA1203" s="615" t="s">
        <v>733</v>
      </c>
      <c r="AB1203" s="206" t="s">
        <v>140</v>
      </c>
      <c r="AC1203" s="847" t="s">
        <v>265</v>
      </c>
      <c r="AD1203" s="847" t="s">
        <v>144</v>
      </c>
      <c r="AE1203" s="847" t="s">
        <v>144</v>
      </c>
      <c r="AF1203" s="848" t="s">
        <v>144</v>
      </c>
      <c r="AG1203" s="838"/>
      <c r="AH1203" s="866" t="s">
        <v>7478</v>
      </c>
      <c r="AI1203" s="315" t="s">
        <v>7479</v>
      </c>
      <c r="AJ1203" s="847">
        <v>6</v>
      </c>
      <c r="AK1203" s="848" t="s">
        <v>7480</v>
      </c>
      <c r="AL1203" s="867"/>
      <c r="AM1203" s="273"/>
      <c r="AN1203" s="847"/>
      <c r="AO1203" s="848"/>
      <c r="AP1203" s="867"/>
      <c r="AQ1203" s="273"/>
      <c r="AR1203" s="847"/>
      <c r="AS1203" s="848"/>
      <c r="AT1203" s="867"/>
      <c r="AU1203" s="273"/>
      <c r="AV1203" s="847"/>
      <c r="AW1203" s="848"/>
      <c r="AX1203" s="867"/>
      <c r="AY1203" s="273"/>
      <c r="AZ1203" s="847"/>
      <c r="BA1203" s="848"/>
      <c r="BB1203" s="866"/>
      <c r="BC1203" s="273"/>
      <c r="BD1203" s="847"/>
      <c r="BE1203" s="848"/>
      <c r="BF1203" s="838"/>
    </row>
    <row r="1204" spans="1:58" s="87" customFormat="1" ht="54" hidden="1" customHeight="1" x14ac:dyDescent="0.25">
      <c r="A1204" s="267" t="s">
        <v>7374</v>
      </c>
      <c r="B1204" s="268">
        <v>306</v>
      </c>
      <c r="C1204" s="240" t="s">
        <v>684</v>
      </c>
      <c r="D1204" s="211" t="s">
        <v>685</v>
      </c>
      <c r="E1204" s="268" t="s">
        <v>8314</v>
      </c>
      <c r="F1204" s="861" t="s">
        <v>6449</v>
      </c>
      <c r="G1204" s="269" t="s">
        <v>6450</v>
      </c>
      <c r="H1204" s="861" t="s">
        <v>6451</v>
      </c>
      <c r="I1204" s="269" t="s">
        <v>6452</v>
      </c>
      <c r="J1204" s="296" t="s">
        <v>140</v>
      </c>
      <c r="K1204" s="297" t="s">
        <v>140</v>
      </c>
      <c r="L1204" s="862" t="s">
        <v>6453</v>
      </c>
      <c r="M1204" s="206" t="s">
        <v>973</v>
      </c>
      <c r="N1204" s="211" t="s">
        <v>974</v>
      </c>
      <c r="O1204" s="240" t="s">
        <v>814</v>
      </c>
      <c r="P1204" s="240" t="s">
        <v>815</v>
      </c>
      <c r="Q1204" s="845" t="s">
        <v>6434</v>
      </c>
      <c r="R1204" s="208" t="s">
        <v>6435</v>
      </c>
      <c r="S1204" s="864" t="s">
        <v>147</v>
      </c>
      <c r="T1204" s="212" t="s">
        <v>144</v>
      </c>
      <c r="U1204" s="213" t="s">
        <v>144</v>
      </c>
      <c r="V1204" s="847">
        <v>3</v>
      </c>
      <c r="W1204" s="437" t="s">
        <v>144</v>
      </c>
      <c r="X1204" s="212">
        <v>44</v>
      </c>
      <c r="Y1204" s="212" t="s">
        <v>144</v>
      </c>
      <c r="Z1204" s="241" t="s">
        <v>144</v>
      </c>
      <c r="AA1204" s="615" t="s">
        <v>733</v>
      </c>
      <c r="AB1204" s="206" t="s">
        <v>140</v>
      </c>
      <c r="AC1204" s="847" t="s">
        <v>265</v>
      </c>
      <c r="AD1204" s="847" t="s">
        <v>144</v>
      </c>
      <c r="AE1204" s="847" t="s">
        <v>144</v>
      </c>
      <c r="AF1204" s="848" t="s">
        <v>144</v>
      </c>
      <c r="AG1204" s="838"/>
      <c r="AH1204" s="884" t="s">
        <v>8315</v>
      </c>
      <c r="AI1204" s="315" t="s">
        <v>8316</v>
      </c>
      <c r="AJ1204" s="903">
        <v>7</v>
      </c>
      <c r="AK1204" s="916" t="s">
        <v>1280</v>
      </c>
      <c r="AL1204" s="867" t="s">
        <v>294</v>
      </c>
      <c r="AM1204" s="273" t="s">
        <v>295</v>
      </c>
      <c r="AN1204" s="847">
        <v>7</v>
      </c>
      <c r="AO1204" s="187" t="s">
        <v>966</v>
      </c>
      <c r="AP1204" s="867"/>
      <c r="AQ1204" s="273"/>
      <c r="AR1204" s="847"/>
      <c r="AS1204" s="848"/>
      <c r="AT1204" s="867"/>
      <c r="AU1204" s="273"/>
      <c r="AV1204" s="847"/>
      <c r="AW1204" s="848"/>
      <c r="AX1204" s="867"/>
      <c r="AY1204" s="273"/>
      <c r="AZ1204" s="847"/>
      <c r="BA1204" s="848"/>
      <c r="BB1204" s="866"/>
      <c r="BC1204" s="273"/>
      <c r="BD1204" s="847"/>
      <c r="BE1204" s="848"/>
      <c r="BF1204" s="838"/>
    </row>
    <row r="1205" spans="1:58" s="87" customFormat="1" ht="54" hidden="1" customHeight="1" x14ac:dyDescent="0.25">
      <c r="A1205" s="267" t="s">
        <v>7374</v>
      </c>
      <c r="B1205" s="268">
        <v>307</v>
      </c>
      <c r="C1205" s="240" t="s">
        <v>684</v>
      </c>
      <c r="D1205" s="211" t="s">
        <v>685</v>
      </c>
      <c r="E1205" s="268" t="s">
        <v>8317</v>
      </c>
      <c r="F1205" s="861" t="s">
        <v>6457</v>
      </c>
      <c r="G1205" s="269" t="s">
        <v>6458</v>
      </c>
      <c r="H1205" s="861" t="s">
        <v>6459</v>
      </c>
      <c r="I1205" s="269" t="s">
        <v>6460</v>
      </c>
      <c r="J1205" s="296" t="s">
        <v>140</v>
      </c>
      <c r="K1205" s="297" t="s">
        <v>140</v>
      </c>
      <c r="L1205" s="862" t="s">
        <v>6461</v>
      </c>
      <c r="M1205" s="206" t="s">
        <v>973</v>
      </c>
      <c r="N1205" s="211" t="s">
        <v>974</v>
      </c>
      <c r="O1205" s="240" t="s">
        <v>144</v>
      </c>
      <c r="P1205" s="240" t="s">
        <v>144</v>
      </c>
      <c r="Q1205" s="845" t="s">
        <v>6434</v>
      </c>
      <c r="R1205" s="208" t="s">
        <v>6435</v>
      </c>
      <c r="S1205" s="864" t="s">
        <v>746</v>
      </c>
      <c r="T1205" s="212" t="s">
        <v>1104</v>
      </c>
      <c r="U1205" s="213" t="s">
        <v>1105</v>
      </c>
      <c r="V1205" s="847">
        <v>19</v>
      </c>
      <c r="W1205" s="437" t="s">
        <v>144</v>
      </c>
      <c r="X1205" s="212">
        <v>44</v>
      </c>
      <c r="Y1205" s="212" t="s">
        <v>144</v>
      </c>
      <c r="Z1205" s="241" t="s">
        <v>144</v>
      </c>
      <c r="AA1205" s="615" t="s">
        <v>733</v>
      </c>
      <c r="AB1205" s="206" t="s">
        <v>140</v>
      </c>
      <c r="AC1205" s="847" t="s">
        <v>265</v>
      </c>
      <c r="AD1205" s="847" t="s">
        <v>144</v>
      </c>
      <c r="AE1205" s="847" t="s">
        <v>144</v>
      </c>
      <c r="AF1205" s="848" t="s">
        <v>144</v>
      </c>
      <c r="AG1205" s="838"/>
      <c r="AH1205" s="866" t="s">
        <v>7478</v>
      </c>
      <c r="AI1205" s="315" t="s">
        <v>7479</v>
      </c>
      <c r="AJ1205" s="847">
        <v>6</v>
      </c>
      <c r="AK1205" s="848" t="s">
        <v>7480</v>
      </c>
      <c r="AL1205" s="867"/>
      <c r="AM1205" s="273"/>
      <c r="AN1205" s="847"/>
      <c r="AO1205" s="848"/>
      <c r="AP1205" s="867"/>
      <c r="AQ1205" s="273"/>
      <c r="AR1205" s="847"/>
      <c r="AS1205" s="848"/>
      <c r="AT1205" s="867"/>
      <c r="AU1205" s="273"/>
      <c r="AV1205" s="847"/>
      <c r="AW1205" s="848"/>
      <c r="AX1205" s="867"/>
      <c r="AY1205" s="273"/>
      <c r="AZ1205" s="847"/>
      <c r="BA1205" s="848"/>
      <c r="BB1205" s="866"/>
      <c r="BC1205" s="273"/>
      <c r="BD1205" s="847"/>
      <c r="BE1205" s="848"/>
      <c r="BF1205" s="838"/>
    </row>
    <row r="1206" spans="1:58" s="87" customFormat="1" ht="54" hidden="1" customHeight="1" x14ac:dyDescent="0.25">
      <c r="A1206" s="267" t="s">
        <v>7374</v>
      </c>
      <c r="B1206" s="268">
        <v>308</v>
      </c>
      <c r="C1206" s="240" t="s">
        <v>684</v>
      </c>
      <c r="D1206" s="211" t="s">
        <v>685</v>
      </c>
      <c r="E1206" s="268" t="s">
        <v>8318</v>
      </c>
      <c r="F1206" s="861" t="s">
        <v>6463</v>
      </c>
      <c r="G1206" s="269" t="s">
        <v>6464</v>
      </c>
      <c r="H1206" s="861" t="s">
        <v>6465</v>
      </c>
      <c r="I1206" s="269" t="s">
        <v>6466</v>
      </c>
      <c r="J1206" s="296" t="s">
        <v>140</v>
      </c>
      <c r="K1206" s="297" t="s">
        <v>140</v>
      </c>
      <c r="L1206" s="862" t="s">
        <v>6467</v>
      </c>
      <c r="M1206" s="206" t="s">
        <v>973</v>
      </c>
      <c r="N1206" s="211" t="s">
        <v>974</v>
      </c>
      <c r="O1206" s="240" t="s">
        <v>814</v>
      </c>
      <c r="P1206" s="240" t="s">
        <v>815</v>
      </c>
      <c r="Q1206" s="845" t="s">
        <v>6434</v>
      </c>
      <c r="R1206" s="208" t="s">
        <v>6435</v>
      </c>
      <c r="S1206" s="864" t="s">
        <v>147</v>
      </c>
      <c r="T1206" s="212" t="s">
        <v>144</v>
      </c>
      <c r="U1206" s="213" t="s">
        <v>144</v>
      </c>
      <c r="V1206" s="847">
        <v>3</v>
      </c>
      <c r="W1206" s="437" t="s">
        <v>144</v>
      </c>
      <c r="X1206" s="212">
        <v>44</v>
      </c>
      <c r="Y1206" s="212" t="s">
        <v>144</v>
      </c>
      <c r="Z1206" s="241" t="s">
        <v>144</v>
      </c>
      <c r="AA1206" s="615" t="s">
        <v>733</v>
      </c>
      <c r="AB1206" s="206" t="s">
        <v>140</v>
      </c>
      <c r="AC1206" s="847" t="s">
        <v>265</v>
      </c>
      <c r="AD1206" s="847" t="s">
        <v>144</v>
      </c>
      <c r="AE1206" s="847" t="s">
        <v>144</v>
      </c>
      <c r="AF1206" s="848" t="s">
        <v>144</v>
      </c>
      <c r="AG1206" s="838"/>
      <c r="AH1206" s="884" t="s">
        <v>8319</v>
      </c>
      <c r="AI1206" s="315" t="s">
        <v>8320</v>
      </c>
      <c r="AJ1206" s="903">
        <v>7</v>
      </c>
      <c r="AK1206" s="916" t="s">
        <v>1280</v>
      </c>
      <c r="AL1206" s="867" t="s">
        <v>294</v>
      </c>
      <c r="AM1206" s="273" t="s">
        <v>295</v>
      </c>
      <c r="AN1206" s="847">
        <v>7</v>
      </c>
      <c r="AO1206" s="187" t="s">
        <v>966</v>
      </c>
      <c r="AP1206" s="867"/>
      <c r="AQ1206" s="273"/>
      <c r="AR1206" s="847"/>
      <c r="AS1206" s="848"/>
      <c r="AT1206" s="867"/>
      <c r="AU1206" s="273"/>
      <c r="AV1206" s="847"/>
      <c r="AW1206" s="848"/>
      <c r="AX1206" s="867"/>
      <c r="AY1206" s="273"/>
      <c r="AZ1206" s="847"/>
      <c r="BA1206" s="848"/>
      <c r="BB1206" s="866"/>
      <c r="BC1206" s="273"/>
      <c r="BD1206" s="847"/>
      <c r="BE1206" s="848"/>
      <c r="BF1206" s="838"/>
    </row>
    <row r="1207" spans="1:58" s="87" customFormat="1" ht="54" hidden="1" customHeight="1" x14ac:dyDescent="0.25">
      <c r="A1207" s="267" t="s">
        <v>7374</v>
      </c>
      <c r="B1207" s="268">
        <v>309</v>
      </c>
      <c r="C1207" s="240" t="s">
        <v>684</v>
      </c>
      <c r="D1207" s="211" t="s">
        <v>685</v>
      </c>
      <c r="E1207" s="268" t="s">
        <v>8321</v>
      </c>
      <c r="F1207" s="861" t="s">
        <v>6471</v>
      </c>
      <c r="G1207" s="269" t="s">
        <v>6472</v>
      </c>
      <c r="H1207" s="861" t="s">
        <v>6473</v>
      </c>
      <c r="I1207" s="269" t="s">
        <v>6474</v>
      </c>
      <c r="J1207" s="296" t="s">
        <v>140</v>
      </c>
      <c r="K1207" s="297" t="s">
        <v>140</v>
      </c>
      <c r="L1207" s="862" t="s">
        <v>6475</v>
      </c>
      <c r="M1207" s="206" t="s">
        <v>973</v>
      </c>
      <c r="N1207" s="211" t="s">
        <v>974</v>
      </c>
      <c r="O1207" s="240" t="s">
        <v>144</v>
      </c>
      <c r="P1207" s="240" t="s">
        <v>144</v>
      </c>
      <c r="Q1207" s="845" t="s">
        <v>6434</v>
      </c>
      <c r="R1207" s="208" t="s">
        <v>6435</v>
      </c>
      <c r="S1207" s="864" t="s">
        <v>746</v>
      </c>
      <c r="T1207" s="212" t="s">
        <v>1104</v>
      </c>
      <c r="U1207" s="213" t="s">
        <v>1105</v>
      </c>
      <c r="V1207" s="847">
        <v>19</v>
      </c>
      <c r="W1207" s="437" t="s">
        <v>144</v>
      </c>
      <c r="X1207" s="212">
        <v>44</v>
      </c>
      <c r="Y1207" s="212" t="s">
        <v>144</v>
      </c>
      <c r="Z1207" s="241" t="s">
        <v>144</v>
      </c>
      <c r="AA1207" s="615" t="s">
        <v>733</v>
      </c>
      <c r="AB1207" s="206" t="s">
        <v>140</v>
      </c>
      <c r="AC1207" s="847" t="s">
        <v>265</v>
      </c>
      <c r="AD1207" s="847" t="s">
        <v>144</v>
      </c>
      <c r="AE1207" s="847" t="s">
        <v>144</v>
      </c>
      <c r="AF1207" s="848" t="s">
        <v>144</v>
      </c>
      <c r="AG1207" s="838"/>
      <c r="AH1207" s="866" t="s">
        <v>7478</v>
      </c>
      <c r="AI1207" s="315" t="s">
        <v>7479</v>
      </c>
      <c r="AJ1207" s="847">
        <v>6</v>
      </c>
      <c r="AK1207" s="848" t="s">
        <v>7480</v>
      </c>
      <c r="AL1207" s="867"/>
      <c r="AM1207" s="273"/>
      <c r="AN1207" s="847"/>
      <c r="AO1207" s="848"/>
      <c r="AP1207" s="867"/>
      <c r="AQ1207" s="273"/>
      <c r="AR1207" s="847"/>
      <c r="AS1207" s="848"/>
      <c r="AT1207" s="867"/>
      <c r="AU1207" s="273"/>
      <c r="AV1207" s="847"/>
      <c r="AW1207" s="848"/>
      <c r="AX1207" s="867"/>
      <c r="AY1207" s="273"/>
      <c r="AZ1207" s="847"/>
      <c r="BA1207" s="848"/>
      <c r="BB1207" s="866"/>
      <c r="BC1207" s="273"/>
      <c r="BD1207" s="847"/>
      <c r="BE1207" s="848"/>
      <c r="BF1207" s="838"/>
    </row>
    <row r="1208" spans="1:58" s="87" customFormat="1" ht="54" hidden="1" customHeight="1" x14ac:dyDescent="0.25">
      <c r="A1208" s="267" t="s">
        <v>7374</v>
      </c>
      <c r="B1208" s="268">
        <v>310</v>
      </c>
      <c r="C1208" s="240" t="s">
        <v>684</v>
      </c>
      <c r="D1208" s="211" t="s">
        <v>685</v>
      </c>
      <c r="E1208" s="268" t="s">
        <v>8322</v>
      </c>
      <c r="F1208" s="861" t="s">
        <v>6477</v>
      </c>
      <c r="G1208" s="269" t="s">
        <v>6478</v>
      </c>
      <c r="H1208" s="861" t="s">
        <v>6477</v>
      </c>
      <c r="I1208" s="269" t="s">
        <v>6478</v>
      </c>
      <c r="J1208" s="296" t="s">
        <v>140</v>
      </c>
      <c r="K1208" s="297" t="s">
        <v>140</v>
      </c>
      <c r="L1208" s="862" t="s">
        <v>6479</v>
      </c>
      <c r="M1208" s="206" t="s">
        <v>973</v>
      </c>
      <c r="N1208" s="211" t="s">
        <v>974</v>
      </c>
      <c r="O1208" s="240" t="s">
        <v>814</v>
      </c>
      <c r="P1208" s="240" t="s">
        <v>815</v>
      </c>
      <c r="Q1208" s="845" t="s">
        <v>6434</v>
      </c>
      <c r="R1208" s="208" t="s">
        <v>6435</v>
      </c>
      <c r="S1208" s="864" t="s">
        <v>147</v>
      </c>
      <c r="T1208" s="212" t="s">
        <v>144</v>
      </c>
      <c r="U1208" s="213" t="s">
        <v>144</v>
      </c>
      <c r="V1208" s="847">
        <v>3</v>
      </c>
      <c r="W1208" s="437" t="s">
        <v>144</v>
      </c>
      <c r="X1208" s="212">
        <v>44</v>
      </c>
      <c r="Y1208" s="212" t="s">
        <v>144</v>
      </c>
      <c r="Z1208" s="241" t="s">
        <v>144</v>
      </c>
      <c r="AA1208" s="615" t="s">
        <v>733</v>
      </c>
      <c r="AB1208" s="206" t="s">
        <v>140</v>
      </c>
      <c r="AC1208" s="847" t="s">
        <v>265</v>
      </c>
      <c r="AD1208" s="847" t="s">
        <v>144</v>
      </c>
      <c r="AE1208" s="847" t="s">
        <v>144</v>
      </c>
      <c r="AF1208" s="848" t="s">
        <v>144</v>
      </c>
      <c r="AG1208" s="838"/>
      <c r="AH1208" s="884" t="s">
        <v>8323</v>
      </c>
      <c r="AI1208" s="315" t="s">
        <v>8324</v>
      </c>
      <c r="AJ1208" s="903">
        <v>7</v>
      </c>
      <c r="AK1208" s="916" t="s">
        <v>1280</v>
      </c>
      <c r="AL1208" s="915" t="s">
        <v>294</v>
      </c>
      <c r="AM1208" s="315" t="s">
        <v>295</v>
      </c>
      <c r="AN1208" s="903">
        <v>7</v>
      </c>
      <c r="AO1208" s="187" t="s">
        <v>966</v>
      </c>
      <c r="AP1208" s="867"/>
      <c r="AQ1208" s="273"/>
      <c r="AR1208" s="847"/>
      <c r="AS1208" s="848"/>
      <c r="AT1208" s="867"/>
      <c r="AU1208" s="273"/>
      <c r="AV1208" s="847"/>
      <c r="AW1208" s="848"/>
      <c r="AX1208" s="867"/>
      <c r="AY1208" s="273"/>
      <c r="AZ1208" s="847"/>
      <c r="BA1208" s="848"/>
      <c r="BB1208" s="866"/>
      <c r="BC1208" s="273"/>
      <c r="BD1208" s="847"/>
      <c r="BE1208" s="848"/>
      <c r="BF1208" s="838"/>
    </row>
    <row r="1209" spans="1:58" s="87" customFormat="1" ht="54" hidden="1" customHeight="1" x14ac:dyDescent="0.25">
      <c r="A1209" s="267" t="s">
        <v>7374</v>
      </c>
      <c r="B1209" s="268">
        <v>311</v>
      </c>
      <c r="C1209" s="240" t="s">
        <v>1022</v>
      </c>
      <c r="D1209" s="211" t="s">
        <v>1023</v>
      </c>
      <c r="E1209" s="268" t="s">
        <v>8325</v>
      </c>
      <c r="F1209" s="861" t="s">
        <v>6692</v>
      </c>
      <c r="G1209" s="269" t="s">
        <v>6693</v>
      </c>
      <c r="H1209" s="861" t="s">
        <v>6694</v>
      </c>
      <c r="I1209" s="269" t="s">
        <v>6695</v>
      </c>
      <c r="J1209" s="296" t="s">
        <v>140</v>
      </c>
      <c r="K1209" s="297" t="s">
        <v>140</v>
      </c>
      <c r="L1209" s="862" t="s">
        <v>6696</v>
      </c>
      <c r="M1209" s="206" t="s">
        <v>193</v>
      </c>
      <c r="N1209" s="211" t="s">
        <v>194</v>
      </c>
      <c r="O1209" s="240" t="s">
        <v>6697</v>
      </c>
      <c r="P1209" s="240" t="s">
        <v>6698</v>
      </c>
      <c r="Q1209" s="845" t="s">
        <v>6699</v>
      </c>
      <c r="R1209" s="208" t="s">
        <v>6700</v>
      </c>
      <c r="S1209" s="864" t="s">
        <v>147</v>
      </c>
      <c r="T1209" s="212" t="s">
        <v>144</v>
      </c>
      <c r="U1209" s="213" t="s">
        <v>144</v>
      </c>
      <c r="V1209" s="847">
        <v>1</v>
      </c>
      <c r="W1209" s="437" t="s">
        <v>144</v>
      </c>
      <c r="X1209" s="212">
        <v>44</v>
      </c>
      <c r="Y1209" s="212" t="s">
        <v>144</v>
      </c>
      <c r="Z1209" s="241" t="s">
        <v>144</v>
      </c>
      <c r="AA1209" s="615" t="s">
        <v>733</v>
      </c>
      <c r="AB1209" s="206" t="s">
        <v>140</v>
      </c>
      <c r="AC1209" s="847" t="s">
        <v>265</v>
      </c>
      <c r="AD1209" s="847" t="s">
        <v>144</v>
      </c>
      <c r="AE1209" s="847" t="s">
        <v>144</v>
      </c>
      <c r="AF1209" s="848" t="s">
        <v>144</v>
      </c>
      <c r="AG1209" s="838"/>
      <c r="AH1209" s="866"/>
      <c r="AI1209" s="273"/>
      <c r="AJ1209" s="847"/>
      <c r="AK1209" s="848"/>
      <c r="AL1209" s="867" t="s">
        <v>294</v>
      </c>
      <c r="AM1209" s="273" t="s">
        <v>295</v>
      </c>
      <c r="AN1209" s="847">
        <v>7</v>
      </c>
      <c r="AO1209" s="187" t="s">
        <v>966</v>
      </c>
      <c r="AP1209" s="867"/>
      <c r="AQ1209" s="273"/>
      <c r="AR1209" s="847"/>
      <c r="AS1209" s="848"/>
      <c r="AT1209" s="867"/>
      <c r="AU1209" s="273"/>
      <c r="AV1209" s="847"/>
      <c r="AW1209" s="848"/>
      <c r="AX1209" s="867"/>
      <c r="AY1209" s="273"/>
      <c r="AZ1209" s="847"/>
      <c r="BA1209" s="848"/>
      <c r="BB1209" s="866"/>
      <c r="BC1209" s="273"/>
      <c r="BD1209" s="847"/>
      <c r="BE1209" s="848"/>
      <c r="BF1209" s="838"/>
    </row>
    <row r="1210" spans="1:58" s="87" customFormat="1" ht="54" hidden="1" customHeight="1" x14ac:dyDescent="0.25">
      <c r="A1210" s="267" t="s">
        <v>7374</v>
      </c>
      <c r="B1210" s="268">
        <v>312</v>
      </c>
      <c r="C1210" s="240" t="s">
        <v>684</v>
      </c>
      <c r="D1210" s="211" t="s">
        <v>685</v>
      </c>
      <c r="E1210" s="268" t="s">
        <v>8326</v>
      </c>
      <c r="F1210" s="861" t="s">
        <v>6639</v>
      </c>
      <c r="G1210" s="269" t="s">
        <v>6640</v>
      </c>
      <c r="H1210" s="861" t="s">
        <v>6641</v>
      </c>
      <c r="I1210" s="269" t="s">
        <v>6642</v>
      </c>
      <c r="J1210" s="296" t="s">
        <v>140</v>
      </c>
      <c r="K1210" s="297" t="s">
        <v>140</v>
      </c>
      <c r="L1210" s="862" t="s">
        <v>6643</v>
      </c>
      <c r="M1210" s="206" t="s">
        <v>973</v>
      </c>
      <c r="N1210" s="211" t="s">
        <v>974</v>
      </c>
      <c r="O1210" s="240" t="s">
        <v>144</v>
      </c>
      <c r="P1210" s="240" t="s">
        <v>144</v>
      </c>
      <c r="Q1210" s="845" t="s">
        <v>6644</v>
      </c>
      <c r="R1210" s="210" t="s">
        <v>8327</v>
      </c>
      <c r="S1210" s="864" t="s">
        <v>746</v>
      </c>
      <c r="T1210" s="212" t="s">
        <v>1307</v>
      </c>
      <c r="U1210" s="213" t="s">
        <v>1308</v>
      </c>
      <c r="V1210" s="847">
        <v>10</v>
      </c>
      <c r="W1210" s="437" t="s">
        <v>144</v>
      </c>
      <c r="X1210" s="212">
        <v>44</v>
      </c>
      <c r="Y1210" s="212" t="s">
        <v>144</v>
      </c>
      <c r="Z1210" s="241" t="s">
        <v>144</v>
      </c>
      <c r="AA1210" s="615" t="s">
        <v>733</v>
      </c>
      <c r="AB1210" s="206" t="s">
        <v>140</v>
      </c>
      <c r="AC1210" s="847" t="s">
        <v>265</v>
      </c>
      <c r="AD1210" s="847" t="s">
        <v>144</v>
      </c>
      <c r="AE1210" s="847" t="s">
        <v>144</v>
      </c>
      <c r="AF1210" s="848" t="s">
        <v>144</v>
      </c>
      <c r="AG1210" s="838"/>
      <c r="AH1210" s="884" t="s">
        <v>8328</v>
      </c>
      <c r="AI1210" s="315" t="s">
        <v>8329</v>
      </c>
      <c r="AJ1210" s="903">
        <v>6</v>
      </c>
      <c r="AK1210" s="848" t="s">
        <v>8330</v>
      </c>
      <c r="AL1210" s="867"/>
      <c r="AM1210" s="273"/>
      <c r="AN1210" s="847"/>
      <c r="AO1210" s="848"/>
      <c r="AP1210" s="867"/>
      <c r="AQ1210" s="273"/>
      <c r="AR1210" s="847"/>
      <c r="AS1210" s="848"/>
      <c r="AT1210" s="867"/>
      <c r="AU1210" s="273"/>
      <c r="AV1210" s="847"/>
      <c r="AW1210" s="848"/>
      <c r="AX1210" s="867"/>
      <c r="AY1210" s="273"/>
      <c r="AZ1210" s="847"/>
      <c r="BA1210" s="848"/>
      <c r="BB1210" s="866"/>
      <c r="BC1210" s="273"/>
      <c r="BD1210" s="847"/>
      <c r="BE1210" s="848"/>
      <c r="BF1210" s="838"/>
    </row>
    <row r="1211" spans="1:58" s="87" customFormat="1" ht="54" hidden="1" customHeight="1" x14ac:dyDescent="0.25">
      <c r="A1211" s="267" t="s">
        <v>7374</v>
      </c>
      <c r="B1211" s="268">
        <v>313</v>
      </c>
      <c r="C1211" s="240" t="s">
        <v>684</v>
      </c>
      <c r="D1211" s="211" t="s">
        <v>685</v>
      </c>
      <c r="E1211" s="268" t="s">
        <v>8331</v>
      </c>
      <c r="F1211" s="861" t="s">
        <v>6650</v>
      </c>
      <c r="G1211" s="269" t="s">
        <v>6651</v>
      </c>
      <c r="H1211" s="861" t="s">
        <v>6652</v>
      </c>
      <c r="I1211" s="269" t="s">
        <v>6653</v>
      </c>
      <c r="J1211" s="296" t="s">
        <v>140</v>
      </c>
      <c r="K1211" s="297" t="s">
        <v>140</v>
      </c>
      <c r="L1211" s="862" t="s">
        <v>6654</v>
      </c>
      <c r="M1211" s="206" t="s">
        <v>973</v>
      </c>
      <c r="N1211" s="211" t="s">
        <v>974</v>
      </c>
      <c r="O1211" s="240" t="s">
        <v>144</v>
      </c>
      <c r="P1211" s="240" t="s">
        <v>144</v>
      </c>
      <c r="Q1211" s="845" t="s">
        <v>6655</v>
      </c>
      <c r="R1211" s="210" t="s">
        <v>6656</v>
      </c>
      <c r="S1211" s="864" t="s">
        <v>746</v>
      </c>
      <c r="T1211" s="212" t="s">
        <v>1307</v>
      </c>
      <c r="U1211" s="213" t="s">
        <v>1308</v>
      </c>
      <c r="V1211" s="847">
        <v>10</v>
      </c>
      <c r="W1211" s="437" t="s">
        <v>144</v>
      </c>
      <c r="X1211" s="212">
        <v>44</v>
      </c>
      <c r="Y1211" s="212" t="s">
        <v>144</v>
      </c>
      <c r="Z1211" s="241" t="s">
        <v>144</v>
      </c>
      <c r="AA1211" s="615" t="s">
        <v>733</v>
      </c>
      <c r="AB1211" s="206" t="s">
        <v>140</v>
      </c>
      <c r="AC1211" s="847" t="s">
        <v>265</v>
      </c>
      <c r="AD1211" s="847" t="s">
        <v>144</v>
      </c>
      <c r="AE1211" s="847" t="s">
        <v>144</v>
      </c>
      <c r="AF1211" s="848" t="s">
        <v>144</v>
      </c>
      <c r="AG1211" s="838"/>
      <c r="AH1211" s="884" t="s">
        <v>8332</v>
      </c>
      <c r="AI1211" s="315" t="s">
        <v>8333</v>
      </c>
      <c r="AJ1211" s="903">
        <v>6</v>
      </c>
      <c r="AK1211" s="848" t="s">
        <v>8334</v>
      </c>
      <c r="AL1211" s="867"/>
      <c r="AM1211" s="273"/>
      <c r="AN1211" s="847"/>
      <c r="AO1211" s="848"/>
      <c r="AP1211" s="867"/>
      <c r="AQ1211" s="273"/>
      <c r="AR1211" s="847"/>
      <c r="AS1211" s="848"/>
      <c r="AT1211" s="867"/>
      <c r="AU1211" s="273"/>
      <c r="AV1211" s="847"/>
      <c r="AW1211" s="848"/>
      <c r="AX1211" s="867"/>
      <c r="AY1211" s="273"/>
      <c r="AZ1211" s="847"/>
      <c r="BA1211" s="848"/>
      <c r="BB1211" s="866"/>
      <c r="BC1211" s="273"/>
      <c r="BD1211" s="847"/>
      <c r="BE1211" s="848"/>
      <c r="BF1211" s="838"/>
    </row>
    <row r="1212" spans="1:58" s="87" customFormat="1" ht="54" hidden="1" customHeight="1" x14ac:dyDescent="0.25">
      <c r="A1212" s="267" t="s">
        <v>7374</v>
      </c>
      <c r="B1212" s="268">
        <v>314</v>
      </c>
      <c r="C1212" s="240" t="s">
        <v>1744</v>
      </c>
      <c r="D1212" s="211" t="s">
        <v>1745</v>
      </c>
      <c r="E1212" s="268" t="s">
        <v>8335</v>
      </c>
      <c r="F1212" s="861" t="s">
        <v>6661</v>
      </c>
      <c r="G1212" s="269" t="s">
        <v>6662</v>
      </c>
      <c r="H1212" s="861" t="s">
        <v>6663</v>
      </c>
      <c r="I1212" s="269" t="s">
        <v>6664</v>
      </c>
      <c r="J1212" s="296" t="s">
        <v>140</v>
      </c>
      <c r="K1212" s="297" t="s">
        <v>140</v>
      </c>
      <c r="L1212" s="862" t="s">
        <v>6665</v>
      </c>
      <c r="M1212" s="847" t="s">
        <v>1821</v>
      </c>
      <c r="N1212" s="211" t="s">
        <v>1822</v>
      </c>
      <c r="O1212" s="240" t="s">
        <v>144</v>
      </c>
      <c r="P1212" s="240" t="s">
        <v>144</v>
      </c>
      <c r="Q1212" s="845" t="s">
        <v>6666</v>
      </c>
      <c r="R1212" s="210" t="s">
        <v>6667</v>
      </c>
      <c r="S1212" s="864" t="s">
        <v>746</v>
      </c>
      <c r="T1212" s="212" t="s">
        <v>1104</v>
      </c>
      <c r="U1212" s="213" t="s">
        <v>1105</v>
      </c>
      <c r="V1212" s="847">
        <v>19</v>
      </c>
      <c r="W1212" s="437" t="s">
        <v>144</v>
      </c>
      <c r="X1212" s="212">
        <v>44</v>
      </c>
      <c r="Y1212" s="212" t="s">
        <v>144</v>
      </c>
      <c r="Z1212" s="241" t="s">
        <v>144</v>
      </c>
      <c r="AA1212" s="615" t="s">
        <v>733</v>
      </c>
      <c r="AB1212" s="206" t="s">
        <v>140</v>
      </c>
      <c r="AC1212" s="847" t="s">
        <v>265</v>
      </c>
      <c r="AD1212" s="847" t="s">
        <v>144</v>
      </c>
      <c r="AE1212" s="847" t="s">
        <v>144</v>
      </c>
      <c r="AF1212" s="848" t="s">
        <v>144</v>
      </c>
      <c r="AG1212" s="838"/>
      <c r="AH1212" s="884"/>
      <c r="AI1212" s="315"/>
      <c r="AJ1212" s="903"/>
      <c r="AK1212" s="916"/>
      <c r="AL1212" s="867"/>
      <c r="AM1212" s="273"/>
      <c r="AN1212" s="847"/>
      <c r="AO1212" s="848"/>
      <c r="AP1212" s="867"/>
      <c r="AQ1212" s="273"/>
      <c r="AR1212" s="847"/>
      <c r="AS1212" s="848"/>
      <c r="AT1212" s="915" t="s">
        <v>8336</v>
      </c>
      <c r="AU1212" s="315" t="s">
        <v>8337</v>
      </c>
      <c r="AV1212" s="903">
        <v>6</v>
      </c>
      <c r="AW1212" s="916" t="s">
        <v>8338</v>
      </c>
      <c r="AX1212" s="867"/>
      <c r="AY1212" s="273"/>
      <c r="AZ1212" s="847"/>
      <c r="BA1212" s="848"/>
      <c r="BB1212" s="866"/>
      <c r="BC1212" s="273"/>
      <c r="BD1212" s="847"/>
      <c r="BE1212" s="848"/>
      <c r="BF1212" s="838"/>
    </row>
    <row r="1213" spans="1:58" s="87" customFormat="1" ht="54" hidden="1" customHeight="1" x14ac:dyDescent="0.25">
      <c r="A1213" s="267" t="s">
        <v>7374</v>
      </c>
      <c r="B1213" s="268">
        <v>315</v>
      </c>
      <c r="C1213" s="240" t="s">
        <v>1744</v>
      </c>
      <c r="D1213" s="211" t="s">
        <v>1745</v>
      </c>
      <c r="E1213" s="268" t="s">
        <v>8339</v>
      </c>
      <c r="F1213" s="861" t="s">
        <v>6673</v>
      </c>
      <c r="G1213" s="269" t="s">
        <v>6674</v>
      </c>
      <c r="H1213" s="861" t="s">
        <v>6675</v>
      </c>
      <c r="I1213" s="269" t="s">
        <v>6674</v>
      </c>
      <c r="J1213" s="296" t="s">
        <v>140</v>
      </c>
      <c r="K1213" s="297" t="s">
        <v>140</v>
      </c>
      <c r="L1213" s="862" t="s">
        <v>6676</v>
      </c>
      <c r="M1213" s="206" t="s">
        <v>973</v>
      </c>
      <c r="N1213" s="211" t="s">
        <v>974</v>
      </c>
      <c r="O1213" s="240" t="s">
        <v>814</v>
      </c>
      <c r="P1213" s="240" t="s">
        <v>815</v>
      </c>
      <c r="Q1213" s="845" t="s">
        <v>144</v>
      </c>
      <c r="R1213" s="208" t="s">
        <v>144</v>
      </c>
      <c r="S1213" s="864" t="s">
        <v>147</v>
      </c>
      <c r="T1213" s="212" t="s">
        <v>144</v>
      </c>
      <c r="U1213" s="213" t="s">
        <v>144</v>
      </c>
      <c r="V1213" s="847">
        <v>3</v>
      </c>
      <c r="W1213" s="437" t="s">
        <v>144</v>
      </c>
      <c r="X1213" s="212">
        <v>44</v>
      </c>
      <c r="Y1213" s="212" t="s">
        <v>144</v>
      </c>
      <c r="Z1213" s="241" t="s">
        <v>144</v>
      </c>
      <c r="AA1213" s="615" t="s">
        <v>733</v>
      </c>
      <c r="AB1213" s="206" t="s">
        <v>140</v>
      </c>
      <c r="AC1213" s="847" t="s">
        <v>265</v>
      </c>
      <c r="AD1213" s="847" t="s">
        <v>144</v>
      </c>
      <c r="AE1213" s="847" t="s">
        <v>144</v>
      </c>
      <c r="AF1213" s="848" t="s">
        <v>144</v>
      </c>
      <c r="AG1213" s="838"/>
      <c r="AH1213" s="866" t="s">
        <v>8340</v>
      </c>
      <c r="AI1213" s="315" t="s">
        <v>8341</v>
      </c>
      <c r="AJ1213" s="847">
        <v>7</v>
      </c>
      <c r="AK1213" s="916" t="s">
        <v>1280</v>
      </c>
      <c r="AL1213" s="867" t="s">
        <v>294</v>
      </c>
      <c r="AM1213" s="273" t="s">
        <v>295</v>
      </c>
      <c r="AN1213" s="847">
        <v>7</v>
      </c>
      <c r="AO1213" s="187" t="s">
        <v>966</v>
      </c>
      <c r="AP1213" s="867"/>
      <c r="AQ1213" s="273"/>
      <c r="AR1213" s="847"/>
      <c r="AS1213" s="848"/>
      <c r="AT1213" s="867"/>
      <c r="AU1213" s="273"/>
      <c r="AV1213" s="847"/>
      <c r="AW1213" s="848"/>
      <c r="AX1213" s="867"/>
      <c r="AY1213" s="273"/>
      <c r="AZ1213" s="847"/>
      <c r="BA1213" s="848"/>
      <c r="BB1213" s="866"/>
      <c r="BC1213" s="273"/>
      <c r="BD1213" s="847"/>
      <c r="BE1213" s="848"/>
      <c r="BF1213" s="838"/>
    </row>
    <row r="1214" spans="1:58" s="87" customFormat="1" ht="54" hidden="1" customHeight="1" x14ac:dyDescent="0.25">
      <c r="A1214" s="267" t="s">
        <v>7374</v>
      </c>
      <c r="B1214" s="268">
        <v>316</v>
      </c>
      <c r="C1214" s="240" t="s">
        <v>6482</v>
      </c>
      <c r="D1214" s="211" t="s">
        <v>6483</v>
      </c>
      <c r="E1214" s="268" t="s">
        <v>8342</v>
      </c>
      <c r="F1214" s="861" t="s">
        <v>8343</v>
      </c>
      <c r="G1214" s="269" t="s">
        <v>6486</v>
      </c>
      <c r="H1214" s="861" t="s">
        <v>6487</v>
      </c>
      <c r="I1214" s="269" t="s">
        <v>6488</v>
      </c>
      <c r="J1214" s="296" t="s">
        <v>140</v>
      </c>
      <c r="K1214" s="297" t="s">
        <v>140</v>
      </c>
      <c r="L1214" s="862" t="s">
        <v>6489</v>
      </c>
      <c r="M1214" s="206" t="s">
        <v>973</v>
      </c>
      <c r="N1214" s="211" t="s">
        <v>974</v>
      </c>
      <c r="O1214" s="240" t="s">
        <v>6490</v>
      </c>
      <c r="P1214" s="240" t="s">
        <v>6491</v>
      </c>
      <c r="Q1214" s="845" t="s">
        <v>6492</v>
      </c>
      <c r="R1214" s="208" t="s">
        <v>6493</v>
      </c>
      <c r="S1214" s="864" t="s">
        <v>147</v>
      </c>
      <c r="T1214" s="212" t="s">
        <v>144</v>
      </c>
      <c r="U1214" s="213" t="s">
        <v>144</v>
      </c>
      <c r="V1214" s="847">
        <v>1</v>
      </c>
      <c r="W1214" s="437" t="s">
        <v>144</v>
      </c>
      <c r="X1214" s="212">
        <v>44</v>
      </c>
      <c r="Y1214" s="212" t="s">
        <v>144</v>
      </c>
      <c r="Z1214" s="241" t="s">
        <v>144</v>
      </c>
      <c r="AA1214" s="615" t="s">
        <v>733</v>
      </c>
      <c r="AB1214" s="206" t="s">
        <v>140</v>
      </c>
      <c r="AC1214" s="847" t="s">
        <v>265</v>
      </c>
      <c r="AD1214" s="847" t="s">
        <v>144</v>
      </c>
      <c r="AE1214" s="847" t="s">
        <v>144</v>
      </c>
      <c r="AF1214" s="848" t="s">
        <v>144</v>
      </c>
      <c r="AG1214" s="838"/>
      <c r="AH1214" s="866" t="s">
        <v>8344</v>
      </c>
      <c r="AI1214" s="315" t="s">
        <v>8345</v>
      </c>
      <c r="AJ1214" s="847">
        <v>6</v>
      </c>
      <c r="AK1214" s="848" t="s">
        <v>8346</v>
      </c>
      <c r="AL1214" s="867" t="s">
        <v>294</v>
      </c>
      <c r="AM1214" s="273" t="s">
        <v>295</v>
      </c>
      <c r="AN1214" s="847">
        <v>7</v>
      </c>
      <c r="AO1214" s="187" t="s">
        <v>966</v>
      </c>
      <c r="AP1214" s="867"/>
      <c r="AQ1214" s="273"/>
      <c r="AR1214" s="847"/>
      <c r="AS1214" s="848"/>
      <c r="AT1214" s="867"/>
      <c r="AU1214" s="273"/>
      <c r="AV1214" s="847"/>
      <c r="AW1214" s="848"/>
      <c r="AX1214" s="867"/>
      <c r="AY1214" s="273"/>
      <c r="AZ1214" s="847"/>
      <c r="BA1214" s="848"/>
      <c r="BB1214" s="866"/>
      <c r="BC1214" s="273"/>
      <c r="BD1214" s="847"/>
      <c r="BE1214" s="848"/>
      <c r="BF1214" s="838"/>
    </row>
    <row r="1215" spans="1:58" s="87" customFormat="1" ht="54" hidden="1" customHeight="1" x14ac:dyDescent="0.25">
      <c r="A1215" s="267" t="s">
        <v>7374</v>
      </c>
      <c r="B1215" s="268">
        <v>317</v>
      </c>
      <c r="C1215" s="240" t="s">
        <v>6482</v>
      </c>
      <c r="D1215" s="211" t="s">
        <v>6483</v>
      </c>
      <c r="E1215" s="268" t="s">
        <v>8347</v>
      </c>
      <c r="F1215" s="861" t="s">
        <v>6498</v>
      </c>
      <c r="G1215" s="269" t="s">
        <v>6499</v>
      </c>
      <c r="H1215" s="861" t="s">
        <v>6500</v>
      </c>
      <c r="I1215" s="269" t="s">
        <v>6501</v>
      </c>
      <c r="J1215" s="296" t="s">
        <v>140</v>
      </c>
      <c r="K1215" s="297" t="s">
        <v>140</v>
      </c>
      <c r="L1215" s="862" t="s">
        <v>6502</v>
      </c>
      <c r="M1215" s="206" t="s">
        <v>973</v>
      </c>
      <c r="N1215" s="211" t="s">
        <v>974</v>
      </c>
      <c r="O1215" s="240" t="s">
        <v>6503</v>
      </c>
      <c r="P1215" s="240" t="s">
        <v>6504</v>
      </c>
      <c r="Q1215" s="845" t="s">
        <v>6505</v>
      </c>
      <c r="R1215" s="210" t="s">
        <v>6506</v>
      </c>
      <c r="S1215" s="864" t="s">
        <v>147</v>
      </c>
      <c r="T1215" s="212" t="s">
        <v>144</v>
      </c>
      <c r="U1215" s="213" t="s">
        <v>144</v>
      </c>
      <c r="V1215" s="847">
        <v>1</v>
      </c>
      <c r="W1215" s="437" t="s">
        <v>144</v>
      </c>
      <c r="X1215" s="212">
        <v>44</v>
      </c>
      <c r="Y1215" s="212" t="s">
        <v>144</v>
      </c>
      <c r="Z1215" s="241" t="s">
        <v>144</v>
      </c>
      <c r="AA1215" s="615" t="s">
        <v>733</v>
      </c>
      <c r="AB1215" s="206" t="s">
        <v>140</v>
      </c>
      <c r="AC1215" s="847" t="s">
        <v>265</v>
      </c>
      <c r="AD1215" s="847" t="s">
        <v>144</v>
      </c>
      <c r="AE1215" s="847" t="s">
        <v>144</v>
      </c>
      <c r="AF1215" s="848" t="s">
        <v>144</v>
      </c>
      <c r="AG1215" s="838"/>
      <c r="AH1215" s="866" t="s">
        <v>8348</v>
      </c>
      <c r="AI1215" s="315" t="s">
        <v>8349</v>
      </c>
      <c r="AJ1215" s="847">
        <v>6</v>
      </c>
      <c r="AK1215" s="848" t="s">
        <v>8350</v>
      </c>
      <c r="AL1215" s="867" t="s">
        <v>294</v>
      </c>
      <c r="AM1215" s="273" t="s">
        <v>295</v>
      </c>
      <c r="AN1215" s="847">
        <v>7</v>
      </c>
      <c r="AO1215" s="187" t="s">
        <v>966</v>
      </c>
      <c r="AP1215" s="867"/>
      <c r="AQ1215" s="273"/>
      <c r="AR1215" s="847"/>
      <c r="AS1215" s="848"/>
      <c r="AT1215" s="867"/>
      <c r="AU1215" s="273"/>
      <c r="AV1215" s="847"/>
      <c r="AW1215" s="848"/>
      <c r="AX1215" s="867"/>
      <c r="AY1215" s="273"/>
      <c r="AZ1215" s="847"/>
      <c r="BA1215" s="848"/>
      <c r="BB1215" s="866"/>
      <c r="BC1215" s="273"/>
      <c r="BD1215" s="847"/>
      <c r="BE1215" s="848"/>
      <c r="BF1215" s="838"/>
    </row>
    <row r="1216" spans="1:58" s="87" customFormat="1" ht="54" hidden="1" customHeight="1" x14ac:dyDescent="0.25">
      <c r="A1216" s="267" t="s">
        <v>7374</v>
      </c>
      <c r="B1216" s="268">
        <v>318</v>
      </c>
      <c r="C1216" s="240" t="s">
        <v>6482</v>
      </c>
      <c r="D1216" s="211" t="s">
        <v>6483</v>
      </c>
      <c r="E1216" s="268" t="s">
        <v>8351</v>
      </c>
      <c r="F1216" s="861" t="s">
        <v>8352</v>
      </c>
      <c r="G1216" s="269" t="s">
        <v>6513</v>
      </c>
      <c r="H1216" s="861" t="s">
        <v>6514</v>
      </c>
      <c r="I1216" s="269" t="s">
        <v>6515</v>
      </c>
      <c r="J1216" s="296" t="s">
        <v>140</v>
      </c>
      <c r="K1216" s="297" t="s">
        <v>140</v>
      </c>
      <c r="L1216" s="862" t="s">
        <v>6516</v>
      </c>
      <c r="M1216" s="206" t="s">
        <v>973</v>
      </c>
      <c r="N1216" s="211" t="s">
        <v>974</v>
      </c>
      <c r="O1216" s="240" t="s">
        <v>6517</v>
      </c>
      <c r="P1216" s="240" t="s">
        <v>6518</v>
      </c>
      <c r="Q1216" s="845" t="s">
        <v>6492</v>
      </c>
      <c r="R1216" s="208" t="s">
        <v>6493</v>
      </c>
      <c r="S1216" s="864" t="s">
        <v>147</v>
      </c>
      <c r="T1216" s="212" t="s">
        <v>144</v>
      </c>
      <c r="U1216" s="213" t="s">
        <v>144</v>
      </c>
      <c r="V1216" s="847">
        <v>1</v>
      </c>
      <c r="W1216" s="437" t="s">
        <v>144</v>
      </c>
      <c r="X1216" s="212">
        <v>44</v>
      </c>
      <c r="Y1216" s="212" t="s">
        <v>144</v>
      </c>
      <c r="Z1216" s="241" t="s">
        <v>144</v>
      </c>
      <c r="AA1216" s="615" t="s">
        <v>733</v>
      </c>
      <c r="AB1216" s="206" t="s">
        <v>140</v>
      </c>
      <c r="AC1216" s="847" t="s">
        <v>265</v>
      </c>
      <c r="AD1216" s="847" t="s">
        <v>144</v>
      </c>
      <c r="AE1216" s="847" t="s">
        <v>144</v>
      </c>
      <c r="AF1216" s="848" t="s">
        <v>144</v>
      </c>
      <c r="AG1216" s="838"/>
      <c r="AH1216" s="866" t="s">
        <v>8348</v>
      </c>
      <c r="AI1216" s="315" t="s">
        <v>8349</v>
      </c>
      <c r="AJ1216" s="847">
        <v>6</v>
      </c>
      <c r="AK1216" s="848" t="s">
        <v>8350</v>
      </c>
      <c r="AL1216" s="867" t="s">
        <v>294</v>
      </c>
      <c r="AM1216" s="273" t="s">
        <v>295</v>
      </c>
      <c r="AN1216" s="847">
        <v>7</v>
      </c>
      <c r="AO1216" s="187" t="s">
        <v>966</v>
      </c>
      <c r="AP1216" s="867"/>
      <c r="AQ1216" s="273"/>
      <c r="AR1216" s="847"/>
      <c r="AS1216" s="848"/>
      <c r="AT1216" s="867"/>
      <c r="AU1216" s="273"/>
      <c r="AV1216" s="847"/>
      <c r="AW1216" s="848"/>
      <c r="AX1216" s="867"/>
      <c r="AY1216" s="273"/>
      <c r="AZ1216" s="847"/>
      <c r="BA1216" s="848"/>
      <c r="BB1216" s="866"/>
      <c r="BC1216" s="273"/>
      <c r="BD1216" s="847"/>
      <c r="BE1216" s="848"/>
      <c r="BF1216" s="838"/>
    </row>
    <row r="1217" spans="1:58" s="87" customFormat="1" ht="54" hidden="1" customHeight="1" x14ac:dyDescent="0.25">
      <c r="A1217" s="267" t="s">
        <v>7374</v>
      </c>
      <c r="B1217" s="268">
        <v>319</v>
      </c>
      <c r="C1217" s="240" t="s">
        <v>684</v>
      </c>
      <c r="D1217" s="211" t="s">
        <v>685</v>
      </c>
      <c r="E1217" s="268" t="s">
        <v>8353</v>
      </c>
      <c r="F1217" s="861" t="s">
        <v>6702</v>
      </c>
      <c r="G1217" s="269" t="s">
        <v>6703</v>
      </c>
      <c r="H1217" s="861" t="s">
        <v>6704</v>
      </c>
      <c r="I1217" s="269" t="s">
        <v>8354</v>
      </c>
      <c r="J1217" s="296" t="s">
        <v>140</v>
      </c>
      <c r="K1217" s="297" t="s">
        <v>140</v>
      </c>
      <c r="L1217" s="862" t="s">
        <v>6706</v>
      </c>
      <c r="M1217" s="847" t="s">
        <v>1821</v>
      </c>
      <c r="N1217" s="211" t="s">
        <v>1822</v>
      </c>
      <c r="O1217" s="240" t="s">
        <v>6707</v>
      </c>
      <c r="P1217" s="240" t="s">
        <v>6708</v>
      </c>
      <c r="Q1217" s="845" t="s">
        <v>8355</v>
      </c>
      <c r="R1217" s="210" t="s">
        <v>8356</v>
      </c>
      <c r="S1217" s="864" t="s">
        <v>147</v>
      </c>
      <c r="T1217" s="212" t="s">
        <v>144</v>
      </c>
      <c r="U1217" s="213" t="s">
        <v>144</v>
      </c>
      <c r="V1217" s="847">
        <v>1</v>
      </c>
      <c r="W1217" s="437" t="s">
        <v>144</v>
      </c>
      <c r="X1217" s="212">
        <v>44</v>
      </c>
      <c r="Y1217" s="212" t="s">
        <v>144</v>
      </c>
      <c r="Z1217" s="241" t="s">
        <v>144</v>
      </c>
      <c r="AA1217" s="615" t="s">
        <v>733</v>
      </c>
      <c r="AB1217" s="206" t="s">
        <v>140</v>
      </c>
      <c r="AC1217" s="847" t="s">
        <v>265</v>
      </c>
      <c r="AD1217" s="847" t="s">
        <v>144</v>
      </c>
      <c r="AE1217" s="847" t="s">
        <v>144</v>
      </c>
      <c r="AF1217" s="848" t="s">
        <v>144</v>
      </c>
      <c r="AG1217" s="838"/>
      <c r="AH1217" s="866"/>
      <c r="AI1217" s="273"/>
      <c r="AJ1217" s="847"/>
      <c r="AK1217" s="848"/>
      <c r="AL1217" s="867" t="s">
        <v>294</v>
      </c>
      <c r="AM1217" s="273" t="s">
        <v>295</v>
      </c>
      <c r="AN1217" s="847">
        <v>7</v>
      </c>
      <c r="AO1217" s="187" t="s">
        <v>966</v>
      </c>
      <c r="AP1217" s="867"/>
      <c r="AQ1217" s="273"/>
      <c r="AR1217" s="847"/>
      <c r="AS1217" s="848"/>
      <c r="AT1217" s="867"/>
      <c r="AU1217" s="273"/>
      <c r="AV1217" s="847"/>
      <c r="AW1217" s="848"/>
      <c r="AX1217" s="867"/>
      <c r="AY1217" s="273"/>
      <c r="AZ1217" s="847"/>
      <c r="BA1217" s="848"/>
      <c r="BB1217" s="866"/>
      <c r="BC1217" s="273"/>
      <c r="BD1217" s="847"/>
      <c r="BE1217" s="848"/>
      <c r="BF1217" s="838"/>
    </row>
    <row r="1218" spans="1:58" s="87" customFormat="1" ht="54" hidden="1" customHeight="1" x14ac:dyDescent="0.25">
      <c r="A1218" s="267" t="s">
        <v>7374</v>
      </c>
      <c r="B1218" s="268">
        <v>320</v>
      </c>
      <c r="C1218" s="240" t="s">
        <v>684</v>
      </c>
      <c r="D1218" s="211" t="s">
        <v>685</v>
      </c>
      <c r="E1218" s="268" t="s">
        <v>8357</v>
      </c>
      <c r="F1218" s="861" t="s">
        <v>6713</v>
      </c>
      <c r="G1218" s="269" t="s">
        <v>6714</v>
      </c>
      <c r="H1218" s="861" t="s">
        <v>6715</v>
      </c>
      <c r="I1218" s="269" t="s">
        <v>6716</v>
      </c>
      <c r="J1218" s="296" t="s">
        <v>140</v>
      </c>
      <c r="K1218" s="297" t="s">
        <v>140</v>
      </c>
      <c r="L1218" s="862" t="s">
        <v>6717</v>
      </c>
      <c r="M1218" s="206" t="s">
        <v>193</v>
      </c>
      <c r="N1218" s="211" t="s">
        <v>194</v>
      </c>
      <c r="O1218" s="240" t="s">
        <v>6718</v>
      </c>
      <c r="P1218" s="240" t="s">
        <v>6719</v>
      </c>
      <c r="Q1218" s="845" t="s">
        <v>6720</v>
      </c>
      <c r="R1218" s="210" t="s">
        <v>6721</v>
      </c>
      <c r="S1218" s="864" t="s">
        <v>147</v>
      </c>
      <c r="T1218" s="212" t="s">
        <v>144</v>
      </c>
      <c r="U1218" s="213" t="s">
        <v>144</v>
      </c>
      <c r="V1218" s="847">
        <v>1</v>
      </c>
      <c r="W1218" s="437" t="s">
        <v>144</v>
      </c>
      <c r="X1218" s="212">
        <v>44</v>
      </c>
      <c r="Y1218" s="212" t="s">
        <v>144</v>
      </c>
      <c r="Z1218" s="241" t="s">
        <v>144</v>
      </c>
      <c r="AA1218" s="615" t="s">
        <v>733</v>
      </c>
      <c r="AB1218" s="206" t="s">
        <v>140</v>
      </c>
      <c r="AC1218" s="847" t="s">
        <v>265</v>
      </c>
      <c r="AD1218" s="847" t="s">
        <v>144</v>
      </c>
      <c r="AE1218" s="847" t="s">
        <v>144</v>
      </c>
      <c r="AF1218" s="848" t="s">
        <v>144</v>
      </c>
      <c r="AG1218" s="838"/>
      <c r="AH1218" s="866"/>
      <c r="AI1218" s="273"/>
      <c r="AJ1218" s="847"/>
      <c r="AK1218" s="848"/>
      <c r="AL1218" s="867" t="s">
        <v>294</v>
      </c>
      <c r="AM1218" s="273" t="s">
        <v>295</v>
      </c>
      <c r="AN1218" s="847">
        <v>7</v>
      </c>
      <c r="AO1218" s="187" t="s">
        <v>966</v>
      </c>
      <c r="AP1218" s="867"/>
      <c r="AQ1218" s="273"/>
      <c r="AR1218" s="847"/>
      <c r="AS1218" s="848"/>
      <c r="AT1218" s="867"/>
      <c r="AU1218" s="273"/>
      <c r="AV1218" s="847"/>
      <c r="AW1218" s="848"/>
      <c r="AX1218" s="867"/>
      <c r="AY1218" s="273"/>
      <c r="AZ1218" s="847"/>
      <c r="BA1218" s="848"/>
      <c r="BB1218" s="866"/>
      <c r="BC1218" s="273"/>
      <c r="BD1218" s="847"/>
      <c r="BE1218" s="848"/>
      <c r="BF1218" s="838"/>
    </row>
    <row r="1219" spans="1:58" s="87" customFormat="1" ht="54" hidden="1" customHeight="1" x14ac:dyDescent="0.25">
      <c r="A1219" s="267" t="s">
        <v>7374</v>
      </c>
      <c r="B1219" s="268">
        <v>321</v>
      </c>
      <c r="C1219" s="240" t="s">
        <v>1022</v>
      </c>
      <c r="D1219" s="211" t="s">
        <v>1023</v>
      </c>
      <c r="E1219" s="268" t="s">
        <v>8358</v>
      </c>
      <c r="F1219" s="861" t="s">
        <v>6723</v>
      </c>
      <c r="G1219" s="269" t="s">
        <v>6724</v>
      </c>
      <c r="H1219" s="861" t="s">
        <v>6725</v>
      </c>
      <c r="I1219" s="269" t="s">
        <v>6726</v>
      </c>
      <c r="J1219" s="296" t="s">
        <v>140</v>
      </c>
      <c r="K1219" s="297" t="s">
        <v>140</v>
      </c>
      <c r="L1219" s="862" t="s">
        <v>6727</v>
      </c>
      <c r="M1219" s="206" t="s">
        <v>142</v>
      </c>
      <c r="N1219" s="211" t="s">
        <v>143</v>
      </c>
      <c r="O1219" s="240" t="s">
        <v>1853</v>
      </c>
      <c r="P1219" s="240" t="s">
        <v>1854</v>
      </c>
      <c r="Q1219" s="845" t="s">
        <v>6729</v>
      </c>
      <c r="R1219" s="210" t="s">
        <v>6730</v>
      </c>
      <c r="S1219" s="864" t="s">
        <v>147</v>
      </c>
      <c r="T1219" s="212" t="s">
        <v>144</v>
      </c>
      <c r="U1219" s="213" t="s">
        <v>144</v>
      </c>
      <c r="V1219" s="847">
        <v>12</v>
      </c>
      <c r="W1219" s="437" t="s">
        <v>144</v>
      </c>
      <c r="X1219" s="212">
        <v>44</v>
      </c>
      <c r="Y1219" s="212" t="s">
        <v>144</v>
      </c>
      <c r="Z1219" s="241" t="s">
        <v>144</v>
      </c>
      <c r="AA1219" s="615" t="s">
        <v>733</v>
      </c>
      <c r="AB1219" s="206" t="s">
        <v>140</v>
      </c>
      <c r="AC1219" s="847" t="s">
        <v>265</v>
      </c>
      <c r="AD1219" s="847" t="s">
        <v>144</v>
      </c>
      <c r="AE1219" s="847" t="s">
        <v>144</v>
      </c>
      <c r="AF1219" s="848" t="s">
        <v>144</v>
      </c>
      <c r="AG1219" s="838"/>
      <c r="AH1219" s="866" t="s">
        <v>266</v>
      </c>
      <c r="AI1219" s="315" t="s">
        <v>267</v>
      </c>
      <c r="AJ1219" s="847">
        <v>7</v>
      </c>
      <c r="AK1219" s="848" t="s">
        <v>1046</v>
      </c>
      <c r="AL1219" s="867" t="s">
        <v>294</v>
      </c>
      <c r="AM1219" s="273" t="s">
        <v>295</v>
      </c>
      <c r="AN1219" s="847">
        <v>7</v>
      </c>
      <c r="AO1219" s="187" t="s">
        <v>966</v>
      </c>
      <c r="AP1219" s="867"/>
      <c r="AQ1219" s="273"/>
      <c r="AR1219" s="847"/>
      <c r="AS1219" s="848"/>
      <c r="AT1219" s="867"/>
      <c r="AU1219" s="273"/>
      <c r="AV1219" s="847"/>
      <c r="AW1219" s="848"/>
      <c r="AX1219" s="867"/>
      <c r="AY1219" s="273"/>
      <c r="AZ1219" s="847"/>
      <c r="BA1219" s="848"/>
      <c r="BB1219" s="866"/>
      <c r="BC1219" s="273"/>
      <c r="BD1219" s="847"/>
      <c r="BE1219" s="848"/>
      <c r="BF1219" s="838"/>
    </row>
    <row r="1220" spans="1:58" s="87" customFormat="1" ht="54" hidden="1" customHeight="1" x14ac:dyDescent="0.25">
      <c r="A1220" s="275" t="s">
        <v>7374</v>
      </c>
      <c r="B1220" s="276">
        <v>322</v>
      </c>
      <c r="C1220" s="253" t="s">
        <v>340</v>
      </c>
      <c r="D1220" s="217" t="s">
        <v>341</v>
      </c>
      <c r="E1220" s="276" t="s">
        <v>8359</v>
      </c>
      <c r="F1220" s="277" t="s">
        <v>6740</v>
      </c>
      <c r="G1220" s="277" t="s">
        <v>6741</v>
      </c>
      <c r="H1220" s="277" t="s">
        <v>6742</v>
      </c>
      <c r="I1220" s="277" t="s">
        <v>6743</v>
      </c>
      <c r="J1220" s="302" t="s">
        <v>144</v>
      </c>
      <c r="K1220" s="302" t="s">
        <v>144</v>
      </c>
      <c r="L1220" s="718" t="s">
        <v>6744</v>
      </c>
      <c r="M1220" s="253" t="s">
        <v>144</v>
      </c>
      <c r="N1220" s="217" t="s">
        <v>144</v>
      </c>
      <c r="O1220" s="253" t="s">
        <v>144</v>
      </c>
      <c r="P1220" s="253" t="s">
        <v>144</v>
      </c>
      <c r="Q1220" s="218" t="s">
        <v>6745</v>
      </c>
      <c r="R1220" s="220" t="s">
        <v>6746</v>
      </c>
      <c r="S1220" s="276" t="s">
        <v>147</v>
      </c>
      <c r="T1220" s="221" t="s">
        <v>144</v>
      </c>
      <c r="U1220" s="221" t="s">
        <v>144</v>
      </c>
      <c r="V1220" s="253">
        <v>20</v>
      </c>
      <c r="W1220" s="253" t="s">
        <v>144</v>
      </c>
      <c r="X1220" s="221">
        <v>44</v>
      </c>
      <c r="Y1220" s="221">
        <v>44</v>
      </c>
      <c r="Z1220" s="222" t="s">
        <v>144</v>
      </c>
      <c r="AA1220" s="253" t="s">
        <v>8360</v>
      </c>
      <c r="AB1220" s="217" t="s">
        <v>144</v>
      </c>
      <c r="AC1220" s="253" t="s">
        <v>265</v>
      </c>
      <c r="AD1220" s="253" t="s">
        <v>144</v>
      </c>
      <c r="AE1220" s="253" t="s">
        <v>144</v>
      </c>
      <c r="AF1220" s="254" t="s">
        <v>144</v>
      </c>
      <c r="AG1220" s="838"/>
      <c r="AH1220" s="356"/>
      <c r="AI1220" s="357"/>
      <c r="AJ1220" s="358"/>
      <c r="AK1220" s="359"/>
      <c r="AL1220" s="357"/>
      <c r="AM1220" s="357"/>
      <c r="AN1220" s="358"/>
      <c r="AO1220" s="359"/>
      <c r="AP1220" s="357"/>
      <c r="AQ1220" s="357"/>
      <c r="AR1220" s="358"/>
      <c r="AS1220" s="359"/>
      <c r="AT1220" s="357"/>
      <c r="AU1220" s="357"/>
      <c r="AV1220" s="358"/>
      <c r="AW1220" s="359"/>
      <c r="AX1220" s="378"/>
      <c r="AY1220" s="378"/>
      <c r="AZ1220" s="379"/>
      <c r="BA1220" s="380"/>
      <c r="BB1220" s="356"/>
      <c r="BC1220" s="357"/>
      <c r="BD1220" s="358"/>
      <c r="BE1220" s="359"/>
      <c r="BF1220" s="838"/>
    </row>
    <row r="1221" spans="1:58" s="87" customFormat="1" ht="54" hidden="1" customHeight="1" x14ac:dyDescent="0.25">
      <c r="A1221" s="275" t="s">
        <v>7374</v>
      </c>
      <c r="B1221" s="276">
        <v>323</v>
      </c>
      <c r="C1221" s="253" t="s">
        <v>340</v>
      </c>
      <c r="D1221" s="217" t="s">
        <v>341</v>
      </c>
      <c r="E1221" s="276" t="s">
        <v>8361</v>
      </c>
      <c r="F1221" s="277" t="s">
        <v>8362</v>
      </c>
      <c r="G1221" s="277" t="s">
        <v>6749</v>
      </c>
      <c r="H1221" s="277" t="s">
        <v>8363</v>
      </c>
      <c r="I1221" s="277" t="s">
        <v>6751</v>
      </c>
      <c r="J1221" s="302" t="s">
        <v>144</v>
      </c>
      <c r="K1221" s="302" t="s">
        <v>144</v>
      </c>
      <c r="L1221" s="718" t="s">
        <v>6752</v>
      </c>
      <c r="M1221" s="217" t="s">
        <v>144</v>
      </c>
      <c r="N1221" s="217" t="s">
        <v>144</v>
      </c>
      <c r="O1221" s="253" t="s">
        <v>144</v>
      </c>
      <c r="P1221" s="253" t="s">
        <v>144</v>
      </c>
      <c r="Q1221" s="218" t="s">
        <v>6745</v>
      </c>
      <c r="R1221" s="220" t="s">
        <v>6746</v>
      </c>
      <c r="S1221" s="276" t="s">
        <v>147</v>
      </c>
      <c r="T1221" s="221" t="s">
        <v>144</v>
      </c>
      <c r="U1221" s="221" t="s">
        <v>144</v>
      </c>
      <c r="V1221" s="253">
        <v>10</v>
      </c>
      <c r="W1221" s="253" t="s">
        <v>144</v>
      </c>
      <c r="X1221" s="221">
        <v>44</v>
      </c>
      <c r="Y1221" s="221">
        <v>44</v>
      </c>
      <c r="Z1221" s="222" t="s">
        <v>144</v>
      </c>
      <c r="AA1221" s="253" t="s">
        <v>8360</v>
      </c>
      <c r="AB1221" s="217" t="s">
        <v>144</v>
      </c>
      <c r="AC1221" s="253" t="s">
        <v>265</v>
      </c>
      <c r="AD1221" s="253" t="s">
        <v>144</v>
      </c>
      <c r="AE1221" s="253" t="s">
        <v>144</v>
      </c>
      <c r="AF1221" s="254" t="s">
        <v>144</v>
      </c>
      <c r="AG1221" s="838"/>
      <c r="AH1221" s="280"/>
      <c r="AI1221" s="281"/>
      <c r="AJ1221" s="253"/>
      <c r="AK1221" s="254"/>
      <c r="AL1221" s="281"/>
      <c r="AM1221" s="281"/>
      <c r="AN1221" s="253"/>
      <c r="AO1221" s="254"/>
      <c r="AP1221" s="281"/>
      <c r="AQ1221" s="281"/>
      <c r="AR1221" s="253"/>
      <c r="AS1221" s="254"/>
      <c r="AT1221" s="281"/>
      <c r="AU1221" s="281"/>
      <c r="AV1221" s="253"/>
      <c r="AW1221" s="254"/>
      <c r="AX1221" s="378"/>
      <c r="AY1221" s="378"/>
      <c r="AZ1221" s="379"/>
      <c r="BA1221" s="380"/>
      <c r="BB1221" s="280"/>
      <c r="BC1221" s="281"/>
      <c r="BD1221" s="253"/>
      <c r="BE1221" s="254"/>
      <c r="BF1221" s="838"/>
    </row>
    <row r="1222" spans="1:58" s="87" customFormat="1" ht="54" hidden="1" customHeight="1" x14ac:dyDescent="0.25">
      <c r="A1222" s="267" t="s">
        <v>7374</v>
      </c>
      <c r="B1222" s="268">
        <v>324</v>
      </c>
      <c r="C1222" s="240" t="s">
        <v>684</v>
      </c>
      <c r="D1222" s="211" t="s">
        <v>685</v>
      </c>
      <c r="E1222" s="268" t="s">
        <v>8364</v>
      </c>
      <c r="F1222" s="861" t="s">
        <v>6429</v>
      </c>
      <c r="G1222" s="269" t="s">
        <v>6430</v>
      </c>
      <c r="H1222" s="861" t="s">
        <v>6431</v>
      </c>
      <c r="I1222" s="269" t="s">
        <v>6432</v>
      </c>
      <c r="J1222" s="296" t="s">
        <v>140</v>
      </c>
      <c r="K1222" s="297" t="s">
        <v>140</v>
      </c>
      <c r="L1222" s="862" t="s">
        <v>6433</v>
      </c>
      <c r="M1222" s="206" t="s">
        <v>973</v>
      </c>
      <c r="N1222" s="211" t="s">
        <v>974</v>
      </c>
      <c r="O1222" s="240" t="s">
        <v>144</v>
      </c>
      <c r="P1222" s="240" t="s">
        <v>144</v>
      </c>
      <c r="Q1222" s="845" t="s">
        <v>6434</v>
      </c>
      <c r="R1222" s="208" t="s">
        <v>6435</v>
      </c>
      <c r="S1222" s="864" t="s">
        <v>746</v>
      </c>
      <c r="T1222" s="212" t="s">
        <v>1307</v>
      </c>
      <c r="U1222" s="213" t="s">
        <v>1308</v>
      </c>
      <c r="V1222" s="847">
        <v>10</v>
      </c>
      <c r="W1222" s="437" t="s">
        <v>144</v>
      </c>
      <c r="X1222" s="212">
        <v>44</v>
      </c>
      <c r="Y1222" s="212" t="s">
        <v>144</v>
      </c>
      <c r="Z1222" s="241" t="s">
        <v>144</v>
      </c>
      <c r="AA1222" s="615" t="s">
        <v>733</v>
      </c>
      <c r="AB1222" s="206" t="s">
        <v>140</v>
      </c>
      <c r="AC1222" s="847" t="s">
        <v>265</v>
      </c>
      <c r="AD1222" s="847" t="s">
        <v>144</v>
      </c>
      <c r="AE1222" s="847" t="s">
        <v>144</v>
      </c>
      <c r="AF1222" s="848" t="s">
        <v>144</v>
      </c>
      <c r="AG1222" s="838"/>
      <c r="AH1222" s="291" t="s">
        <v>7478</v>
      </c>
      <c r="AI1222" s="315" t="s">
        <v>7479</v>
      </c>
      <c r="AJ1222" s="847">
        <v>6</v>
      </c>
      <c r="AK1222" s="848" t="s">
        <v>7480</v>
      </c>
      <c r="AL1222" s="867"/>
      <c r="AM1222" s="273"/>
      <c r="AN1222" s="847"/>
      <c r="AO1222" s="848"/>
      <c r="AP1222" s="867"/>
      <c r="AQ1222" s="273"/>
      <c r="AR1222" s="847"/>
      <c r="AS1222" s="848"/>
      <c r="AT1222" s="867"/>
      <c r="AU1222" s="273"/>
      <c r="AV1222" s="847"/>
      <c r="AW1222" s="848"/>
      <c r="AX1222" s="867"/>
      <c r="AY1222" s="273"/>
      <c r="AZ1222" s="847"/>
      <c r="BA1222" s="848"/>
      <c r="BB1222" s="866"/>
      <c r="BC1222" s="273"/>
      <c r="BD1222" s="847"/>
      <c r="BE1222" s="848"/>
      <c r="BF1222" s="838"/>
    </row>
    <row r="1223" spans="1:58" s="87" customFormat="1" ht="54" hidden="1" customHeight="1" x14ac:dyDescent="0.25">
      <c r="A1223" s="267" t="s">
        <v>7374</v>
      </c>
      <c r="B1223" s="268">
        <v>325</v>
      </c>
      <c r="C1223" s="240" t="s">
        <v>2378</v>
      </c>
      <c r="D1223" s="211" t="s">
        <v>2379</v>
      </c>
      <c r="E1223" s="268" t="s">
        <v>8365</v>
      </c>
      <c r="F1223" s="861" t="s">
        <v>6588</v>
      </c>
      <c r="G1223" s="269" t="s">
        <v>6589</v>
      </c>
      <c r="H1223" s="861" t="s">
        <v>8366</v>
      </c>
      <c r="I1223" s="269" t="s">
        <v>6591</v>
      </c>
      <c r="J1223" s="296" t="s">
        <v>140</v>
      </c>
      <c r="K1223" s="297" t="s">
        <v>140</v>
      </c>
      <c r="L1223" s="862" t="s">
        <v>6592</v>
      </c>
      <c r="M1223" s="847" t="s">
        <v>973</v>
      </c>
      <c r="N1223" s="211" t="s">
        <v>974</v>
      </c>
      <c r="O1223" s="240" t="s">
        <v>6593</v>
      </c>
      <c r="P1223" s="240" t="s">
        <v>6594</v>
      </c>
      <c r="Q1223" s="845" t="s">
        <v>144</v>
      </c>
      <c r="R1223" s="208" t="s">
        <v>144</v>
      </c>
      <c r="S1223" s="864" t="s">
        <v>147</v>
      </c>
      <c r="T1223" s="212" t="s">
        <v>144</v>
      </c>
      <c r="U1223" s="213" t="s">
        <v>144</v>
      </c>
      <c r="V1223" s="847">
        <v>1</v>
      </c>
      <c r="W1223" s="437" t="s">
        <v>144</v>
      </c>
      <c r="X1223" s="212">
        <v>44</v>
      </c>
      <c r="Y1223" s="212" t="s">
        <v>144</v>
      </c>
      <c r="Z1223" s="241" t="s">
        <v>144</v>
      </c>
      <c r="AA1223" s="615" t="s">
        <v>733</v>
      </c>
      <c r="AB1223" s="206" t="s">
        <v>140</v>
      </c>
      <c r="AC1223" s="847" t="s">
        <v>265</v>
      </c>
      <c r="AD1223" s="847" t="s">
        <v>144</v>
      </c>
      <c r="AE1223" s="847" t="s">
        <v>144</v>
      </c>
      <c r="AF1223" s="848" t="s">
        <v>144</v>
      </c>
      <c r="AG1223" s="838"/>
      <c r="AH1223" s="291" t="s">
        <v>8367</v>
      </c>
      <c r="AI1223" s="315" t="s">
        <v>8368</v>
      </c>
      <c r="AJ1223" s="847">
        <v>6</v>
      </c>
      <c r="AK1223" s="848" t="s">
        <v>8369</v>
      </c>
      <c r="AL1223" s="867" t="s">
        <v>294</v>
      </c>
      <c r="AM1223" s="273" t="s">
        <v>295</v>
      </c>
      <c r="AN1223" s="847">
        <v>7</v>
      </c>
      <c r="AO1223" s="187" t="s">
        <v>966</v>
      </c>
      <c r="AP1223" s="867"/>
      <c r="AQ1223" s="273"/>
      <c r="AR1223" s="847"/>
      <c r="AS1223" s="848"/>
      <c r="AT1223" s="867"/>
      <c r="AU1223" s="273"/>
      <c r="AV1223" s="847"/>
      <c r="AW1223" s="848"/>
      <c r="AX1223" s="867"/>
      <c r="AY1223" s="273"/>
      <c r="AZ1223" s="847"/>
      <c r="BA1223" s="848"/>
      <c r="BB1223" s="866"/>
      <c r="BC1223" s="273"/>
      <c r="BD1223" s="847"/>
      <c r="BE1223" s="848"/>
      <c r="BF1223" s="838"/>
    </row>
    <row r="1224" spans="1:58" s="87" customFormat="1" ht="54" hidden="1" customHeight="1" x14ac:dyDescent="0.25">
      <c r="A1224" s="267" t="s">
        <v>7374</v>
      </c>
      <c r="B1224" s="268">
        <v>326</v>
      </c>
      <c r="C1224" s="240" t="s">
        <v>2378</v>
      </c>
      <c r="D1224" s="211" t="s">
        <v>2379</v>
      </c>
      <c r="E1224" s="268" t="s">
        <v>8370</v>
      </c>
      <c r="F1224" s="861" t="s">
        <v>6600</v>
      </c>
      <c r="G1224" s="269" t="s">
        <v>6601</v>
      </c>
      <c r="H1224" s="861" t="s">
        <v>6602</v>
      </c>
      <c r="I1224" s="269" t="s">
        <v>6603</v>
      </c>
      <c r="J1224" s="296" t="s">
        <v>140</v>
      </c>
      <c r="K1224" s="297" t="s">
        <v>140</v>
      </c>
      <c r="L1224" s="862" t="s">
        <v>6604</v>
      </c>
      <c r="M1224" s="847" t="s">
        <v>973</v>
      </c>
      <c r="N1224" s="211" t="s">
        <v>974</v>
      </c>
      <c r="O1224" s="240" t="s">
        <v>6605</v>
      </c>
      <c r="P1224" s="240" t="s">
        <v>6606</v>
      </c>
      <c r="Q1224" s="845" t="s">
        <v>6607</v>
      </c>
      <c r="R1224" s="208" t="s">
        <v>6608</v>
      </c>
      <c r="S1224" s="864" t="s">
        <v>147</v>
      </c>
      <c r="T1224" s="212" t="s">
        <v>144</v>
      </c>
      <c r="U1224" s="213" t="s">
        <v>144</v>
      </c>
      <c r="V1224" s="847">
        <v>1</v>
      </c>
      <c r="W1224" s="437" t="s">
        <v>144</v>
      </c>
      <c r="X1224" s="212">
        <v>44</v>
      </c>
      <c r="Y1224" s="212" t="s">
        <v>144</v>
      </c>
      <c r="Z1224" s="241" t="s">
        <v>144</v>
      </c>
      <c r="AA1224" s="615" t="s">
        <v>733</v>
      </c>
      <c r="AB1224" s="206" t="s">
        <v>140</v>
      </c>
      <c r="AC1224" s="847" t="s">
        <v>265</v>
      </c>
      <c r="AD1224" s="847" t="s">
        <v>144</v>
      </c>
      <c r="AE1224" s="847" t="s">
        <v>144</v>
      </c>
      <c r="AF1224" s="848" t="s">
        <v>144</v>
      </c>
      <c r="AG1224" s="838"/>
      <c r="AH1224" s="291" t="s">
        <v>8367</v>
      </c>
      <c r="AI1224" s="315" t="s">
        <v>8368</v>
      </c>
      <c r="AJ1224" s="847">
        <v>6</v>
      </c>
      <c r="AK1224" s="848" t="s">
        <v>8369</v>
      </c>
      <c r="AL1224" s="867" t="s">
        <v>294</v>
      </c>
      <c r="AM1224" s="273" t="s">
        <v>295</v>
      </c>
      <c r="AN1224" s="847">
        <v>7</v>
      </c>
      <c r="AO1224" s="187" t="s">
        <v>966</v>
      </c>
      <c r="AP1224" s="867"/>
      <c r="AQ1224" s="273"/>
      <c r="AR1224" s="847"/>
      <c r="AS1224" s="848"/>
      <c r="AT1224" s="867"/>
      <c r="AU1224" s="273"/>
      <c r="AV1224" s="847"/>
      <c r="AW1224" s="848"/>
      <c r="AX1224" s="867"/>
      <c r="AY1224" s="273"/>
      <c r="AZ1224" s="847"/>
      <c r="BA1224" s="848"/>
      <c r="BB1224" s="866"/>
      <c r="BC1224" s="273"/>
      <c r="BD1224" s="847"/>
      <c r="BE1224" s="848"/>
      <c r="BF1224" s="838"/>
    </row>
    <row r="1225" spans="1:58" s="87" customFormat="1" ht="54" hidden="1" customHeight="1" x14ac:dyDescent="0.25">
      <c r="A1225" s="267" t="s">
        <v>7374</v>
      </c>
      <c r="B1225" s="268">
        <v>327</v>
      </c>
      <c r="C1225" s="240" t="s">
        <v>2378</v>
      </c>
      <c r="D1225" s="211" t="s">
        <v>2379</v>
      </c>
      <c r="E1225" s="268" t="s">
        <v>8371</v>
      </c>
      <c r="F1225" s="861" t="s">
        <v>6610</v>
      </c>
      <c r="G1225" s="269" t="s">
        <v>6611</v>
      </c>
      <c r="H1225" s="861" t="s">
        <v>6612</v>
      </c>
      <c r="I1225" s="269" t="s">
        <v>6613</v>
      </c>
      <c r="J1225" s="296" t="s">
        <v>140</v>
      </c>
      <c r="K1225" s="297" t="s">
        <v>140</v>
      </c>
      <c r="L1225" s="862" t="s">
        <v>6614</v>
      </c>
      <c r="M1225" s="847" t="s">
        <v>973</v>
      </c>
      <c r="N1225" s="211" t="s">
        <v>974</v>
      </c>
      <c r="O1225" s="240" t="s">
        <v>6615</v>
      </c>
      <c r="P1225" s="240" t="s">
        <v>6616</v>
      </c>
      <c r="Q1225" s="845" t="s">
        <v>6617</v>
      </c>
      <c r="R1225" s="208" t="s">
        <v>6618</v>
      </c>
      <c r="S1225" s="864" t="s">
        <v>147</v>
      </c>
      <c r="T1225" s="212" t="s">
        <v>144</v>
      </c>
      <c r="U1225" s="213" t="s">
        <v>144</v>
      </c>
      <c r="V1225" s="847">
        <v>1</v>
      </c>
      <c r="W1225" s="437" t="s">
        <v>144</v>
      </c>
      <c r="X1225" s="212">
        <v>44</v>
      </c>
      <c r="Y1225" s="212" t="s">
        <v>144</v>
      </c>
      <c r="Z1225" s="241" t="s">
        <v>144</v>
      </c>
      <c r="AA1225" s="615" t="s">
        <v>733</v>
      </c>
      <c r="AB1225" s="206" t="s">
        <v>140</v>
      </c>
      <c r="AC1225" s="847" t="s">
        <v>265</v>
      </c>
      <c r="AD1225" s="847" t="s">
        <v>144</v>
      </c>
      <c r="AE1225" s="847" t="s">
        <v>144</v>
      </c>
      <c r="AF1225" s="848" t="s">
        <v>144</v>
      </c>
      <c r="AG1225" s="838"/>
      <c r="AH1225" s="291" t="s">
        <v>8367</v>
      </c>
      <c r="AI1225" s="315" t="s">
        <v>8368</v>
      </c>
      <c r="AJ1225" s="847">
        <v>6</v>
      </c>
      <c r="AK1225" s="848" t="s">
        <v>8369</v>
      </c>
      <c r="AL1225" s="867" t="s">
        <v>294</v>
      </c>
      <c r="AM1225" s="273" t="s">
        <v>295</v>
      </c>
      <c r="AN1225" s="847">
        <v>7</v>
      </c>
      <c r="AO1225" s="187" t="s">
        <v>966</v>
      </c>
      <c r="AP1225" s="867"/>
      <c r="AQ1225" s="273"/>
      <c r="AR1225" s="847"/>
      <c r="AS1225" s="848"/>
      <c r="AT1225" s="867"/>
      <c r="AU1225" s="273"/>
      <c r="AV1225" s="847"/>
      <c r="AW1225" s="848"/>
      <c r="AX1225" s="867"/>
      <c r="AY1225" s="273"/>
      <c r="AZ1225" s="847"/>
      <c r="BA1225" s="848"/>
      <c r="BB1225" s="866"/>
      <c r="BC1225" s="273"/>
      <c r="BD1225" s="847"/>
      <c r="BE1225" s="848"/>
      <c r="BF1225" s="838"/>
    </row>
    <row r="1226" spans="1:58" s="87" customFormat="1" ht="54" hidden="1" customHeight="1" x14ac:dyDescent="0.25">
      <c r="A1226" s="267" t="s">
        <v>7374</v>
      </c>
      <c r="B1226" s="268">
        <v>328</v>
      </c>
      <c r="C1226" s="240" t="s">
        <v>6404</v>
      </c>
      <c r="D1226" s="211" t="s">
        <v>6405</v>
      </c>
      <c r="E1226" s="268" t="s">
        <v>8372</v>
      </c>
      <c r="F1226" s="861" t="s">
        <v>6520</v>
      </c>
      <c r="G1226" s="269" t="s">
        <v>6521</v>
      </c>
      <c r="H1226" s="861" t="s">
        <v>6522</v>
      </c>
      <c r="I1226" s="269" t="s">
        <v>6523</v>
      </c>
      <c r="J1226" s="296" t="s">
        <v>140</v>
      </c>
      <c r="K1226" s="297" t="s">
        <v>140</v>
      </c>
      <c r="L1226" s="862" t="s">
        <v>6524</v>
      </c>
      <c r="M1226" s="206" t="s">
        <v>973</v>
      </c>
      <c r="N1226" s="211" t="s">
        <v>974</v>
      </c>
      <c r="O1226" s="240" t="s">
        <v>6525</v>
      </c>
      <c r="P1226" s="240" t="s">
        <v>6526</v>
      </c>
      <c r="Q1226" s="845" t="s">
        <v>6527</v>
      </c>
      <c r="R1226" s="210" t="s">
        <v>6528</v>
      </c>
      <c r="S1226" s="864" t="s">
        <v>147</v>
      </c>
      <c r="T1226" s="212" t="s">
        <v>144</v>
      </c>
      <c r="U1226" s="213" t="s">
        <v>144</v>
      </c>
      <c r="V1226" s="847">
        <v>1</v>
      </c>
      <c r="W1226" s="437" t="s">
        <v>144</v>
      </c>
      <c r="X1226" s="212">
        <v>44</v>
      </c>
      <c r="Y1226" s="212" t="s">
        <v>144</v>
      </c>
      <c r="Z1226" s="241" t="s">
        <v>144</v>
      </c>
      <c r="AA1226" s="615" t="s">
        <v>733</v>
      </c>
      <c r="AB1226" s="206" t="s">
        <v>140</v>
      </c>
      <c r="AC1226" s="847" t="s">
        <v>265</v>
      </c>
      <c r="AD1226" s="847" t="s">
        <v>144</v>
      </c>
      <c r="AE1226" s="847" t="s">
        <v>144</v>
      </c>
      <c r="AF1226" s="848" t="s">
        <v>144</v>
      </c>
      <c r="AG1226" s="838"/>
      <c r="AH1226" s="866" t="s">
        <v>8373</v>
      </c>
      <c r="AI1226" s="315" t="s">
        <v>8374</v>
      </c>
      <c r="AJ1226" s="903">
        <v>6</v>
      </c>
      <c r="AK1226" s="916" t="s">
        <v>8375</v>
      </c>
      <c r="AL1226" s="867" t="s">
        <v>294</v>
      </c>
      <c r="AM1226" s="273" t="s">
        <v>295</v>
      </c>
      <c r="AN1226" s="847">
        <v>7</v>
      </c>
      <c r="AO1226" s="187" t="s">
        <v>966</v>
      </c>
      <c r="AP1226" s="867"/>
      <c r="AQ1226" s="273"/>
      <c r="AR1226" s="847"/>
      <c r="AS1226" s="848"/>
      <c r="AT1226" s="867"/>
      <c r="AU1226" s="273"/>
      <c r="AV1226" s="847"/>
      <c r="AW1226" s="848"/>
      <c r="AX1226" s="867"/>
      <c r="AY1226" s="273"/>
      <c r="AZ1226" s="847"/>
      <c r="BA1226" s="848"/>
      <c r="BB1226" s="866"/>
      <c r="BC1226" s="273"/>
      <c r="BD1226" s="847"/>
      <c r="BE1226" s="848"/>
      <c r="BF1226" s="838"/>
    </row>
    <row r="1227" spans="1:58" s="87" customFormat="1" ht="54" hidden="1" customHeight="1" x14ac:dyDescent="0.25">
      <c r="A1227" s="267" t="s">
        <v>7374</v>
      </c>
      <c r="B1227" s="268">
        <v>329</v>
      </c>
      <c r="C1227" s="240" t="s">
        <v>6404</v>
      </c>
      <c r="D1227" s="211" t="s">
        <v>6405</v>
      </c>
      <c r="E1227" s="268" t="s">
        <v>8376</v>
      </c>
      <c r="F1227" s="861" t="s">
        <v>6534</v>
      </c>
      <c r="G1227" s="269" t="s">
        <v>6535</v>
      </c>
      <c r="H1227" s="861" t="s">
        <v>6536</v>
      </c>
      <c r="I1227" s="269" t="s">
        <v>6537</v>
      </c>
      <c r="J1227" s="296" t="s">
        <v>140</v>
      </c>
      <c r="K1227" s="297" t="s">
        <v>140</v>
      </c>
      <c r="L1227" s="862" t="s">
        <v>6538</v>
      </c>
      <c r="M1227" s="206" t="s">
        <v>973</v>
      </c>
      <c r="N1227" s="211" t="s">
        <v>974</v>
      </c>
      <c r="O1227" s="240" t="s">
        <v>6539</v>
      </c>
      <c r="P1227" s="240" t="s">
        <v>6540</v>
      </c>
      <c r="Q1227" s="845" t="s">
        <v>6527</v>
      </c>
      <c r="R1227" s="210" t="s">
        <v>6528</v>
      </c>
      <c r="S1227" s="864" t="s">
        <v>147</v>
      </c>
      <c r="T1227" s="212" t="s">
        <v>144</v>
      </c>
      <c r="U1227" s="213" t="s">
        <v>144</v>
      </c>
      <c r="V1227" s="847">
        <v>1</v>
      </c>
      <c r="W1227" s="437" t="s">
        <v>144</v>
      </c>
      <c r="X1227" s="212">
        <v>44</v>
      </c>
      <c r="Y1227" s="212" t="s">
        <v>144</v>
      </c>
      <c r="Z1227" s="241" t="s">
        <v>29</v>
      </c>
      <c r="AA1227" s="615" t="s">
        <v>733</v>
      </c>
      <c r="AB1227" s="206" t="s">
        <v>140</v>
      </c>
      <c r="AC1227" s="847" t="s">
        <v>265</v>
      </c>
      <c r="AD1227" s="847" t="s">
        <v>144</v>
      </c>
      <c r="AE1227" s="847" t="s">
        <v>144</v>
      </c>
      <c r="AF1227" s="848" t="s">
        <v>144</v>
      </c>
      <c r="AG1227" s="838"/>
      <c r="AH1227" s="866" t="s">
        <v>8377</v>
      </c>
      <c r="AI1227" s="315" t="s">
        <v>8378</v>
      </c>
      <c r="AJ1227" s="903">
        <v>6</v>
      </c>
      <c r="AK1227" s="916" t="s">
        <v>8379</v>
      </c>
      <c r="AL1227" s="867" t="s">
        <v>294</v>
      </c>
      <c r="AM1227" s="273" t="s">
        <v>295</v>
      </c>
      <c r="AN1227" s="847">
        <v>7</v>
      </c>
      <c r="AO1227" s="187" t="s">
        <v>966</v>
      </c>
      <c r="AP1227" s="867"/>
      <c r="AQ1227" s="273"/>
      <c r="AR1227" s="847"/>
      <c r="AS1227" s="848"/>
      <c r="AT1227" s="917" t="s">
        <v>8380</v>
      </c>
      <c r="AU1227" s="440" t="s">
        <v>8381</v>
      </c>
      <c r="AV1227" s="918">
        <v>6</v>
      </c>
      <c r="AW1227" s="919" t="s">
        <v>8382</v>
      </c>
      <c r="AX1227" s="867"/>
      <c r="AY1227" s="273"/>
      <c r="AZ1227" s="847"/>
      <c r="BA1227" s="848"/>
      <c r="BB1227" s="866"/>
      <c r="BC1227" s="273"/>
      <c r="BD1227" s="847"/>
      <c r="BE1227" s="848"/>
      <c r="BF1227" s="838"/>
    </row>
    <row r="1228" spans="1:58" s="87" customFormat="1" ht="54" hidden="1" customHeight="1" x14ac:dyDescent="0.25">
      <c r="A1228" s="267" t="s">
        <v>7374</v>
      </c>
      <c r="B1228" s="268">
        <v>330</v>
      </c>
      <c r="C1228" s="240" t="s">
        <v>6404</v>
      </c>
      <c r="D1228" s="211" t="s">
        <v>6405</v>
      </c>
      <c r="E1228" s="268" t="s">
        <v>8383</v>
      </c>
      <c r="F1228" s="861" t="s">
        <v>6548</v>
      </c>
      <c r="G1228" s="269" t="s">
        <v>6549</v>
      </c>
      <c r="H1228" s="612" t="s">
        <v>6550</v>
      </c>
      <c r="I1228" s="371" t="s">
        <v>6551</v>
      </c>
      <c r="J1228" s="296" t="s">
        <v>140</v>
      </c>
      <c r="K1228" s="297" t="s">
        <v>140</v>
      </c>
      <c r="L1228" s="862" t="s">
        <v>6552</v>
      </c>
      <c r="M1228" s="206" t="s">
        <v>973</v>
      </c>
      <c r="N1228" s="211" t="s">
        <v>974</v>
      </c>
      <c r="O1228" s="240" t="s">
        <v>6553</v>
      </c>
      <c r="P1228" s="240" t="s">
        <v>6554</v>
      </c>
      <c r="Q1228" s="845" t="s">
        <v>6527</v>
      </c>
      <c r="R1228" s="210" t="s">
        <v>6528</v>
      </c>
      <c r="S1228" s="864" t="s">
        <v>147</v>
      </c>
      <c r="T1228" s="212" t="s">
        <v>144</v>
      </c>
      <c r="U1228" s="213" t="s">
        <v>144</v>
      </c>
      <c r="V1228" s="847">
        <v>1</v>
      </c>
      <c r="W1228" s="437" t="s">
        <v>144</v>
      </c>
      <c r="X1228" s="212">
        <v>44</v>
      </c>
      <c r="Y1228" s="212" t="s">
        <v>144</v>
      </c>
      <c r="Z1228" s="241" t="s">
        <v>144</v>
      </c>
      <c r="AA1228" s="615" t="s">
        <v>733</v>
      </c>
      <c r="AB1228" s="206" t="s">
        <v>140</v>
      </c>
      <c r="AC1228" s="847" t="s">
        <v>265</v>
      </c>
      <c r="AD1228" s="847" t="s">
        <v>144</v>
      </c>
      <c r="AE1228" s="847" t="s">
        <v>144</v>
      </c>
      <c r="AF1228" s="848" t="s">
        <v>144</v>
      </c>
      <c r="AG1228" s="838"/>
      <c r="AH1228" s="866" t="s">
        <v>8373</v>
      </c>
      <c r="AI1228" s="315" t="s">
        <v>8374</v>
      </c>
      <c r="AJ1228" s="903">
        <v>6</v>
      </c>
      <c r="AK1228" s="916" t="s">
        <v>8375</v>
      </c>
      <c r="AL1228" s="915" t="s">
        <v>294</v>
      </c>
      <c r="AM1228" s="315" t="s">
        <v>295</v>
      </c>
      <c r="AN1228" s="903">
        <v>7</v>
      </c>
      <c r="AO1228" s="187" t="s">
        <v>966</v>
      </c>
      <c r="AP1228" s="867"/>
      <c r="AQ1228" s="273"/>
      <c r="AR1228" s="847"/>
      <c r="AS1228" s="848"/>
      <c r="AT1228" s="867"/>
      <c r="AU1228" s="273"/>
      <c r="AV1228" s="847"/>
      <c r="AW1228" s="848"/>
      <c r="AX1228" s="867"/>
      <c r="AY1228" s="273"/>
      <c r="AZ1228" s="847"/>
      <c r="BA1228" s="848"/>
      <c r="BB1228" s="866"/>
      <c r="BC1228" s="273"/>
      <c r="BD1228" s="847"/>
      <c r="BE1228" s="848"/>
      <c r="BF1228" s="838"/>
    </row>
    <row r="1229" spans="1:58" s="87" customFormat="1" ht="54" hidden="1" customHeight="1" x14ac:dyDescent="0.25">
      <c r="A1229" s="267" t="s">
        <v>7374</v>
      </c>
      <c r="B1229" s="268">
        <v>331</v>
      </c>
      <c r="C1229" s="240" t="s">
        <v>6404</v>
      </c>
      <c r="D1229" s="211" t="s">
        <v>6405</v>
      </c>
      <c r="E1229" s="268" t="s">
        <v>8384</v>
      </c>
      <c r="F1229" s="861" t="s">
        <v>6556</v>
      </c>
      <c r="G1229" s="269" t="s">
        <v>6557</v>
      </c>
      <c r="H1229" s="861" t="s">
        <v>6558</v>
      </c>
      <c r="I1229" s="269" t="s">
        <v>6559</v>
      </c>
      <c r="J1229" s="296" t="s">
        <v>140</v>
      </c>
      <c r="K1229" s="297" t="s">
        <v>140</v>
      </c>
      <c r="L1229" s="862" t="s">
        <v>6560</v>
      </c>
      <c r="M1229" s="206" t="s">
        <v>973</v>
      </c>
      <c r="N1229" s="211" t="s">
        <v>974</v>
      </c>
      <c r="O1229" s="240" t="s">
        <v>6561</v>
      </c>
      <c r="P1229" s="240" t="s">
        <v>6562</v>
      </c>
      <c r="Q1229" s="845" t="s">
        <v>6563</v>
      </c>
      <c r="R1229" s="210" t="s">
        <v>6564</v>
      </c>
      <c r="S1229" s="864" t="s">
        <v>147</v>
      </c>
      <c r="T1229" s="212" t="s">
        <v>144</v>
      </c>
      <c r="U1229" s="213" t="s">
        <v>144</v>
      </c>
      <c r="V1229" s="847">
        <v>1</v>
      </c>
      <c r="W1229" s="437" t="s">
        <v>144</v>
      </c>
      <c r="X1229" s="212">
        <v>44</v>
      </c>
      <c r="Y1229" s="212" t="s">
        <v>144</v>
      </c>
      <c r="Z1229" s="241" t="s">
        <v>144</v>
      </c>
      <c r="AA1229" s="615" t="s">
        <v>733</v>
      </c>
      <c r="AB1229" s="206" t="s">
        <v>140</v>
      </c>
      <c r="AC1229" s="847" t="s">
        <v>265</v>
      </c>
      <c r="AD1229" s="847" t="s">
        <v>144</v>
      </c>
      <c r="AE1229" s="847" t="s">
        <v>144</v>
      </c>
      <c r="AF1229" s="848" t="s">
        <v>144</v>
      </c>
      <c r="AG1229" s="838"/>
      <c r="AH1229" s="866" t="s">
        <v>8385</v>
      </c>
      <c r="AI1229" s="315" t="s">
        <v>8386</v>
      </c>
      <c r="AJ1229" s="903">
        <v>6</v>
      </c>
      <c r="AK1229" s="916" t="s">
        <v>8387</v>
      </c>
      <c r="AL1229" s="867" t="s">
        <v>294</v>
      </c>
      <c r="AM1229" s="273" t="s">
        <v>295</v>
      </c>
      <c r="AN1229" s="847">
        <v>7</v>
      </c>
      <c r="AO1229" s="187" t="s">
        <v>966</v>
      </c>
      <c r="AP1229" s="867"/>
      <c r="AQ1229" s="273"/>
      <c r="AR1229" s="847"/>
      <c r="AS1229" s="848"/>
      <c r="AT1229" s="867"/>
      <c r="AU1229" s="273"/>
      <c r="AV1229" s="847"/>
      <c r="AW1229" s="848"/>
      <c r="AX1229" s="867"/>
      <c r="AY1229" s="273"/>
      <c r="AZ1229" s="847"/>
      <c r="BA1229" s="848"/>
      <c r="BB1229" s="866"/>
      <c r="BC1229" s="273"/>
      <c r="BD1229" s="847"/>
      <c r="BE1229" s="848"/>
      <c r="BF1229" s="838"/>
    </row>
    <row r="1230" spans="1:58" s="87" customFormat="1" ht="54" hidden="1" customHeight="1" x14ac:dyDescent="0.25">
      <c r="A1230" s="267" t="s">
        <v>7374</v>
      </c>
      <c r="B1230" s="268">
        <v>332</v>
      </c>
      <c r="C1230" s="240" t="s">
        <v>6404</v>
      </c>
      <c r="D1230" s="211" t="s">
        <v>6405</v>
      </c>
      <c r="E1230" s="268" t="s">
        <v>8388</v>
      </c>
      <c r="F1230" s="861" t="s">
        <v>6570</v>
      </c>
      <c r="G1230" s="269" t="s">
        <v>6571</v>
      </c>
      <c r="H1230" s="861" t="s">
        <v>6572</v>
      </c>
      <c r="I1230" s="269" t="s">
        <v>6573</v>
      </c>
      <c r="J1230" s="296" t="s">
        <v>140</v>
      </c>
      <c r="K1230" s="297" t="s">
        <v>140</v>
      </c>
      <c r="L1230" s="862" t="s">
        <v>6574</v>
      </c>
      <c r="M1230" s="206" t="s">
        <v>973</v>
      </c>
      <c r="N1230" s="211" t="s">
        <v>974</v>
      </c>
      <c r="O1230" s="240" t="s">
        <v>6575</v>
      </c>
      <c r="P1230" s="240" t="s">
        <v>6576</v>
      </c>
      <c r="Q1230" s="845" t="s">
        <v>6577</v>
      </c>
      <c r="R1230" s="210" t="s">
        <v>6578</v>
      </c>
      <c r="S1230" s="864" t="s">
        <v>147</v>
      </c>
      <c r="T1230" s="212" t="s">
        <v>144</v>
      </c>
      <c r="U1230" s="213" t="s">
        <v>144</v>
      </c>
      <c r="V1230" s="847">
        <v>1</v>
      </c>
      <c r="W1230" s="437" t="s">
        <v>144</v>
      </c>
      <c r="X1230" s="212">
        <v>44</v>
      </c>
      <c r="Y1230" s="212" t="s">
        <v>144</v>
      </c>
      <c r="Z1230" s="241" t="s">
        <v>144</v>
      </c>
      <c r="AA1230" s="615" t="s">
        <v>733</v>
      </c>
      <c r="AB1230" s="206" t="s">
        <v>140</v>
      </c>
      <c r="AC1230" s="847" t="s">
        <v>265</v>
      </c>
      <c r="AD1230" s="847" t="s">
        <v>144</v>
      </c>
      <c r="AE1230" s="847" t="s">
        <v>144</v>
      </c>
      <c r="AF1230" s="848" t="s">
        <v>144</v>
      </c>
      <c r="AG1230" s="838"/>
      <c r="AH1230" s="866" t="s">
        <v>8389</v>
      </c>
      <c r="AI1230" s="315" t="s">
        <v>8390</v>
      </c>
      <c r="AJ1230" s="903">
        <v>6</v>
      </c>
      <c r="AK1230" s="916" t="s">
        <v>8391</v>
      </c>
      <c r="AL1230" s="867" t="s">
        <v>294</v>
      </c>
      <c r="AM1230" s="273" t="s">
        <v>295</v>
      </c>
      <c r="AN1230" s="847">
        <v>7</v>
      </c>
      <c r="AO1230" s="187" t="s">
        <v>966</v>
      </c>
      <c r="AP1230" s="867"/>
      <c r="AQ1230" s="273"/>
      <c r="AR1230" s="847"/>
      <c r="AS1230" s="848"/>
      <c r="AT1230" s="867"/>
      <c r="AU1230" s="273"/>
      <c r="AV1230" s="847"/>
      <c r="AW1230" s="848"/>
      <c r="AX1230" s="867"/>
      <c r="AY1230" s="273"/>
      <c r="AZ1230" s="847"/>
      <c r="BA1230" s="848"/>
      <c r="BB1230" s="866"/>
      <c r="BC1230" s="273"/>
      <c r="BD1230" s="847"/>
      <c r="BE1230" s="848"/>
      <c r="BF1230" s="838"/>
    </row>
    <row r="1231" spans="1:58" s="87" customFormat="1" ht="54" hidden="1" customHeight="1" x14ac:dyDescent="0.25">
      <c r="A1231" s="267" t="s">
        <v>7374</v>
      </c>
      <c r="B1231" s="268">
        <v>333</v>
      </c>
      <c r="C1231" s="240" t="s">
        <v>723</v>
      </c>
      <c r="D1231" s="211" t="s">
        <v>723</v>
      </c>
      <c r="E1231" s="268" t="s">
        <v>8392</v>
      </c>
      <c r="F1231" s="861" t="s">
        <v>6580</v>
      </c>
      <c r="G1231" s="269" t="s">
        <v>6581</v>
      </c>
      <c r="H1231" s="861" t="s">
        <v>6582</v>
      </c>
      <c r="I1231" s="269" t="s">
        <v>6583</v>
      </c>
      <c r="J1231" s="296" t="s">
        <v>140</v>
      </c>
      <c r="K1231" s="297" t="s">
        <v>140</v>
      </c>
      <c r="L1231" s="862" t="s">
        <v>6584</v>
      </c>
      <c r="M1231" s="206" t="s">
        <v>973</v>
      </c>
      <c r="N1231" s="211" t="s">
        <v>974</v>
      </c>
      <c r="O1231" s="240" t="s">
        <v>144</v>
      </c>
      <c r="P1231" s="240" t="s">
        <v>144</v>
      </c>
      <c r="Q1231" s="845" t="s">
        <v>6585</v>
      </c>
      <c r="R1231" s="210" t="s">
        <v>6586</v>
      </c>
      <c r="S1231" s="864" t="s">
        <v>746</v>
      </c>
      <c r="T1231" s="212" t="s">
        <v>5660</v>
      </c>
      <c r="U1231" s="213" t="s">
        <v>5661</v>
      </c>
      <c r="V1231" s="847">
        <v>15</v>
      </c>
      <c r="W1231" s="437" t="s">
        <v>144</v>
      </c>
      <c r="X1231" s="212">
        <v>44</v>
      </c>
      <c r="Y1231" s="212" t="s">
        <v>144</v>
      </c>
      <c r="Z1231" s="241" t="s">
        <v>144</v>
      </c>
      <c r="AA1231" s="615" t="s">
        <v>733</v>
      </c>
      <c r="AB1231" s="206" t="s">
        <v>140</v>
      </c>
      <c r="AC1231" s="847" t="s">
        <v>265</v>
      </c>
      <c r="AD1231" s="847" t="s">
        <v>144</v>
      </c>
      <c r="AE1231" s="847" t="s">
        <v>144</v>
      </c>
      <c r="AF1231" s="848" t="s">
        <v>144</v>
      </c>
      <c r="AG1231" s="838"/>
      <c r="AH1231" s="866" t="s">
        <v>8373</v>
      </c>
      <c r="AI1231" s="315" t="s">
        <v>8374</v>
      </c>
      <c r="AJ1231" s="903">
        <v>6</v>
      </c>
      <c r="AK1231" s="916" t="s">
        <v>8375</v>
      </c>
      <c r="AL1231" s="867"/>
      <c r="AM1231" s="273"/>
      <c r="AN1231" s="847"/>
      <c r="AO1231" s="848"/>
      <c r="AP1231" s="867"/>
      <c r="AQ1231" s="273"/>
      <c r="AR1231" s="847"/>
      <c r="AS1231" s="848"/>
      <c r="AT1231" s="867"/>
      <c r="AU1231" s="273"/>
      <c r="AV1231" s="847"/>
      <c r="AW1231" s="848"/>
      <c r="AX1231" s="867"/>
      <c r="AY1231" s="273"/>
      <c r="AZ1231" s="847"/>
      <c r="BA1231" s="848"/>
      <c r="BB1231" s="866"/>
      <c r="BC1231" s="273"/>
      <c r="BD1231" s="847"/>
      <c r="BE1231" s="848"/>
      <c r="BF1231" s="838"/>
    </row>
    <row r="1232" spans="1:58" s="87" customFormat="1" ht="54" hidden="1" customHeight="1" x14ac:dyDescent="0.25">
      <c r="A1232" s="267" t="s">
        <v>7374</v>
      </c>
      <c r="B1232" s="268">
        <v>334</v>
      </c>
      <c r="C1232" s="240" t="s">
        <v>6404</v>
      </c>
      <c r="D1232" s="211" t="s">
        <v>6405</v>
      </c>
      <c r="E1232" s="268" t="s">
        <v>8393</v>
      </c>
      <c r="F1232" s="861" t="s">
        <v>6756</v>
      </c>
      <c r="G1232" s="269" t="s">
        <v>6757</v>
      </c>
      <c r="H1232" s="861" t="s">
        <v>6758</v>
      </c>
      <c r="I1232" s="269" t="s">
        <v>6759</v>
      </c>
      <c r="J1232" s="296" t="s">
        <v>140</v>
      </c>
      <c r="K1232" s="297" t="s">
        <v>140</v>
      </c>
      <c r="L1232" s="862" t="s">
        <v>8394</v>
      </c>
      <c r="M1232" s="847" t="s">
        <v>973</v>
      </c>
      <c r="N1232" s="211" t="s">
        <v>974</v>
      </c>
      <c r="O1232" s="240" t="s">
        <v>2273</v>
      </c>
      <c r="P1232" s="240" t="s">
        <v>2274</v>
      </c>
      <c r="Q1232" s="845" t="s">
        <v>6761</v>
      </c>
      <c r="R1232" s="208" t="s">
        <v>6762</v>
      </c>
      <c r="S1232" s="864" t="s">
        <v>147</v>
      </c>
      <c r="T1232" s="212" t="s">
        <v>144</v>
      </c>
      <c r="U1232" s="213" t="s">
        <v>144</v>
      </c>
      <c r="V1232" s="847">
        <v>1</v>
      </c>
      <c r="W1232" s="437" t="s">
        <v>144</v>
      </c>
      <c r="X1232" s="212">
        <v>44</v>
      </c>
      <c r="Y1232" s="212" t="s">
        <v>144</v>
      </c>
      <c r="Z1232" s="241" t="s">
        <v>144</v>
      </c>
      <c r="AA1232" s="240" t="s">
        <v>6763</v>
      </c>
      <c r="AB1232" s="206" t="s">
        <v>140</v>
      </c>
      <c r="AC1232" s="847" t="s">
        <v>265</v>
      </c>
      <c r="AD1232" s="847" t="s">
        <v>144</v>
      </c>
      <c r="AE1232" s="847" t="s">
        <v>144</v>
      </c>
      <c r="AF1232" s="848" t="s">
        <v>144</v>
      </c>
      <c r="AG1232" s="838"/>
      <c r="AH1232" s="866" t="s">
        <v>8395</v>
      </c>
      <c r="AI1232" s="273" t="s">
        <v>8396</v>
      </c>
      <c r="AJ1232" s="847">
        <v>6</v>
      </c>
      <c r="AK1232" s="848" t="s">
        <v>8397</v>
      </c>
      <c r="AL1232" s="867" t="s">
        <v>294</v>
      </c>
      <c r="AM1232" s="273" t="s">
        <v>295</v>
      </c>
      <c r="AN1232" s="847">
        <v>7</v>
      </c>
      <c r="AO1232" s="187" t="s">
        <v>966</v>
      </c>
      <c r="AP1232" s="867"/>
      <c r="AQ1232" s="273"/>
      <c r="AR1232" s="847"/>
      <c r="AS1232" s="848"/>
      <c r="AT1232" s="867"/>
      <c r="AU1232" s="273"/>
      <c r="AV1232" s="847"/>
      <c r="AW1232" s="848"/>
      <c r="AX1232" s="867"/>
      <c r="AY1232" s="273"/>
      <c r="AZ1232" s="847"/>
      <c r="BA1232" s="848"/>
      <c r="BB1232" s="866"/>
      <c r="BC1232" s="273"/>
      <c r="BD1232" s="847"/>
      <c r="BE1232" s="848"/>
      <c r="BF1232" s="838"/>
    </row>
    <row r="1233" spans="1:58" s="87" customFormat="1" ht="54" hidden="1" customHeight="1" x14ac:dyDescent="0.25">
      <c r="A1233" s="267" t="s">
        <v>7374</v>
      </c>
      <c r="B1233" s="268">
        <v>335</v>
      </c>
      <c r="C1233" s="240" t="s">
        <v>5602</v>
      </c>
      <c r="D1233" s="211" t="s">
        <v>5603</v>
      </c>
      <c r="E1233" s="268" t="s">
        <v>8398</v>
      </c>
      <c r="F1233" s="861" t="s">
        <v>6766</v>
      </c>
      <c r="G1233" s="269" t="s">
        <v>6767</v>
      </c>
      <c r="H1233" s="861" t="s">
        <v>6768</v>
      </c>
      <c r="I1233" s="269" t="s">
        <v>6769</v>
      </c>
      <c r="J1233" s="296" t="s">
        <v>140</v>
      </c>
      <c r="K1233" s="297" t="s">
        <v>140</v>
      </c>
      <c r="L1233" s="862" t="s">
        <v>6770</v>
      </c>
      <c r="M1233" s="847" t="s">
        <v>193</v>
      </c>
      <c r="N1233" s="211" t="s">
        <v>194</v>
      </c>
      <c r="O1233" s="240" t="s">
        <v>5610</v>
      </c>
      <c r="P1233" s="240" t="s">
        <v>5611</v>
      </c>
      <c r="Q1233" s="845" t="s">
        <v>144</v>
      </c>
      <c r="R1233" s="208" t="s">
        <v>144</v>
      </c>
      <c r="S1233" s="864" t="s">
        <v>147</v>
      </c>
      <c r="T1233" s="212" t="s">
        <v>144</v>
      </c>
      <c r="U1233" s="213" t="s">
        <v>144</v>
      </c>
      <c r="V1233" s="847">
        <v>40</v>
      </c>
      <c r="W1233" s="437" t="s">
        <v>144</v>
      </c>
      <c r="X1233" s="212">
        <v>44</v>
      </c>
      <c r="Y1233" s="212" t="s">
        <v>144</v>
      </c>
      <c r="Z1233" s="214" t="s">
        <v>144</v>
      </c>
      <c r="AA1233" s="240" t="s">
        <v>6771</v>
      </c>
      <c r="AB1233" s="206" t="s">
        <v>140</v>
      </c>
      <c r="AC1233" s="847" t="s">
        <v>265</v>
      </c>
      <c r="AD1233" s="847" t="s">
        <v>144</v>
      </c>
      <c r="AE1233" s="847" t="s">
        <v>144</v>
      </c>
      <c r="AF1233" s="848" t="s">
        <v>144</v>
      </c>
      <c r="AG1233" s="838"/>
      <c r="AH1233" s="866"/>
      <c r="AI1233" s="315"/>
      <c r="AJ1233" s="847"/>
      <c r="AK1233" s="254"/>
      <c r="AL1233" s="281"/>
      <c r="AM1233" s="315"/>
      <c r="AN1233" s="903"/>
      <c r="AO1233" s="916"/>
      <c r="AP1233" s="867"/>
      <c r="AQ1233" s="273"/>
      <c r="AR1233" s="847"/>
      <c r="AS1233" s="848"/>
      <c r="AT1233" s="867"/>
      <c r="AU1233" s="273"/>
      <c r="AV1233" s="847"/>
      <c r="AW1233" s="848"/>
      <c r="AX1233" s="867"/>
      <c r="AY1233" s="273"/>
      <c r="AZ1233" s="847"/>
      <c r="BA1233" s="848"/>
      <c r="BB1233" s="866"/>
      <c r="BC1233" s="273"/>
      <c r="BD1233" s="847"/>
      <c r="BE1233" s="848"/>
      <c r="BF1233" s="838"/>
    </row>
    <row r="1234" spans="1:58" s="87" customFormat="1" ht="54" hidden="1" customHeight="1" x14ac:dyDescent="0.25">
      <c r="A1234" s="267" t="s">
        <v>7374</v>
      </c>
      <c r="B1234" s="268">
        <v>336</v>
      </c>
      <c r="C1234" s="240" t="s">
        <v>5602</v>
      </c>
      <c r="D1234" s="211" t="s">
        <v>5603</v>
      </c>
      <c r="E1234" s="268" t="s">
        <v>8399</v>
      </c>
      <c r="F1234" s="861" t="s">
        <v>6774</v>
      </c>
      <c r="G1234" s="269" t="s">
        <v>6775</v>
      </c>
      <c r="H1234" s="861" t="s">
        <v>6776</v>
      </c>
      <c r="I1234" s="269" t="s">
        <v>6777</v>
      </c>
      <c r="J1234" s="296" t="s">
        <v>140</v>
      </c>
      <c r="K1234" s="297" t="s">
        <v>140</v>
      </c>
      <c r="L1234" s="862" t="s">
        <v>6778</v>
      </c>
      <c r="M1234" s="847" t="s">
        <v>193</v>
      </c>
      <c r="N1234" s="211" t="s">
        <v>194</v>
      </c>
      <c r="O1234" s="240" t="s">
        <v>144</v>
      </c>
      <c r="P1234" s="240" t="s">
        <v>144</v>
      </c>
      <c r="Q1234" s="845" t="s">
        <v>144</v>
      </c>
      <c r="R1234" s="208" t="s">
        <v>144</v>
      </c>
      <c r="S1234" s="864" t="s">
        <v>147</v>
      </c>
      <c r="T1234" s="212" t="s">
        <v>144</v>
      </c>
      <c r="U1234" s="213" t="s">
        <v>144</v>
      </c>
      <c r="V1234" s="847">
        <v>40</v>
      </c>
      <c r="W1234" s="437" t="s">
        <v>144</v>
      </c>
      <c r="X1234" s="212">
        <v>44</v>
      </c>
      <c r="Y1234" s="212" t="s">
        <v>144</v>
      </c>
      <c r="Z1234" s="214" t="s">
        <v>144</v>
      </c>
      <c r="AA1234" s="240" t="s">
        <v>6771</v>
      </c>
      <c r="AB1234" s="206" t="s">
        <v>140</v>
      </c>
      <c r="AC1234" s="847" t="s">
        <v>265</v>
      </c>
      <c r="AD1234" s="847" t="s">
        <v>144</v>
      </c>
      <c r="AE1234" s="847" t="s">
        <v>144</v>
      </c>
      <c r="AF1234" s="848" t="s">
        <v>144</v>
      </c>
      <c r="AG1234" s="838"/>
      <c r="AH1234" s="866"/>
      <c r="AI1234" s="315"/>
      <c r="AJ1234" s="847"/>
      <c r="AK1234" s="847"/>
      <c r="AL1234" s="867"/>
      <c r="AM1234" s="273"/>
      <c r="AN1234" s="847"/>
      <c r="AO1234" s="848"/>
      <c r="AP1234" s="867"/>
      <c r="AQ1234" s="273"/>
      <c r="AR1234" s="847"/>
      <c r="AS1234" s="848"/>
      <c r="AT1234" s="867"/>
      <c r="AU1234" s="273"/>
      <c r="AV1234" s="847"/>
      <c r="AW1234" s="848"/>
      <c r="AX1234" s="867"/>
      <c r="AY1234" s="273"/>
      <c r="AZ1234" s="847"/>
      <c r="BA1234" s="848"/>
      <c r="BB1234" s="866"/>
      <c r="BC1234" s="273"/>
      <c r="BD1234" s="847"/>
      <c r="BE1234" s="848"/>
      <c r="BF1234" s="838"/>
    </row>
    <row r="1235" spans="1:58" s="87" customFormat="1" ht="54" hidden="1" customHeight="1" x14ac:dyDescent="0.25">
      <c r="A1235" s="267" t="s">
        <v>7374</v>
      </c>
      <c r="B1235" s="268">
        <v>337</v>
      </c>
      <c r="C1235" s="240" t="s">
        <v>5602</v>
      </c>
      <c r="D1235" s="211" t="s">
        <v>5603</v>
      </c>
      <c r="E1235" s="268" t="s">
        <v>8400</v>
      </c>
      <c r="F1235" s="861" t="s">
        <v>6780</v>
      </c>
      <c r="G1235" s="269" t="s">
        <v>6781</v>
      </c>
      <c r="H1235" s="861" t="s">
        <v>6782</v>
      </c>
      <c r="I1235" s="269" t="s">
        <v>6783</v>
      </c>
      <c r="J1235" s="296" t="s">
        <v>140</v>
      </c>
      <c r="K1235" s="297" t="s">
        <v>140</v>
      </c>
      <c r="L1235" s="862" t="s">
        <v>6784</v>
      </c>
      <c r="M1235" s="206" t="s">
        <v>193</v>
      </c>
      <c r="N1235" s="211" t="s">
        <v>194</v>
      </c>
      <c r="O1235" s="240" t="s">
        <v>144</v>
      </c>
      <c r="P1235" s="240" t="s">
        <v>144</v>
      </c>
      <c r="Q1235" s="845" t="s">
        <v>144</v>
      </c>
      <c r="R1235" s="208" t="s">
        <v>144</v>
      </c>
      <c r="S1235" s="864" t="s">
        <v>147</v>
      </c>
      <c r="T1235" s="212" t="s">
        <v>144</v>
      </c>
      <c r="U1235" s="213" t="s">
        <v>144</v>
      </c>
      <c r="V1235" s="847">
        <v>40</v>
      </c>
      <c r="W1235" s="437" t="s">
        <v>144</v>
      </c>
      <c r="X1235" s="212">
        <v>44</v>
      </c>
      <c r="Y1235" s="212" t="s">
        <v>144</v>
      </c>
      <c r="Z1235" s="214" t="s">
        <v>144</v>
      </c>
      <c r="AA1235" s="240" t="s">
        <v>6785</v>
      </c>
      <c r="AB1235" s="206" t="s">
        <v>140</v>
      </c>
      <c r="AC1235" s="847" t="s">
        <v>265</v>
      </c>
      <c r="AD1235" s="847" t="s">
        <v>144</v>
      </c>
      <c r="AE1235" s="847" t="s">
        <v>144</v>
      </c>
      <c r="AF1235" s="848" t="s">
        <v>144</v>
      </c>
      <c r="AG1235" s="838"/>
      <c r="AH1235" s="866"/>
      <c r="AI1235" s="273"/>
      <c r="AJ1235" s="847"/>
      <c r="AK1235" s="847"/>
      <c r="AL1235" s="867"/>
      <c r="AM1235" s="273"/>
      <c r="AN1235" s="847"/>
      <c r="AO1235" s="848"/>
      <c r="AP1235" s="867"/>
      <c r="AQ1235" s="273"/>
      <c r="AR1235" s="847"/>
      <c r="AS1235" s="848"/>
      <c r="AT1235" s="867"/>
      <c r="AU1235" s="273"/>
      <c r="AV1235" s="847"/>
      <c r="AW1235" s="848"/>
      <c r="AX1235" s="867"/>
      <c r="AY1235" s="273"/>
      <c r="AZ1235" s="847"/>
      <c r="BA1235" s="848"/>
      <c r="BB1235" s="866"/>
      <c r="BC1235" s="273"/>
      <c r="BD1235" s="847"/>
      <c r="BE1235" s="848"/>
      <c r="BF1235" s="838"/>
    </row>
    <row r="1236" spans="1:58" s="87" customFormat="1" ht="54" hidden="1" customHeight="1" x14ac:dyDescent="0.25">
      <c r="A1236" s="267" t="s">
        <v>7374</v>
      </c>
      <c r="B1236" s="268">
        <v>338</v>
      </c>
      <c r="C1236" s="240" t="s">
        <v>5602</v>
      </c>
      <c r="D1236" s="211" t="s">
        <v>5603</v>
      </c>
      <c r="E1236" s="268" t="s">
        <v>8401</v>
      </c>
      <c r="F1236" s="861" t="s">
        <v>6787</v>
      </c>
      <c r="G1236" s="269" t="s">
        <v>6788</v>
      </c>
      <c r="H1236" s="861" t="s">
        <v>6789</v>
      </c>
      <c r="I1236" s="269" t="s">
        <v>6790</v>
      </c>
      <c r="J1236" s="296" t="s">
        <v>140</v>
      </c>
      <c r="K1236" s="297" t="s">
        <v>140</v>
      </c>
      <c r="L1236" s="862" t="s">
        <v>6791</v>
      </c>
      <c r="M1236" s="206" t="s">
        <v>193</v>
      </c>
      <c r="N1236" s="211" t="s">
        <v>194</v>
      </c>
      <c r="O1236" s="240" t="s">
        <v>144</v>
      </c>
      <c r="P1236" s="240" t="s">
        <v>144</v>
      </c>
      <c r="Q1236" s="845" t="s">
        <v>144</v>
      </c>
      <c r="R1236" s="208" t="s">
        <v>144</v>
      </c>
      <c r="S1236" s="864" t="s">
        <v>147</v>
      </c>
      <c r="T1236" s="212" t="s">
        <v>144</v>
      </c>
      <c r="U1236" s="213" t="s">
        <v>144</v>
      </c>
      <c r="V1236" s="847">
        <v>40</v>
      </c>
      <c r="W1236" s="437" t="s">
        <v>144</v>
      </c>
      <c r="X1236" s="212">
        <v>44</v>
      </c>
      <c r="Y1236" s="212" t="s">
        <v>144</v>
      </c>
      <c r="Z1236" s="214" t="s">
        <v>144</v>
      </c>
      <c r="AA1236" s="240" t="s">
        <v>6771</v>
      </c>
      <c r="AB1236" s="206" t="s">
        <v>140</v>
      </c>
      <c r="AC1236" s="847" t="s">
        <v>265</v>
      </c>
      <c r="AD1236" s="847" t="s">
        <v>144</v>
      </c>
      <c r="AE1236" s="847" t="s">
        <v>144</v>
      </c>
      <c r="AF1236" s="848" t="s">
        <v>144</v>
      </c>
      <c r="AG1236" s="838"/>
      <c r="AH1236" s="866"/>
      <c r="AI1236" s="315"/>
      <c r="AJ1236" s="847"/>
      <c r="AK1236" s="847"/>
      <c r="AL1236" s="867"/>
      <c r="AM1236" s="273"/>
      <c r="AN1236" s="847"/>
      <c r="AO1236" s="848"/>
      <c r="AP1236" s="867"/>
      <c r="AQ1236" s="273"/>
      <c r="AR1236" s="847"/>
      <c r="AS1236" s="848"/>
      <c r="AT1236" s="867"/>
      <c r="AU1236" s="273"/>
      <c r="AV1236" s="847"/>
      <c r="AW1236" s="848"/>
      <c r="AX1236" s="867"/>
      <c r="AY1236" s="273"/>
      <c r="AZ1236" s="847"/>
      <c r="BA1236" s="848"/>
      <c r="BB1236" s="866"/>
      <c r="BC1236" s="273"/>
      <c r="BD1236" s="847"/>
      <c r="BE1236" s="848"/>
      <c r="BF1236" s="838"/>
    </row>
    <row r="1237" spans="1:58" s="87" customFormat="1" ht="54" hidden="1" customHeight="1" x14ac:dyDescent="0.25">
      <c r="A1237" s="267" t="s">
        <v>7374</v>
      </c>
      <c r="B1237" s="268">
        <v>339</v>
      </c>
      <c r="C1237" s="240" t="s">
        <v>5602</v>
      </c>
      <c r="D1237" s="211" t="s">
        <v>5603</v>
      </c>
      <c r="E1237" s="268" t="s">
        <v>8402</v>
      </c>
      <c r="F1237" s="861" t="s">
        <v>6793</v>
      </c>
      <c r="G1237" s="269" t="s">
        <v>6794</v>
      </c>
      <c r="H1237" s="861" t="s">
        <v>6795</v>
      </c>
      <c r="I1237" s="269" t="s">
        <v>6796</v>
      </c>
      <c r="J1237" s="296" t="s">
        <v>140</v>
      </c>
      <c r="K1237" s="297" t="s">
        <v>140</v>
      </c>
      <c r="L1237" s="862" t="s">
        <v>6797</v>
      </c>
      <c r="M1237" s="847" t="s">
        <v>193</v>
      </c>
      <c r="N1237" s="211" t="s">
        <v>194</v>
      </c>
      <c r="O1237" s="240" t="s">
        <v>144</v>
      </c>
      <c r="P1237" s="240" t="s">
        <v>144</v>
      </c>
      <c r="Q1237" s="845" t="s">
        <v>144</v>
      </c>
      <c r="R1237" s="208" t="s">
        <v>144</v>
      </c>
      <c r="S1237" s="864" t="s">
        <v>147</v>
      </c>
      <c r="T1237" s="212" t="s">
        <v>144</v>
      </c>
      <c r="U1237" s="213" t="s">
        <v>144</v>
      </c>
      <c r="V1237" s="847">
        <v>40</v>
      </c>
      <c r="W1237" s="437" t="s">
        <v>144</v>
      </c>
      <c r="X1237" s="212">
        <v>44</v>
      </c>
      <c r="Y1237" s="212" t="s">
        <v>144</v>
      </c>
      <c r="Z1237" s="214" t="s">
        <v>144</v>
      </c>
      <c r="AA1237" s="240" t="s">
        <v>6771</v>
      </c>
      <c r="AB1237" s="206" t="s">
        <v>140</v>
      </c>
      <c r="AC1237" s="847" t="s">
        <v>265</v>
      </c>
      <c r="AD1237" s="847" t="s">
        <v>144</v>
      </c>
      <c r="AE1237" s="847" t="s">
        <v>144</v>
      </c>
      <c r="AF1237" s="848" t="s">
        <v>144</v>
      </c>
      <c r="AG1237" s="838"/>
      <c r="AH1237" s="866"/>
      <c r="AI1237" s="315"/>
      <c r="AJ1237" s="847"/>
      <c r="AK1237" s="847"/>
      <c r="AL1237" s="867"/>
      <c r="AM1237" s="273"/>
      <c r="AN1237" s="847"/>
      <c r="AO1237" s="848"/>
      <c r="AP1237" s="867"/>
      <c r="AQ1237" s="273"/>
      <c r="AR1237" s="847"/>
      <c r="AS1237" s="848"/>
      <c r="AT1237" s="867"/>
      <c r="AU1237" s="273"/>
      <c r="AV1237" s="847"/>
      <c r="AW1237" s="848"/>
      <c r="AX1237" s="867"/>
      <c r="AY1237" s="273"/>
      <c r="AZ1237" s="847"/>
      <c r="BA1237" s="848"/>
      <c r="BB1237" s="866"/>
      <c r="BC1237" s="273"/>
      <c r="BD1237" s="847"/>
      <c r="BE1237" s="848"/>
      <c r="BF1237" s="838"/>
    </row>
    <row r="1238" spans="1:58" s="87" customFormat="1" ht="54" hidden="1" customHeight="1" x14ac:dyDescent="0.25">
      <c r="A1238" s="267" t="s">
        <v>7374</v>
      </c>
      <c r="B1238" s="268">
        <v>340</v>
      </c>
      <c r="C1238" s="240" t="s">
        <v>5602</v>
      </c>
      <c r="D1238" s="211" t="s">
        <v>5603</v>
      </c>
      <c r="E1238" s="268" t="s">
        <v>8403</v>
      </c>
      <c r="F1238" s="861" t="s">
        <v>6799</v>
      </c>
      <c r="G1238" s="269" t="s">
        <v>6800</v>
      </c>
      <c r="H1238" s="861" t="s">
        <v>6801</v>
      </c>
      <c r="I1238" s="269" t="s">
        <v>6802</v>
      </c>
      <c r="J1238" s="296" t="s">
        <v>140</v>
      </c>
      <c r="K1238" s="297" t="s">
        <v>140</v>
      </c>
      <c r="L1238" s="862" t="s">
        <v>6803</v>
      </c>
      <c r="M1238" s="847" t="s">
        <v>193</v>
      </c>
      <c r="N1238" s="211" t="s">
        <v>194</v>
      </c>
      <c r="O1238" s="240" t="s">
        <v>144</v>
      </c>
      <c r="P1238" s="240" t="s">
        <v>144</v>
      </c>
      <c r="Q1238" s="845" t="s">
        <v>144</v>
      </c>
      <c r="R1238" s="208" t="s">
        <v>144</v>
      </c>
      <c r="S1238" s="864" t="s">
        <v>147</v>
      </c>
      <c r="T1238" s="212" t="s">
        <v>144</v>
      </c>
      <c r="U1238" s="213" t="s">
        <v>144</v>
      </c>
      <c r="V1238" s="847">
        <v>40</v>
      </c>
      <c r="W1238" s="437" t="s">
        <v>144</v>
      </c>
      <c r="X1238" s="212">
        <v>44</v>
      </c>
      <c r="Y1238" s="212" t="s">
        <v>144</v>
      </c>
      <c r="Z1238" s="214" t="s">
        <v>144</v>
      </c>
      <c r="AA1238" s="240" t="s">
        <v>6785</v>
      </c>
      <c r="AB1238" s="206" t="s">
        <v>140</v>
      </c>
      <c r="AC1238" s="847" t="s">
        <v>265</v>
      </c>
      <c r="AD1238" s="847" t="s">
        <v>144</v>
      </c>
      <c r="AE1238" s="847" t="s">
        <v>144</v>
      </c>
      <c r="AF1238" s="848" t="s">
        <v>144</v>
      </c>
      <c r="AG1238" s="838"/>
      <c r="AH1238" s="866"/>
      <c r="AI1238" s="315"/>
      <c r="AJ1238" s="847"/>
      <c r="AK1238" s="848"/>
      <c r="AL1238" s="867"/>
      <c r="AM1238" s="273"/>
      <c r="AN1238" s="847"/>
      <c r="AO1238" s="848"/>
      <c r="AP1238" s="867"/>
      <c r="AQ1238" s="273"/>
      <c r="AR1238" s="847"/>
      <c r="AS1238" s="848"/>
      <c r="AT1238" s="867"/>
      <c r="AU1238" s="273"/>
      <c r="AV1238" s="847"/>
      <c r="AW1238" s="848"/>
      <c r="AX1238" s="867"/>
      <c r="AY1238" s="273"/>
      <c r="AZ1238" s="847"/>
      <c r="BA1238" s="848"/>
      <c r="BB1238" s="866"/>
      <c r="BC1238" s="273"/>
      <c r="BD1238" s="847"/>
      <c r="BE1238" s="848"/>
      <c r="BF1238" s="838"/>
    </row>
    <row r="1239" spans="1:58" s="87" customFormat="1" ht="54" hidden="1" customHeight="1" x14ac:dyDescent="0.25">
      <c r="A1239" s="267" t="s">
        <v>7374</v>
      </c>
      <c r="B1239" s="268">
        <v>341</v>
      </c>
      <c r="C1239" s="240" t="s">
        <v>5602</v>
      </c>
      <c r="D1239" s="211" t="s">
        <v>5603</v>
      </c>
      <c r="E1239" s="268" t="s">
        <v>8404</v>
      </c>
      <c r="F1239" s="861" t="s">
        <v>6805</v>
      </c>
      <c r="G1239" s="269" t="s">
        <v>6806</v>
      </c>
      <c r="H1239" s="861" t="s">
        <v>6807</v>
      </c>
      <c r="I1239" s="269" t="s">
        <v>6808</v>
      </c>
      <c r="J1239" s="296" t="s">
        <v>140</v>
      </c>
      <c r="K1239" s="297" t="s">
        <v>140</v>
      </c>
      <c r="L1239" s="862" t="s">
        <v>6809</v>
      </c>
      <c r="M1239" s="847" t="s">
        <v>193</v>
      </c>
      <c r="N1239" s="211" t="s">
        <v>194</v>
      </c>
      <c r="O1239" s="240" t="s">
        <v>144</v>
      </c>
      <c r="P1239" s="240" t="s">
        <v>144</v>
      </c>
      <c r="Q1239" s="845" t="s">
        <v>6810</v>
      </c>
      <c r="R1239" s="208" t="s">
        <v>6811</v>
      </c>
      <c r="S1239" s="864" t="s">
        <v>746</v>
      </c>
      <c r="T1239" s="212" t="s">
        <v>6812</v>
      </c>
      <c r="U1239" s="213" t="s">
        <v>6813</v>
      </c>
      <c r="V1239" s="847">
        <v>11</v>
      </c>
      <c r="W1239" s="437" t="s">
        <v>144</v>
      </c>
      <c r="X1239" s="212">
        <v>44</v>
      </c>
      <c r="Y1239" s="212" t="s">
        <v>144</v>
      </c>
      <c r="Z1239" s="241" t="s">
        <v>144</v>
      </c>
      <c r="AA1239" s="240" t="s">
        <v>6785</v>
      </c>
      <c r="AB1239" s="206" t="s">
        <v>140</v>
      </c>
      <c r="AC1239" s="847" t="s">
        <v>265</v>
      </c>
      <c r="AD1239" s="847" t="s">
        <v>144</v>
      </c>
      <c r="AE1239" s="847" t="s">
        <v>144</v>
      </c>
      <c r="AF1239" s="848" t="s">
        <v>144</v>
      </c>
      <c r="AG1239" s="838"/>
      <c r="AH1239" s="866"/>
      <c r="AI1239" s="273"/>
      <c r="AJ1239" s="847"/>
      <c r="AK1239" s="848"/>
      <c r="AL1239" s="867"/>
      <c r="AM1239" s="273"/>
      <c r="AN1239" s="847"/>
      <c r="AO1239" s="848"/>
      <c r="AP1239" s="867"/>
      <c r="AQ1239" s="273"/>
      <c r="AR1239" s="847"/>
      <c r="AS1239" s="848"/>
      <c r="AT1239" s="867"/>
      <c r="AU1239" s="273"/>
      <c r="AV1239" s="847"/>
      <c r="AW1239" s="848"/>
      <c r="AX1239" s="867"/>
      <c r="AY1239" s="273"/>
      <c r="AZ1239" s="847"/>
      <c r="BA1239" s="848"/>
      <c r="BB1239" s="866"/>
      <c r="BC1239" s="273"/>
      <c r="BD1239" s="847"/>
      <c r="BE1239" s="848"/>
      <c r="BF1239" s="838"/>
    </row>
    <row r="1240" spans="1:58" s="87" customFormat="1" ht="54" hidden="1" customHeight="1" x14ac:dyDescent="0.25">
      <c r="A1240" s="267" t="s">
        <v>7374</v>
      </c>
      <c r="B1240" s="268">
        <v>342</v>
      </c>
      <c r="C1240" s="240" t="s">
        <v>5602</v>
      </c>
      <c r="D1240" s="211" t="s">
        <v>5603</v>
      </c>
      <c r="E1240" s="268" t="s">
        <v>8405</v>
      </c>
      <c r="F1240" s="861" t="s">
        <v>6815</v>
      </c>
      <c r="G1240" s="269" t="s">
        <v>6816</v>
      </c>
      <c r="H1240" s="861" t="s">
        <v>6817</v>
      </c>
      <c r="I1240" s="269" t="s">
        <v>6818</v>
      </c>
      <c r="J1240" s="296" t="s">
        <v>140</v>
      </c>
      <c r="K1240" s="297" t="s">
        <v>140</v>
      </c>
      <c r="L1240" s="862" t="s">
        <v>6819</v>
      </c>
      <c r="M1240" s="847" t="s">
        <v>193</v>
      </c>
      <c r="N1240" s="211" t="s">
        <v>194</v>
      </c>
      <c r="O1240" s="240" t="s">
        <v>144</v>
      </c>
      <c r="P1240" s="240" t="s">
        <v>144</v>
      </c>
      <c r="Q1240" s="845" t="s">
        <v>6820</v>
      </c>
      <c r="R1240" s="208" t="s">
        <v>6821</v>
      </c>
      <c r="S1240" s="864" t="s">
        <v>746</v>
      </c>
      <c r="T1240" s="212" t="s">
        <v>6822</v>
      </c>
      <c r="U1240" s="213" t="s">
        <v>6823</v>
      </c>
      <c r="V1240" s="847">
        <v>12</v>
      </c>
      <c r="W1240" s="437" t="s">
        <v>144</v>
      </c>
      <c r="X1240" s="212">
        <v>44</v>
      </c>
      <c r="Y1240" s="212" t="s">
        <v>144</v>
      </c>
      <c r="Z1240" s="241" t="s">
        <v>144</v>
      </c>
      <c r="AA1240" s="240" t="s">
        <v>6785</v>
      </c>
      <c r="AB1240" s="206" t="s">
        <v>140</v>
      </c>
      <c r="AC1240" s="847" t="s">
        <v>265</v>
      </c>
      <c r="AD1240" s="847" t="s">
        <v>144</v>
      </c>
      <c r="AE1240" s="847" t="s">
        <v>144</v>
      </c>
      <c r="AF1240" s="848" t="s">
        <v>144</v>
      </c>
      <c r="AG1240" s="838"/>
      <c r="AH1240" s="866"/>
      <c r="AI1240" s="273"/>
      <c r="AJ1240" s="847"/>
      <c r="AK1240" s="848"/>
      <c r="AL1240" s="867"/>
      <c r="AM1240" s="273"/>
      <c r="AN1240" s="847"/>
      <c r="AO1240" s="848"/>
      <c r="AP1240" s="867"/>
      <c r="AQ1240" s="273"/>
      <c r="AR1240" s="847"/>
      <c r="AS1240" s="848"/>
      <c r="AT1240" s="867"/>
      <c r="AU1240" s="273"/>
      <c r="AV1240" s="847"/>
      <c r="AW1240" s="848"/>
      <c r="AX1240" s="867"/>
      <c r="AY1240" s="273"/>
      <c r="AZ1240" s="847"/>
      <c r="BA1240" s="848"/>
      <c r="BB1240" s="866"/>
      <c r="BC1240" s="273"/>
      <c r="BD1240" s="847"/>
      <c r="BE1240" s="848"/>
      <c r="BF1240" s="838"/>
    </row>
    <row r="1241" spans="1:58" s="87" customFormat="1" ht="54" hidden="1" customHeight="1" x14ac:dyDescent="0.25">
      <c r="A1241" s="275" t="s">
        <v>7374</v>
      </c>
      <c r="B1241" s="276">
        <v>343</v>
      </c>
      <c r="C1241" s="253" t="s">
        <v>2378</v>
      </c>
      <c r="D1241" s="217" t="s">
        <v>2379</v>
      </c>
      <c r="E1241" s="276" t="s">
        <v>8406</v>
      </c>
      <c r="F1241" s="277" t="s">
        <v>8407</v>
      </c>
      <c r="G1241" s="277" t="s">
        <v>8408</v>
      </c>
      <c r="H1241" s="277" t="s">
        <v>6827</v>
      </c>
      <c r="I1241" s="277" t="s">
        <v>8409</v>
      </c>
      <c r="J1241" s="302" t="s">
        <v>144</v>
      </c>
      <c r="K1241" s="302" t="s">
        <v>144</v>
      </c>
      <c r="L1241" s="718" t="s">
        <v>6829</v>
      </c>
      <c r="M1241" s="217" t="s">
        <v>144</v>
      </c>
      <c r="N1241" s="217" t="s">
        <v>144</v>
      </c>
      <c r="O1241" s="253" t="s">
        <v>6830</v>
      </c>
      <c r="P1241" s="253" t="s">
        <v>8410</v>
      </c>
      <c r="Q1241" s="218" t="s">
        <v>144</v>
      </c>
      <c r="R1241" s="218" t="s">
        <v>144</v>
      </c>
      <c r="S1241" s="276" t="s">
        <v>147</v>
      </c>
      <c r="T1241" s="221" t="s">
        <v>144</v>
      </c>
      <c r="U1241" s="221" t="s">
        <v>144</v>
      </c>
      <c r="V1241" s="253">
        <v>1</v>
      </c>
      <c r="W1241" s="253" t="s">
        <v>144</v>
      </c>
      <c r="X1241" s="221">
        <v>44</v>
      </c>
      <c r="Y1241" s="221">
        <v>44</v>
      </c>
      <c r="Z1241" s="222" t="s">
        <v>144</v>
      </c>
      <c r="AA1241" s="253" t="s">
        <v>6832</v>
      </c>
      <c r="AB1241" s="217" t="s">
        <v>144</v>
      </c>
      <c r="AC1241" s="253" t="s">
        <v>265</v>
      </c>
      <c r="AD1241" s="253" t="s">
        <v>144</v>
      </c>
      <c r="AE1241" s="253" t="s">
        <v>144</v>
      </c>
      <c r="AF1241" s="254" t="s">
        <v>144</v>
      </c>
      <c r="AG1241" s="681"/>
      <c r="AH1241" s="320"/>
      <c r="AI1241" s="378"/>
      <c r="AJ1241" s="322"/>
      <c r="AK1241" s="380"/>
      <c r="AL1241" s="321"/>
      <c r="AM1241" s="321"/>
      <c r="AN1241" s="322"/>
      <c r="AO1241" s="380"/>
      <c r="AP1241" s="321"/>
      <c r="AQ1241" s="321"/>
      <c r="AR1241" s="322"/>
      <c r="AS1241" s="323"/>
      <c r="AT1241" s="321"/>
      <c r="AU1241" s="321"/>
      <c r="AV1241" s="322"/>
      <c r="AW1241" s="323"/>
      <c r="AX1241" s="321"/>
      <c r="AY1241" s="321"/>
      <c r="AZ1241" s="322"/>
      <c r="BA1241" s="323"/>
      <c r="BB1241" s="320"/>
      <c r="BC1241" s="321"/>
      <c r="BD1241" s="322"/>
      <c r="BE1241" s="323"/>
      <c r="BF1241" s="838"/>
    </row>
    <row r="1242" spans="1:58" s="87" customFormat="1" ht="54" hidden="1" customHeight="1" x14ac:dyDescent="0.25">
      <c r="A1242" s="275" t="s">
        <v>7374</v>
      </c>
      <c r="B1242" s="276">
        <v>344</v>
      </c>
      <c r="C1242" s="253" t="s">
        <v>2378</v>
      </c>
      <c r="D1242" s="217" t="s">
        <v>2379</v>
      </c>
      <c r="E1242" s="276" t="s">
        <v>8411</v>
      </c>
      <c r="F1242" s="277" t="s">
        <v>8412</v>
      </c>
      <c r="G1242" s="277" t="s">
        <v>8413</v>
      </c>
      <c r="H1242" s="277" t="s">
        <v>6840</v>
      </c>
      <c r="I1242" s="277" t="s">
        <v>6841</v>
      </c>
      <c r="J1242" s="302" t="s">
        <v>144</v>
      </c>
      <c r="K1242" s="302" t="s">
        <v>144</v>
      </c>
      <c r="L1242" s="718" t="s">
        <v>6842</v>
      </c>
      <c r="M1242" s="217" t="s">
        <v>144</v>
      </c>
      <c r="N1242" s="217" t="s">
        <v>144</v>
      </c>
      <c r="O1242" s="253" t="s">
        <v>6843</v>
      </c>
      <c r="P1242" s="253" t="s">
        <v>8414</v>
      </c>
      <c r="Q1242" s="218" t="s">
        <v>144</v>
      </c>
      <c r="R1242" s="218" t="s">
        <v>144</v>
      </c>
      <c r="S1242" s="276" t="s">
        <v>147</v>
      </c>
      <c r="T1242" s="221" t="s">
        <v>144</v>
      </c>
      <c r="U1242" s="221" t="s">
        <v>144</v>
      </c>
      <c r="V1242" s="253">
        <v>2</v>
      </c>
      <c r="W1242" s="253" t="s">
        <v>144</v>
      </c>
      <c r="X1242" s="221">
        <v>44</v>
      </c>
      <c r="Y1242" s="221">
        <v>44</v>
      </c>
      <c r="Z1242" s="222" t="s">
        <v>144</v>
      </c>
      <c r="AA1242" s="253" t="s">
        <v>6832</v>
      </c>
      <c r="AB1242" s="217" t="s">
        <v>144</v>
      </c>
      <c r="AC1242" s="253" t="s">
        <v>265</v>
      </c>
      <c r="AD1242" s="253" t="s">
        <v>144</v>
      </c>
      <c r="AE1242" s="253" t="s">
        <v>144</v>
      </c>
      <c r="AF1242" s="254" t="s">
        <v>144</v>
      </c>
      <c r="AG1242" s="681"/>
      <c r="AH1242" s="320"/>
      <c r="AI1242" s="321"/>
      <c r="AJ1242" s="322"/>
      <c r="AK1242" s="323"/>
      <c r="AL1242" s="321"/>
      <c r="AM1242" s="321"/>
      <c r="AN1242" s="322"/>
      <c r="AO1242" s="380"/>
      <c r="AP1242" s="321"/>
      <c r="AQ1242" s="321"/>
      <c r="AR1242" s="322"/>
      <c r="AS1242" s="323"/>
      <c r="AT1242" s="321"/>
      <c r="AU1242" s="321"/>
      <c r="AV1242" s="322"/>
      <c r="AW1242" s="323"/>
      <c r="AX1242" s="321"/>
      <c r="AY1242" s="321"/>
      <c r="AZ1242" s="322"/>
      <c r="BA1242" s="323"/>
      <c r="BB1242" s="320"/>
      <c r="BC1242" s="321"/>
      <c r="BD1242" s="322"/>
      <c r="BE1242" s="323"/>
      <c r="BF1242" s="838"/>
    </row>
    <row r="1243" spans="1:58" s="87" customFormat="1" ht="54" hidden="1" customHeight="1" x14ac:dyDescent="0.25">
      <c r="A1243" s="267" t="s">
        <v>7374</v>
      </c>
      <c r="B1243" s="268">
        <v>345</v>
      </c>
      <c r="C1243" s="240" t="s">
        <v>723</v>
      </c>
      <c r="D1243" s="211" t="s">
        <v>723</v>
      </c>
      <c r="E1243" s="268" t="s">
        <v>8415</v>
      </c>
      <c r="F1243" s="861" t="s">
        <v>6867</v>
      </c>
      <c r="G1243" s="269" t="s">
        <v>6868</v>
      </c>
      <c r="H1243" s="861" t="s">
        <v>6869</v>
      </c>
      <c r="I1243" s="269" t="s">
        <v>6870</v>
      </c>
      <c r="J1243" s="296" t="s">
        <v>140</v>
      </c>
      <c r="K1243" s="297" t="s">
        <v>140</v>
      </c>
      <c r="L1243" s="862" t="s">
        <v>6871</v>
      </c>
      <c r="M1243" s="206" t="s">
        <v>973</v>
      </c>
      <c r="N1243" s="211" t="s">
        <v>974</v>
      </c>
      <c r="O1243" s="240" t="s">
        <v>144</v>
      </c>
      <c r="P1243" s="240" t="s">
        <v>144</v>
      </c>
      <c r="Q1243" s="845" t="s">
        <v>144</v>
      </c>
      <c r="R1243" s="208" t="s">
        <v>144</v>
      </c>
      <c r="S1243" s="864" t="s">
        <v>746</v>
      </c>
      <c r="T1243" s="212" t="s">
        <v>1307</v>
      </c>
      <c r="U1243" s="213" t="s">
        <v>1308</v>
      </c>
      <c r="V1243" s="847">
        <v>10</v>
      </c>
      <c r="W1243" s="437" t="s">
        <v>144</v>
      </c>
      <c r="X1243" s="212">
        <v>44</v>
      </c>
      <c r="Y1243" s="212" t="s">
        <v>144</v>
      </c>
      <c r="Z1243" s="214" t="s">
        <v>144</v>
      </c>
      <c r="AA1243" s="240" t="s">
        <v>4543</v>
      </c>
      <c r="AB1243" s="206" t="s">
        <v>140</v>
      </c>
      <c r="AC1243" s="847" t="s">
        <v>265</v>
      </c>
      <c r="AD1243" s="847" t="s">
        <v>144</v>
      </c>
      <c r="AE1243" s="847" t="s">
        <v>144</v>
      </c>
      <c r="AF1243" s="848" t="s">
        <v>144</v>
      </c>
      <c r="AG1243" s="838"/>
      <c r="AH1243" s="884" t="s">
        <v>7963</v>
      </c>
      <c r="AI1243" s="315" t="s">
        <v>7964</v>
      </c>
      <c r="AJ1243" s="847">
        <v>6</v>
      </c>
      <c r="AK1243" s="916" t="s">
        <v>7965</v>
      </c>
      <c r="AL1243" s="867"/>
      <c r="AM1243" s="273"/>
      <c r="AN1243" s="847"/>
      <c r="AO1243" s="848"/>
      <c r="AP1243" s="867"/>
      <c r="AQ1243" s="273"/>
      <c r="AR1243" s="847"/>
      <c r="AS1243" s="848"/>
      <c r="AT1243" s="867"/>
      <c r="AU1243" s="273"/>
      <c r="AV1243" s="847"/>
      <c r="AW1243" s="848"/>
      <c r="AX1243" s="867"/>
      <c r="AY1243" s="273"/>
      <c r="AZ1243" s="847"/>
      <c r="BA1243" s="848"/>
      <c r="BB1243" s="866"/>
      <c r="BC1243" s="273"/>
      <c r="BD1243" s="847"/>
      <c r="BE1243" s="848"/>
      <c r="BF1243" s="838"/>
    </row>
    <row r="1244" spans="1:58" s="87" customFormat="1" ht="54" hidden="1" customHeight="1" x14ac:dyDescent="0.25">
      <c r="A1244" s="267" t="s">
        <v>7374</v>
      </c>
      <c r="B1244" s="268">
        <v>346</v>
      </c>
      <c r="C1244" s="240" t="s">
        <v>723</v>
      </c>
      <c r="D1244" s="211" t="s">
        <v>723</v>
      </c>
      <c r="E1244" s="268" t="s">
        <v>8416</v>
      </c>
      <c r="F1244" s="861" t="s">
        <v>6874</v>
      </c>
      <c r="G1244" s="269" t="s">
        <v>6875</v>
      </c>
      <c r="H1244" s="861" t="s">
        <v>6876</v>
      </c>
      <c r="I1244" s="269" t="s">
        <v>6877</v>
      </c>
      <c r="J1244" s="296" t="s">
        <v>140</v>
      </c>
      <c r="K1244" s="297" t="s">
        <v>140</v>
      </c>
      <c r="L1244" s="862" t="s">
        <v>6878</v>
      </c>
      <c r="M1244" s="206" t="s">
        <v>973</v>
      </c>
      <c r="N1244" s="211" t="s">
        <v>974</v>
      </c>
      <c r="O1244" s="240" t="s">
        <v>144</v>
      </c>
      <c r="P1244" s="240" t="s">
        <v>144</v>
      </c>
      <c r="Q1244" s="845" t="s">
        <v>144</v>
      </c>
      <c r="R1244" s="208" t="s">
        <v>144</v>
      </c>
      <c r="S1244" s="864" t="s">
        <v>746</v>
      </c>
      <c r="T1244" s="212" t="s">
        <v>1307</v>
      </c>
      <c r="U1244" s="213" t="s">
        <v>1308</v>
      </c>
      <c r="V1244" s="847">
        <v>10</v>
      </c>
      <c r="W1244" s="437" t="s">
        <v>144</v>
      </c>
      <c r="X1244" s="212">
        <v>44</v>
      </c>
      <c r="Y1244" s="212" t="s">
        <v>144</v>
      </c>
      <c r="Z1244" s="214" t="s">
        <v>144</v>
      </c>
      <c r="AA1244" s="240" t="s">
        <v>4543</v>
      </c>
      <c r="AB1244" s="206" t="s">
        <v>140</v>
      </c>
      <c r="AC1244" s="847" t="s">
        <v>265</v>
      </c>
      <c r="AD1244" s="847" t="s">
        <v>144</v>
      </c>
      <c r="AE1244" s="847" t="s">
        <v>144</v>
      </c>
      <c r="AF1244" s="848" t="s">
        <v>144</v>
      </c>
      <c r="AG1244" s="838"/>
      <c r="AH1244" s="884" t="s">
        <v>8417</v>
      </c>
      <c r="AI1244" s="315" t="s">
        <v>8418</v>
      </c>
      <c r="AJ1244" s="847">
        <v>6</v>
      </c>
      <c r="AK1244" s="916" t="s">
        <v>8419</v>
      </c>
      <c r="AL1244" s="867"/>
      <c r="AM1244" s="273"/>
      <c r="AN1244" s="847"/>
      <c r="AO1244" s="848"/>
      <c r="AP1244" s="867"/>
      <c r="AQ1244" s="273"/>
      <c r="AR1244" s="847"/>
      <c r="AS1244" s="848"/>
      <c r="AT1244" s="867"/>
      <c r="AU1244" s="273"/>
      <c r="AV1244" s="847"/>
      <c r="AW1244" s="848"/>
      <c r="AX1244" s="867"/>
      <c r="AY1244" s="273"/>
      <c r="AZ1244" s="847"/>
      <c r="BA1244" s="848"/>
      <c r="BB1244" s="866"/>
      <c r="BC1244" s="273"/>
      <c r="BD1244" s="847"/>
      <c r="BE1244" s="848"/>
      <c r="BF1244" s="838"/>
    </row>
    <row r="1245" spans="1:58" s="87" customFormat="1" ht="54" hidden="1" customHeight="1" x14ac:dyDescent="0.25">
      <c r="A1245" s="267" t="s">
        <v>7374</v>
      </c>
      <c r="B1245" s="268">
        <v>347</v>
      </c>
      <c r="C1245" s="240" t="s">
        <v>723</v>
      </c>
      <c r="D1245" s="211" t="s">
        <v>723</v>
      </c>
      <c r="E1245" s="268" t="s">
        <v>8420</v>
      </c>
      <c r="F1245" s="861" t="s">
        <v>6883</v>
      </c>
      <c r="G1245" s="269" t="s">
        <v>6884</v>
      </c>
      <c r="H1245" s="861" t="s">
        <v>6885</v>
      </c>
      <c r="I1245" s="269" t="s">
        <v>6886</v>
      </c>
      <c r="J1245" s="296" t="s">
        <v>140</v>
      </c>
      <c r="K1245" s="297" t="s">
        <v>140</v>
      </c>
      <c r="L1245" s="862" t="s">
        <v>6887</v>
      </c>
      <c r="M1245" s="206" t="s">
        <v>973</v>
      </c>
      <c r="N1245" s="211" t="s">
        <v>974</v>
      </c>
      <c r="O1245" s="240" t="s">
        <v>144</v>
      </c>
      <c r="P1245" s="240" t="s">
        <v>144</v>
      </c>
      <c r="Q1245" s="845" t="s">
        <v>144</v>
      </c>
      <c r="R1245" s="208" t="s">
        <v>144</v>
      </c>
      <c r="S1245" s="864" t="s">
        <v>746</v>
      </c>
      <c r="T1245" s="212" t="s">
        <v>5660</v>
      </c>
      <c r="U1245" s="213" t="s">
        <v>5661</v>
      </c>
      <c r="V1245" s="847">
        <v>15</v>
      </c>
      <c r="W1245" s="437" t="s">
        <v>144</v>
      </c>
      <c r="X1245" s="212">
        <v>44</v>
      </c>
      <c r="Y1245" s="212" t="s">
        <v>144</v>
      </c>
      <c r="Z1245" s="214" t="s">
        <v>144</v>
      </c>
      <c r="AA1245" s="240" t="s">
        <v>4543</v>
      </c>
      <c r="AB1245" s="206" t="s">
        <v>140</v>
      </c>
      <c r="AC1245" s="847" t="s">
        <v>265</v>
      </c>
      <c r="AD1245" s="847" t="s">
        <v>144</v>
      </c>
      <c r="AE1245" s="847" t="s">
        <v>144</v>
      </c>
      <c r="AF1245" s="848" t="s">
        <v>144</v>
      </c>
      <c r="AG1245" s="838"/>
      <c r="AH1245" s="884" t="s">
        <v>8421</v>
      </c>
      <c r="AI1245" s="315" t="s">
        <v>8422</v>
      </c>
      <c r="AJ1245" s="847">
        <v>6</v>
      </c>
      <c r="AK1245" s="916" t="s">
        <v>6890</v>
      </c>
      <c r="AL1245" s="867"/>
      <c r="AM1245" s="273"/>
      <c r="AN1245" s="847"/>
      <c r="AO1245" s="848"/>
      <c r="AP1245" s="867"/>
      <c r="AQ1245" s="273"/>
      <c r="AR1245" s="847"/>
      <c r="AS1245" s="848"/>
      <c r="AT1245" s="867"/>
      <c r="AU1245" s="273"/>
      <c r="AV1245" s="847"/>
      <c r="AW1245" s="848"/>
      <c r="AX1245" s="867"/>
      <c r="AY1245" s="273"/>
      <c r="AZ1245" s="847"/>
      <c r="BA1245" s="848"/>
      <c r="BB1245" s="866"/>
      <c r="BC1245" s="273"/>
      <c r="BD1245" s="847"/>
      <c r="BE1245" s="848"/>
      <c r="BF1245" s="838"/>
    </row>
    <row r="1246" spans="1:58" s="87" customFormat="1" ht="54" hidden="1" customHeight="1" x14ac:dyDescent="0.25">
      <c r="A1246" s="267" t="s">
        <v>7374</v>
      </c>
      <c r="B1246" s="268">
        <v>348</v>
      </c>
      <c r="C1246" s="240" t="s">
        <v>723</v>
      </c>
      <c r="D1246" s="211" t="s">
        <v>723</v>
      </c>
      <c r="E1246" s="268" t="s">
        <v>8423</v>
      </c>
      <c r="F1246" s="861" t="s">
        <v>6892</v>
      </c>
      <c r="G1246" s="269" t="s">
        <v>6893</v>
      </c>
      <c r="H1246" s="861" t="s">
        <v>6894</v>
      </c>
      <c r="I1246" s="269" t="s">
        <v>6895</v>
      </c>
      <c r="J1246" s="296" t="s">
        <v>140</v>
      </c>
      <c r="K1246" s="297" t="s">
        <v>140</v>
      </c>
      <c r="L1246" s="862" t="s">
        <v>6896</v>
      </c>
      <c r="M1246" s="206" t="s">
        <v>973</v>
      </c>
      <c r="N1246" s="211" t="s">
        <v>974</v>
      </c>
      <c r="O1246" s="240" t="s">
        <v>144</v>
      </c>
      <c r="P1246" s="240" t="s">
        <v>144</v>
      </c>
      <c r="Q1246" s="845" t="s">
        <v>144</v>
      </c>
      <c r="R1246" s="208" t="s">
        <v>144</v>
      </c>
      <c r="S1246" s="864" t="s">
        <v>746</v>
      </c>
      <c r="T1246" s="212" t="s">
        <v>5660</v>
      </c>
      <c r="U1246" s="213" t="s">
        <v>5661</v>
      </c>
      <c r="V1246" s="847">
        <v>15</v>
      </c>
      <c r="W1246" s="437" t="s">
        <v>144</v>
      </c>
      <c r="X1246" s="212">
        <v>44</v>
      </c>
      <c r="Y1246" s="212" t="s">
        <v>144</v>
      </c>
      <c r="Z1246" s="214" t="s">
        <v>144</v>
      </c>
      <c r="AA1246" s="240" t="s">
        <v>4543</v>
      </c>
      <c r="AB1246" s="206" t="s">
        <v>140</v>
      </c>
      <c r="AC1246" s="847" t="s">
        <v>265</v>
      </c>
      <c r="AD1246" s="847" t="s">
        <v>144</v>
      </c>
      <c r="AE1246" s="847" t="s">
        <v>144</v>
      </c>
      <c r="AF1246" s="848" t="s">
        <v>144</v>
      </c>
      <c r="AG1246" s="838"/>
      <c r="AH1246" s="884" t="s">
        <v>8421</v>
      </c>
      <c r="AI1246" s="315" t="s">
        <v>8422</v>
      </c>
      <c r="AJ1246" s="847">
        <v>6</v>
      </c>
      <c r="AK1246" s="916" t="s">
        <v>6890</v>
      </c>
      <c r="AL1246" s="867"/>
      <c r="AM1246" s="273"/>
      <c r="AN1246" s="847"/>
      <c r="AO1246" s="848"/>
      <c r="AP1246" s="867"/>
      <c r="AQ1246" s="273"/>
      <c r="AR1246" s="847"/>
      <c r="AS1246" s="848"/>
      <c r="AT1246" s="867"/>
      <c r="AU1246" s="273"/>
      <c r="AV1246" s="847"/>
      <c r="AW1246" s="848"/>
      <c r="AX1246" s="867"/>
      <c r="AY1246" s="273"/>
      <c r="AZ1246" s="847"/>
      <c r="BA1246" s="848"/>
      <c r="BB1246" s="866"/>
      <c r="BC1246" s="273"/>
      <c r="BD1246" s="847"/>
      <c r="BE1246" s="848"/>
      <c r="BF1246" s="838"/>
    </row>
    <row r="1247" spans="1:58" s="87" customFormat="1" ht="54" hidden="1" customHeight="1" x14ac:dyDescent="0.25">
      <c r="A1247" s="267" t="s">
        <v>7374</v>
      </c>
      <c r="B1247" s="268">
        <v>349</v>
      </c>
      <c r="C1247" s="240" t="s">
        <v>6404</v>
      </c>
      <c r="D1247" s="211" t="s">
        <v>6405</v>
      </c>
      <c r="E1247" s="268" t="s">
        <v>8424</v>
      </c>
      <c r="F1247" s="861" t="s">
        <v>6898</v>
      </c>
      <c r="G1247" s="269" t="s">
        <v>6899</v>
      </c>
      <c r="H1247" s="861" t="s">
        <v>6900</v>
      </c>
      <c r="I1247" s="269" t="s">
        <v>6901</v>
      </c>
      <c r="J1247" s="296" t="s">
        <v>140</v>
      </c>
      <c r="K1247" s="297" t="s">
        <v>140</v>
      </c>
      <c r="L1247" s="862" t="s">
        <v>6902</v>
      </c>
      <c r="M1247" s="206" t="s">
        <v>973</v>
      </c>
      <c r="N1247" s="211" t="s">
        <v>974</v>
      </c>
      <c r="O1247" s="240" t="s">
        <v>144</v>
      </c>
      <c r="P1247" s="240" t="s">
        <v>144</v>
      </c>
      <c r="Q1247" s="845" t="s">
        <v>144</v>
      </c>
      <c r="R1247" s="208" t="s">
        <v>144</v>
      </c>
      <c r="S1247" s="864" t="s">
        <v>746</v>
      </c>
      <c r="T1247" s="212" t="s">
        <v>5660</v>
      </c>
      <c r="U1247" s="213" t="s">
        <v>5661</v>
      </c>
      <c r="V1247" s="847">
        <v>15</v>
      </c>
      <c r="W1247" s="437" t="s">
        <v>144</v>
      </c>
      <c r="X1247" s="212">
        <v>44</v>
      </c>
      <c r="Y1247" s="212" t="s">
        <v>144</v>
      </c>
      <c r="Z1247" s="214" t="s">
        <v>144</v>
      </c>
      <c r="AA1247" s="240" t="s">
        <v>4543</v>
      </c>
      <c r="AB1247" s="206" t="s">
        <v>140</v>
      </c>
      <c r="AC1247" s="847" t="s">
        <v>265</v>
      </c>
      <c r="AD1247" s="847" t="s">
        <v>144</v>
      </c>
      <c r="AE1247" s="847" t="s">
        <v>144</v>
      </c>
      <c r="AF1247" s="848" t="s">
        <v>144</v>
      </c>
      <c r="AG1247" s="838"/>
      <c r="AH1247" s="884" t="s">
        <v>8421</v>
      </c>
      <c r="AI1247" s="315" t="s">
        <v>8422</v>
      </c>
      <c r="AJ1247" s="847">
        <v>6</v>
      </c>
      <c r="AK1247" s="916" t="s">
        <v>6890</v>
      </c>
      <c r="AL1247" s="867"/>
      <c r="AM1247" s="273"/>
      <c r="AN1247" s="847"/>
      <c r="AO1247" s="848"/>
      <c r="AP1247" s="867"/>
      <c r="AQ1247" s="273"/>
      <c r="AR1247" s="847"/>
      <c r="AS1247" s="848"/>
      <c r="AT1247" s="867"/>
      <c r="AU1247" s="273"/>
      <c r="AV1247" s="847"/>
      <c r="AW1247" s="848"/>
      <c r="AX1247" s="867"/>
      <c r="AY1247" s="273"/>
      <c r="AZ1247" s="847"/>
      <c r="BA1247" s="848"/>
      <c r="BB1247" s="866"/>
      <c r="BC1247" s="273"/>
      <c r="BD1247" s="847"/>
      <c r="BE1247" s="848"/>
      <c r="BF1247" s="838"/>
    </row>
    <row r="1248" spans="1:58" s="87" customFormat="1" ht="54" hidden="1" customHeight="1" x14ac:dyDescent="0.25">
      <c r="A1248" s="267" t="s">
        <v>7374</v>
      </c>
      <c r="B1248" s="268">
        <v>350</v>
      </c>
      <c r="C1248" s="240" t="s">
        <v>6404</v>
      </c>
      <c r="D1248" s="211" t="s">
        <v>6405</v>
      </c>
      <c r="E1248" s="268" t="s">
        <v>8425</v>
      </c>
      <c r="F1248" s="861" t="s">
        <v>6904</v>
      </c>
      <c r="G1248" s="269" t="s">
        <v>6905</v>
      </c>
      <c r="H1248" s="861" t="s">
        <v>6906</v>
      </c>
      <c r="I1248" s="269" t="s">
        <v>6907</v>
      </c>
      <c r="J1248" s="296" t="s">
        <v>140</v>
      </c>
      <c r="K1248" s="297" t="s">
        <v>140</v>
      </c>
      <c r="L1248" s="862" t="s">
        <v>6908</v>
      </c>
      <c r="M1248" s="847" t="s">
        <v>193</v>
      </c>
      <c r="N1248" s="211" t="s">
        <v>194</v>
      </c>
      <c r="O1248" s="240" t="s">
        <v>6909</v>
      </c>
      <c r="P1248" s="240" t="s">
        <v>6910</v>
      </c>
      <c r="Q1248" s="845" t="s">
        <v>144</v>
      </c>
      <c r="R1248" s="208" t="s">
        <v>144</v>
      </c>
      <c r="S1248" s="864" t="s">
        <v>147</v>
      </c>
      <c r="T1248" s="212" t="s">
        <v>144</v>
      </c>
      <c r="U1248" s="213" t="s">
        <v>144</v>
      </c>
      <c r="V1248" s="847">
        <v>1</v>
      </c>
      <c r="W1248" s="437" t="s">
        <v>144</v>
      </c>
      <c r="X1248" s="212">
        <v>44</v>
      </c>
      <c r="Y1248" s="212" t="s">
        <v>144</v>
      </c>
      <c r="Z1248" s="252" t="s">
        <v>144</v>
      </c>
      <c r="AA1248" s="240" t="s">
        <v>4543</v>
      </c>
      <c r="AB1248" s="206" t="s">
        <v>140</v>
      </c>
      <c r="AC1248" s="847" t="s">
        <v>265</v>
      </c>
      <c r="AD1248" s="847" t="s">
        <v>144</v>
      </c>
      <c r="AE1248" s="847" t="s">
        <v>144</v>
      </c>
      <c r="AF1248" s="848" t="s">
        <v>144</v>
      </c>
      <c r="AG1248" s="838"/>
      <c r="AH1248" s="884"/>
      <c r="AI1248" s="315"/>
      <c r="AJ1248" s="847"/>
      <c r="AK1248" s="916"/>
      <c r="AL1248" s="867" t="s">
        <v>294</v>
      </c>
      <c r="AM1248" s="273" t="s">
        <v>295</v>
      </c>
      <c r="AN1248" s="847">
        <v>7</v>
      </c>
      <c r="AO1248" s="187" t="s">
        <v>966</v>
      </c>
      <c r="AP1248" s="867"/>
      <c r="AQ1248" s="273"/>
      <c r="AR1248" s="847"/>
      <c r="AS1248" s="848"/>
      <c r="AT1248" s="867"/>
      <c r="AU1248" s="273"/>
      <c r="AV1248" s="847"/>
      <c r="AW1248" s="848"/>
      <c r="AX1248" s="867"/>
      <c r="AY1248" s="273"/>
      <c r="AZ1248" s="847"/>
      <c r="BA1248" s="848"/>
      <c r="BB1248" s="866"/>
      <c r="BC1248" s="273"/>
      <c r="BD1248" s="847"/>
      <c r="BE1248" s="848"/>
      <c r="BF1248" s="838"/>
    </row>
    <row r="1249" spans="1:58" s="87" customFormat="1" ht="54" hidden="1" customHeight="1" x14ac:dyDescent="0.25">
      <c r="A1249" s="267" t="s">
        <v>7374</v>
      </c>
      <c r="B1249" s="268">
        <v>351</v>
      </c>
      <c r="C1249" s="240" t="s">
        <v>6404</v>
      </c>
      <c r="D1249" s="211" t="s">
        <v>6405</v>
      </c>
      <c r="E1249" s="268" t="s">
        <v>8426</v>
      </c>
      <c r="F1249" s="861" t="s">
        <v>6912</v>
      </c>
      <c r="G1249" s="269" t="s">
        <v>6913</v>
      </c>
      <c r="H1249" s="861" t="s">
        <v>6914</v>
      </c>
      <c r="I1249" s="269" t="s">
        <v>6915</v>
      </c>
      <c r="J1249" s="296" t="s">
        <v>140</v>
      </c>
      <c r="K1249" s="297" t="s">
        <v>140</v>
      </c>
      <c r="L1249" s="862" t="s">
        <v>6916</v>
      </c>
      <c r="M1249" s="847" t="s">
        <v>193</v>
      </c>
      <c r="N1249" s="211" t="s">
        <v>194</v>
      </c>
      <c r="O1249" s="240" t="s">
        <v>6917</v>
      </c>
      <c r="P1249" s="240" t="s">
        <v>6918</v>
      </c>
      <c r="Q1249" s="845" t="s">
        <v>144</v>
      </c>
      <c r="R1249" s="208" t="s">
        <v>144</v>
      </c>
      <c r="S1249" s="864" t="s">
        <v>147</v>
      </c>
      <c r="T1249" s="212" t="s">
        <v>144</v>
      </c>
      <c r="U1249" s="213" t="s">
        <v>144</v>
      </c>
      <c r="V1249" s="847">
        <v>1</v>
      </c>
      <c r="W1249" s="437" t="s">
        <v>144</v>
      </c>
      <c r="X1249" s="212">
        <v>44</v>
      </c>
      <c r="Y1249" s="212" t="s">
        <v>144</v>
      </c>
      <c r="Z1249" s="214" t="s">
        <v>144</v>
      </c>
      <c r="AA1249" s="240" t="s">
        <v>4543</v>
      </c>
      <c r="AB1249" s="206" t="s">
        <v>140</v>
      </c>
      <c r="AC1249" s="847" t="s">
        <v>265</v>
      </c>
      <c r="AD1249" s="847" t="s">
        <v>144</v>
      </c>
      <c r="AE1249" s="847" t="s">
        <v>144</v>
      </c>
      <c r="AF1249" s="848" t="s">
        <v>144</v>
      </c>
      <c r="AG1249" s="838"/>
      <c r="AH1249" s="884"/>
      <c r="AI1249" s="315"/>
      <c r="AJ1249" s="847"/>
      <c r="AK1249" s="916"/>
      <c r="AL1249" s="867" t="s">
        <v>294</v>
      </c>
      <c r="AM1249" s="273" t="s">
        <v>295</v>
      </c>
      <c r="AN1249" s="847">
        <v>7</v>
      </c>
      <c r="AO1249" s="187" t="s">
        <v>966</v>
      </c>
      <c r="AP1249" s="867"/>
      <c r="AQ1249" s="273"/>
      <c r="AR1249" s="847"/>
      <c r="AS1249" s="848"/>
      <c r="AT1249" s="867"/>
      <c r="AU1249" s="273"/>
      <c r="AV1249" s="847"/>
      <c r="AW1249" s="848"/>
      <c r="AX1249" s="867"/>
      <c r="AY1249" s="273"/>
      <c r="AZ1249" s="847"/>
      <c r="BA1249" s="848"/>
      <c r="BB1249" s="866"/>
      <c r="BC1249" s="273"/>
      <c r="BD1249" s="847"/>
      <c r="BE1249" s="848"/>
      <c r="BF1249" s="838"/>
    </row>
    <row r="1250" spans="1:58" s="87" customFormat="1" ht="54" hidden="1" customHeight="1" x14ac:dyDescent="0.25">
      <c r="A1250" s="267" t="s">
        <v>7374</v>
      </c>
      <c r="B1250" s="268">
        <v>352</v>
      </c>
      <c r="C1250" s="240" t="s">
        <v>1955</v>
      </c>
      <c r="D1250" s="211" t="s">
        <v>1956</v>
      </c>
      <c r="E1250" s="268" t="s">
        <v>8427</v>
      </c>
      <c r="F1250" s="861" t="s">
        <v>6920</v>
      </c>
      <c r="G1250" s="269" t="s">
        <v>6921</v>
      </c>
      <c r="H1250" s="861" t="s">
        <v>6922</v>
      </c>
      <c r="I1250" s="269" t="s">
        <v>6923</v>
      </c>
      <c r="J1250" s="296" t="s">
        <v>140</v>
      </c>
      <c r="K1250" s="297" t="s">
        <v>140</v>
      </c>
      <c r="L1250" s="862" t="s">
        <v>6924</v>
      </c>
      <c r="M1250" s="847" t="s">
        <v>193</v>
      </c>
      <c r="N1250" s="211" t="s">
        <v>194</v>
      </c>
      <c r="O1250" s="240" t="s">
        <v>6925</v>
      </c>
      <c r="P1250" s="240" t="s">
        <v>6926</v>
      </c>
      <c r="Q1250" s="845" t="s">
        <v>144</v>
      </c>
      <c r="R1250" s="208" t="s">
        <v>144</v>
      </c>
      <c r="S1250" s="864" t="s">
        <v>147</v>
      </c>
      <c r="T1250" s="212" t="s">
        <v>144</v>
      </c>
      <c r="U1250" s="213" t="s">
        <v>144</v>
      </c>
      <c r="V1250" s="847">
        <v>1</v>
      </c>
      <c r="W1250" s="437" t="s">
        <v>144</v>
      </c>
      <c r="X1250" s="212">
        <v>44</v>
      </c>
      <c r="Y1250" s="212" t="s">
        <v>144</v>
      </c>
      <c r="Z1250" s="252" t="s">
        <v>144</v>
      </c>
      <c r="AA1250" s="240" t="s">
        <v>398</v>
      </c>
      <c r="AB1250" s="206" t="s">
        <v>140</v>
      </c>
      <c r="AC1250" s="847" t="s">
        <v>265</v>
      </c>
      <c r="AD1250" s="847" t="s">
        <v>144</v>
      </c>
      <c r="AE1250" s="847" t="s">
        <v>144</v>
      </c>
      <c r="AF1250" s="848" t="s">
        <v>144</v>
      </c>
      <c r="AG1250" s="838"/>
      <c r="AH1250" s="866"/>
      <c r="AI1250" s="273"/>
      <c r="AJ1250" s="847"/>
      <c r="AK1250" s="848"/>
      <c r="AL1250" s="867" t="s">
        <v>294</v>
      </c>
      <c r="AM1250" s="273" t="s">
        <v>295</v>
      </c>
      <c r="AN1250" s="847">
        <v>7</v>
      </c>
      <c r="AO1250" s="187" t="s">
        <v>966</v>
      </c>
      <c r="AP1250" s="867"/>
      <c r="AQ1250" s="273"/>
      <c r="AR1250" s="847"/>
      <c r="AS1250" s="848"/>
      <c r="AT1250" s="867"/>
      <c r="AU1250" s="273"/>
      <c r="AV1250" s="847"/>
      <c r="AW1250" s="848"/>
      <c r="AX1250" s="867"/>
      <c r="AY1250" s="273"/>
      <c r="AZ1250" s="847"/>
      <c r="BA1250" s="848"/>
      <c r="BB1250" s="866"/>
      <c r="BC1250" s="273"/>
      <c r="BD1250" s="847"/>
      <c r="BE1250" s="848"/>
      <c r="BF1250" s="838"/>
    </row>
    <row r="1251" spans="1:58" s="87" customFormat="1" ht="54" hidden="1" customHeight="1" x14ac:dyDescent="0.25">
      <c r="A1251" s="275" t="s">
        <v>7374</v>
      </c>
      <c r="B1251" s="276">
        <v>353</v>
      </c>
      <c r="C1251" s="253" t="s">
        <v>1022</v>
      </c>
      <c r="D1251" s="217" t="s">
        <v>1023</v>
      </c>
      <c r="E1251" s="276" t="s">
        <v>8428</v>
      </c>
      <c r="F1251" s="277" t="s">
        <v>6952</v>
      </c>
      <c r="G1251" s="277" t="s">
        <v>6953</v>
      </c>
      <c r="H1251" s="277" t="s">
        <v>6952</v>
      </c>
      <c r="I1251" s="277" t="s">
        <v>6953</v>
      </c>
      <c r="J1251" s="302" t="s">
        <v>144</v>
      </c>
      <c r="K1251" s="302" t="s">
        <v>144</v>
      </c>
      <c r="L1251" s="718" t="s">
        <v>6954</v>
      </c>
      <c r="M1251" s="253" t="s">
        <v>144</v>
      </c>
      <c r="N1251" s="253" t="s">
        <v>144</v>
      </c>
      <c r="O1251" s="253" t="s">
        <v>144</v>
      </c>
      <c r="P1251" s="253" t="s">
        <v>144</v>
      </c>
      <c r="Q1251" s="218" t="s">
        <v>144</v>
      </c>
      <c r="R1251" s="218" t="s">
        <v>144</v>
      </c>
      <c r="S1251" s="276" t="s">
        <v>147</v>
      </c>
      <c r="T1251" s="221" t="s">
        <v>144</v>
      </c>
      <c r="U1251" s="221" t="s">
        <v>144</v>
      </c>
      <c r="V1251" s="253">
        <v>20</v>
      </c>
      <c r="W1251" s="253" t="s">
        <v>144</v>
      </c>
      <c r="X1251" s="221">
        <v>44</v>
      </c>
      <c r="Y1251" s="374" t="s">
        <v>6955</v>
      </c>
      <c r="Z1251" s="222" t="s">
        <v>144</v>
      </c>
      <c r="AA1251" s="253" t="s">
        <v>5836</v>
      </c>
      <c r="AB1251" s="217" t="s">
        <v>144</v>
      </c>
      <c r="AC1251" s="253" t="s">
        <v>265</v>
      </c>
      <c r="AD1251" s="253" t="s">
        <v>144</v>
      </c>
      <c r="AE1251" s="253" t="s">
        <v>144</v>
      </c>
      <c r="AF1251" s="254" t="s">
        <v>144</v>
      </c>
      <c r="AG1251" s="838"/>
      <c r="AH1251" s="884"/>
      <c r="AI1251" s="315"/>
      <c r="AJ1251" s="847"/>
      <c r="AK1251" s="848"/>
      <c r="AL1251" s="867"/>
      <c r="AM1251" s="273"/>
      <c r="AN1251" s="847"/>
      <c r="AO1251" s="848"/>
      <c r="AP1251" s="867"/>
      <c r="AQ1251" s="273"/>
      <c r="AR1251" s="847"/>
      <c r="AS1251" s="848"/>
      <c r="AT1251" s="867"/>
      <c r="AU1251" s="273"/>
      <c r="AV1251" s="847"/>
      <c r="AW1251" s="848"/>
      <c r="AX1251" s="867"/>
      <c r="AY1251" s="273"/>
      <c r="AZ1251" s="847"/>
      <c r="BA1251" s="848"/>
      <c r="BB1251" s="866"/>
      <c r="BC1251" s="273"/>
      <c r="BD1251" s="847"/>
      <c r="BE1251" s="848"/>
      <c r="BF1251" s="838"/>
    </row>
    <row r="1252" spans="1:58" s="87" customFormat="1" ht="54" hidden="1" customHeight="1" x14ac:dyDescent="0.25">
      <c r="A1252" s="275" t="s">
        <v>7374</v>
      </c>
      <c r="B1252" s="276">
        <v>354</v>
      </c>
      <c r="C1252" s="253" t="s">
        <v>1022</v>
      </c>
      <c r="D1252" s="217" t="s">
        <v>1023</v>
      </c>
      <c r="E1252" s="276" t="s">
        <v>8429</v>
      </c>
      <c r="F1252" s="277" t="s">
        <v>6957</v>
      </c>
      <c r="G1252" s="277" t="s">
        <v>6958</v>
      </c>
      <c r="H1252" s="277" t="s">
        <v>6957</v>
      </c>
      <c r="I1252" s="277" t="s">
        <v>6958</v>
      </c>
      <c r="J1252" s="302" t="s">
        <v>144</v>
      </c>
      <c r="K1252" s="302" t="s">
        <v>144</v>
      </c>
      <c r="L1252" s="718" t="s">
        <v>6959</v>
      </c>
      <c r="M1252" s="253" t="s">
        <v>144</v>
      </c>
      <c r="N1252" s="253" t="s">
        <v>144</v>
      </c>
      <c r="O1252" s="253" t="s">
        <v>144</v>
      </c>
      <c r="P1252" s="253" t="s">
        <v>144</v>
      </c>
      <c r="Q1252" s="218" t="s">
        <v>144</v>
      </c>
      <c r="R1252" s="218" t="s">
        <v>144</v>
      </c>
      <c r="S1252" s="276" t="s">
        <v>746</v>
      </c>
      <c r="T1252" s="221" t="s">
        <v>1104</v>
      </c>
      <c r="U1252" s="221" t="s">
        <v>1105</v>
      </c>
      <c r="V1252" s="253">
        <v>19</v>
      </c>
      <c r="W1252" s="253" t="s">
        <v>144</v>
      </c>
      <c r="X1252" s="221">
        <v>44</v>
      </c>
      <c r="Y1252" s="374" t="s">
        <v>6955</v>
      </c>
      <c r="Z1252" s="222" t="s">
        <v>144</v>
      </c>
      <c r="AA1252" s="253" t="s">
        <v>5836</v>
      </c>
      <c r="AB1252" s="217" t="s">
        <v>144</v>
      </c>
      <c r="AC1252" s="253" t="s">
        <v>265</v>
      </c>
      <c r="AD1252" s="253" t="s">
        <v>144</v>
      </c>
      <c r="AE1252" s="253" t="s">
        <v>144</v>
      </c>
      <c r="AF1252" s="254" t="s">
        <v>144</v>
      </c>
      <c r="AG1252" s="838"/>
      <c r="AH1252" s="884"/>
      <c r="AI1252" s="315"/>
      <c r="AJ1252" s="847"/>
      <c r="AK1252" s="848"/>
      <c r="AL1252" s="867"/>
      <c r="AM1252" s="273"/>
      <c r="AN1252" s="847"/>
      <c r="AO1252" s="848"/>
      <c r="AP1252" s="867"/>
      <c r="AQ1252" s="273"/>
      <c r="AR1252" s="847"/>
      <c r="AS1252" s="848"/>
      <c r="AT1252" s="867"/>
      <c r="AU1252" s="273"/>
      <c r="AV1252" s="847"/>
      <c r="AW1252" s="848"/>
      <c r="AX1252" s="867"/>
      <c r="AY1252" s="273"/>
      <c r="AZ1252" s="847"/>
      <c r="BA1252" s="848"/>
      <c r="BB1252" s="866"/>
      <c r="BC1252" s="273"/>
      <c r="BD1252" s="847"/>
      <c r="BE1252" s="848"/>
      <c r="BF1252" s="838"/>
    </row>
    <row r="1253" spans="1:58" s="87" customFormat="1" ht="54" hidden="1" customHeight="1" x14ac:dyDescent="0.25">
      <c r="A1253" s="275" t="s">
        <v>7374</v>
      </c>
      <c r="B1253" s="276">
        <v>355</v>
      </c>
      <c r="C1253" s="253" t="s">
        <v>1022</v>
      </c>
      <c r="D1253" s="217" t="s">
        <v>1023</v>
      </c>
      <c r="E1253" s="276" t="s">
        <v>8430</v>
      </c>
      <c r="F1253" s="277" t="s">
        <v>6961</v>
      </c>
      <c r="G1253" s="277" t="s">
        <v>6962</v>
      </c>
      <c r="H1253" s="277" t="s">
        <v>6961</v>
      </c>
      <c r="I1253" s="277" t="s">
        <v>6962</v>
      </c>
      <c r="J1253" s="302" t="s">
        <v>144</v>
      </c>
      <c r="K1253" s="302" t="s">
        <v>144</v>
      </c>
      <c r="L1253" s="718" t="s">
        <v>6963</v>
      </c>
      <c r="M1253" s="253" t="s">
        <v>144</v>
      </c>
      <c r="N1253" s="253" t="s">
        <v>144</v>
      </c>
      <c r="O1253" s="253" t="s">
        <v>814</v>
      </c>
      <c r="P1253" s="253" t="s">
        <v>815</v>
      </c>
      <c r="Q1253" s="218" t="s">
        <v>144</v>
      </c>
      <c r="R1253" s="218" t="s">
        <v>144</v>
      </c>
      <c r="S1253" s="276" t="s">
        <v>147</v>
      </c>
      <c r="T1253" s="221" t="s">
        <v>144</v>
      </c>
      <c r="U1253" s="221" t="s">
        <v>144</v>
      </c>
      <c r="V1253" s="253">
        <v>3</v>
      </c>
      <c r="W1253" s="253" t="s">
        <v>144</v>
      </c>
      <c r="X1253" s="221">
        <v>44</v>
      </c>
      <c r="Y1253" s="374" t="s">
        <v>6955</v>
      </c>
      <c r="Z1253" s="222" t="s">
        <v>144</v>
      </c>
      <c r="AA1253" s="253" t="s">
        <v>5836</v>
      </c>
      <c r="AB1253" s="217" t="s">
        <v>144</v>
      </c>
      <c r="AC1253" s="253" t="s">
        <v>265</v>
      </c>
      <c r="AD1253" s="253" t="s">
        <v>144</v>
      </c>
      <c r="AE1253" s="253" t="s">
        <v>144</v>
      </c>
      <c r="AF1253" s="254" t="s">
        <v>144</v>
      </c>
      <c r="AG1253" s="838"/>
      <c r="AH1253" s="866"/>
      <c r="AI1253" s="273"/>
      <c r="AJ1253" s="847"/>
      <c r="AK1253" s="848"/>
      <c r="AL1253" s="915"/>
      <c r="AM1253" s="315"/>
      <c r="AN1253" s="903"/>
      <c r="AO1253" s="916"/>
      <c r="AP1253" s="867"/>
      <c r="AQ1253" s="273"/>
      <c r="AR1253" s="847"/>
      <c r="AS1253" s="848"/>
      <c r="AT1253" s="867"/>
      <c r="AU1253" s="273"/>
      <c r="AV1253" s="847"/>
      <c r="AW1253" s="848"/>
      <c r="AX1253" s="867"/>
      <c r="AY1253" s="273"/>
      <c r="AZ1253" s="847"/>
      <c r="BA1253" s="848"/>
      <c r="BB1253" s="866"/>
      <c r="BC1253" s="273"/>
      <c r="BD1253" s="847"/>
      <c r="BE1253" s="848"/>
      <c r="BF1253" s="838"/>
    </row>
    <row r="1254" spans="1:58" s="87" customFormat="1" ht="54" hidden="1" customHeight="1" x14ac:dyDescent="0.25">
      <c r="A1254" s="619" t="s">
        <v>7374</v>
      </c>
      <c r="B1254" s="619">
        <v>356</v>
      </c>
      <c r="C1254" s="620" t="s">
        <v>1022</v>
      </c>
      <c r="D1254" s="621" t="s">
        <v>1023</v>
      </c>
      <c r="E1254" s="619" t="s">
        <v>8431</v>
      </c>
      <c r="F1254" s="622" t="s">
        <v>6965</v>
      </c>
      <c r="G1254" s="623" t="s">
        <v>6966</v>
      </c>
      <c r="H1254" s="622" t="s">
        <v>6967</v>
      </c>
      <c r="I1254" s="623" t="s">
        <v>6968</v>
      </c>
      <c r="J1254" s="619" t="s">
        <v>140</v>
      </c>
      <c r="K1254" s="624" t="s">
        <v>140</v>
      </c>
      <c r="L1254" s="805" t="s">
        <v>6969</v>
      </c>
      <c r="M1254" s="620" t="s">
        <v>973</v>
      </c>
      <c r="N1254" s="621" t="s">
        <v>974</v>
      </c>
      <c r="O1254" s="619" t="s">
        <v>144</v>
      </c>
      <c r="P1254" s="619" t="s">
        <v>144</v>
      </c>
      <c r="Q1254" s="622" t="s">
        <v>6970</v>
      </c>
      <c r="R1254" s="623" t="s">
        <v>6971</v>
      </c>
      <c r="S1254" s="619" t="s">
        <v>233</v>
      </c>
      <c r="T1254" s="619" t="s">
        <v>234</v>
      </c>
      <c r="U1254" s="624" t="s">
        <v>235</v>
      </c>
      <c r="V1254" s="619">
        <v>8</v>
      </c>
      <c r="W1254" s="619" t="s">
        <v>144</v>
      </c>
      <c r="X1254" s="625" t="s">
        <v>2285</v>
      </c>
      <c r="Y1254" s="619" t="s">
        <v>144</v>
      </c>
      <c r="Z1254" s="625" t="s">
        <v>29</v>
      </c>
      <c r="AA1254" s="620" t="s">
        <v>398</v>
      </c>
      <c r="AB1254" s="620" t="s">
        <v>140</v>
      </c>
      <c r="AC1254" s="619" t="s">
        <v>265</v>
      </c>
      <c r="AD1254" s="620" t="s">
        <v>6972</v>
      </c>
      <c r="AE1254" s="619" t="s">
        <v>144</v>
      </c>
      <c r="AF1254" s="626" t="s">
        <v>144</v>
      </c>
      <c r="AG1254" s="49"/>
      <c r="AH1254" s="627" t="s">
        <v>6982</v>
      </c>
      <c r="AI1254" s="623" t="s">
        <v>8432</v>
      </c>
      <c r="AJ1254" s="619">
        <v>6</v>
      </c>
      <c r="AK1254" s="776" t="s">
        <v>8433</v>
      </c>
      <c r="AL1254" s="629"/>
      <c r="AM1254" s="623"/>
      <c r="AN1254" s="619"/>
      <c r="AO1254" s="626"/>
      <c r="AP1254" s="630" t="s">
        <v>1160</v>
      </c>
      <c r="AQ1254" s="631" t="s">
        <v>1161</v>
      </c>
      <c r="AR1254" s="632">
        <v>7</v>
      </c>
      <c r="AS1254" s="633" t="s">
        <v>1162</v>
      </c>
      <c r="AT1254" s="630"/>
      <c r="AU1254" s="631"/>
      <c r="AV1254" s="632"/>
      <c r="AW1254" s="633"/>
      <c r="AX1254" s="629"/>
      <c r="AY1254" s="623"/>
      <c r="AZ1254" s="619"/>
      <c r="BA1254" s="626"/>
      <c r="BB1254" s="629"/>
      <c r="BC1254" s="623"/>
      <c r="BD1254" s="619"/>
      <c r="BE1254" s="626"/>
      <c r="BF1254" s="838"/>
    </row>
    <row r="1255" spans="1:58" s="87" customFormat="1" ht="54" hidden="1" customHeight="1" x14ac:dyDescent="0.25">
      <c r="A1255" s="634" t="s">
        <v>7374</v>
      </c>
      <c r="B1255" s="632">
        <v>357</v>
      </c>
      <c r="C1255" s="620" t="s">
        <v>1022</v>
      </c>
      <c r="D1255" s="638" t="s">
        <v>1023</v>
      </c>
      <c r="E1255" s="632" t="s">
        <v>8434</v>
      </c>
      <c r="F1255" s="636" t="s">
        <v>6977</v>
      </c>
      <c r="G1255" s="631" t="s">
        <v>6978</v>
      </c>
      <c r="H1255" s="637" t="s">
        <v>6979</v>
      </c>
      <c r="I1255" s="635" t="s">
        <v>6980</v>
      </c>
      <c r="J1255" s="632" t="s">
        <v>140</v>
      </c>
      <c r="K1255" s="638" t="s">
        <v>140</v>
      </c>
      <c r="L1255" s="805" t="s">
        <v>6981</v>
      </c>
      <c r="M1255" s="620" t="s">
        <v>973</v>
      </c>
      <c r="N1255" s="621" t="s">
        <v>974</v>
      </c>
      <c r="O1255" s="632" t="s">
        <v>144</v>
      </c>
      <c r="P1255" s="632" t="s">
        <v>144</v>
      </c>
      <c r="Q1255" s="636" t="s">
        <v>6970</v>
      </c>
      <c r="R1255" s="639" t="s">
        <v>6971</v>
      </c>
      <c r="S1255" s="640" t="s">
        <v>233</v>
      </c>
      <c r="T1255" s="641" t="s">
        <v>234</v>
      </c>
      <c r="U1255" s="642" t="s">
        <v>235</v>
      </c>
      <c r="V1255" s="641">
        <v>8</v>
      </c>
      <c r="W1255" s="641" t="s">
        <v>144</v>
      </c>
      <c r="X1255" s="643" t="s">
        <v>2285</v>
      </c>
      <c r="Y1255" s="641" t="s">
        <v>144</v>
      </c>
      <c r="Z1255" s="644" t="s">
        <v>29</v>
      </c>
      <c r="AA1255" s="632" t="s">
        <v>398</v>
      </c>
      <c r="AB1255" s="632" t="s">
        <v>140</v>
      </c>
      <c r="AC1255" s="632" t="s">
        <v>265</v>
      </c>
      <c r="AD1255" s="632" t="s">
        <v>6972</v>
      </c>
      <c r="AE1255" s="632" t="s">
        <v>144</v>
      </c>
      <c r="AF1255" s="645" t="s">
        <v>144</v>
      </c>
      <c r="AG1255" s="62"/>
      <c r="AH1255" s="630" t="s">
        <v>6982</v>
      </c>
      <c r="AI1255" s="631" t="s">
        <v>8432</v>
      </c>
      <c r="AJ1255" s="632">
        <v>6</v>
      </c>
      <c r="AK1255" s="776" t="s">
        <v>8433</v>
      </c>
      <c r="AL1255" s="646"/>
      <c r="AM1255" s="647"/>
      <c r="AN1255" s="640"/>
      <c r="AO1255" s="648"/>
      <c r="AP1255" s="630"/>
      <c r="AQ1255" s="631"/>
      <c r="AR1255" s="632"/>
      <c r="AS1255" s="633"/>
      <c r="AT1255" s="630" t="s">
        <v>8435</v>
      </c>
      <c r="AU1255" s="631" t="s">
        <v>8436</v>
      </c>
      <c r="AV1255" s="632">
        <v>6</v>
      </c>
      <c r="AW1255" s="747" t="s">
        <v>8437</v>
      </c>
      <c r="AX1255" s="922"/>
      <c r="AY1255" s="631"/>
      <c r="AZ1255" s="632"/>
      <c r="BA1255" s="633"/>
      <c r="BB1255" s="630"/>
      <c r="BC1255" s="631"/>
      <c r="BD1255" s="632"/>
      <c r="BE1255" s="633"/>
      <c r="BF1255" s="838"/>
    </row>
    <row r="1256" spans="1:58" s="87" customFormat="1" ht="54" hidden="1" customHeight="1" x14ac:dyDescent="0.25">
      <c r="A1256" s="619" t="s">
        <v>7374</v>
      </c>
      <c r="B1256" s="619">
        <v>358</v>
      </c>
      <c r="C1256" s="620" t="s">
        <v>4027</v>
      </c>
      <c r="D1256" s="621" t="s">
        <v>4028</v>
      </c>
      <c r="E1256" s="619" t="s">
        <v>8438</v>
      </c>
      <c r="F1256" s="622" t="s">
        <v>6987</v>
      </c>
      <c r="G1256" s="623" t="s">
        <v>6988</v>
      </c>
      <c r="H1256" s="622" t="s">
        <v>6989</v>
      </c>
      <c r="I1256" s="623" t="s">
        <v>6990</v>
      </c>
      <c r="J1256" s="619" t="s">
        <v>140</v>
      </c>
      <c r="K1256" s="624" t="s">
        <v>140</v>
      </c>
      <c r="L1256" s="805" t="s">
        <v>6991</v>
      </c>
      <c r="M1256" s="620" t="s">
        <v>142</v>
      </c>
      <c r="N1256" s="621" t="s">
        <v>143</v>
      </c>
      <c r="O1256" s="619" t="s">
        <v>6992</v>
      </c>
      <c r="P1256" s="619" t="s">
        <v>6993</v>
      </c>
      <c r="Q1256" s="622" t="s">
        <v>144</v>
      </c>
      <c r="R1256" s="623" t="s">
        <v>144</v>
      </c>
      <c r="S1256" s="619" t="s">
        <v>147</v>
      </c>
      <c r="T1256" s="619" t="s">
        <v>144</v>
      </c>
      <c r="U1256" s="624" t="s">
        <v>144</v>
      </c>
      <c r="V1256" s="619">
        <v>1</v>
      </c>
      <c r="W1256" s="649" t="s">
        <v>144</v>
      </c>
      <c r="X1256" s="625" t="s">
        <v>2285</v>
      </c>
      <c r="Y1256" s="619" t="s">
        <v>144</v>
      </c>
      <c r="Z1256" s="625" t="s">
        <v>144</v>
      </c>
      <c r="AA1256" s="620" t="s">
        <v>6994</v>
      </c>
      <c r="AB1256" s="620" t="s">
        <v>140</v>
      </c>
      <c r="AC1256" s="619" t="s">
        <v>265</v>
      </c>
      <c r="AD1256" s="620" t="s">
        <v>144</v>
      </c>
      <c r="AE1256" s="619" t="s">
        <v>144</v>
      </c>
      <c r="AF1256" s="626" t="s">
        <v>144</v>
      </c>
      <c r="AG1256" s="49"/>
      <c r="AH1256" s="629" t="s">
        <v>266</v>
      </c>
      <c r="AI1256" s="623" t="s">
        <v>267</v>
      </c>
      <c r="AJ1256" s="619">
        <v>7</v>
      </c>
      <c r="AK1256" s="669" t="s">
        <v>1046</v>
      </c>
      <c r="AL1256" s="650" t="s">
        <v>294</v>
      </c>
      <c r="AM1256" s="651" t="s">
        <v>295</v>
      </c>
      <c r="AN1256" s="652">
        <v>7</v>
      </c>
      <c r="AO1256" s="653" t="s">
        <v>966</v>
      </c>
      <c r="AP1256" s="654"/>
      <c r="AQ1256" s="623"/>
      <c r="AR1256" s="655"/>
      <c r="AS1256" s="628"/>
      <c r="AT1256" s="654"/>
      <c r="AU1256" s="656"/>
      <c r="AV1256" s="655"/>
      <c r="AW1256" s="628"/>
      <c r="AX1256" s="629"/>
      <c r="AY1256" s="623"/>
      <c r="AZ1256" s="619"/>
      <c r="BA1256" s="626"/>
      <c r="BB1256" s="629"/>
      <c r="BC1256" s="623"/>
      <c r="BD1256" s="619"/>
      <c r="BE1256" s="626"/>
      <c r="BF1256" s="838"/>
    </row>
    <row r="1257" spans="1:58" s="87" customFormat="1" ht="54" hidden="1" customHeight="1" x14ac:dyDescent="0.25">
      <c r="A1257" s="923" t="s">
        <v>7374</v>
      </c>
      <c r="B1257" s="632">
        <v>359</v>
      </c>
      <c r="C1257" s="924" t="s">
        <v>1955</v>
      </c>
      <c r="D1257" s="657" t="s">
        <v>1956</v>
      </c>
      <c r="E1257" s="658" t="s">
        <v>8439</v>
      </c>
      <c r="F1257" s="659" t="s">
        <v>7009</v>
      </c>
      <c r="G1257" s="660" t="s">
        <v>7010</v>
      </c>
      <c r="H1257" s="659" t="s">
        <v>7011</v>
      </c>
      <c r="I1257" s="660" t="s">
        <v>7012</v>
      </c>
      <c r="J1257" s="661" t="s">
        <v>140</v>
      </c>
      <c r="K1257" s="657" t="s">
        <v>140</v>
      </c>
      <c r="L1257" s="805" t="s">
        <v>7013</v>
      </c>
      <c r="M1257" s="620" t="s">
        <v>973</v>
      </c>
      <c r="N1257" s="621" t="s">
        <v>974</v>
      </c>
      <c r="O1257" s="661" t="s">
        <v>7014</v>
      </c>
      <c r="P1257" s="661" t="s">
        <v>7015</v>
      </c>
      <c r="Q1257" s="675" t="s">
        <v>144</v>
      </c>
      <c r="R1257" s="660" t="s">
        <v>144</v>
      </c>
      <c r="S1257" s="663" t="s">
        <v>147</v>
      </c>
      <c r="T1257" s="663" t="s">
        <v>144</v>
      </c>
      <c r="U1257" s="664" t="s">
        <v>144</v>
      </c>
      <c r="V1257" s="663">
        <v>1</v>
      </c>
      <c r="W1257" s="663" t="s">
        <v>144</v>
      </c>
      <c r="X1257" s="665">
        <v>45</v>
      </c>
      <c r="Y1257" s="661" t="s">
        <v>144</v>
      </c>
      <c r="Z1257" s="644" t="s">
        <v>29</v>
      </c>
      <c r="AA1257" s="658" t="s">
        <v>7016</v>
      </c>
      <c r="AB1257" s="661" t="s">
        <v>140</v>
      </c>
      <c r="AC1257" s="661" t="s">
        <v>265</v>
      </c>
      <c r="AD1257" s="661" t="s">
        <v>144</v>
      </c>
      <c r="AE1257" s="661" t="s">
        <v>144</v>
      </c>
      <c r="AF1257" s="666" t="s">
        <v>144</v>
      </c>
      <c r="AG1257" s="838"/>
      <c r="AH1257" s="667" t="s">
        <v>8440</v>
      </c>
      <c r="AI1257" s="668" t="s">
        <v>8441</v>
      </c>
      <c r="AJ1257" s="669">
        <v>6</v>
      </c>
      <c r="AK1257" s="776" t="s">
        <v>7525</v>
      </c>
      <c r="AL1257" s="926" t="s">
        <v>294</v>
      </c>
      <c r="AM1257" s="671" t="s">
        <v>295</v>
      </c>
      <c r="AN1257" s="927">
        <v>7</v>
      </c>
      <c r="AO1257" s="653" t="s">
        <v>966</v>
      </c>
      <c r="AP1257" s="650"/>
      <c r="AQ1257" s="668"/>
      <c r="AR1257" s="649"/>
      <c r="AS1257" s="653"/>
      <c r="AT1257" s="650"/>
      <c r="AU1257" s="668"/>
      <c r="AV1257" s="649"/>
      <c r="AW1257" s="653"/>
      <c r="AX1257" s="650"/>
      <c r="AY1257" s="672"/>
      <c r="AZ1257" s="669"/>
      <c r="BA1257" s="653"/>
      <c r="BB1257" s="650"/>
      <c r="BC1257" s="673"/>
      <c r="BD1257" s="669"/>
      <c r="BE1257" s="653"/>
      <c r="BF1257" s="838"/>
    </row>
    <row r="1258" spans="1:58" s="87" customFormat="1" ht="54" hidden="1" customHeight="1" x14ac:dyDescent="0.25">
      <c r="A1258" s="923" t="s">
        <v>7374</v>
      </c>
      <c r="B1258" s="619">
        <v>360</v>
      </c>
      <c r="C1258" s="924" t="s">
        <v>1955</v>
      </c>
      <c r="D1258" s="657" t="s">
        <v>1956</v>
      </c>
      <c r="E1258" s="658" t="s">
        <v>8442</v>
      </c>
      <c r="F1258" s="659" t="s">
        <v>7022</v>
      </c>
      <c r="G1258" s="660" t="s">
        <v>7023</v>
      </c>
      <c r="H1258" s="659" t="s">
        <v>7024</v>
      </c>
      <c r="I1258" s="660" t="s">
        <v>7025</v>
      </c>
      <c r="J1258" s="661" t="s">
        <v>140</v>
      </c>
      <c r="K1258" s="657" t="s">
        <v>140</v>
      </c>
      <c r="L1258" s="805" t="s">
        <v>7026</v>
      </c>
      <c r="M1258" s="620" t="s">
        <v>973</v>
      </c>
      <c r="N1258" s="621" t="s">
        <v>974</v>
      </c>
      <c r="O1258" s="661" t="s">
        <v>7027</v>
      </c>
      <c r="P1258" s="661" t="s">
        <v>7028</v>
      </c>
      <c r="Q1258" s="675" t="s">
        <v>144</v>
      </c>
      <c r="R1258" s="660" t="s">
        <v>144</v>
      </c>
      <c r="S1258" s="663" t="s">
        <v>147</v>
      </c>
      <c r="T1258" s="663" t="s">
        <v>144</v>
      </c>
      <c r="U1258" s="664" t="s">
        <v>144</v>
      </c>
      <c r="V1258" s="663">
        <v>1</v>
      </c>
      <c r="W1258" s="663" t="s">
        <v>144</v>
      </c>
      <c r="X1258" s="665">
        <v>45</v>
      </c>
      <c r="Y1258" s="661" t="s">
        <v>144</v>
      </c>
      <c r="Z1258" s="644" t="s">
        <v>29</v>
      </c>
      <c r="AA1258" s="658" t="s">
        <v>7016</v>
      </c>
      <c r="AB1258" s="661" t="s">
        <v>140</v>
      </c>
      <c r="AC1258" s="661" t="s">
        <v>265</v>
      </c>
      <c r="AD1258" s="661" t="s">
        <v>144</v>
      </c>
      <c r="AE1258" s="661" t="s">
        <v>144</v>
      </c>
      <c r="AF1258" s="666" t="s">
        <v>144</v>
      </c>
      <c r="AG1258" s="838"/>
      <c r="AH1258" s="667" t="s">
        <v>8443</v>
      </c>
      <c r="AI1258" s="668" t="s">
        <v>8444</v>
      </c>
      <c r="AJ1258" s="669">
        <v>6</v>
      </c>
      <c r="AK1258" s="776" t="s">
        <v>8445</v>
      </c>
      <c r="AL1258" s="926" t="s">
        <v>294</v>
      </c>
      <c r="AM1258" s="671" t="s">
        <v>295</v>
      </c>
      <c r="AN1258" s="927">
        <v>7</v>
      </c>
      <c r="AO1258" s="653" t="s">
        <v>966</v>
      </c>
      <c r="AP1258" s="650"/>
      <c r="AQ1258" s="668"/>
      <c r="AR1258" s="649"/>
      <c r="AS1258" s="653"/>
      <c r="AT1258" s="650"/>
      <c r="AU1258" s="668"/>
      <c r="AV1258" s="649"/>
      <c r="AW1258" s="653"/>
      <c r="AX1258" s="650"/>
      <c r="AY1258" s="672"/>
      <c r="AZ1258" s="669"/>
      <c r="BA1258" s="653"/>
      <c r="BB1258" s="650"/>
      <c r="BC1258" s="673"/>
      <c r="BD1258" s="669"/>
      <c r="BE1258" s="653"/>
      <c r="BF1258" s="838"/>
    </row>
    <row r="1259" spans="1:58" s="87" customFormat="1" ht="54" hidden="1" customHeight="1" x14ac:dyDescent="0.25">
      <c r="A1259" s="923" t="s">
        <v>7374</v>
      </c>
      <c r="B1259" s="632">
        <v>361</v>
      </c>
      <c r="C1259" s="924" t="s">
        <v>1955</v>
      </c>
      <c r="D1259" s="657" t="s">
        <v>1956</v>
      </c>
      <c r="E1259" s="658" t="s">
        <v>8446</v>
      </c>
      <c r="F1259" s="659" t="s">
        <v>7033</v>
      </c>
      <c r="G1259" s="660" t="s">
        <v>7034</v>
      </c>
      <c r="H1259" s="659" t="s">
        <v>7035</v>
      </c>
      <c r="I1259" s="660" t="s">
        <v>7036</v>
      </c>
      <c r="J1259" s="661" t="s">
        <v>140</v>
      </c>
      <c r="K1259" s="657" t="s">
        <v>140</v>
      </c>
      <c r="L1259" s="805" t="s">
        <v>7037</v>
      </c>
      <c r="M1259" s="620" t="s">
        <v>973</v>
      </c>
      <c r="N1259" s="621" t="s">
        <v>974</v>
      </c>
      <c r="O1259" s="661" t="s">
        <v>7038</v>
      </c>
      <c r="P1259" s="661" t="s">
        <v>7039</v>
      </c>
      <c r="Q1259" s="675" t="s">
        <v>144</v>
      </c>
      <c r="R1259" s="660" t="s">
        <v>144</v>
      </c>
      <c r="S1259" s="663" t="s">
        <v>147</v>
      </c>
      <c r="T1259" s="663" t="s">
        <v>144</v>
      </c>
      <c r="U1259" s="664" t="s">
        <v>144</v>
      </c>
      <c r="V1259" s="663">
        <v>1</v>
      </c>
      <c r="W1259" s="663" t="s">
        <v>144</v>
      </c>
      <c r="X1259" s="665">
        <v>45</v>
      </c>
      <c r="Y1259" s="661" t="s">
        <v>144</v>
      </c>
      <c r="Z1259" s="644" t="s">
        <v>29</v>
      </c>
      <c r="AA1259" s="658" t="s">
        <v>7016</v>
      </c>
      <c r="AB1259" s="661" t="s">
        <v>140</v>
      </c>
      <c r="AC1259" s="661" t="s">
        <v>265</v>
      </c>
      <c r="AD1259" s="661" t="s">
        <v>144</v>
      </c>
      <c r="AE1259" s="661" t="s">
        <v>144</v>
      </c>
      <c r="AF1259" s="666" t="s">
        <v>144</v>
      </c>
      <c r="AG1259" s="838"/>
      <c r="AH1259" s="667" t="s">
        <v>8443</v>
      </c>
      <c r="AI1259" s="668" t="s">
        <v>8444</v>
      </c>
      <c r="AJ1259" s="669">
        <v>6</v>
      </c>
      <c r="AK1259" s="776" t="s">
        <v>8445</v>
      </c>
      <c r="AL1259" s="926" t="s">
        <v>294</v>
      </c>
      <c r="AM1259" s="671" t="s">
        <v>295</v>
      </c>
      <c r="AN1259" s="927">
        <v>7</v>
      </c>
      <c r="AO1259" s="653" t="s">
        <v>966</v>
      </c>
      <c r="AP1259" s="650"/>
      <c r="AQ1259" s="668"/>
      <c r="AR1259" s="649"/>
      <c r="AS1259" s="653"/>
      <c r="AT1259" s="650"/>
      <c r="AU1259" s="668"/>
      <c r="AV1259" s="649"/>
      <c r="AW1259" s="653"/>
      <c r="AX1259" s="650"/>
      <c r="AY1259" s="672"/>
      <c r="AZ1259" s="669"/>
      <c r="BA1259" s="653"/>
      <c r="BB1259" s="650"/>
      <c r="BC1259" s="673"/>
      <c r="BD1259" s="669"/>
      <c r="BE1259" s="653"/>
      <c r="BF1259" s="838"/>
    </row>
    <row r="1260" spans="1:58" s="87" customFormat="1" ht="54" hidden="1" customHeight="1" x14ac:dyDescent="0.25">
      <c r="A1260" s="923" t="s">
        <v>7374</v>
      </c>
      <c r="B1260" s="619">
        <v>362</v>
      </c>
      <c r="C1260" s="924" t="s">
        <v>1955</v>
      </c>
      <c r="D1260" s="657" t="s">
        <v>1956</v>
      </c>
      <c r="E1260" s="658" t="s">
        <v>8447</v>
      </c>
      <c r="F1260" s="659" t="s">
        <v>7041</v>
      </c>
      <c r="G1260" s="660" t="s">
        <v>7042</v>
      </c>
      <c r="H1260" s="659" t="s">
        <v>7043</v>
      </c>
      <c r="I1260" s="660" t="s">
        <v>7044</v>
      </c>
      <c r="J1260" s="661" t="s">
        <v>140</v>
      </c>
      <c r="K1260" s="657" t="s">
        <v>140</v>
      </c>
      <c r="L1260" s="805" t="s">
        <v>7045</v>
      </c>
      <c r="M1260" s="620" t="s">
        <v>973</v>
      </c>
      <c r="N1260" s="621" t="s">
        <v>974</v>
      </c>
      <c r="O1260" s="661" t="s">
        <v>144</v>
      </c>
      <c r="P1260" s="661" t="s">
        <v>144</v>
      </c>
      <c r="Q1260" s="675" t="s">
        <v>144</v>
      </c>
      <c r="R1260" s="660" t="s">
        <v>144</v>
      </c>
      <c r="S1260" s="663" t="s">
        <v>746</v>
      </c>
      <c r="T1260" s="658" t="s">
        <v>1104</v>
      </c>
      <c r="U1260" s="676" t="s">
        <v>1105</v>
      </c>
      <c r="V1260" s="663">
        <v>19</v>
      </c>
      <c r="W1260" s="663" t="s">
        <v>144</v>
      </c>
      <c r="X1260" s="665">
        <v>45</v>
      </c>
      <c r="Y1260" s="661" t="s">
        <v>144</v>
      </c>
      <c r="Z1260" s="644" t="s">
        <v>29</v>
      </c>
      <c r="AA1260" s="658" t="s">
        <v>7016</v>
      </c>
      <c r="AB1260" s="661" t="s">
        <v>140</v>
      </c>
      <c r="AC1260" s="661" t="s">
        <v>265</v>
      </c>
      <c r="AD1260" s="661" t="s">
        <v>144</v>
      </c>
      <c r="AE1260" s="661" t="s">
        <v>144</v>
      </c>
      <c r="AF1260" s="666" t="s">
        <v>144</v>
      </c>
      <c r="AG1260" s="838"/>
      <c r="AH1260" s="667" t="s">
        <v>8440</v>
      </c>
      <c r="AI1260" s="668" t="s">
        <v>8441</v>
      </c>
      <c r="AJ1260" s="669">
        <v>6</v>
      </c>
      <c r="AK1260" s="776" t="s">
        <v>7525</v>
      </c>
      <c r="AL1260" s="650"/>
      <c r="AM1260" s="668"/>
      <c r="AN1260" s="669"/>
      <c r="AO1260" s="648"/>
      <c r="AP1260" s="650"/>
      <c r="AQ1260" s="668"/>
      <c r="AR1260" s="649"/>
      <c r="AS1260" s="653"/>
      <c r="AT1260" s="650"/>
      <c r="AU1260" s="668"/>
      <c r="AV1260" s="649"/>
      <c r="AW1260" s="653"/>
      <c r="AX1260" s="650"/>
      <c r="AY1260" s="672"/>
      <c r="AZ1260" s="669"/>
      <c r="BA1260" s="653"/>
      <c r="BB1260" s="650"/>
      <c r="BC1260" s="673"/>
      <c r="BD1260" s="669"/>
      <c r="BE1260" s="653"/>
      <c r="BF1260" s="838"/>
    </row>
    <row r="1261" spans="1:58" s="87" customFormat="1" ht="54" hidden="1" customHeight="1" x14ac:dyDescent="0.25">
      <c r="A1261" s="923" t="s">
        <v>7374</v>
      </c>
      <c r="B1261" s="632">
        <v>363</v>
      </c>
      <c r="C1261" s="924" t="s">
        <v>1955</v>
      </c>
      <c r="D1261" s="657" t="s">
        <v>1956</v>
      </c>
      <c r="E1261" s="658" t="s">
        <v>8448</v>
      </c>
      <c r="F1261" s="659" t="s">
        <v>7047</v>
      </c>
      <c r="G1261" s="660" t="s">
        <v>7048</v>
      </c>
      <c r="H1261" s="659" t="s">
        <v>7047</v>
      </c>
      <c r="I1261" s="660" t="s">
        <v>7048</v>
      </c>
      <c r="J1261" s="661" t="s">
        <v>140</v>
      </c>
      <c r="K1261" s="657" t="s">
        <v>140</v>
      </c>
      <c r="L1261" s="805" t="s">
        <v>7049</v>
      </c>
      <c r="M1261" s="620" t="s">
        <v>973</v>
      </c>
      <c r="N1261" s="621" t="s">
        <v>974</v>
      </c>
      <c r="O1261" s="661" t="s">
        <v>814</v>
      </c>
      <c r="P1261" s="677" t="s">
        <v>815</v>
      </c>
      <c r="Q1261" s="675" t="s">
        <v>144</v>
      </c>
      <c r="R1261" s="660" t="s">
        <v>144</v>
      </c>
      <c r="S1261" s="663" t="s">
        <v>147</v>
      </c>
      <c r="T1261" s="663" t="s">
        <v>144</v>
      </c>
      <c r="U1261" s="664" t="s">
        <v>144</v>
      </c>
      <c r="V1261" s="663">
        <v>3</v>
      </c>
      <c r="W1261" s="663" t="s">
        <v>144</v>
      </c>
      <c r="X1261" s="665">
        <v>45</v>
      </c>
      <c r="Y1261" s="661" t="s">
        <v>144</v>
      </c>
      <c r="Z1261" s="661" t="s">
        <v>144</v>
      </c>
      <c r="AA1261" s="658" t="s">
        <v>7016</v>
      </c>
      <c r="AB1261" s="661" t="s">
        <v>140</v>
      </c>
      <c r="AC1261" s="661" t="s">
        <v>265</v>
      </c>
      <c r="AD1261" s="661" t="s">
        <v>144</v>
      </c>
      <c r="AE1261" s="661" t="s">
        <v>144</v>
      </c>
      <c r="AF1261" s="666" t="s">
        <v>144</v>
      </c>
      <c r="AG1261" s="838"/>
      <c r="AH1261" s="667" t="s">
        <v>8449</v>
      </c>
      <c r="AI1261" s="668" t="s">
        <v>8450</v>
      </c>
      <c r="AJ1261" s="669">
        <v>7</v>
      </c>
      <c r="AK1261" s="669" t="s">
        <v>1280</v>
      </c>
      <c r="AL1261" s="926" t="s">
        <v>294</v>
      </c>
      <c r="AM1261" s="671" t="s">
        <v>295</v>
      </c>
      <c r="AN1261" s="927">
        <v>7</v>
      </c>
      <c r="AO1261" s="653" t="s">
        <v>966</v>
      </c>
      <c r="AP1261" s="650"/>
      <c r="AQ1261" s="668"/>
      <c r="AR1261" s="649"/>
      <c r="AS1261" s="653"/>
      <c r="AT1261" s="650"/>
      <c r="AU1261" s="668"/>
      <c r="AV1261" s="649"/>
      <c r="AW1261" s="653"/>
      <c r="AX1261" s="650"/>
      <c r="AY1261" s="672"/>
      <c r="AZ1261" s="669"/>
      <c r="BA1261" s="653"/>
      <c r="BB1261" s="650"/>
      <c r="BC1261" s="673"/>
      <c r="BD1261" s="669"/>
      <c r="BE1261" s="653"/>
      <c r="BF1261" s="838"/>
    </row>
    <row r="1262" spans="1:58" s="87" customFormat="1" ht="54" hidden="1" customHeight="1" x14ac:dyDescent="0.25">
      <c r="A1262" s="923" t="s">
        <v>7374</v>
      </c>
      <c r="B1262" s="619">
        <v>364</v>
      </c>
      <c r="C1262" s="924" t="s">
        <v>1955</v>
      </c>
      <c r="D1262" s="657" t="s">
        <v>1956</v>
      </c>
      <c r="E1262" s="658" t="s">
        <v>8451</v>
      </c>
      <c r="F1262" s="659" t="s">
        <v>7053</v>
      </c>
      <c r="G1262" s="660" t="s">
        <v>7054</v>
      </c>
      <c r="H1262" s="659" t="s">
        <v>7055</v>
      </c>
      <c r="I1262" s="660" t="s">
        <v>7054</v>
      </c>
      <c r="J1262" s="661" t="s">
        <v>140</v>
      </c>
      <c r="K1262" s="657" t="s">
        <v>140</v>
      </c>
      <c r="L1262" s="805" t="s">
        <v>7056</v>
      </c>
      <c r="M1262" s="620" t="s">
        <v>973</v>
      </c>
      <c r="N1262" s="621" t="s">
        <v>974</v>
      </c>
      <c r="O1262" s="661" t="s">
        <v>144</v>
      </c>
      <c r="P1262" s="661" t="s">
        <v>144</v>
      </c>
      <c r="Q1262" s="675" t="s">
        <v>144</v>
      </c>
      <c r="R1262" s="660" t="s">
        <v>144</v>
      </c>
      <c r="S1262" s="663" t="s">
        <v>746</v>
      </c>
      <c r="T1262" s="658" t="s">
        <v>1104</v>
      </c>
      <c r="U1262" s="676" t="s">
        <v>1105</v>
      </c>
      <c r="V1262" s="663">
        <v>19</v>
      </c>
      <c r="W1262" s="663" t="s">
        <v>144</v>
      </c>
      <c r="X1262" s="665">
        <v>45</v>
      </c>
      <c r="Y1262" s="661" t="s">
        <v>144</v>
      </c>
      <c r="Z1262" s="644" t="s">
        <v>29</v>
      </c>
      <c r="AA1262" s="658" t="s">
        <v>7016</v>
      </c>
      <c r="AB1262" s="661" t="s">
        <v>140</v>
      </c>
      <c r="AC1262" s="661" t="s">
        <v>265</v>
      </c>
      <c r="AD1262" s="661" t="s">
        <v>144</v>
      </c>
      <c r="AE1262" s="661" t="s">
        <v>144</v>
      </c>
      <c r="AF1262" s="666" t="s">
        <v>144</v>
      </c>
      <c r="AG1262" s="838"/>
      <c r="AH1262" s="667" t="s">
        <v>8440</v>
      </c>
      <c r="AI1262" s="668" t="s">
        <v>8441</v>
      </c>
      <c r="AJ1262" s="669">
        <v>6</v>
      </c>
      <c r="AK1262" s="776" t="s">
        <v>7525</v>
      </c>
      <c r="AL1262" s="650"/>
      <c r="AM1262" s="668"/>
      <c r="AN1262" s="669"/>
      <c r="AO1262" s="648"/>
      <c r="AP1262" s="650"/>
      <c r="AQ1262" s="668"/>
      <c r="AR1262" s="649"/>
      <c r="AS1262" s="653"/>
      <c r="AT1262" s="650"/>
      <c r="AU1262" s="668"/>
      <c r="AV1262" s="649"/>
      <c r="AW1262" s="653"/>
      <c r="AX1262" s="650"/>
      <c r="AY1262" s="672"/>
      <c r="AZ1262" s="669"/>
      <c r="BA1262" s="653"/>
      <c r="BB1262" s="650"/>
      <c r="BC1262" s="673"/>
      <c r="BD1262" s="669"/>
      <c r="BE1262" s="653"/>
      <c r="BF1262" s="838"/>
    </row>
    <row r="1263" spans="1:58" s="87" customFormat="1" ht="54" hidden="1" customHeight="1" x14ac:dyDescent="0.25">
      <c r="A1263" s="923" t="s">
        <v>7374</v>
      </c>
      <c r="B1263" s="632">
        <v>365</v>
      </c>
      <c r="C1263" s="924" t="s">
        <v>1955</v>
      </c>
      <c r="D1263" s="657" t="s">
        <v>1956</v>
      </c>
      <c r="E1263" s="658" t="s">
        <v>8452</v>
      </c>
      <c r="F1263" s="659" t="s">
        <v>7058</v>
      </c>
      <c r="G1263" s="660" t="s">
        <v>7059</v>
      </c>
      <c r="H1263" s="659" t="s">
        <v>7058</v>
      </c>
      <c r="I1263" s="660" t="s">
        <v>7059</v>
      </c>
      <c r="J1263" s="661" t="s">
        <v>140</v>
      </c>
      <c r="K1263" s="657" t="s">
        <v>140</v>
      </c>
      <c r="L1263" s="805" t="s">
        <v>7060</v>
      </c>
      <c r="M1263" s="620" t="s">
        <v>973</v>
      </c>
      <c r="N1263" s="621" t="s">
        <v>974</v>
      </c>
      <c r="O1263" s="661" t="s">
        <v>814</v>
      </c>
      <c r="P1263" s="677" t="s">
        <v>815</v>
      </c>
      <c r="Q1263" s="675" t="s">
        <v>144</v>
      </c>
      <c r="R1263" s="660" t="s">
        <v>144</v>
      </c>
      <c r="S1263" s="663" t="s">
        <v>147</v>
      </c>
      <c r="T1263" s="663" t="s">
        <v>144</v>
      </c>
      <c r="U1263" s="664" t="s">
        <v>144</v>
      </c>
      <c r="V1263" s="663">
        <v>3</v>
      </c>
      <c r="W1263" s="663" t="s">
        <v>144</v>
      </c>
      <c r="X1263" s="665">
        <v>45</v>
      </c>
      <c r="Y1263" s="661" t="s">
        <v>144</v>
      </c>
      <c r="Z1263" s="661" t="s">
        <v>144</v>
      </c>
      <c r="AA1263" s="658" t="s">
        <v>7016</v>
      </c>
      <c r="AB1263" s="661" t="s">
        <v>140</v>
      </c>
      <c r="AC1263" s="661" t="s">
        <v>265</v>
      </c>
      <c r="AD1263" s="661" t="s">
        <v>144</v>
      </c>
      <c r="AE1263" s="661" t="s">
        <v>144</v>
      </c>
      <c r="AF1263" s="666" t="s">
        <v>144</v>
      </c>
      <c r="AG1263" s="838"/>
      <c r="AH1263" s="667" t="s">
        <v>8453</v>
      </c>
      <c r="AI1263" s="668" t="s">
        <v>8454</v>
      </c>
      <c r="AJ1263" s="669">
        <v>7</v>
      </c>
      <c r="AK1263" s="669" t="s">
        <v>1280</v>
      </c>
      <c r="AL1263" s="926" t="s">
        <v>294</v>
      </c>
      <c r="AM1263" s="671" t="s">
        <v>295</v>
      </c>
      <c r="AN1263" s="927">
        <v>7</v>
      </c>
      <c r="AO1263" s="653" t="s">
        <v>966</v>
      </c>
      <c r="AP1263" s="650"/>
      <c r="AQ1263" s="668"/>
      <c r="AR1263" s="649"/>
      <c r="AS1263" s="653"/>
      <c r="AT1263" s="650"/>
      <c r="AU1263" s="668"/>
      <c r="AV1263" s="649"/>
      <c r="AW1263" s="653"/>
      <c r="AX1263" s="650"/>
      <c r="AY1263" s="672"/>
      <c r="AZ1263" s="669"/>
      <c r="BA1263" s="653"/>
      <c r="BB1263" s="650"/>
      <c r="BC1263" s="673"/>
      <c r="BD1263" s="669"/>
      <c r="BE1263" s="653"/>
      <c r="BF1263" s="838"/>
    </row>
    <row r="1264" spans="1:58" s="87" customFormat="1" ht="54" hidden="1" customHeight="1" x14ac:dyDescent="0.25">
      <c r="A1264" s="923" t="s">
        <v>7374</v>
      </c>
      <c r="B1264" s="619">
        <v>366</v>
      </c>
      <c r="C1264" s="924" t="s">
        <v>1955</v>
      </c>
      <c r="D1264" s="657" t="s">
        <v>1956</v>
      </c>
      <c r="E1264" s="658" t="s">
        <v>8455</v>
      </c>
      <c r="F1264" s="659" t="s">
        <v>7064</v>
      </c>
      <c r="G1264" s="660" t="s">
        <v>7065</v>
      </c>
      <c r="H1264" s="659" t="s">
        <v>7066</v>
      </c>
      <c r="I1264" s="660" t="s">
        <v>7065</v>
      </c>
      <c r="J1264" s="661" t="s">
        <v>140</v>
      </c>
      <c r="K1264" s="657" t="s">
        <v>140</v>
      </c>
      <c r="L1264" s="805" t="s">
        <v>7067</v>
      </c>
      <c r="M1264" s="620" t="s">
        <v>973</v>
      </c>
      <c r="N1264" s="621" t="s">
        <v>974</v>
      </c>
      <c r="O1264" s="661" t="s">
        <v>144</v>
      </c>
      <c r="P1264" s="661" t="s">
        <v>144</v>
      </c>
      <c r="Q1264" s="675" t="s">
        <v>144</v>
      </c>
      <c r="R1264" s="660" t="s">
        <v>144</v>
      </c>
      <c r="S1264" s="663" t="s">
        <v>746</v>
      </c>
      <c r="T1264" s="658" t="s">
        <v>1104</v>
      </c>
      <c r="U1264" s="676" t="s">
        <v>1105</v>
      </c>
      <c r="V1264" s="663">
        <v>19</v>
      </c>
      <c r="W1264" s="663" t="s">
        <v>144</v>
      </c>
      <c r="X1264" s="665">
        <v>45</v>
      </c>
      <c r="Y1264" s="661" t="s">
        <v>144</v>
      </c>
      <c r="Z1264" s="644" t="s">
        <v>29</v>
      </c>
      <c r="AA1264" s="658" t="s">
        <v>7016</v>
      </c>
      <c r="AB1264" s="661" t="s">
        <v>140</v>
      </c>
      <c r="AC1264" s="661" t="s">
        <v>265</v>
      </c>
      <c r="AD1264" s="661" t="s">
        <v>144</v>
      </c>
      <c r="AE1264" s="661" t="s">
        <v>144</v>
      </c>
      <c r="AF1264" s="666" t="s">
        <v>144</v>
      </c>
      <c r="AG1264" s="838"/>
      <c r="AH1264" s="667" t="s">
        <v>8440</v>
      </c>
      <c r="AI1264" s="668" t="s">
        <v>8441</v>
      </c>
      <c r="AJ1264" s="669">
        <v>6</v>
      </c>
      <c r="AK1264" s="776" t="s">
        <v>7525</v>
      </c>
      <c r="AL1264" s="650"/>
      <c r="AM1264" s="668"/>
      <c r="AN1264" s="669"/>
      <c r="AO1264" s="648"/>
      <c r="AP1264" s="650"/>
      <c r="AQ1264" s="668"/>
      <c r="AR1264" s="649"/>
      <c r="AS1264" s="653"/>
      <c r="AT1264" s="650"/>
      <c r="AU1264" s="668"/>
      <c r="AV1264" s="649"/>
      <c r="AW1264" s="653"/>
      <c r="AX1264" s="650"/>
      <c r="AY1264" s="672"/>
      <c r="AZ1264" s="669"/>
      <c r="BA1264" s="653"/>
      <c r="BB1264" s="650"/>
      <c r="BC1264" s="673"/>
      <c r="BD1264" s="669"/>
      <c r="BE1264" s="653"/>
      <c r="BF1264" s="838"/>
    </row>
    <row r="1265" spans="1:58" s="87" customFormat="1" ht="54" hidden="1" customHeight="1" x14ac:dyDescent="0.25">
      <c r="A1265" s="923" t="s">
        <v>7374</v>
      </c>
      <c r="B1265" s="632">
        <v>367</v>
      </c>
      <c r="C1265" s="924" t="s">
        <v>1955</v>
      </c>
      <c r="D1265" s="657" t="s">
        <v>1956</v>
      </c>
      <c r="E1265" s="658" t="s">
        <v>8456</v>
      </c>
      <c r="F1265" s="659" t="s">
        <v>7069</v>
      </c>
      <c r="G1265" s="660" t="s">
        <v>7070</v>
      </c>
      <c r="H1265" s="659" t="s">
        <v>7069</v>
      </c>
      <c r="I1265" s="660" t="s">
        <v>7070</v>
      </c>
      <c r="J1265" s="661" t="s">
        <v>140</v>
      </c>
      <c r="K1265" s="657" t="s">
        <v>140</v>
      </c>
      <c r="L1265" s="805" t="s">
        <v>7071</v>
      </c>
      <c r="M1265" s="620" t="s">
        <v>973</v>
      </c>
      <c r="N1265" s="621" t="s">
        <v>974</v>
      </c>
      <c r="O1265" s="661" t="s">
        <v>814</v>
      </c>
      <c r="P1265" s="677" t="s">
        <v>815</v>
      </c>
      <c r="Q1265" s="675" t="s">
        <v>144</v>
      </c>
      <c r="R1265" s="660" t="s">
        <v>144</v>
      </c>
      <c r="S1265" s="663" t="s">
        <v>147</v>
      </c>
      <c r="T1265" s="663" t="s">
        <v>144</v>
      </c>
      <c r="U1265" s="664" t="s">
        <v>144</v>
      </c>
      <c r="V1265" s="663">
        <v>3</v>
      </c>
      <c r="W1265" s="663" t="s">
        <v>144</v>
      </c>
      <c r="X1265" s="665">
        <v>45</v>
      </c>
      <c r="Y1265" s="661" t="s">
        <v>144</v>
      </c>
      <c r="Z1265" s="661" t="s">
        <v>144</v>
      </c>
      <c r="AA1265" s="658" t="s">
        <v>7016</v>
      </c>
      <c r="AB1265" s="661" t="s">
        <v>140</v>
      </c>
      <c r="AC1265" s="661" t="s">
        <v>265</v>
      </c>
      <c r="AD1265" s="661" t="s">
        <v>144</v>
      </c>
      <c r="AE1265" s="661" t="s">
        <v>144</v>
      </c>
      <c r="AF1265" s="666" t="s">
        <v>144</v>
      </c>
      <c r="AG1265" s="838"/>
      <c r="AH1265" s="667" t="s">
        <v>8457</v>
      </c>
      <c r="AI1265" s="668" t="s">
        <v>8458</v>
      </c>
      <c r="AJ1265" s="669">
        <v>7</v>
      </c>
      <c r="AK1265" s="669" t="s">
        <v>1280</v>
      </c>
      <c r="AL1265" s="926" t="s">
        <v>294</v>
      </c>
      <c r="AM1265" s="671" t="s">
        <v>295</v>
      </c>
      <c r="AN1265" s="927">
        <v>7</v>
      </c>
      <c r="AO1265" s="653" t="s">
        <v>966</v>
      </c>
      <c r="AP1265" s="650"/>
      <c r="AQ1265" s="668"/>
      <c r="AR1265" s="649"/>
      <c r="AS1265" s="653"/>
      <c r="AT1265" s="650"/>
      <c r="AU1265" s="668"/>
      <c r="AV1265" s="649"/>
      <c r="AW1265" s="653"/>
      <c r="AX1265" s="650"/>
      <c r="AY1265" s="672"/>
      <c r="AZ1265" s="669"/>
      <c r="BA1265" s="653"/>
      <c r="BB1265" s="650"/>
      <c r="BC1265" s="673"/>
      <c r="BD1265" s="669"/>
      <c r="BE1265" s="653"/>
      <c r="BF1265" s="838"/>
    </row>
    <row r="1266" spans="1:58" s="87" customFormat="1" ht="54" hidden="1" customHeight="1" x14ac:dyDescent="0.25">
      <c r="A1266" s="923" t="s">
        <v>7374</v>
      </c>
      <c r="B1266" s="619">
        <v>368</v>
      </c>
      <c r="C1266" s="924" t="s">
        <v>1955</v>
      </c>
      <c r="D1266" s="657" t="s">
        <v>1956</v>
      </c>
      <c r="E1266" s="658" t="s">
        <v>8459</v>
      </c>
      <c r="F1266" s="659" t="s">
        <v>7075</v>
      </c>
      <c r="G1266" s="660" t="s">
        <v>7076</v>
      </c>
      <c r="H1266" s="659" t="s">
        <v>7077</v>
      </c>
      <c r="I1266" s="660" t="s">
        <v>7076</v>
      </c>
      <c r="J1266" s="661" t="s">
        <v>140</v>
      </c>
      <c r="K1266" s="657" t="s">
        <v>140</v>
      </c>
      <c r="L1266" s="805" t="s">
        <v>7078</v>
      </c>
      <c r="M1266" s="658" t="s">
        <v>193</v>
      </c>
      <c r="N1266" s="657" t="s">
        <v>194</v>
      </c>
      <c r="O1266" s="661" t="s">
        <v>144</v>
      </c>
      <c r="P1266" s="661" t="s">
        <v>144</v>
      </c>
      <c r="Q1266" s="675" t="s">
        <v>144</v>
      </c>
      <c r="R1266" s="660" t="s">
        <v>144</v>
      </c>
      <c r="S1266" s="663" t="s">
        <v>147</v>
      </c>
      <c r="T1266" s="663" t="s">
        <v>144</v>
      </c>
      <c r="U1266" s="664" t="s">
        <v>144</v>
      </c>
      <c r="V1266" s="663">
        <v>40</v>
      </c>
      <c r="W1266" s="663" t="s">
        <v>144</v>
      </c>
      <c r="X1266" s="665">
        <v>45</v>
      </c>
      <c r="Y1266" s="661" t="s">
        <v>144</v>
      </c>
      <c r="Z1266" s="661" t="s">
        <v>144</v>
      </c>
      <c r="AA1266" s="658" t="s">
        <v>7016</v>
      </c>
      <c r="AB1266" s="661" t="s">
        <v>140</v>
      </c>
      <c r="AC1266" s="661" t="s">
        <v>265</v>
      </c>
      <c r="AD1266" s="661" t="s">
        <v>144</v>
      </c>
      <c r="AE1266" s="661" t="s">
        <v>144</v>
      </c>
      <c r="AF1266" s="666" t="s">
        <v>144</v>
      </c>
      <c r="AG1266" s="838"/>
      <c r="AH1266" s="667"/>
      <c r="AI1266" s="668"/>
      <c r="AJ1266" s="669"/>
      <c r="AK1266" s="669"/>
      <c r="AL1266" s="650"/>
      <c r="AM1266" s="668"/>
      <c r="AN1266" s="669"/>
      <c r="AO1266" s="648"/>
      <c r="AP1266" s="650"/>
      <c r="AQ1266" s="668"/>
      <c r="AR1266" s="649"/>
      <c r="AS1266" s="653"/>
      <c r="AT1266" s="650"/>
      <c r="AU1266" s="668"/>
      <c r="AV1266" s="649"/>
      <c r="AW1266" s="653"/>
      <c r="AX1266" s="650"/>
      <c r="AY1266" s="672"/>
      <c r="AZ1266" s="669"/>
      <c r="BA1266" s="653"/>
      <c r="BB1266" s="650"/>
      <c r="BC1266" s="673"/>
      <c r="BD1266" s="669"/>
      <c r="BE1266" s="653"/>
      <c r="BF1266" s="838"/>
    </row>
    <row r="1267" spans="1:58" s="87" customFormat="1" ht="54" hidden="1" customHeight="1" x14ac:dyDescent="0.25">
      <c r="A1267" s="923" t="s">
        <v>7374</v>
      </c>
      <c r="B1267" s="632">
        <v>369</v>
      </c>
      <c r="C1267" s="924" t="s">
        <v>1022</v>
      </c>
      <c r="D1267" s="657" t="s">
        <v>1023</v>
      </c>
      <c r="E1267" s="658" t="s">
        <v>8460</v>
      </c>
      <c r="F1267" s="659" t="s">
        <v>7080</v>
      </c>
      <c r="G1267" s="660" t="s">
        <v>7081</v>
      </c>
      <c r="H1267" s="659" t="s">
        <v>7082</v>
      </c>
      <c r="I1267" s="660" t="s">
        <v>7081</v>
      </c>
      <c r="J1267" s="661" t="s">
        <v>140</v>
      </c>
      <c r="K1267" s="657" t="s">
        <v>140</v>
      </c>
      <c r="L1267" s="805" t="s">
        <v>7083</v>
      </c>
      <c r="M1267" s="658" t="s">
        <v>193</v>
      </c>
      <c r="N1267" s="657" t="s">
        <v>194</v>
      </c>
      <c r="O1267" s="661" t="s">
        <v>7084</v>
      </c>
      <c r="P1267" s="661" t="s">
        <v>7085</v>
      </c>
      <c r="Q1267" s="675" t="s">
        <v>144</v>
      </c>
      <c r="R1267" s="660" t="s">
        <v>144</v>
      </c>
      <c r="S1267" s="663" t="s">
        <v>147</v>
      </c>
      <c r="T1267" s="663" t="s">
        <v>144</v>
      </c>
      <c r="U1267" s="664" t="s">
        <v>144</v>
      </c>
      <c r="V1267" s="663">
        <v>1</v>
      </c>
      <c r="W1267" s="663" t="s">
        <v>144</v>
      </c>
      <c r="X1267" s="665">
        <v>45</v>
      </c>
      <c r="Y1267" s="661" t="s">
        <v>144</v>
      </c>
      <c r="Z1267" s="661" t="s">
        <v>144</v>
      </c>
      <c r="AA1267" s="658" t="s">
        <v>7016</v>
      </c>
      <c r="AB1267" s="661" t="s">
        <v>140</v>
      </c>
      <c r="AC1267" s="661" t="s">
        <v>265</v>
      </c>
      <c r="AD1267" s="661" t="s">
        <v>144</v>
      </c>
      <c r="AE1267" s="661" t="s">
        <v>144</v>
      </c>
      <c r="AF1267" s="666" t="s">
        <v>144</v>
      </c>
      <c r="AG1267" s="838"/>
      <c r="AH1267" s="667"/>
      <c r="AI1267" s="668"/>
      <c r="AJ1267" s="669"/>
      <c r="AK1267" s="669"/>
      <c r="AL1267" s="926" t="s">
        <v>294</v>
      </c>
      <c r="AM1267" s="671" t="s">
        <v>295</v>
      </c>
      <c r="AN1267" s="927">
        <v>7</v>
      </c>
      <c r="AO1267" s="653" t="s">
        <v>966</v>
      </c>
      <c r="AP1267" s="650"/>
      <c r="AQ1267" s="668"/>
      <c r="AR1267" s="649"/>
      <c r="AS1267" s="653"/>
      <c r="AT1267" s="650"/>
      <c r="AU1267" s="668"/>
      <c r="AV1267" s="649"/>
      <c r="AW1267" s="653"/>
      <c r="AX1267" s="650"/>
      <c r="AY1267" s="672"/>
      <c r="AZ1267" s="669"/>
      <c r="BA1267" s="653"/>
      <c r="BB1267" s="650"/>
      <c r="BC1267" s="673"/>
      <c r="BD1267" s="669"/>
      <c r="BE1267" s="653"/>
      <c r="BF1267" s="838"/>
    </row>
    <row r="1268" spans="1:58" s="87" customFormat="1" ht="54" hidden="1" customHeight="1" x14ac:dyDescent="0.25">
      <c r="A1268" s="923" t="s">
        <v>7374</v>
      </c>
      <c r="B1268" s="619">
        <v>370</v>
      </c>
      <c r="C1268" s="924" t="s">
        <v>1955</v>
      </c>
      <c r="D1268" s="657" t="s">
        <v>1956</v>
      </c>
      <c r="E1268" s="658" t="s">
        <v>8461</v>
      </c>
      <c r="F1268" s="659" t="s">
        <v>7087</v>
      </c>
      <c r="G1268" s="660" t="s">
        <v>7088</v>
      </c>
      <c r="H1268" s="659" t="s">
        <v>7089</v>
      </c>
      <c r="I1268" s="660" t="s">
        <v>7088</v>
      </c>
      <c r="J1268" s="661" t="s">
        <v>140</v>
      </c>
      <c r="K1268" s="657" t="s">
        <v>140</v>
      </c>
      <c r="L1268" s="805" t="s">
        <v>7090</v>
      </c>
      <c r="M1268" s="620" t="s">
        <v>973</v>
      </c>
      <c r="N1268" s="621" t="s">
        <v>974</v>
      </c>
      <c r="O1268" s="661" t="s">
        <v>144</v>
      </c>
      <c r="P1268" s="661" t="s">
        <v>144</v>
      </c>
      <c r="Q1268" s="675" t="s">
        <v>144</v>
      </c>
      <c r="R1268" s="660" t="s">
        <v>144</v>
      </c>
      <c r="S1268" s="663" t="s">
        <v>746</v>
      </c>
      <c r="T1268" s="658" t="s">
        <v>1104</v>
      </c>
      <c r="U1268" s="676" t="s">
        <v>1105</v>
      </c>
      <c r="V1268" s="663">
        <v>19</v>
      </c>
      <c r="W1268" s="663" t="s">
        <v>144</v>
      </c>
      <c r="X1268" s="665">
        <v>45</v>
      </c>
      <c r="Y1268" s="661" t="s">
        <v>144</v>
      </c>
      <c r="Z1268" s="644" t="s">
        <v>29</v>
      </c>
      <c r="AA1268" s="658" t="s">
        <v>7016</v>
      </c>
      <c r="AB1268" s="661" t="s">
        <v>140</v>
      </c>
      <c r="AC1268" s="661" t="s">
        <v>265</v>
      </c>
      <c r="AD1268" s="661" t="s">
        <v>144</v>
      </c>
      <c r="AE1268" s="661" t="s">
        <v>144</v>
      </c>
      <c r="AF1268" s="666" t="s">
        <v>144</v>
      </c>
      <c r="AG1268" s="838"/>
      <c r="AH1268" s="667" t="s">
        <v>8440</v>
      </c>
      <c r="AI1268" s="668" t="s">
        <v>8441</v>
      </c>
      <c r="AJ1268" s="669">
        <v>6</v>
      </c>
      <c r="AK1268" s="776" t="s">
        <v>7525</v>
      </c>
      <c r="AL1268" s="650"/>
      <c r="AM1268" s="668"/>
      <c r="AN1268" s="669"/>
      <c r="AO1268" s="648"/>
      <c r="AP1268" s="650"/>
      <c r="AQ1268" s="668"/>
      <c r="AR1268" s="649"/>
      <c r="AS1268" s="653"/>
      <c r="AT1268" s="650"/>
      <c r="AU1268" s="668"/>
      <c r="AV1268" s="649"/>
      <c r="AW1268" s="653"/>
      <c r="AX1268" s="650"/>
      <c r="AY1268" s="672"/>
      <c r="AZ1268" s="669"/>
      <c r="BA1268" s="653"/>
      <c r="BB1268" s="650"/>
      <c r="BC1268" s="673"/>
      <c r="BD1268" s="669"/>
      <c r="BE1268" s="653"/>
      <c r="BF1268" s="838"/>
    </row>
    <row r="1269" spans="1:58" s="87" customFormat="1" ht="54" hidden="1" customHeight="1" x14ac:dyDescent="0.25">
      <c r="A1269" s="923" t="s">
        <v>7374</v>
      </c>
      <c r="B1269" s="632">
        <v>371</v>
      </c>
      <c r="C1269" s="924" t="s">
        <v>1955</v>
      </c>
      <c r="D1269" s="657" t="s">
        <v>1956</v>
      </c>
      <c r="E1269" s="658" t="s">
        <v>8462</v>
      </c>
      <c r="F1269" s="659" t="s">
        <v>7092</v>
      </c>
      <c r="G1269" s="660" t="s">
        <v>7093</v>
      </c>
      <c r="H1269" s="659" t="s">
        <v>7092</v>
      </c>
      <c r="I1269" s="660" t="s">
        <v>7093</v>
      </c>
      <c r="J1269" s="661" t="s">
        <v>140</v>
      </c>
      <c r="K1269" s="657" t="s">
        <v>140</v>
      </c>
      <c r="L1269" s="805" t="s">
        <v>7094</v>
      </c>
      <c r="M1269" s="620" t="s">
        <v>973</v>
      </c>
      <c r="N1269" s="621" t="s">
        <v>974</v>
      </c>
      <c r="O1269" s="661" t="s">
        <v>814</v>
      </c>
      <c r="P1269" s="677" t="s">
        <v>815</v>
      </c>
      <c r="Q1269" s="675" t="s">
        <v>144</v>
      </c>
      <c r="R1269" s="660" t="s">
        <v>144</v>
      </c>
      <c r="S1269" s="663" t="s">
        <v>147</v>
      </c>
      <c r="T1269" s="663" t="s">
        <v>144</v>
      </c>
      <c r="U1269" s="664" t="s">
        <v>144</v>
      </c>
      <c r="V1269" s="663">
        <v>3</v>
      </c>
      <c r="W1269" s="663" t="s">
        <v>144</v>
      </c>
      <c r="X1269" s="665">
        <v>45</v>
      </c>
      <c r="Y1269" s="661" t="s">
        <v>144</v>
      </c>
      <c r="Z1269" s="661" t="s">
        <v>144</v>
      </c>
      <c r="AA1269" s="658" t="s">
        <v>7016</v>
      </c>
      <c r="AB1269" s="661" t="s">
        <v>140</v>
      </c>
      <c r="AC1269" s="661" t="s">
        <v>265</v>
      </c>
      <c r="AD1269" s="661" t="s">
        <v>144</v>
      </c>
      <c r="AE1269" s="661" t="s">
        <v>144</v>
      </c>
      <c r="AF1269" s="666" t="s">
        <v>144</v>
      </c>
      <c r="AG1269" s="838"/>
      <c r="AH1269" s="667" t="s">
        <v>8463</v>
      </c>
      <c r="AI1269" s="668" t="s">
        <v>8464</v>
      </c>
      <c r="AJ1269" s="669">
        <v>7</v>
      </c>
      <c r="AK1269" s="669" t="s">
        <v>1280</v>
      </c>
      <c r="AL1269" s="926" t="s">
        <v>294</v>
      </c>
      <c r="AM1269" s="671" t="s">
        <v>295</v>
      </c>
      <c r="AN1269" s="927">
        <v>7</v>
      </c>
      <c r="AO1269" s="653" t="s">
        <v>966</v>
      </c>
      <c r="AP1269" s="650"/>
      <c r="AQ1269" s="668"/>
      <c r="AR1269" s="649"/>
      <c r="AS1269" s="653"/>
      <c r="AT1269" s="650"/>
      <c r="AU1269" s="668"/>
      <c r="AV1269" s="649"/>
      <c r="AW1269" s="653"/>
      <c r="AX1269" s="650"/>
      <c r="AY1269" s="672"/>
      <c r="AZ1269" s="669"/>
      <c r="BA1269" s="653"/>
      <c r="BB1269" s="650"/>
      <c r="BC1269" s="673"/>
      <c r="BD1269" s="669"/>
      <c r="BE1269" s="653"/>
      <c r="BF1269" s="838"/>
    </row>
    <row r="1270" spans="1:58" s="87" customFormat="1" ht="54" hidden="1" customHeight="1" x14ac:dyDescent="0.25">
      <c r="A1270" s="923" t="s">
        <v>7374</v>
      </c>
      <c r="B1270" s="619">
        <v>372</v>
      </c>
      <c r="C1270" s="924" t="s">
        <v>1955</v>
      </c>
      <c r="D1270" s="657" t="s">
        <v>1956</v>
      </c>
      <c r="E1270" s="658" t="s">
        <v>8465</v>
      </c>
      <c r="F1270" s="659" t="s">
        <v>7098</v>
      </c>
      <c r="G1270" s="660" t="s">
        <v>7099</v>
      </c>
      <c r="H1270" s="659" t="s">
        <v>7098</v>
      </c>
      <c r="I1270" s="660" t="s">
        <v>7099</v>
      </c>
      <c r="J1270" s="661" t="s">
        <v>140</v>
      </c>
      <c r="K1270" s="657" t="s">
        <v>140</v>
      </c>
      <c r="L1270" s="805" t="s">
        <v>7100</v>
      </c>
      <c r="M1270" s="620" t="s">
        <v>973</v>
      </c>
      <c r="N1270" s="621" t="s">
        <v>974</v>
      </c>
      <c r="O1270" s="661" t="s">
        <v>144</v>
      </c>
      <c r="P1270" s="661" t="s">
        <v>144</v>
      </c>
      <c r="Q1270" s="675" t="s">
        <v>144</v>
      </c>
      <c r="R1270" s="660" t="s">
        <v>144</v>
      </c>
      <c r="S1270" s="663" t="s">
        <v>233</v>
      </c>
      <c r="T1270" s="663" t="s">
        <v>234</v>
      </c>
      <c r="U1270" s="642" t="s">
        <v>235</v>
      </c>
      <c r="V1270" s="663">
        <v>8</v>
      </c>
      <c r="W1270" s="663" t="s">
        <v>144</v>
      </c>
      <c r="X1270" s="665">
        <v>45</v>
      </c>
      <c r="Y1270" s="661" t="s">
        <v>144</v>
      </c>
      <c r="Z1270" s="644" t="s">
        <v>29</v>
      </c>
      <c r="AA1270" s="658" t="s">
        <v>7016</v>
      </c>
      <c r="AB1270" s="661" t="s">
        <v>140</v>
      </c>
      <c r="AC1270" s="661" t="s">
        <v>265</v>
      </c>
      <c r="AD1270" s="661" t="s">
        <v>144</v>
      </c>
      <c r="AE1270" s="661" t="s">
        <v>144</v>
      </c>
      <c r="AF1270" s="666" t="s">
        <v>144</v>
      </c>
      <c r="AG1270" s="838"/>
      <c r="AH1270" s="667" t="s">
        <v>8440</v>
      </c>
      <c r="AI1270" s="668" t="s">
        <v>8441</v>
      </c>
      <c r="AJ1270" s="669">
        <v>6</v>
      </c>
      <c r="AK1270" s="776" t="s">
        <v>7525</v>
      </c>
      <c r="AL1270" s="650"/>
      <c r="AM1270" s="668"/>
      <c r="AN1270" s="669"/>
      <c r="AO1270" s="648"/>
      <c r="AP1270" s="630" t="s">
        <v>1160</v>
      </c>
      <c r="AQ1270" s="631" t="s">
        <v>1161</v>
      </c>
      <c r="AR1270" s="632">
        <v>7</v>
      </c>
      <c r="AS1270" s="633" t="s">
        <v>1162</v>
      </c>
      <c r="AT1270" s="630"/>
      <c r="AU1270" s="631"/>
      <c r="AV1270" s="632"/>
      <c r="AW1270" s="633"/>
      <c r="AX1270" s="650"/>
      <c r="AY1270" s="672"/>
      <c r="AZ1270" s="669"/>
      <c r="BA1270" s="653"/>
      <c r="BB1270" s="650"/>
      <c r="BC1270" s="673"/>
      <c r="BD1270" s="669"/>
      <c r="BE1270" s="653"/>
      <c r="BF1270" s="838"/>
    </row>
    <row r="1271" spans="1:58" s="87" customFormat="1" ht="54" hidden="1" customHeight="1" x14ac:dyDescent="0.25">
      <c r="A1271" s="923" t="s">
        <v>7374</v>
      </c>
      <c r="B1271" s="632">
        <v>373</v>
      </c>
      <c r="C1271" s="924" t="s">
        <v>1955</v>
      </c>
      <c r="D1271" s="657" t="s">
        <v>1956</v>
      </c>
      <c r="E1271" s="658" t="s">
        <v>8466</v>
      </c>
      <c r="F1271" s="659" t="s">
        <v>7102</v>
      </c>
      <c r="G1271" s="660" t="s">
        <v>7103</v>
      </c>
      <c r="H1271" s="659" t="s">
        <v>7104</v>
      </c>
      <c r="I1271" s="660" t="s">
        <v>7103</v>
      </c>
      <c r="J1271" s="661" t="s">
        <v>140</v>
      </c>
      <c r="K1271" s="657" t="s">
        <v>140</v>
      </c>
      <c r="L1271" s="805" t="s">
        <v>7105</v>
      </c>
      <c r="M1271" s="620" t="s">
        <v>973</v>
      </c>
      <c r="N1271" s="621" t="s">
        <v>974</v>
      </c>
      <c r="O1271" s="661" t="s">
        <v>144</v>
      </c>
      <c r="P1271" s="661" t="s">
        <v>144</v>
      </c>
      <c r="Q1271" s="675" t="s">
        <v>144</v>
      </c>
      <c r="R1271" s="660" t="s">
        <v>144</v>
      </c>
      <c r="S1271" s="663" t="s">
        <v>746</v>
      </c>
      <c r="T1271" s="658" t="s">
        <v>1104</v>
      </c>
      <c r="U1271" s="676" t="s">
        <v>1105</v>
      </c>
      <c r="V1271" s="663">
        <v>19</v>
      </c>
      <c r="W1271" s="663" t="s">
        <v>144</v>
      </c>
      <c r="X1271" s="665">
        <v>45</v>
      </c>
      <c r="Y1271" s="661" t="s">
        <v>144</v>
      </c>
      <c r="Z1271" s="644" t="s">
        <v>29</v>
      </c>
      <c r="AA1271" s="658" t="s">
        <v>7016</v>
      </c>
      <c r="AB1271" s="661" t="s">
        <v>140</v>
      </c>
      <c r="AC1271" s="661" t="s">
        <v>265</v>
      </c>
      <c r="AD1271" s="661" t="s">
        <v>144</v>
      </c>
      <c r="AE1271" s="661" t="s">
        <v>144</v>
      </c>
      <c r="AF1271" s="666" t="s">
        <v>144</v>
      </c>
      <c r="AG1271" s="838"/>
      <c r="AH1271" s="667" t="s">
        <v>8443</v>
      </c>
      <c r="AI1271" s="668" t="s">
        <v>8444</v>
      </c>
      <c r="AJ1271" s="669">
        <v>6</v>
      </c>
      <c r="AK1271" s="776" t="s">
        <v>8445</v>
      </c>
      <c r="AL1271" s="650"/>
      <c r="AM1271" s="668"/>
      <c r="AN1271" s="669"/>
      <c r="AO1271" s="648"/>
      <c r="AP1271" s="650"/>
      <c r="AQ1271" s="668"/>
      <c r="AR1271" s="649"/>
      <c r="AS1271" s="653"/>
      <c r="AT1271" s="650"/>
      <c r="AU1271" s="668"/>
      <c r="AV1271" s="649"/>
      <c r="AW1271" s="653"/>
      <c r="AX1271" s="650"/>
      <c r="AY1271" s="672"/>
      <c r="AZ1271" s="669"/>
      <c r="BA1271" s="653"/>
      <c r="BB1271" s="650"/>
      <c r="BC1271" s="673"/>
      <c r="BD1271" s="669"/>
      <c r="BE1271" s="653"/>
      <c r="BF1271" s="838"/>
    </row>
    <row r="1272" spans="1:58" s="87" customFormat="1" ht="54" hidden="1" customHeight="1" x14ac:dyDescent="0.25">
      <c r="A1272" s="923" t="s">
        <v>7374</v>
      </c>
      <c r="B1272" s="619">
        <v>374</v>
      </c>
      <c r="C1272" s="924" t="s">
        <v>1955</v>
      </c>
      <c r="D1272" s="657" t="s">
        <v>1956</v>
      </c>
      <c r="E1272" s="658" t="s">
        <v>8467</v>
      </c>
      <c r="F1272" s="659" t="s">
        <v>7107</v>
      </c>
      <c r="G1272" s="660" t="s">
        <v>7108</v>
      </c>
      <c r="H1272" s="659" t="s">
        <v>7107</v>
      </c>
      <c r="I1272" s="660" t="s">
        <v>7108</v>
      </c>
      <c r="J1272" s="661" t="s">
        <v>140</v>
      </c>
      <c r="K1272" s="657" t="s">
        <v>140</v>
      </c>
      <c r="L1272" s="805" t="s">
        <v>7109</v>
      </c>
      <c r="M1272" s="620" t="s">
        <v>973</v>
      </c>
      <c r="N1272" s="621" t="s">
        <v>974</v>
      </c>
      <c r="O1272" s="661" t="s">
        <v>814</v>
      </c>
      <c r="P1272" s="677" t="s">
        <v>815</v>
      </c>
      <c r="Q1272" s="675" t="s">
        <v>144</v>
      </c>
      <c r="R1272" s="660" t="s">
        <v>144</v>
      </c>
      <c r="S1272" s="663" t="s">
        <v>147</v>
      </c>
      <c r="T1272" s="663" t="s">
        <v>144</v>
      </c>
      <c r="U1272" s="664" t="s">
        <v>144</v>
      </c>
      <c r="V1272" s="663">
        <v>3</v>
      </c>
      <c r="W1272" s="663" t="s">
        <v>144</v>
      </c>
      <c r="X1272" s="665">
        <v>45</v>
      </c>
      <c r="Y1272" s="661" t="s">
        <v>144</v>
      </c>
      <c r="Z1272" s="661" t="s">
        <v>144</v>
      </c>
      <c r="AA1272" s="658" t="s">
        <v>7016</v>
      </c>
      <c r="AB1272" s="661" t="s">
        <v>140</v>
      </c>
      <c r="AC1272" s="661" t="s">
        <v>265</v>
      </c>
      <c r="AD1272" s="661" t="s">
        <v>144</v>
      </c>
      <c r="AE1272" s="661" t="s">
        <v>144</v>
      </c>
      <c r="AF1272" s="666" t="s">
        <v>144</v>
      </c>
      <c r="AG1272" s="838"/>
      <c r="AH1272" s="667" t="s">
        <v>8468</v>
      </c>
      <c r="AI1272" s="668" t="s">
        <v>8469</v>
      </c>
      <c r="AJ1272" s="669">
        <v>7</v>
      </c>
      <c r="AK1272" s="669" t="s">
        <v>1280</v>
      </c>
      <c r="AL1272" s="926" t="s">
        <v>294</v>
      </c>
      <c r="AM1272" s="671" t="s">
        <v>295</v>
      </c>
      <c r="AN1272" s="927">
        <v>7</v>
      </c>
      <c r="AO1272" s="653" t="s">
        <v>966</v>
      </c>
      <c r="AP1272" s="650"/>
      <c r="AQ1272" s="668"/>
      <c r="AR1272" s="649"/>
      <c r="AS1272" s="653"/>
      <c r="AT1272" s="650"/>
      <c r="AU1272" s="668"/>
      <c r="AV1272" s="649"/>
      <c r="AW1272" s="653"/>
      <c r="AX1272" s="650"/>
      <c r="AY1272" s="672"/>
      <c r="AZ1272" s="669"/>
      <c r="BA1272" s="653"/>
      <c r="BB1272" s="650"/>
      <c r="BC1272" s="673"/>
      <c r="BD1272" s="669"/>
      <c r="BE1272" s="653"/>
      <c r="BF1272" s="838"/>
    </row>
    <row r="1273" spans="1:58" s="87" customFormat="1" ht="54" hidden="1" customHeight="1" x14ac:dyDescent="0.25">
      <c r="A1273" s="923" t="s">
        <v>7374</v>
      </c>
      <c r="B1273" s="632">
        <v>375</v>
      </c>
      <c r="C1273" s="924" t="s">
        <v>1955</v>
      </c>
      <c r="D1273" s="657" t="s">
        <v>1956</v>
      </c>
      <c r="E1273" s="658" t="s">
        <v>8470</v>
      </c>
      <c r="F1273" s="659" t="s">
        <v>7113</v>
      </c>
      <c r="G1273" s="660" t="s">
        <v>7114</v>
      </c>
      <c r="H1273" s="659" t="s">
        <v>7113</v>
      </c>
      <c r="I1273" s="660" t="s">
        <v>7114</v>
      </c>
      <c r="J1273" s="661" t="s">
        <v>140</v>
      </c>
      <c r="K1273" s="657" t="s">
        <v>140</v>
      </c>
      <c r="L1273" s="805" t="s">
        <v>7115</v>
      </c>
      <c r="M1273" s="620" t="s">
        <v>973</v>
      </c>
      <c r="N1273" s="621" t="s">
        <v>974</v>
      </c>
      <c r="O1273" s="661" t="s">
        <v>144</v>
      </c>
      <c r="P1273" s="661" t="s">
        <v>144</v>
      </c>
      <c r="Q1273" s="675" t="s">
        <v>144</v>
      </c>
      <c r="R1273" s="660" t="s">
        <v>144</v>
      </c>
      <c r="S1273" s="663" t="s">
        <v>233</v>
      </c>
      <c r="T1273" s="663" t="s">
        <v>234</v>
      </c>
      <c r="U1273" s="642" t="s">
        <v>235</v>
      </c>
      <c r="V1273" s="663">
        <v>8</v>
      </c>
      <c r="W1273" s="663" t="s">
        <v>144</v>
      </c>
      <c r="X1273" s="665">
        <v>45</v>
      </c>
      <c r="Y1273" s="661" t="s">
        <v>144</v>
      </c>
      <c r="Z1273" s="644" t="s">
        <v>29</v>
      </c>
      <c r="AA1273" s="658" t="s">
        <v>7016</v>
      </c>
      <c r="AB1273" s="661" t="s">
        <v>140</v>
      </c>
      <c r="AC1273" s="661" t="s">
        <v>265</v>
      </c>
      <c r="AD1273" s="661" t="s">
        <v>144</v>
      </c>
      <c r="AE1273" s="661" t="s">
        <v>144</v>
      </c>
      <c r="AF1273" s="666" t="s">
        <v>144</v>
      </c>
      <c r="AG1273" s="838"/>
      <c r="AH1273" s="667" t="s">
        <v>8443</v>
      </c>
      <c r="AI1273" s="668" t="s">
        <v>8444</v>
      </c>
      <c r="AJ1273" s="669">
        <v>6</v>
      </c>
      <c r="AK1273" s="776" t="s">
        <v>8445</v>
      </c>
      <c r="AL1273" s="650"/>
      <c r="AM1273" s="668"/>
      <c r="AN1273" s="669"/>
      <c r="AO1273" s="648"/>
      <c r="AP1273" s="630" t="s">
        <v>1160</v>
      </c>
      <c r="AQ1273" s="631" t="s">
        <v>1161</v>
      </c>
      <c r="AR1273" s="632">
        <v>7</v>
      </c>
      <c r="AS1273" s="633" t="s">
        <v>1162</v>
      </c>
      <c r="AT1273" s="630"/>
      <c r="AU1273" s="631"/>
      <c r="AV1273" s="632"/>
      <c r="AW1273" s="633"/>
      <c r="AX1273" s="650"/>
      <c r="AY1273" s="672"/>
      <c r="AZ1273" s="669"/>
      <c r="BA1273" s="653"/>
      <c r="BB1273" s="650"/>
      <c r="BC1273" s="673"/>
      <c r="BD1273" s="669"/>
      <c r="BE1273" s="653"/>
      <c r="BF1273" s="838"/>
    </row>
    <row r="1274" spans="1:58" s="87" customFormat="1" ht="54" hidden="1" customHeight="1" x14ac:dyDescent="0.25">
      <c r="A1274" s="923" t="s">
        <v>7374</v>
      </c>
      <c r="B1274" s="619">
        <v>376</v>
      </c>
      <c r="C1274" s="924" t="s">
        <v>1955</v>
      </c>
      <c r="D1274" s="657" t="s">
        <v>1956</v>
      </c>
      <c r="E1274" s="658" t="s">
        <v>8471</v>
      </c>
      <c r="F1274" s="659" t="s">
        <v>7117</v>
      </c>
      <c r="G1274" s="660" t="s">
        <v>7118</v>
      </c>
      <c r="H1274" s="659" t="s">
        <v>7119</v>
      </c>
      <c r="I1274" s="660" t="s">
        <v>7120</v>
      </c>
      <c r="J1274" s="661" t="s">
        <v>140</v>
      </c>
      <c r="K1274" s="657" t="s">
        <v>140</v>
      </c>
      <c r="L1274" s="805" t="s">
        <v>7121</v>
      </c>
      <c r="M1274" s="620" t="s">
        <v>973</v>
      </c>
      <c r="N1274" s="621" t="s">
        <v>974</v>
      </c>
      <c r="O1274" s="661" t="s">
        <v>144</v>
      </c>
      <c r="P1274" s="661" t="s">
        <v>144</v>
      </c>
      <c r="Q1274" s="675" t="s">
        <v>7122</v>
      </c>
      <c r="R1274" s="660" t="s">
        <v>7123</v>
      </c>
      <c r="S1274" s="663" t="s">
        <v>746</v>
      </c>
      <c r="T1274" s="658" t="s">
        <v>1104</v>
      </c>
      <c r="U1274" s="676" t="s">
        <v>1105</v>
      </c>
      <c r="V1274" s="663">
        <v>19</v>
      </c>
      <c r="W1274" s="663" t="s">
        <v>144</v>
      </c>
      <c r="X1274" s="665">
        <v>45</v>
      </c>
      <c r="Y1274" s="661" t="s">
        <v>144</v>
      </c>
      <c r="Z1274" s="644" t="s">
        <v>29</v>
      </c>
      <c r="AA1274" s="658" t="s">
        <v>7016</v>
      </c>
      <c r="AB1274" s="661" t="s">
        <v>140</v>
      </c>
      <c r="AC1274" s="661" t="s">
        <v>265</v>
      </c>
      <c r="AD1274" s="661" t="s">
        <v>144</v>
      </c>
      <c r="AE1274" s="661" t="s">
        <v>144</v>
      </c>
      <c r="AF1274" s="666" t="s">
        <v>144</v>
      </c>
      <c r="AG1274" s="838"/>
      <c r="AH1274" s="667" t="s">
        <v>8440</v>
      </c>
      <c r="AI1274" s="668" t="s">
        <v>8441</v>
      </c>
      <c r="AJ1274" s="669">
        <v>6</v>
      </c>
      <c r="AK1274" s="776" t="s">
        <v>7525</v>
      </c>
      <c r="AL1274" s="650"/>
      <c r="AM1274" s="668"/>
      <c r="AN1274" s="669"/>
      <c r="AO1274" s="648"/>
      <c r="AP1274" s="650"/>
      <c r="AQ1274" s="668"/>
      <c r="AR1274" s="649"/>
      <c r="AS1274" s="653"/>
      <c r="AT1274" s="650"/>
      <c r="AU1274" s="668"/>
      <c r="AV1274" s="649"/>
      <c r="AW1274" s="653"/>
      <c r="AX1274" s="650"/>
      <c r="AY1274" s="672"/>
      <c r="AZ1274" s="669"/>
      <c r="BA1274" s="653"/>
      <c r="BB1274" s="650"/>
      <c r="BC1274" s="673"/>
      <c r="BD1274" s="669"/>
      <c r="BE1274" s="653"/>
      <c r="BF1274" s="838"/>
    </row>
    <row r="1275" spans="1:58" s="87" customFormat="1" ht="54" hidden="1" customHeight="1" x14ac:dyDescent="0.25">
      <c r="A1275" s="923" t="s">
        <v>7374</v>
      </c>
      <c r="B1275" s="632">
        <v>377</v>
      </c>
      <c r="C1275" s="924" t="s">
        <v>1955</v>
      </c>
      <c r="D1275" s="657" t="s">
        <v>1956</v>
      </c>
      <c r="E1275" s="658" t="s">
        <v>8472</v>
      </c>
      <c r="F1275" s="659" t="s">
        <v>7125</v>
      </c>
      <c r="G1275" s="660" t="s">
        <v>7126</v>
      </c>
      <c r="H1275" s="659" t="s">
        <v>7125</v>
      </c>
      <c r="I1275" s="660" t="s">
        <v>7126</v>
      </c>
      <c r="J1275" s="661" t="s">
        <v>140</v>
      </c>
      <c r="K1275" s="657" t="s">
        <v>140</v>
      </c>
      <c r="L1275" s="805" t="s">
        <v>8473</v>
      </c>
      <c r="M1275" s="620" t="s">
        <v>973</v>
      </c>
      <c r="N1275" s="621" t="s">
        <v>974</v>
      </c>
      <c r="O1275" s="661" t="s">
        <v>814</v>
      </c>
      <c r="P1275" s="677" t="s">
        <v>815</v>
      </c>
      <c r="Q1275" s="675" t="s">
        <v>144</v>
      </c>
      <c r="R1275" s="660" t="s">
        <v>144</v>
      </c>
      <c r="S1275" s="663" t="s">
        <v>147</v>
      </c>
      <c r="T1275" s="663" t="s">
        <v>144</v>
      </c>
      <c r="U1275" s="664" t="s">
        <v>144</v>
      </c>
      <c r="V1275" s="663">
        <v>3</v>
      </c>
      <c r="W1275" s="663" t="s">
        <v>144</v>
      </c>
      <c r="X1275" s="665">
        <v>45</v>
      </c>
      <c r="Y1275" s="661" t="s">
        <v>144</v>
      </c>
      <c r="Z1275" s="661" t="s">
        <v>144</v>
      </c>
      <c r="AA1275" s="658" t="s">
        <v>7016</v>
      </c>
      <c r="AB1275" s="661" t="s">
        <v>140</v>
      </c>
      <c r="AC1275" s="661" t="s">
        <v>265</v>
      </c>
      <c r="AD1275" s="661" t="s">
        <v>144</v>
      </c>
      <c r="AE1275" s="661" t="s">
        <v>144</v>
      </c>
      <c r="AF1275" s="666" t="s">
        <v>144</v>
      </c>
      <c r="AG1275" s="838"/>
      <c r="AH1275" s="667" t="s">
        <v>8474</v>
      </c>
      <c r="AI1275" s="668" t="s">
        <v>8475</v>
      </c>
      <c r="AJ1275" s="669">
        <v>7</v>
      </c>
      <c r="AK1275" s="669" t="s">
        <v>1280</v>
      </c>
      <c r="AL1275" s="926" t="s">
        <v>294</v>
      </c>
      <c r="AM1275" s="671" t="s">
        <v>295</v>
      </c>
      <c r="AN1275" s="927">
        <v>7</v>
      </c>
      <c r="AO1275" s="653" t="s">
        <v>966</v>
      </c>
      <c r="AP1275" s="650"/>
      <c r="AQ1275" s="668"/>
      <c r="AR1275" s="649"/>
      <c r="AS1275" s="653"/>
      <c r="AT1275" s="650"/>
      <c r="AU1275" s="668"/>
      <c r="AV1275" s="649"/>
      <c r="AW1275" s="653"/>
      <c r="AX1275" s="650"/>
      <c r="AY1275" s="672"/>
      <c r="AZ1275" s="669"/>
      <c r="BA1275" s="653"/>
      <c r="BB1275" s="650"/>
      <c r="BC1275" s="673"/>
      <c r="BD1275" s="669"/>
      <c r="BE1275" s="653"/>
      <c r="BF1275" s="838"/>
    </row>
    <row r="1276" spans="1:58" s="87" customFormat="1" ht="54" hidden="1" customHeight="1" x14ac:dyDescent="0.25">
      <c r="A1276" s="928" t="s">
        <v>7374</v>
      </c>
      <c r="B1276" s="619">
        <v>378</v>
      </c>
      <c r="C1276" s="924" t="s">
        <v>1022</v>
      </c>
      <c r="D1276" s="657" t="s">
        <v>1023</v>
      </c>
      <c r="E1276" s="658" t="s">
        <v>8476</v>
      </c>
      <c r="F1276" s="659" t="s">
        <v>7131</v>
      </c>
      <c r="G1276" s="660" t="s">
        <v>7132</v>
      </c>
      <c r="H1276" s="678" t="s">
        <v>7133</v>
      </c>
      <c r="I1276" s="679" t="s">
        <v>7134</v>
      </c>
      <c r="J1276" s="661" t="s">
        <v>140</v>
      </c>
      <c r="K1276" s="657" t="s">
        <v>140</v>
      </c>
      <c r="L1276" s="805" t="s">
        <v>7135</v>
      </c>
      <c r="M1276" s="658" t="s">
        <v>193</v>
      </c>
      <c r="N1276" s="657" t="s">
        <v>194</v>
      </c>
      <c r="O1276" s="661" t="s">
        <v>7136</v>
      </c>
      <c r="P1276" s="661" t="s">
        <v>7137</v>
      </c>
      <c r="Q1276" s="675" t="s">
        <v>144</v>
      </c>
      <c r="R1276" s="660" t="s">
        <v>144</v>
      </c>
      <c r="S1276" s="663" t="s">
        <v>147</v>
      </c>
      <c r="T1276" s="663" t="s">
        <v>144</v>
      </c>
      <c r="U1276" s="664" t="s">
        <v>144</v>
      </c>
      <c r="V1276" s="663">
        <v>1</v>
      </c>
      <c r="W1276" s="663" t="s">
        <v>144</v>
      </c>
      <c r="X1276" s="665">
        <v>45</v>
      </c>
      <c r="Y1276" s="661" t="s">
        <v>144</v>
      </c>
      <c r="Z1276" s="661" t="s">
        <v>144</v>
      </c>
      <c r="AA1276" s="658" t="s">
        <v>7016</v>
      </c>
      <c r="AB1276" s="661" t="s">
        <v>140</v>
      </c>
      <c r="AC1276" s="661" t="s">
        <v>265</v>
      </c>
      <c r="AD1276" s="661" t="s">
        <v>144</v>
      </c>
      <c r="AE1276" s="661" t="s">
        <v>144</v>
      </c>
      <c r="AF1276" s="666" t="s">
        <v>144</v>
      </c>
      <c r="AG1276" s="838"/>
      <c r="AH1276" s="667"/>
      <c r="AI1276" s="668"/>
      <c r="AJ1276" s="669"/>
      <c r="AK1276" s="669"/>
      <c r="AL1276" s="926" t="s">
        <v>294</v>
      </c>
      <c r="AM1276" s="671" t="s">
        <v>295</v>
      </c>
      <c r="AN1276" s="927">
        <v>7</v>
      </c>
      <c r="AO1276" s="653" t="s">
        <v>966</v>
      </c>
      <c r="AP1276" s="650"/>
      <c r="AQ1276" s="668"/>
      <c r="AR1276" s="649"/>
      <c r="AS1276" s="653"/>
      <c r="AT1276" s="650"/>
      <c r="AU1276" s="668"/>
      <c r="AV1276" s="649"/>
      <c r="AW1276" s="653"/>
      <c r="AX1276" s="650"/>
      <c r="AY1276" s="672"/>
      <c r="AZ1276" s="669"/>
      <c r="BA1276" s="653"/>
      <c r="BB1276" s="650"/>
      <c r="BC1276" s="673"/>
      <c r="BD1276" s="669"/>
      <c r="BE1276" s="653"/>
      <c r="BF1276" s="838"/>
    </row>
    <row r="1277" spans="1:58" s="87" customFormat="1" ht="54" hidden="1" customHeight="1" x14ac:dyDescent="0.25">
      <c r="A1277" s="928" t="s">
        <v>7374</v>
      </c>
      <c r="B1277" s="632">
        <v>379</v>
      </c>
      <c r="C1277" s="924" t="s">
        <v>684</v>
      </c>
      <c r="D1277" s="657" t="s">
        <v>685</v>
      </c>
      <c r="E1277" s="658" t="s">
        <v>8477</v>
      </c>
      <c r="F1277" s="659" t="s">
        <v>7174</v>
      </c>
      <c r="G1277" s="660" t="s">
        <v>7175</v>
      </c>
      <c r="H1277" s="678" t="s">
        <v>7176</v>
      </c>
      <c r="I1277" s="679" t="s">
        <v>7177</v>
      </c>
      <c r="J1277" s="661" t="s">
        <v>140</v>
      </c>
      <c r="K1277" s="657" t="s">
        <v>140</v>
      </c>
      <c r="L1277" s="805" t="s">
        <v>7178</v>
      </c>
      <c r="M1277" s="620" t="s">
        <v>973</v>
      </c>
      <c r="N1277" s="621" t="s">
        <v>974</v>
      </c>
      <c r="O1277" s="661" t="s">
        <v>7179</v>
      </c>
      <c r="P1277" s="661" t="s">
        <v>7180</v>
      </c>
      <c r="Q1277" s="675" t="s">
        <v>8478</v>
      </c>
      <c r="R1277" s="660" t="s">
        <v>8479</v>
      </c>
      <c r="S1277" s="663" t="s">
        <v>147</v>
      </c>
      <c r="T1277" s="663" t="s">
        <v>144</v>
      </c>
      <c r="U1277" s="664" t="s">
        <v>144</v>
      </c>
      <c r="V1277" s="663">
        <v>1</v>
      </c>
      <c r="W1277" s="663" t="s">
        <v>144</v>
      </c>
      <c r="X1277" s="665">
        <v>45</v>
      </c>
      <c r="Y1277" s="661" t="s">
        <v>144</v>
      </c>
      <c r="Z1277" s="661" t="s">
        <v>29</v>
      </c>
      <c r="AA1277" s="658" t="s">
        <v>733</v>
      </c>
      <c r="AB1277" s="661" t="s">
        <v>140</v>
      </c>
      <c r="AC1277" s="661" t="s">
        <v>265</v>
      </c>
      <c r="AD1277" s="661" t="s">
        <v>144</v>
      </c>
      <c r="AE1277" s="661" t="s">
        <v>144</v>
      </c>
      <c r="AF1277" s="666" t="s">
        <v>144</v>
      </c>
      <c r="AG1277" s="838"/>
      <c r="AH1277" s="667" t="s">
        <v>8480</v>
      </c>
      <c r="AI1277" s="668" t="s">
        <v>8481</v>
      </c>
      <c r="AJ1277" s="669">
        <v>7</v>
      </c>
      <c r="AK1277" s="776" t="s">
        <v>8482</v>
      </c>
      <c r="AL1277" s="926" t="s">
        <v>294</v>
      </c>
      <c r="AM1277" s="671" t="s">
        <v>295</v>
      </c>
      <c r="AN1277" s="927">
        <v>7</v>
      </c>
      <c r="AO1277" s="653" t="s">
        <v>966</v>
      </c>
      <c r="AP1277" s="650"/>
      <c r="AQ1277" s="668"/>
      <c r="AR1277" s="649"/>
      <c r="AS1277" s="653"/>
      <c r="AT1277" s="650"/>
      <c r="AU1277" s="668"/>
      <c r="AV1277" s="649"/>
      <c r="AW1277" s="653"/>
      <c r="AX1277" s="650"/>
      <c r="AY1277" s="672"/>
      <c r="AZ1277" s="669"/>
      <c r="BA1277" s="653"/>
      <c r="BB1277" s="650"/>
      <c r="BC1277" s="673"/>
      <c r="BD1277" s="669"/>
      <c r="BE1277" s="653"/>
      <c r="BF1277" s="838"/>
    </row>
    <row r="1278" spans="1:58" s="87" customFormat="1" ht="54" hidden="1" customHeight="1" x14ac:dyDescent="0.25">
      <c r="A1278" s="928" t="s">
        <v>7374</v>
      </c>
      <c r="B1278" s="619">
        <v>380</v>
      </c>
      <c r="C1278" s="924" t="s">
        <v>684</v>
      </c>
      <c r="D1278" s="657" t="s">
        <v>685</v>
      </c>
      <c r="E1278" s="658" t="s">
        <v>8483</v>
      </c>
      <c r="F1278" s="659" t="s">
        <v>7187</v>
      </c>
      <c r="G1278" s="660" t="s">
        <v>7188</v>
      </c>
      <c r="H1278" s="678" t="s">
        <v>7189</v>
      </c>
      <c r="I1278" s="679" t="s">
        <v>7190</v>
      </c>
      <c r="J1278" s="661" t="s">
        <v>140</v>
      </c>
      <c r="K1278" s="657" t="s">
        <v>140</v>
      </c>
      <c r="L1278" s="805" t="s">
        <v>7191</v>
      </c>
      <c r="M1278" s="658" t="s">
        <v>193</v>
      </c>
      <c r="N1278" s="657" t="s">
        <v>194</v>
      </c>
      <c r="O1278" s="661" t="s">
        <v>7192</v>
      </c>
      <c r="P1278" s="661" t="s">
        <v>7193</v>
      </c>
      <c r="Q1278" s="675" t="s">
        <v>144</v>
      </c>
      <c r="R1278" s="660" t="s">
        <v>144</v>
      </c>
      <c r="S1278" s="663" t="s">
        <v>147</v>
      </c>
      <c r="T1278" s="663" t="s">
        <v>144</v>
      </c>
      <c r="U1278" s="664" t="s">
        <v>144</v>
      </c>
      <c r="V1278" s="663">
        <v>1</v>
      </c>
      <c r="W1278" s="663" t="s">
        <v>144</v>
      </c>
      <c r="X1278" s="665">
        <v>45</v>
      </c>
      <c r="Y1278" s="661" t="s">
        <v>144</v>
      </c>
      <c r="Z1278" s="661" t="s">
        <v>144</v>
      </c>
      <c r="AA1278" s="658" t="s">
        <v>733</v>
      </c>
      <c r="AB1278" s="661" t="s">
        <v>140</v>
      </c>
      <c r="AC1278" s="661" t="s">
        <v>265</v>
      </c>
      <c r="AD1278" s="661" t="s">
        <v>144</v>
      </c>
      <c r="AE1278" s="661" t="s">
        <v>144</v>
      </c>
      <c r="AF1278" s="666" t="s">
        <v>144</v>
      </c>
      <c r="AG1278" s="838"/>
      <c r="AH1278" s="667"/>
      <c r="AI1278" s="668"/>
      <c r="AJ1278" s="669"/>
      <c r="AK1278" s="669"/>
      <c r="AL1278" s="926" t="s">
        <v>294</v>
      </c>
      <c r="AM1278" s="671" t="s">
        <v>295</v>
      </c>
      <c r="AN1278" s="927">
        <v>7</v>
      </c>
      <c r="AO1278" s="653" t="s">
        <v>966</v>
      </c>
      <c r="AP1278" s="650"/>
      <c r="AQ1278" s="668"/>
      <c r="AR1278" s="649"/>
      <c r="AS1278" s="653"/>
      <c r="AT1278" s="650"/>
      <c r="AU1278" s="668"/>
      <c r="AV1278" s="649"/>
      <c r="AW1278" s="653"/>
      <c r="AX1278" s="650"/>
      <c r="AY1278" s="672"/>
      <c r="AZ1278" s="669"/>
      <c r="BA1278" s="653"/>
      <c r="BB1278" s="650"/>
      <c r="BC1278" s="673"/>
      <c r="BD1278" s="669"/>
      <c r="BE1278" s="653"/>
      <c r="BF1278" s="838"/>
    </row>
    <row r="1279" spans="1:58" s="87" customFormat="1" ht="54" hidden="1" customHeight="1" x14ac:dyDescent="0.25">
      <c r="A1279" s="928" t="s">
        <v>7374</v>
      </c>
      <c r="B1279" s="632">
        <v>381</v>
      </c>
      <c r="C1279" s="924" t="s">
        <v>684</v>
      </c>
      <c r="D1279" s="657" t="s">
        <v>685</v>
      </c>
      <c r="E1279" s="658" t="s">
        <v>8484</v>
      </c>
      <c r="F1279" s="659" t="s">
        <v>7196</v>
      </c>
      <c r="G1279" s="660" t="s">
        <v>7197</v>
      </c>
      <c r="H1279" s="659" t="s">
        <v>7198</v>
      </c>
      <c r="I1279" s="660" t="s">
        <v>7199</v>
      </c>
      <c r="J1279" s="661" t="s">
        <v>140</v>
      </c>
      <c r="K1279" s="657" t="s">
        <v>140</v>
      </c>
      <c r="L1279" s="805" t="s">
        <v>7200</v>
      </c>
      <c r="M1279" s="658" t="s">
        <v>193</v>
      </c>
      <c r="N1279" s="657" t="s">
        <v>194</v>
      </c>
      <c r="O1279" s="661" t="s">
        <v>144</v>
      </c>
      <c r="P1279" s="661" t="s">
        <v>144</v>
      </c>
      <c r="Q1279" s="675" t="s">
        <v>144</v>
      </c>
      <c r="R1279" s="660" t="s">
        <v>144</v>
      </c>
      <c r="S1279" s="663" t="s">
        <v>746</v>
      </c>
      <c r="T1279" s="658" t="s">
        <v>1104</v>
      </c>
      <c r="U1279" s="676" t="s">
        <v>1105</v>
      </c>
      <c r="V1279" s="663">
        <v>19</v>
      </c>
      <c r="W1279" s="663" t="s">
        <v>144</v>
      </c>
      <c r="X1279" s="665">
        <v>45</v>
      </c>
      <c r="Y1279" s="661" t="s">
        <v>144</v>
      </c>
      <c r="Z1279" s="661" t="s">
        <v>144</v>
      </c>
      <c r="AA1279" s="658" t="s">
        <v>733</v>
      </c>
      <c r="AB1279" s="661" t="s">
        <v>140</v>
      </c>
      <c r="AC1279" s="661" t="s">
        <v>265</v>
      </c>
      <c r="AD1279" s="661" t="s">
        <v>144</v>
      </c>
      <c r="AE1279" s="661" t="s">
        <v>144</v>
      </c>
      <c r="AF1279" s="666" t="s">
        <v>144</v>
      </c>
      <c r="AG1279" s="838"/>
      <c r="AH1279" s="667"/>
      <c r="AI1279" s="668"/>
      <c r="AJ1279" s="669"/>
      <c r="AK1279" s="669"/>
      <c r="AL1279" s="650"/>
      <c r="AM1279" s="668"/>
      <c r="AN1279" s="669"/>
      <c r="AO1279" s="648"/>
      <c r="AP1279" s="650"/>
      <c r="AQ1279" s="668"/>
      <c r="AR1279" s="649"/>
      <c r="AS1279" s="653"/>
      <c r="AT1279" s="650"/>
      <c r="AU1279" s="668"/>
      <c r="AV1279" s="649"/>
      <c r="AW1279" s="653"/>
      <c r="AX1279" s="650"/>
      <c r="AY1279" s="672"/>
      <c r="AZ1279" s="669"/>
      <c r="BA1279" s="653"/>
      <c r="BB1279" s="650"/>
      <c r="BC1279" s="673"/>
      <c r="BD1279" s="669"/>
      <c r="BE1279" s="653"/>
      <c r="BF1279" s="838"/>
    </row>
    <row r="1280" spans="1:58" s="87" customFormat="1" ht="54" hidden="1" customHeight="1" x14ac:dyDescent="0.25">
      <c r="A1280" s="923" t="s">
        <v>7374</v>
      </c>
      <c r="B1280" s="619">
        <v>382</v>
      </c>
      <c r="C1280" s="924" t="s">
        <v>684</v>
      </c>
      <c r="D1280" s="657" t="s">
        <v>685</v>
      </c>
      <c r="E1280" s="658" t="s">
        <v>8485</v>
      </c>
      <c r="F1280" s="659" t="s">
        <v>7202</v>
      </c>
      <c r="G1280" s="660" t="s">
        <v>7203</v>
      </c>
      <c r="H1280" s="727" t="s">
        <v>7204</v>
      </c>
      <c r="I1280" s="679" t="s">
        <v>7205</v>
      </c>
      <c r="J1280" s="661" t="s">
        <v>140</v>
      </c>
      <c r="K1280" s="657" t="s">
        <v>140</v>
      </c>
      <c r="L1280" s="805" t="s">
        <v>7206</v>
      </c>
      <c r="M1280" s="658" t="s">
        <v>142</v>
      </c>
      <c r="N1280" s="657" t="s">
        <v>143</v>
      </c>
      <c r="O1280" s="661" t="s">
        <v>7207</v>
      </c>
      <c r="P1280" s="661" t="s">
        <v>7208</v>
      </c>
      <c r="Q1280" s="675" t="s">
        <v>144</v>
      </c>
      <c r="R1280" s="660" t="s">
        <v>144</v>
      </c>
      <c r="S1280" s="663" t="s">
        <v>147</v>
      </c>
      <c r="T1280" s="663" t="s">
        <v>144</v>
      </c>
      <c r="U1280" s="664" t="s">
        <v>144</v>
      </c>
      <c r="V1280" s="663">
        <v>1</v>
      </c>
      <c r="W1280" s="663" t="s">
        <v>144</v>
      </c>
      <c r="X1280" s="665">
        <v>45</v>
      </c>
      <c r="Y1280" s="663" t="s">
        <v>144</v>
      </c>
      <c r="Z1280" s="661" t="s">
        <v>29</v>
      </c>
      <c r="AA1280" s="658" t="s">
        <v>733</v>
      </c>
      <c r="AB1280" s="661" t="s">
        <v>140</v>
      </c>
      <c r="AC1280" s="661" t="s">
        <v>265</v>
      </c>
      <c r="AD1280" s="661" t="s">
        <v>144</v>
      </c>
      <c r="AE1280" s="661" t="s">
        <v>144</v>
      </c>
      <c r="AF1280" s="666" t="s">
        <v>144</v>
      </c>
      <c r="AG1280" s="838"/>
      <c r="AH1280" s="667" t="s">
        <v>266</v>
      </c>
      <c r="AI1280" s="668" t="s">
        <v>267</v>
      </c>
      <c r="AJ1280" s="669">
        <v>7</v>
      </c>
      <c r="AK1280" s="669" t="s">
        <v>1046</v>
      </c>
      <c r="AL1280" s="926" t="s">
        <v>294</v>
      </c>
      <c r="AM1280" s="671" t="s">
        <v>295</v>
      </c>
      <c r="AN1280" s="927">
        <v>7</v>
      </c>
      <c r="AO1280" s="653" t="s">
        <v>966</v>
      </c>
      <c r="AP1280" s="650"/>
      <c r="AQ1280" s="668"/>
      <c r="AR1280" s="649"/>
      <c r="AS1280" s="653"/>
      <c r="AT1280" s="650"/>
      <c r="AU1280" s="668"/>
      <c r="AV1280" s="649"/>
      <c r="AW1280" s="653"/>
      <c r="AX1280" s="650"/>
      <c r="AY1280" s="672"/>
      <c r="AZ1280" s="669"/>
      <c r="BA1280" s="653"/>
      <c r="BB1280" s="650"/>
      <c r="BC1280" s="673"/>
      <c r="BD1280" s="669"/>
      <c r="BE1280" s="653"/>
      <c r="BF1280" s="838"/>
    </row>
    <row r="1281" spans="1:58" s="802" customFormat="1" ht="54" hidden="1" customHeight="1" x14ac:dyDescent="0.25">
      <c r="A1281" s="928" t="s">
        <v>7374</v>
      </c>
      <c r="B1281" s="632">
        <v>383</v>
      </c>
      <c r="C1281" s="924" t="s">
        <v>684</v>
      </c>
      <c r="D1281" s="657" t="s">
        <v>685</v>
      </c>
      <c r="E1281" s="658" t="s">
        <v>8486</v>
      </c>
      <c r="F1281" s="659" t="s">
        <v>7210</v>
      </c>
      <c r="G1281" s="660" t="s">
        <v>7211</v>
      </c>
      <c r="H1281" s="678" t="s">
        <v>7212</v>
      </c>
      <c r="I1281" s="679" t="s">
        <v>7213</v>
      </c>
      <c r="J1281" s="661" t="s">
        <v>140</v>
      </c>
      <c r="K1281" s="657" t="s">
        <v>140</v>
      </c>
      <c r="L1281" s="805" t="s">
        <v>7214</v>
      </c>
      <c r="M1281" s="620" t="s">
        <v>973</v>
      </c>
      <c r="N1281" s="621" t="s">
        <v>974</v>
      </c>
      <c r="O1281" s="661" t="s">
        <v>7215</v>
      </c>
      <c r="P1281" s="661" t="s">
        <v>7216</v>
      </c>
      <c r="Q1281" s="675" t="s">
        <v>144</v>
      </c>
      <c r="R1281" s="660" t="s">
        <v>144</v>
      </c>
      <c r="S1281" s="663" t="s">
        <v>147</v>
      </c>
      <c r="T1281" s="663" t="s">
        <v>144</v>
      </c>
      <c r="U1281" s="664" t="s">
        <v>144</v>
      </c>
      <c r="V1281" s="663">
        <v>1</v>
      </c>
      <c r="W1281" s="663" t="s">
        <v>144</v>
      </c>
      <c r="X1281" s="665">
        <v>45</v>
      </c>
      <c r="Y1281" s="661" t="s">
        <v>144</v>
      </c>
      <c r="Z1281" s="661" t="s">
        <v>29</v>
      </c>
      <c r="AA1281" s="658" t="s">
        <v>733</v>
      </c>
      <c r="AB1281" s="661" t="s">
        <v>140</v>
      </c>
      <c r="AC1281" s="661" t="s">
        <v>265</v>
      </c>
      <c r="AD1281" s="661" t="s">
        <v>144</v>
      </c>
      <c r="AE1281" s="661" t="s">
        <v>144</v>
      </c>
      <c r="AF1281" s="666" t="s">
        <v>144</v>
      </c>
      <c r="AG1281" s="838"/>
      <c r="AH1281" s="756" t="s">
        <v>8487</v>
      </c>
      <c r="AI1281" s="757" t="s">
        <v>8488</v>
      </c>
      <c r="AJ1281" s="669">
        <v>7</v>
      </c>
      <c r="AK1281" s="767" t="s">
        <v>3347</v>
      </c>
      <c r="AL1281" s="926" t="s">
        <v>294</v>
      </c>
      <c r="AM1281" s="671" t="s">
        <v>295</v>
      </c>
      <c r="AN1281" s="927">
        <v>7</v>
      </c>
      <c r="AO1281" s="653" t="s">
        <v>966</v>
      </c>
      <c r="AP1281" s="650"/>
      <c r="AQ1281" s="668"/>
      <c r="AR1281" s="649"/>
      <c r="AS1281" s="653"/>
      <c r="AT1281" s="650"/>
      <c r="AU1281" s="668"/>
      <c r="AV1281" s="649"/>
      <c r="AW1281" s="653"/>
      <c r="AX1281" s="650"/>
      <c r="AY1281" s="672"/>
      <c r="AZ1281" s="669"/>
      <c r="BA1281" s="653"/>
      <c r="BB1281" s="650"/>
      <c r="BC1281" s="673"/>
      <c r="BD1281" s="669"/>
      <c r="BE1281" s="653"/>
      <c r="BF1281" s="838"/>
    </row>
    <row r="1282" spans="1:58" s="87" customFormat="1" ht="54" hidden="1" customHeight="1" x14ac:dyDescent="0.25">
      <c r="A1282" s="923" t="s">
        <v>7374</v>
      </c>
      <c r="B1282" s="619">
        <v>384</v>
      </c>
      <c r="C1282" s="924" t="s">
        <v>5290</v>
      </c>
      <c r="D1282" s="657" t="s">
        <v>5291</v>
      </c>
      <c r="E1282" s="658" t="s">
        <v>8489</v>
      </c>
      <c r="F1282" s="750" t="s">
        <v>7247</v>
      </c>
      <c r="G1282" s="751" t="s">
        <v>7248</v>
      </c>
      <c r="H1282" s="752" t="s">
        <v>7249</v>
      </c>
      <c r="I1282" s="753" t="s">
        <v>8490</v>
      </c>
      <c r="J1282" s="661" t="s">
        <v>140</v>
      </c>
      <c r="K1282" s="657" t="s">
        <v>140</v>
      </c>
      <c r="L1282" s="805" t="s">
        <v>7251</v>
      </c>
      <c r="M1282" s="620" t="s">
        <v>973</v>
      </c>
      <c r="N1282" s="621" t="s">
        <v>974</v>
      </c>
      <c r="O1282" s="661" t="s">
        <v>617</v>
      </c>
      <c r="P1282" s="661" t="s">
        <v>618</v>
      </c>
      <c r="Q1282" s="754" t="s">
        <v>7252</v>
      </c>
      <c r="R1282" s="755" t="s">
        <v>7253</v>
      </c>
      <c r="S1282" s="663" t="s">
        <v>147</v>
      </c>
      <c r="T1282" s="663" t="s">
        <v>144</v>
      </c>
      <c r="U1282" s="664" t="s">
        <v>144</v>
      </c>
      <c r="V1282" s="663">
        <v>2</v>
      </c>
      <c r="W1282" s="663" t="s">
        <v>144</v>
      </c>
      <c r="X1282" s="665">
        <v>45</v>
      </c>
      <c r="Y1282" s="661" t="s">
        <v>144</v>
      </c>
      <c r="Z1282" s="661" t="s">
        <v>29</v>
      </c>
      <c r="AA1282" s="658" t="s">
        <v>441</v>
      </c>
      <c r="AB1282" s="661" t="s">
        <v>140</v>
      </c>
      <c r="AC1282" s="661" t="s">
        <v>265</v>
      </c>
      <c r="AD1282" s="661" t="s">
        <v>144</v>
      </c>
      <c r="AE1282" s="661" t="s">
        <v>144</v>
      </c>
      <c r="AF1282" s="666" t="s">
        <v>144</v>
      </c>
      <c r="AG1282" s="838"/>
      <c r="AH1282" s="756" t="s">
        <v>8491</v>
      </c>
      <c r="AI1282" s="757" t="s">
        <v>8492</v>
      </c>
      <c r="AJ1282" s="669">
        <v>6</v>
      </c>
      <c r="AK1282" s="669" t="s">
        <v>3347</v>
      </c>
      <c r="AL1282" s="926" t="s">
        <v>294</v>
      </c>
      <c r="AM1282" s="671" t="s">
        <v>295</v>
      </c>
      <c r="AN1282" s="927">
        <v>7</v>
      </c>
      <c r="AO1282" s="653" t="s">
        <v>966</v>
      </c>
      <c r="AP1282" s="650"/>
      <c r="AQ1282" s="668"/>
      <c r="AR1282" s="649"/>
      <c r="AS1282" s="653"/>
      <c r="AT1282" s="650"/>
      <c r="AU1282" s="668"/>
      <c r="AV1282" s="649"/>
      <c r="AW1282" s="653"/>
      <c r="AX1282" s="650"/>
      <c r="AY1282" s="672"/>
      <c r="AZ1282" s="669"/>
      <c r="BA1282" s="653"/>
      <c r="BB1282" s="650"/>
      <c r="BC1282" s="673"/>
      <c r="BD1282" s="669"/>
      <c r="BE1282" s="653"/>
      <c r="BF1282" s="838"/>
    </row>
    <row r="1283" spans="1:58" s="87" customFormat="1" ht="54" hidden="1" customHeight="1" x14ac:dyDescent="0.25">
      <c r="A1283" s="923" t="s">
        <v>7374</v>
      </c>
      <c r="B1283" s="632">
        <v>385</v>
      </c>
      <c r="C1283" s="924" t="s">
        <v>5290</v>
      </c>
      <c r="D1283" s="657" t="s">
        <v>5291</v>
      </c>
      <c r="E1283" s="658" t="s">
        <v>8493</v>
      </c>
      <c r="F1283" s="659" t="s">
        <v>7257</v>
      </c>
      <c r="G1283" s="660" t="s">
        <v>7258</v>
      </c>
      <c r="H1283" s="678" t="s">
        <v>7259</v>
      </c>
      <c r="I1283" s="679" t="s">
        <v>7260</v>
      </c>
      <c r="J1283" s="661" t="s">
        <v>140</v>
      </c>
      <c r="K1283" s="657" t="s">
        <v>140</v>
      </c>
      <c r="L1283" s="805" t="s">
        <v>7261</v>
      </c>
      <c r="M1283" s="620" t="s">
        <v>973</v>
      </c>
      <c r="N1283" s="621" t="s">
        <v>974</v>
      </c>
      <c r="O1283" s="661" t="s">
        <v>7262</v>
      </c>
      <c r="P1283" s="661" t="s">
        <v>7263</v>
      </c>
      <c r="Q1283" s="675" t="s">
        <v>7264</v>
      </c>
      <c r="R1283" s="660" t="s">
        <v>7265</v>
      </c>
      <c r="S1283" s="663" t="s">
        <v>147</v>
      </c>
      <c r="T1283" s="663" t="s">
        <v>144</v>
      </c>
      <c r="U1283" s="664" t="s">
        <v>144</v>
      </c>
      <c r="V1283" s="663">
        <v>1</v>
      </c>
      <c r="W1283" s="663" t="s">
        <v>144</v>
      </c>
      <c r="X1283" s="665">
        <v>45</v>
      </c>
      <c r="Y1283" s="661" t="s">
        <v>144</v>
      </c>
      <c r="Z1283" s="661" t="s">
        <v>29</v>
      </c>
      <c r="AA1283" s="658" t="s">
        <v>441</v>
      </c>
      <c r="AB1283" s="661" t="s">
        <v>140</v>
      </c>
      <c r="AC1283" s="661" t="s">
        <v>265</v>
      </c>
      <c r="AD1283" s="661" t="s">
        <v>144</v>
      </c>
      <c r="AE1283" s="661" t="s">
        <v>144</v>
      </c>
      <c r="AF1283" s="666" t="s">
        <v>144</v>
      </c>
      <c r="AG1283" s="838"/>
      <c r="AH1283" s="667" t="s">
        <v>8491</v>
      </c>
      <c r="AI1283" s="668" t="s">
        <v>8492</v>
      </c>
      <c r="AJ1283" s="669">
        <v>7</v>
      </c>
      <c r="AK1283" s="776" t="s">
        <v>8494</v>
      </c>
      <c r="AL1283" s="926" t="s">
        <v>294</v>
      </c>
      <c r="AM1283" s="671" t="s">
        <v>295</v>
      </c>
      <c r="AN1283" s="927">
        <v>7</v>
      </c>
      <c r="AO1283" s="653" t="s">
        <v>966</v>
      </c>
      <c r="AP1283" s="650"/>
      <c r="AQ1283" s="668"/>
      <c r="AR1283" s="649"/>
      <c r="AS1283" s="653"/>
      <c r="AT1283" s="650"/>
      <c r="AU1283" s="668"/>
      <c r="AV1283" s="649"/>
      <c r="AW1283" s="653"/>
      <c r="AX1283" s="650"/>
      <c r="AY1283" s="672"/>
      <c r="AZ1283" s="669"/>
      <c r="BA1283" s="653"/>
      <c r="BB1283" s="650"/>
      <c r="BC1283" s="673"/>
      <c r="BD1283" s="669"/>
      <c r="BE1283" s="653"/>
      <c r="BF1283" s="838"/>
    </row>
    <row r="1284" spans="1:58" s="87" customFormat="1" ht="54" hidden="1" customHeight="1" x14ac:dyDescent="0.25">
      <c r="A1284" s="923" t="s">
        <v>7374</v>
      </c>
      <c r="B1284" s="619">
        <v>386</v>
      </c>
      <c r="C1284" s="924" t="s">
        <v>5290</v>
      </c>
      <c r="D1284" s="657" t="s">
        <v>5291</v>
      </c>
      <c r="E1284" s="658" t="s">
        <v>8495</v>
      </c>
      <c r="F1284" s="659" t="s">
        <v>7268</v>
      </c>
      <c r="G1284" s="660" t="s">
        <v>7269</v>
      </c>
      <c r="H1284" s="678" t="s">
        <v>7270</v>
      </c>
      <c r="I1284" s="679" t="s">
        <v>7271</v>
      </c>
      <c r="J1284" s="661" t="s">
        <v>140</v>
      </c>
      <c r="K1284" s="657" t="s">
        <v>140</v>
      </c>
      <c r="L1284" s="805" t="s">
        <v>7272</v>
      </c>
      <c r="M1284" s="620" t="s">
        <v>973</v>
      </c>
      <c r="N1284" s="621" t="s">
        <v>974</v>
      </c>
      <c r="O1284" s="661" t="s">
        <v>7273</v>
      </c>
      <c r="P1284" s="661" t="s">
        <v>7274</v>
      </c>
      <c r="Q1284" s="675" t="s">
        <v>7275</v>
      </c>
      <c r="R1284" s="660" t="s">
        <v>7276</v>
      </c>
      <c r="S1284" s="663" t="s">
        <v>147</v>
      </c>
      <c r="T1284" s="663" t="s">
        <v>144</v>
      </c>
      <c r="U1284" s="664" t="s">
        <v>144</v>
      </c>
      <c r="V1284" s="663">
        <v>1</v>
      </c>
      <c r="W1284" s="663" t="s">
        <v>144</v>
      </c>
      <c r="X1284" s="665">
        <v>45</v>
      </c>
      <c r="Y1284" s="661" t="s">
        <v>144</v>
      </c>
      <c r="Z1284" s="661" t="s">
        <v>29</v>
      </c>
      <c r="AA1284" s="658" t="s">
        <v>441</v>
      </c>
      <c r="AB1284" s="661" t="s">
        <v>140</v>
      </c>
      <c r="AC1284" s="661" t="s">
        <v>265</v>
      </c>
      <c r="AD1284" s="661" t="s">
        <v>144</v>
      </c>
      <c r="AE1284" s="661" t="s">
        <v>144</v>
      </c>
      <c r="AF1284" s="666" t="s">
        <v>144</v>
      </c>
      <c r="AG1284" s="838"/>
      <c r="AH1284" s="667" t="s">
        <v>8491</v>
      </c>
      <c r="AI1284" s="668" t="s">
        <v>8492</v>
      </c>
      <c r="AJ1284" s="669">
        <v>7</v>
      </c>
      <c r="AK1284" s="748" t="s">
        <v>8494</v>
      </c>
      <c r="AL1284" s="926" t="s">
        <v>294</v>
      </c>
      <c r="AM1284" s="671" t="s">
        <v>295</v>
      </c>
      <c r="AN1284" s="927">
        <v>7</v>
      </c>
      <c r="AO1284" s="653" t="s">
        <v>966</v>
      </c>
      <c r="AP1284" s="650"/>
      <c r="AQ1284" s="668"/>
      <c r="AR1284" s="649"/>
      <c r="AS1284" s="653"/>
      <c r="AT1284" s="650"/>
      <c r="AU1284" s="668"/>
      <c r="AV1284" s="649"/>
      <c r="AW1284" s="653"/>
      <c r="AX1284" s="650"/>
      <c r="AY1284" s="672"/>
      <c r="AZ1284" s="669"/>
      <c r="BA1284" s="653"/>
      <c r="BB1284" s="650"/>
      <c r="BC1284" s="673"/>
      <c r="BD1284" s="669"/>
      <c r="BE1284" s="653"/>
      <c r="BF1284" s="838"/>
    </row>
    <row r="1285" spans="1:58" s="87" customFormat="1" ht="54" hidden="1" customHeight="1" x14ac:dyDescent="0.25">
      <c r="A1285" s="923" t="s">
        <v>7374</v>
      </c>
      <c r="B1285" s="632">
        <v>387</v>
      </c>
      <c r="C1285" s="924" t="s">
        <v>5290</v>
      </c>
      <c r="D1285" s="657" t="s">
        <v>5291</v>
      </c>
      <c r="E1285" s="658" t="s">
        <v>8496</v>
      </c>
      <c r="F1285" s="659" t="s">
        <v>7278</v>
      </c>
      <c r="G1285" s="660" t="s">
        <v>7279</v>
      </c>
      <c r="H1285" s="659" t="s">
        <v>7280</v>
      </c>
      <c r="I1285" s="660" t="s">
        <v>7281</v>
      </c>
      <c r="J1285" s="661" t="s">
        <v>140</v>
      </c>
      <c r="K1285" s="657" t="s">
        <v>140</v>
      </c>
      <c r="L1285" s="805" t="s">
        <v>7282</v>
      </c>
      <c r="M1285" s="620" t="s">
        <v>973</v>
      </c>
      <c r="N1285" s="621" t="s">
        <v>974</v>
      </c>
      <c r="O1285" s="661" t="s">
        <v>144</v>
      </c>
      <c r="P1285" s="661" t="s">
        <v>144</v>
      </c>
      <c r="Q1285" s="675" t="s">
        <v>144</v>
      </c>
      <c r="R1285" s="660" t="s">
        <v>144</v>
      </c>
      <c r="S1285" s="663" t="s">
        <v>746</v>
      </c>
      <c r="T1285" s="658" t="s">
        <v>1104</v>
      </c>
      <c r="U1285" s="676" t="s">
        <v>1105</v>
      </c>
      <c r="V1285" s="663">
        <v>19</v>
      </c>
      <c r="W1285" s="663" t="s">
        <v>144</v>
      </c>
      <c r="X1285" s="665">
        <v>45</v>
      </c>
      <c r="Y1285" s="661" t="s">
        <v>144</v>
      </c>
      <c r="Z1285" s="661" t="s">
        <v>29</v>
      </c>
      <c r="AA1285" s="658" t="s">
        <v>441</v>
      </c>
      <c r="AB1285" s="661" t="s">
        <v>140</v>
      </c>
      <c r="AC1285" s="661" t="s">
        <v>265</v>
      </c>
      <c r="AD1285" s="661" t="s">
        <v>144</v>
      </c>
      <c r="AE1285" s="661" t="s">
        <v>144</v>
      </c>
      <c r="AF1285" s="666" t="s">
        <v>144</v>
      </c>
      <c r="AG1285" s="838"/>
      <c r="AH1285" s="667" t="s">
        <v>8497</v>
      </c>
      <c r="AI1285" s="668" t="s">
        <v>8498</v>
      </c>
      <c r="AJ1285" s="669">
        <v>6</v>
      </c>
      <c r="AK1285" s="748" t="s">
        <v>8499</v>
      </c>
      <c r="AL1285" s="650"/>
      <c r="AM1285" s="668"/>
      <c r="AN1285" s="669"/>
      <c r="AO1285" s="648"/>
      <c r="AP1285" s="650"/>
      <c r="AQ1285" s="668"/>
      <c r="AR1285" s="649"/>
      <c r="AS1285" s="653"/>
      <c r="AT1285" s="650"/>
      <c r="AU1285" s="668"/>
      <c r="AV1285" s="649"/>
      <c r="AW1285" s="653"/>
      <c r="AX1285" s="650"/>
      <c r="AY1285" s="672"/>
      <c r="AZ1285" s="669"/>
      <c r="BA1285" s="653"/>
      <c r="BB1285" s="650"/>
      <c r="BC1285" s="673"/>
      <c r="BD1285" s="669"/>
      <c r="BE1285" s="653"/>
      <c r="BF1285" s="838"/>
    </row>
    <row r="1286" spans="1:58" s="87" customFormat="1" ht="54" hidden="1" customHeight="1" x14ac:dyDescent="0.25">
      <c r="A1286" s="923" t="s">
        <v>7374</v>
      </c>
      <c r="B1286" s="619">
        <v>388</v>
      </c>
      <c r="C1286" s="924" t="s">
        <v>5290</v>
      </c>
      <c r="D1286" s="657" t="s">
        <v>5291</v>
      </c>
      <c r="E1286" s="658" t="s">
        <v>8500</v>
      </c>
      <c r="F1286" s="659" t="s">
        <v>7286</v>
      </c>
      <c r="G1286" s="660" t="s">
        <v>7287</v>
      </c>
      <c r="H1286" s="659" t="s">
        <v>7288</v>
      </c>
      <c r="I1286" s="660" t="s">
        <v>7289</v>
      </c>
      <c r="J1286" s="661" t="s">
        <v>140</v>
      </c>
      <c r="K1286" s="657" t="s">
        <v>140</v>
      </c>
      <c r="L1286" s="805" t="s">
        <v>7290</v>
      </c>
      <c r="M1286" s="620" t="s">
        <v>973</v>
      </c>
      <c r="N1286" s="621" t="s">
        <v>974</v>
      </c>
      <c r="O1286" s="661" t="s">
        <v>814</v>
      </c>
      <c r="P1286" s="661" t="s">
        <v>815</v>
      </c>
      <c r="Q1286" s="675" t="s">
        <v>144</v>
      </c>
      <c r="R1286" s="660" t="s">
        <v>144</v>
      </c>
      <c r="S1286" s="663" t="s">
        <v>147</v>
      </c>
      <c r="T1286" s="658" t="s">
        <v>144</v>
      </c>
      <c r="U1286" s="676" t="s">
        <v>144</v>
      </c>
      <c r="V1286" s="663">
        <v>3</v>
      </c>
      <c r="W1286" s="663" t="s">
        <v>144</v>
      </c>
      <c r="X1286" s="665">
        <v>45</v>
      </c>
      <c r="Y1286" s="661" t="s">
        <v>144</v>
      </c>
      <c r="Z1286" s="661" t="s">
        <v>144</v>
      </c>
      <c r="AA1286" s="658" t="s">
        <v>441</v>
      </c>
      <c r="AB1286" s="661" t="s">
        <v>140</v>
      </c>
      <c r="AC1286" s="661" t="s">
        <v>265</v>
      </c>
      <c r="AD1286" s="661" t="s">
        <v>144</v>
      </c>
      <c r="AE1286" s="661" t="s">
        <v>144</v>
      </c>
      <c r="AF1286" s="666" t="s">
        <v>144</v>
      </c>
      <c r="AG1286" s="838"/>
      <c r="AH1286" s="667" t="s">
        <v>8501</v>
      </c>
      <c r="AI1286" s="668" t="s">
        <v>8502</v>
      </c>
      <c r="AJ1286" s="669">
        <v>7</v>
      </c>
      <c r="AK1286" s="670" t="s">
        <v>1280</v>
      </c>
      <c r="AL1286" s="650" t="s">
        <v>294</v>
      </c>
      <c r="AM1286" s="668" t="s">
        <v>295</v>
      </c>
      <c r="AN1286" s="669">
        <v>7</v>
      </c>
      <c r="AO1286" s="648" t="s">
        <v>966</v>
      </c>
      <c r="AP1286" s="650"/>
      <c r="AQ1286" s="668"/>
      <c r="AR1286" s="649"/>
      <c r="AS1286" s="653"/>
      <c r="AT1286" s="650"/>
      <c r="AU1286" s="668"/>
      <c r="AV1286" s="649"/>
      <c r="AW1286" s="653"/>
      <c r="AX1286" s="650"/>
      <c r="AY1286" s="672"/>
      <c r="AZ1286" s="669"/>
      <c r="BA1286" s="653"/>
      <c r="BB1286" s="650"/>
      <c r="BC1286" s="673"/>
      <c r="BD1286" s="669"/>
      <c r="BE1286" s="653"/>
      <c r="BF1286" s="838"/>
    </row>
    <row r="1287" spans="1:58" s="87" customFormat="1" ht="54" hidden="1" customHeight="1" x14ac:dyDescent="0.25">
      <c r="A1287" s="923" t="s">
        <v>7374</v>
      </c>
      <c r="B1287" s="632">
        <v>389</v>
      </c>
      <c r="C1287" s="924" t="s">
        <v>5290</v>
      </c>
      <c r="D1287" s="657" t="s">
        <v>5291</v>
      </c>
      <c r="E1287" s="658" t="s">
        <v>8503</v>
      </c>
      <c r="F1287" s="659" t="s">
        <v>7294</v>
      </c>
      <c r="G1287" s="660" t="s">
        <v>7295</v>
      </c>
      <c r="H1287" s="678" t="s">
        <v>7296</v>
      </c>
      <c r="I1287" s="679" t="s">
        <v>7297</v>
      </c>
      <c r="J1287" s="661" t="s">
        <v>140</v>
      </c>
      <c r="K1287" s="657" t="s">
        <v>140</v>
      </c>
      <c r="L1287" s="805" t="s">
        <v>7298</v>
      </c>
      <c r="M1287" s="620" t="s">
        <v>973</v>
      </c>
      <c r="N1287" s="621" t="s">
        <v>974</v>
      </c>
      <c r="O1287" s="661" t="s">
        <v>7299</v>
      </c>
      <c r="P1287" s="661" t="s">
        <v>7300</v>
      </c>
      <c r="Q1287" s="675" t="s">
        <v>7275</v>
      </c>
      <c r="R1287" s="660" t="s">
        <v>7276</v>
      </c>
      <c r="S1287" s="663" t="s">
        <v>147</v>
      </c>
      <c r="T1287" s="663" t="s">
        <v>144</v>
      </c>
      <c r="U1287" s="664" t="s">
        <v>144</v>
      </c>
      <c r="V1287" s="663">
        <v>1</v>
      </c>
      <c r="W1287" s="663" t="s">
        <v>144</v>
      </c>
      <c r="X1287" s="665">
        <v>45</v>
      </c>
      <c r="Y1287" s="661" t="s">
        <v>144</v>
      </c>
      <c r="Z1287" s="661" t="s">
        <v>29</v>
      </c>
      <c r="AA1287" s="658" t="s">
        <v>441</v>
      </c>
      <c r="AB1287" s="661" t="s">
        <v>140</v>
      </c>
      <c r="AC1287" s="661" t="s">
        <v>265</v>
      </c>
      <c r="AD1287" s="661" t="s">
        <v>144</v>
      </c>
      <c r="AE1287" s="661" t="s">
        <v>144</v>
      </c>
      <c r="AF1287" s="666" t="s">
        <v>144</v>
      </c>
      <c r="AG1287" s="838"/>
      <c r="AH1287" s="667" t="s">
        <v>8491</v>
      </c>
      <c r="AI1287" s="668" t="s">
        <v>8492</v>
      </c>
      <c r="AJ1287" s="669">
        <v>7</v>
      </c>
      <c r="AK1287" s="748" t="s">
        <v>8494</v>
      </c>
      <c r="AL1287" s="926" t="s">
        <v>294</v>
      </c>
      <c r="AM1287" s="671" t="s">
        <v>295</v>
      </c>
      <c r="AN1287" s="927">
        <v>7</v>
      </c>
      <c r="AO1287" s="653" t="s">
        <v>966</v>
      </c>
      <c r="AP1287" s="650"/>
      <c r="AQ1287" s="668"/>
      <c r="AR1287" s="649"/>
      <c r="AS1287" s="653"/>
      <c r="AT1287" s="650"/>
      <c r="AU1287" s="668"/>
      <c r="AV1287" s="649"/>
      <c r="AW1287" s="653"/>
      <c r="AX1287" s="650"/>
      <c r="AY1287" s="672"/>
      <c r="AZ1287" s="669"/>
      <c r="BA1287" s="653"/>
      <c r="BB1287" s="650"/>
      <c r="BC1287" s="673"/>
      <c r="BD1287" s="669"/>
      <c r="BE1287" s="653"/>
      <c r="BF1287" s="838"/>
    </row>
    <row r="1288" spans="1:58" s="87" customFormat="1" ht="54" hidden="1" customHeight="1" x14ac:dyDescent="0.25">
      <c r="A1288" s="923" t="s">
        <v>7374</v>
      </c>
      <c r="B1288" s="619">
        <v>390</v>
      </c>
      <c r="C1288" s="924" t="s">
        <v>5290</v>
      </c>
      <c r="D1288" s="657" t="s">
        <v>5291</v>
      </c>
      <c r="E1288" s="658" t="s">
        <v>8504</v>
      </c>
      <c r="F1288" s="659" t="s">
        <v>7302</v>
      </c>
      <c r="G1288" s="660" t="s">
        <v>7303</v>
      </c>
      <c r="H1288" s="659" t="s">
        <v>7304</v>
      </c>
      <c r="I1288" s="660" t="s">
        <v>7305</v>
      </c>
      <c r="J1288" s="661" t="s">
        <v>140</v>
      </c>
      <c r="K1288" s="657" t="s">
        <v>140</v>
      </c>
      <c r="L1288" s="805" t="s">
        <v>7306</v>
      </c>
      <c r="M1288" s="620" t="s">
        <v>973</v>
      </c>
      <c r="N1288" s="621" t="s">
        <v>974</v>
      </c>
      <c r="O1288" s="661" t="s">
        <v>144</v>
      </c>
      <c r="P1288" s="661" t="s">
        <v>144</v>
      </c>
      <c r="Q1288" s="675" t="s">
        <v>144</v>
      </c>
      <c r="R1288" s="660" t="s">
        <v>144</v>
      </c>
      <c r="S1288" s="663" t="s">
        <v>746</v>
      </c>
      <c r="T1288" s="658" t="s">
        <v>1104</v>
      </c>
      <c r="U1288" s="676" t="s">
        <v>1105</v>
      </c>
      <c r="V1288" s="663">
        <v>19</v>
      </c>
      <c r="W1288" s="663" t="s">
        <v>144</v>
      </c>
      <c r="X1288" s="665">
        <v>45</v>
      </c>
      <c r="Y1288" s="661" t="s">
        <v>144</v>
      </c>
      <c r="Z1288" s="661" t="s">
        <v>29</v>
      </c>
      <c r="AA1288" s="658" t="s">
        <v>441</v>
      </c>
      <c r="AB1288" s="661" t="s">
        <v>140</v>
      </c>
      <c r="AC1288" s="661" t="s">
        <v>265</v>
      </c>
      <c r="AD1288" s="661" t="s">
        <v>144</v>
      </c>
      <c r="AE1288" s="661" t="s">
        <v>144</v>
      </c>
      <c r="AF1288" s="666" t="s">
        <v>144</v>
      </c>
      <c r="AG1288" s="838"/>
      <c r="AH1288" s="667" t="s">
        <v>8505</v>
      </c>
      <c r="AI1288" s="668" t="s">
        <v>8506</v>
      </c>
      <c r="AJ1288" s="669">
        <v>7</v>
      </c>
      <c r="AK1288" s="748" t="s">
        <v>8507</v>
      </c>
      <c r="AL1288" s="650"/>
      <c r="AM1288" s="668"/>
      <c r="AN1288" s="669"/>
      <c r="AO1288" s="648"/>
      <c r="AP1288" s="650"/>
      <c r="AQ1288" s="668"/>
      <c r="AR1288" s="649"/>
      <c r="AS1288" s="653"/>
      <c r="AT1288" s="650"/>
      <c r="AU1288" s="668"/>
      <c r="AV1288" s="649"/>
      <c r="AW1288" s="653"/>
      <c r="AX1288" s="650"/>
      <c r="AY1288" s="672"/>
      <c r="AZ1288" s="669"/>
      <c r="BA1288" s="653"/>
      <c r="BB1288" s="650"/>
      <c r="BC1288" s="673"/>
      <c r="BD1288" s="669"/>
      <c r="BE1288" s="653"/>
      <c r="BF1288" s="838"/>
    </row>
    <row r="1289" spans="1:58" s="87" customFormat="1" ht="54" hidden="1" customHeight="1" x14ac:dyDescent="0.25">
      <c r="A1289" s="923" t="s">
        <v>7374</v>
      </c>
      <c r="B1289" s="632">
        <v>391</v>
      </c>
      <c r="C1289" s="924" t="s">
        <v>5290</v>
      </c>
      <c r="D1289" s="657" t="s">
        <v>5291</v>
      </c>
      <c r="E1289" s="658" t="s">
        <v>8508</v>
      </c>
      <c r="F1289" s="659" t="s">
        <v>7311</v>
      </c>
      <c r="G1289" s="660" t="s">
        <v>7312</v>
      </c>
      <c r="H1289" s="659" t="s">
        <v>7313</v>
      </c>
      <c r="I1289" s="660" t="s">
        <v>7314</v>
      </c>
      <c r="J1289" s="661" t="s">
        <v>140</v>
      </c>
      <c r="K1289" s="657" t="s">
        <v>140</v>
      </c>
      <c r="L1289" s="805" t="s">
        <v>7315</v>
      </c>
      <c r="M1289" s="620" t="s">
        <v>973</v>
      </c>
      <c r="N1289" s="621" t="s">
        <v>974</v>
      </c>
      <c r="O1289" s="661" t="s">
        <v>814</v>
      </c>
      <c r="P1289" s="661" t="s">
        <v>815</v>
      </c>
      <c r="Q1289" s="675" t="s">
        <v>144</v>
      </c>
      <c r="R1289" s="660" t="s">
        <v>144</v>
      </c>
      <c r="S1289" s="663" t="s">
        <v>147</v>
      </c>
      <c r="T1289" s="658" t="s">
        <v>144</v>
      </c>
      <c r="U1289" s="676" t="s">
        <v>144</v>
      </c>
      <c r="V1289" s="663">
        <v>3</v>
      </c>
      <c r="W1289" s="663" t="s">
        <v>144</v>
      </c>
      <c r="X1289" s="665">
        <v>45</v>
      </c>
      <c r="Y1289" s="661" t="s">
        <v>144</v>
      </c>
      <c r="Z1289" s="661" t="s">
        <v>144</v>
      </c>
      <c r="AA1289" s="658" t="s">
        <v>441</v>
      </c>
      <c r="AB1289" s="661" t="s">
        <v>140</v>
      </c>
      <c r="AC1289" s="661" t="s">
        <v>265</v>
      </c>
      <c r="AD1289" s="661" t="s">
        <v>144</v>
      </c>
      <c r="AE1289" s="661" t="s">
        <v>144</v>
      </c>
      <c r="AF1289" s="666" t="s">
        <v>144</v>
      </c>
      <c r="AG1289" s="838"/>
      <c r="AH1289" s="667" t="s">
        <v>8509</v>
      </c>
      <c r="AI1289" s="668" t="s">
        <v>8510</v>
      </c>
      <c r="AJ1289" s="669">
        <v>7</v>
      </c>
      <c r="AK1289" s="670" t="s">
        <v>1280</v>
      </c>
      <c r="AL1289" s="650" t="s">
        <v>294</v>
      </c>
      <c r="AM1289" s="668" t="s">
        <v>295</v>
      </c>
      <c r="AN1289" s="669">
        <v>7</v>
      </c>
      <c r="AO1289" s="648" t="s">
        <v>966</v>
      </c>
      <c r="AP1289" s="650"/>
      <c r="AQ1289" s="668"/>
      <c r="AR1289" s="649"/>
      <c r="AS1289" s="653"/>
      <c r="AT1289" s="650"/>
      <c r="AU1289" s="668"/>
      <c r="AV1289" s="649"/>
      <c r="AW1289" s="653"/>
      <c r="AX1289" s="650"/>
      <c r="AY1289" s="672"/>
      <c r="AZ1289" s="669"/>
      <c r="BA1289" s="653"/>
      <c r="BB1289" s="650"/>
      <c r="BC1289" s="673"/>
      <c r="BD1289" s="669"/>
      <c r="BE1289" s="653"/>
      <c r="BF1289" s="838"/>
    </row>
    <row r="1290" spans="1:58" s="87" customFormat="1" ht="54" hidden="1" customHeight="1" x14ac:dyDescent="0.25">
      <c r="A1290" s="923" t="s">
        <v>7374</v>
      </c>
      <c r="B1290" s="619">
        <v>392</v>
      </c>
      <c r="C1290" s="924" t="s">
        <v>5290</v>
      </c>
      <c r="D1290" s="657" t="s">
        <v>5291</v>
      </c>
      <c r="E1290" s="658" t="s">
        <v>8511</v>
      </c>
      <c r="F1290" s="659" t="s">
        <v>7319</v>
      </c>
      <c r="G1290" s="660" t="s">
        <v>7320</v>
      </c>
      <c r="H1290" s="659" t="s">
        <v>7321</v>
      </c>
      <c r="I1290" s="660" t="s">
        <v>7322</v>
      </c>
      <c r="J1290" s="661" t="s">
        <v>140</v>
      </c>
      <c r="K1290" s="657" t="s">
        <v>140</v>
      </c>
      <c r="L1290" s="805" t="s">
        <v>7323</v>
      </c>
      <c r="M1290" s="620" t="s">
        <v>973</v>
      </c>
      <c r="N1290" s="621" t="s">
        <v>974</v>
      </c>
      <c r="O1290" s="661" t="s">
        <v>144</v>
      </c>
      <c r="P1290" s="661" t="s">
        <v>144</v>
      </c>
      <c r="Q1290" s="675" t="s">
        <v>144</v>
      </c>
      <c r="R1290" s="660" t="s">
        <v>144</v>
      </c>
      <c r="S1290" s="663" t="s">
        <v>746</v>
      </c>
      <c r="T1290" s="658" t="s">
        <v>1104</v>
      </c>
      <c r="U1290" s="676" t="s">
        <v>1105</v>
      </c>
      <c r="V1290" s="663">
        <v>19</v>
      </c>
      <c r="W1290" s="663" t="s">
        <v>144</v>
      </c>
      <c r="X1290" s="665">
        <v>45</v>
      </c>
      <c r="Y1290" s="661" t="s">
        <v>144</v>
      </c>
      <c r="Z1290" s="661" t="s">
        <v>29</v>
      </c>
      <c r="AA1290" s="658" t="s">
        <v>441</v>
      </c>
      <c r="AB1290" s="661" t="s">
        <v>140</v>
      </c>
      <c r="AC1290" s="661" t="s">
        <v>265</v>
      </c>
      <c r="AD1290" s="661" t="s">
        <v>144</v>
      </c>
      <c r="AE1290" s="661" t="s">
        <v>144</v>
      </c>
      <c r="AF1290" s="666" t="s">
        <v>144</v>
      </c>
      <c r="AG1290" s="838"/>
      <c r="AH1290" s="667" t="s">
        <v>8491</v>
      </c>
      <c r="AI1290" s="668" t="s">
        <v>8492</v>
      </c>
      <c r="AJ1290" s="669">
        <v>6</v>
      </c>
      <c r="AK1290" s="748" t="s">
        <v>8494</v>
      </c>
      <c r="AL1290" s="650"/>
      <c r="AM1290" s="668"/>
      <c r="AN1290" s="669"/>
      <c r="AO1290" s="648"/>
      <c r="AP1290" s="650"/>
      <c r="AQ1290" s="668"/>
      <c r="AR1290" s="649"/>
      <c r="AS1290" s="653"/>
      <c r="AT1290" s="650"/>
      <c r="AU1290" s="668"/>
      <c r="AV1290" s="649"/>
      <c r="AW1290" s="653"/>
      <c r="AX1290" s="650"/>
      <c r="AY1290" s="672"/>
      <c r="AZ1290" s="669"/>
      <c r="BA1290" s="653"/>
      <c r="BB1290" s="650"/>
      <c r="BC1290" s="673"/>
      <c r="BD1290" s="669"/>
      <c r="BE1290" s="653"/>
      <c r="BF1290" s="838"/>
    </row>
    <row r="1291" spans="1:58" s="87" customFormat="1" ht="54" hidden="1" customHeight="1" x14ac:dyDescent="0.25">
      <c r="A1291" s="923" t="s">
        <v>7374</v>
      </c>
      <c r="B1291" s="632">
        <v>393</v>
      </c>
      <c r="C1291" s="924" t="s">
        <v>5290</v>
      </c>
      <c r="D1291" s="657" t="s">
        <v>5291</v>
      </c>
      <c r="E1291" s="658" t="s">
        <v>8512</v>
      </c>
      <c r="F1291" s="659" t="s">
        <v>7325</v>
      </c>
      <c r="G1291" s="660" t="s">
        <v>7326</v>
      </c>
      <c r="H1291" s="659" t="s">
        <v>7327</v>
      </c>
      <c r="I1291" s="660" t="s">
        <v>7328</v>
      </c>
      <c r="J1291" s="661" t="s">
        <v>140</v>
      </c>
      <c r="K1291" s="657" t="s">
        <v>140</v>
      </c>
      <c r="L1291" s="805" t="s">
        <v>7329</v>
      </c>
      <c r="M1291" s="620" t="s">
        <v>973</v>
      </c>
      <c r="N1291" s="621" t="s">
        <v>974</v>
      </c>
      <c r="O1291" s="661" t="s">
        <v>814</v>
      </c>
      <c r="P1291" s="661" t="s">
        <v>815</v>
      </c>
      <c r="Q1291" s="675" t="s">
        <v>144</v>
      </c>
      <c r="R1291" s="660" t="s">
        <v>144</v>
      </c>
      <c r="S1291" s="663" t="s">
        <v>147</v>
      </c>
      <c r="T1291" s="658" t="s">
        <v>144</v>
      </c>
      <c r="U1291" s="676" t="s">
        <v>144</v>
      </c>
      <c r="V1291" s="663">
        <v>3</v>
      </c>
      <c r="W1291" s="663" t="s">
        <v>144</v>
      </c>
      <c r="X1291" s="665">
        <v>45</v>
      </c>
      <c r="Y1291" s="661" t="s">
        <v>144</v>
      </c>
      <c r="Z1291" s="661" t="s">
        <v>144</v>
      </c>
      <c r="AA1291" s="658" t="s">
        <v>441</v>
      </c>
      <c r="AB1291" s="661" t="s">
        <v>140</v>
      </c>
      <c r="AC1291" s="661" t="s">
        <v>265</v>
      </c>
      <c r="AD1291" s="661" t="s">
        <v>144</v>
      </c>
      <c r="AE1291" s="661" t="s">
        <v>144</v>
      </c>
      <c r="AF1291" s="666" t="s">
        <v>144</v>
      </c>
      <c r="AG1291" s="838"/>
      <c r="AH1291" s="667" t="s">
        <v>8513</v>
      </c>
      <c r="AI1291" s="668" t="s">
        <v>8514</v>
      </c>
      <c r="AJ1291" s="669">
        <v>7</v>
      </c>
      <c r="AK1291" s="670" t="s">
        <v>1280</v>
      </c>
      <c r="AL1291" s="650" t="s">
        <v>294</v>
      </c>
      <c r="AM1291" s="668" t="s">
        <v>295</v>
      </c>
      <c r="AN1291" s="669">
        <v>7</v>
      </c>
      <c r="AO1291" s="648" t="s">
        <v>966</v>
      </c>
      <c r="AP1291" s="650"/>
      <c r="AQ1291" s="668"/>
      <c r="AR1291" s="649"/>
      <c r="AS1291" s="653"/>
      <c r="AT1291" s="650"/>
      <c r="AU1291" s="668"/>
      <c r="AV1291" s="649"/>
      <c r="AW1291" s="653"/>
      <c r="AX1291" s="650"/>
      <c r="AY1291" s="672"/>
      <c r="AZ1291" s="669"/>
      <c r="BA1291" s="653"/>
      <c r="BB1291" s="650"/>
      <c r="BC1291" s="673"/>
      <c r="BD1291" s="669"/>
      <c r="BE1291" s="653"/>
      <c r="BF1291" s="838"/>
    </row>
    <row r="1292" spans="1:58" s="87" customFormat="1" ht="54" hidden="1" customHeight="1" x14ac:dyDescent="0.25">
      <c r="A1292" s="923" t="s">
        <v>7374</v>
      </c>
      <c r="B1292" s="619">
        <v>394</v>
      </c>
      <c r="C1292" s="924" t="s">
        <v>5290</v>
      </c>
      <c r="D1292" s="657" t="s">
        <v>5291</v>
      </c>
      <c r="E1292" s="658" t="s">
        <v>8515</v>
      </c>
      <c r="F1292" s="659" t="s">
        <v>7333</v>
      </c>
      <c r="G1292" s="660" t="s">
        <v>7334</v>
      </c>
      <c r="H1292" s="659" t="s">
        <v>7335</v>
      </c>
      <c r="I1292" s="660" t="s">
        <v>7336</v>
      </c>
      <c r="J1292" s="661" t="s">
        <v>140</v>
      </c>
      <c r="K1292" s="657" t="s">
        <v>140</v>
      </c>
      <c r="L1292" s="805" t="s">
        <v>7337</v>
      </c>
      <c r="M1292" s="620" t="s">
        <v>973</v>
      </c>
      <c r="N1292" s="621" t="s">
        <v>974</v>
      </c>
      <c r="O1292" s="661" t="s">
        <v>144</v>
      </c>
      <c r="P1292" s="661" t="s">
        <v>144</v>
      </c>
      <c r="Q1292" s="675" t="s">
        <v>144</v>
      </c>
      <c r="R1292" s="660" t="s">
        <v>144</v>
      </c>
      <c r="S1292" s="663" t="s">
        <v>746</v>
      </c>
      <c r="T1292" s="658" t="s">
        <v>1104</v>
      </c>
      <c r="U1292" s="676" t="s">
        <v>1105</v>
      </c>
      <c r="V1292" s="663">
        <v>19</v>
      </c>
      <c r="W1292" s="663" t="s">
        <v>144</v>
      </c>
      <c r="X1292" s="665">
        <v>45</v>
      </c>
      <c r="Y1292" s="661" t="s">
        <v>144</v>
      </c>
      <c r="Z1292" s="661" t="s">
        <v>29</v>
      </c>
      <c r="AA1292" s="658" t="s">
        <v>441</v>
      </c>
      <c r="AB1292" s="661" t="s">
        <v>140</v>
      </c>
      <c r="AC1292" s="661" t="s">
        <v>265</v>
      </c>
      <c r="AD1292" s="661" t="s">
        <v>144</v>
      </c>
      <c r="AE1292" s="661" t="s">
        <v>144</v>
      </c>
      <c r="AF1292" s="666" t="s">
        <v>144</v>
      </c>
      <c r="AG1292" s="838"/>
      <c r="AH1292" s="667" t="s">
        <v>8491</v>
      </c>
      <c r="AI1292" s="668" t="s">
        <v>8492</v>
      </c>
      <c r="AJ1292" s="669">
        <v>6</v>
      </c>
      <c r="AK1292" s="748" t="s">
        <v>8494</v>
      </c>
      <c r="AL1292" s="650"/>
      <c r="AM1292" s="668"/>
      <c r="AN1292" s="669"/>
      <c r="AO1292" s="648"/>
      <c r="AP1292" s="650"/>
      <c r="AQ1292" s="668"/>
      <c r="AR1292" s="649"/>
      <c r="AS1292" s="653"/>
      <c r="AT1292" s="650"/>
      <c r="AU1292" s="668"/>
      <c r="AV1292" s="649"/>
      <c r="AW1292" s="653"/>
      <c r="AX1292" s="650"/>
      <c r="AY1292" s="672"/>
      <c r="AZ1292" s="669"/>
      <c r="BA1292" s="653"/>
      <c r="BB1292" s="650"/>
      <c r="BC1292" s="673"/>
      <c r="BD1292" s="669"/>
      <c r="BE1292" s="653"/>
      <c r="BF1292" s="838"/>
    </row>
    <row r="1293" spans="1:58" s="87" customFormat="1" ht="54" hidden="1" customHeight="1" x14ac:dyDescent="0.25">
      <c r="A1293" s="923" t="s">
        <v>7374</v>
      </c>
      <c r="B1293" s="632">
        <v>395</v>
      </c>
      <c r="C1293" s="924" t="s">
        <v>5290</v>
      </c>
      <c r="D1293" s="657" t="s">
        <v>5291</v>
      </c>
      <c r="E1293" s="658" t="s">
        <v>8516</v>
      </c>
      <c r="F1293" s="659" t="s">
        <v>7339</v>
      </c>
      <c r="G1293" s="660" t="s">
        <v>7340</v>
      </c>
      <c r="H1293" s="659" t="s">
        <v>7341</v>
      </c>
      <c r="I1293" s="660" t="s">
        <v>7342</v>
      </c>
      <c r="J1293" s="661" t="s">
        <v>140</v>
      </c>
      <c r="K1293" s="657" t="s">
        <v>140</v>
      </c>
      <c r="L1293" s="805" t="s">
        <v>7343</v>
      </c>
      <c r="M1293" s="620" t="s">
        <v>973</v>
      </c>
      <c r="N1293" s="621" t="s">
        <v>974</v>
      </c>
      <c r="O1293" s="661" t="s">
        <v>814</v>
      </c>
      <c r="P1293" s="661" t="s">
        <v>815</v>
      </c>
      <c r="Q1293" s="675" t="s">
        <v>144</v>
      </c>
      <c r="R1293" s="660" t="s">
        <v>144</v>
      </c>
      <c r="S1293" s="663" t="s">
        <v>147</v>
      </c>
      <c r="T1293" s="658" t="s">
        <v>144</v>
      </c>
      <c r="U1293" s="676" t="s">
        <v>144</v>
      </c>
      <c r="V1293" s="663">
        <v>3</v>
      </c>
      <c r="W1293" s="663" t="s">
        <v>144</v>
      </c>
      <c r="X1293" s="665">
        <v>45</v>
      </c>
      <c r="Y1293" s="661" t="s">
        <v>144</v>
      </c>
      <c r="Z1293" s="661" t="s">
        <v>144</v>
      </c>
      <c r="AA1293" s="658" t="s">
        <v>441</v>
      </c>
      <c r="AB1293" s="661" t="s">
        <v>140</v>
      </c>
      <c r="AC1293" s="661" t="s">
        <v>265</v>
      </c>
      <c r="AD1293" s="661" t="s">
        <v>144</v>
      </c>
      <c r="AE1293" s="661" t="s">
        <v>144</v>
      </c>
      <c r="AF1293" s="666" t="s">
        <v>144</v>
      </c>
      <c r="AG1293" s="838"/>
      <c r="AH1293" s="667" t="s">
        <v>8517</v>
      </c>
      <c r="AI1293" s="668" t="s">
        <v>8518</v>
      </c>
      <c r="AJ1293" s="669">
        <v>7</v>
      </c>
      <c r="AK1293" s="670" t="s">
        <v>1280</v>
      </c>
      <c r="AL1293" s="650" t="s">
        <v>294</v>
      </c>
      <c r="AM1293" s="668" t="s">
        <v>295</v>
      </c>
      <c r="AN1293" s="669">
        <v>7</v>
      </c>
      <c r="AO1293" s="648" t="s">
        <v>966</v>
      </c>
      <c r="AP1293" s="650"/>
      <c r="AQ1293" s="668"/>
      <c r="AR1293" s="649"/>
      <c r="AS1293" s="653"/>
      <c r="AT1293" s="650"/>
      <c r="AU1293" s="668"/>
      <c r="AV1293" s="649"/>
      <c r="AW1293" s="653"/>
      <c r="AX1293" s="650"/>
      <c r="AY1293" s="672"/>
      <c r="AZ1293" s="669"/>
      <c r="BA1293" s="653"/>
      <c r="BB1293" s="650"/>
      <c r="BC1293" s="673"/>
      <c r="BD1293" s="669"/>
      <c r="BE1293" s="653"/>
      <c r="BF1293" s="838"/>
    </row>
    <row r="1294" spans="1:58" s="87" customFormat="1" ht="54" hidden="1" customHeight="1" x14ac:dyDescent="0.25">
      <c r="A1294" s="923" t="s">
        <v>7374</v>
      </c>
      <c r="B1294" s="619">
        <v>396</v>
      </c>
      <c r="C1294" s="924" t="s">
        <v>5290</v>
      </c>
      <c r="D1294" s="657" t="s">
        <v>5291</v>
      </c>
      <c r="E1294" s="658" t="s">
        <v>8519</v>
      </c>
      <c r="F1294" s="659" t="s">
        <v>7347</v>
      </c>
      <c r="G1294" s="660" t="s">
        <v>7348</v>
      </c>
      <c r="H1294" s="659" t="s">
        <v>7349</v>
      </c>
      <c r="I1294" s="660" t="s">
        <v>7350</v>
      </c>
      <c r="J1294" s="661" t="s">
        <v>140</v>
      </c>
      <c r="K1294" s="657" t="s">
        <v>140</v>
      </c>
      <c r="L1294" s="805" t="s">
        <v>7351</v>
      </c>
      <c r="M1294" s="620" t="s">
        <v>973</v>
      </c>
      <c r="N1294" s="621" t="s">
        <v>974</v>
      </c>
      <c r="O1294" s="661" t="s">
        <v>144</v>
      </c>
      <c r="P1294" s="661" t="s">
        <v>144</v>
      </c>
      <c r="Q1294" s="675" t="s">
        <v>144</v>
      </c>
      <c r="R1294" s="660" t="s">
        <v>144</v>
      </c>
      <c r="S1294" s="663" t="s">
        <v>746</v>
      </c>
      <c r="T1294" s="658" t="s">
        <v>1104</v>
      </c>
      <c r="U1294" s="676" t="s">
        <v>1105</v>
      </c>
      <c r="V1294" s="663">
        <v>19</v>
      </c>
      <c r="W1294" s="663" t="s">
        <v>144</v>
      </c>
      <c r="X1294" s="665">
        <v>45</v>
      </c>
      <c r="Y1294" s="661" t="s">
        <v>144</v>
      </c>
      <c r="Z1294" s="644" t="s">
        <v>29</v>
      </c>
      <c r="AA1294" s="658" t="s">
        <v>441</v>
      </c>
      <c r="AB1294" s="661" t="s">
        <v>140</v>
      </c>
      <c r="AC1294" s="661" t="s">
        <v>265</v>
      </c>
      <c r="AD1294" s="661" t="s">
        <v>144</v>
      </c>
      <c r="AE1294" s="661" t="s">
        <v>144</v>
      </c>
      <c r="AF1294" s="666" t="s">
        <v>144</v>
      </c>
      <c r="AG1294" s="838"/>
      <c r="AH1294" s="667" t="s">
        <v>8491</v>
      </c>
      <c r="AI1294" s="668" t="s">
        <v>8492</v>
      </c>
      <c r="AJ1294" s="669">
        <v>6</v>
      </c>
      <c r="AK1294" s="748" t="s">
        <v>8494</v>
      </c>
      <c r="AL1294" s="650"/>
      <c r="AM1294" s="668"/>
      <c r="AN1294" s="669"/>
      <c r="AO1294" s="648"/>
      <c r="AP1294" s="650"/>
      <c r="AQ1294" s="668"/>
      <c r="AR1294" s="649"/>
      <c r="AS1294" s="653"/>
      <c r="AT1294" s="650"/>
      <c r="AU1294" s="668"/>
      <c r="AV1294" s="649"/>
      <c r="AW1294" s="653"/>
      <c r="AX1294" s="650"/>
      <c r="AY1294" s="672"/>
      <c r="AZ1294" s="669"/>
      <c r="BA1294" s="653"/>
      <c r="BB1294" s="650"/>
      <c r="BC1294" s="673"/>
      <c r="BD1294" s="669"/>
      <c r="BE1294" s="653"/>
      <c r="BF1294" s="838"/>
    </row>
    <row r="1295" spans="1:58" s="87" customFormat="1" ht="54" hidden="1" customHeight="1" x14ac:dyDescent="0.25">
      <c r="A1295" s="923" t="s">
        <v>7374</v>
      </c>
      <c r="B1295" s="632">
        <v>397</v>
      </c>
      <c r="C1295" s="924" t="s">
        <v>5290</v>
      </c>
      <c r="D1295" s="657" t="s">
        <v>5291</v>
      </c>
      <c r="E1295" s="658" t="s">
        <v>8520</v>
      </c>
      <c r="F1295" s="659" t="s">
        <v>7353</v>
      </c>
      <c r="G1295" s="660" t="s">
        <v>7354</v>
      </c>
      <c r="H1295" s="659" t="s">
        <v>7355</v>
      </c>
      <c r="I1295" s="660" t="s">
        <v>7356</v>
      </c>
      <c r="J1295" s="661" t="s">
        <v>140</v>
      </c>
      <c r="K1295" s="657" t="s">
        <v>140</v>
      </c>
      <c r="L1295" s="805" t="s">
        <v>7357</v>
      </c>
      <c r="M1295" s="620" t="s">
        <v>973</v>
      </c>
      <c r="N1295" s="621" t="s">
        <v>974</v>
      </c>
      <c r="O1295" s="661" t="s">
        <v>814</v>
      </c>
      <c r="P1295" s="661" t="s">
        <v>815</v>
      </c>
      <c r="Q1295" s="675" t="s">
        <v>144</v>
      </c>
      <c r="R1295" s="660" t="s">
        <v>144</v>
      </c>
      <c r="S1295" s="663" t="s">
        <v>147</v>
      </c>
      <c r="T1295" s="658" t="s">
        <v>144</v>
      </c>
      <c r="U1295" s="676" t="s">
        <v>144</v>
      </c>
      <c r="V1295" s="663">
        <v>3</v>
      </c>
      <c r="W1295" s="663" t="s">
        <v>144</v>
      </c>
      <c r="X1295" s="665">
        <v>45</v>
      </c>
      <c r="Y1295" s="661" t="s">
        <v>144</v>
      </c>
      <c r="Z1295" s="661" t="s">
        <v>144</v>
      </c>
      <c r="AA1295" s="658" t="s">
        <v>441</v>
      </c>
      <c r="AB1295" s="661" t="s">
        <v>140</v>
      </c>
      <c r="AC1295" s="661" t="s">
        <v>265</v>
      </c>
      <c r="AD1295" s="661" t="s">
        <v>144</v>
      </c>
      <c r="AE1295" s="661" t="s">
        <v>144</v>
      </c>
      <c r="AF1295" s="666" t="s">
        <v>144</v>
      </c>
      <c r="AG1295" s="838"/>
      <c r="AH1295" s="667" t="s">
        <v>8521</v>
      </c>
      <c r="AI1295" s="668" t="s">
        <v>8522</v>
      </c>
      <c r="AJ1295" s="669">
        <v>7</v>
      </c>
      <c r="AK1295" s="670" t="s">
        <v>1280</v>
      </c>
      <c r="AL1295" s="650" t="s">
        <v>294</v>
      </c>
      <c r="AM1295" s="668" t="s">
        <v>295</v>
      </c>
      <c r="AN1295" s="669">
        <v>7</v>
      </c>
      <c r="AO1295" s="648" t="s">
        <v>966</v>
      </c>
      <c r="AP1295" s="650"/>
      <c r="AQ1295" s="668"/>
      <c r="AR1295" s="649"/>
      <c r="AS1295" s="653"/>
      <c r="AT1295" s="650"/>
      <c r="AU1295" s="668"/>
      <c r="AV1295" s="649"/>
      <c r="AW1295" s="653"/>
      <c r="AX1295" s="650"/>
      <c r="AY1295" s="672"/>
      <c r="AZ1295" s="669"/>
      <c r="BA1295" s="653"/>
      <c r="BB1295" s="650"/>
      <c r="BC1295" s="673"/>
      <c r="BD1295" s="669"/>
      <c r="BE1295" s="653"/>
      <c r="BF1295" s="838"/>
    </row>
    <row r="1296" spans="1:58" s="60" customFormat="1" ht="54" customHeight="1" thickBot="1" x14ac:dyDescent="0.3">
      <c r="A1296" s="587" t="s">
        <v>7374</v>
      </c>
      <c r="B1296" s="588">
        <v>398</v>
      </c>
      <c r="C1296" s="576" t="s">
        <v>144</v>
      </c>
      <c r="D1296" s="576" t="s">
        <v>144</v>
      </c>
      <c r="E1296" s="588" t="s">
        <v>8523</v>
      </c>
      <c r="F1296" s="589" t="s">
        <v>251</v>
      </c>
      <c r="G1296" s="589" t="s">
        <v>251</v>
      </c>
      <c r="H1296" s="577" t="s">
        <v>336</v>
      </c>
      <c r="I1296" s="589" t="s">
        <v>337</v>
      </c>
      <c r="J1296" s="590" t="s">
        <v>144</v>
      </c>
      <c r="K1296" s="590" t="s">
        <v>144</v>
      </c>
      <c r="L1296" s="719" t="s">
        <v>8524</v>
      </c>
      <c r="M1296" s="592" t="s">
        <v>144</v>
      </c>
      <c r="N1296" s="590" t="s">
        <v>144</v>
      </c>
      <c r="O1296" s="592" t="s">
        <v>144</v>
      </c>
      <c r="P1296" s="592" t="s">
        <v>144</v>
      </c>
      <c r="Q1296" s="577" t="s">
        <v>338</v>
      </c>
      <c r="R1296" s="577" t="s">
        <v>339</v>
      </c>
      <c r="S1296" s="588" t="s">
        <v>147</v>
      </c>
      <c r="T1296" s="579" t="s">
        <v>144</v>
      </c>
      <c r="U1296" s="579" t="s">
        <v>144</v>
      </c>
      <c r="V1296" s="607">
        <f>8000-(SUM(V899:V1295)+COUNT(V899:V1295))</f>
        <v>4018</v>
      </c>
      <c r="W1296" s="576" t="s">
        <v>144</v>
      </c>
      <c r="X1296" s="579">
        <v>43</v>
      </c>
      <c r="Y1296" s="579" t="s">
        <v>144</v>
      </c>
      <c r="Z1296" s="581" t="s">
        <v>25</v>
      </c>
      <c r="AA1296" s="576" t="s">
        <v>144</v>
      </c>
      <c r="AB1296" s="576" t="s">
        <v>144</v>
      </c>
      <c r="AC1296" s="592" t="s">
        <v>265</v>
      </c>
      <c r="AD1296" s="592" t="s">
        <v>144</v>
      </c>
      <c r="AE1296" s="592" t="s">
        <v>144</v>
      </c>
      <c r="AF1296" s="594" t="s">
        <v>144</v>
      </c>
      <c r="AG1296" s="680"/>
      <c r="AH1296" s="595"/>
      <c r="AI1296" s="596"/>
      <c r="AJ1296" s="592"/>
      <c r="AK1296" s="594"/>
      <c r="AL1296" s="596"/>
      <c r="AM1296" s="596"/>
      <c r="AN1296" s="592"/>
      <c r="AO1296" s="594"/>
      <c r="AP1296" s="596"/>
      <c r="AQ1296" s="596"/>
      <c r="AR1296" s="592"/>
      <c r="AS1296" s="594"/>
      <c r="AT1296" s="596"/>
      <c r="AU1296" s="596"/>
      <c r="AV1296" s="592"/>
      <c r="AW1296" s="594"/>
      <c r="AX1296" s="596"/>
      <c r="AY1296" s="596"/>
      <c r="AZ1296" s="592"/>
      <c r="BA1296" s="594"/>
      <c r="BB1296" s="595"/>
      <c r="BC1296" s="596"/>
      <c r="BD1296" s="592"/>
      <c r="BE1296" s="594"/>
      <c r="BF1296" s="680"/>
    </row>
    <row r="1297" spans="1:58" s="87" customFormat="1" ht="54" hidden="1" customHeight="1" x14ac:dyDescent="0.25">
      <c r="A1297" s="255" t="s">
        <v>8525</v>
      </c>
      <c r="B1297" s="256">
        <v>1</v>
      </c>
      <c r="C1297" s="260" t="s">
        <v>256</v>
      </c>
      <c r="D1297" s="261" t="s">
        <v>257</v>
      </c>
      <c r="E1297" s="256" t="s">
        <v>8526</v>
      </c>
      <c r="F1297" s="850" t="s">
        <v>259</v>
      </c>
      <c r="G1297" s="257" t="s">
        <v>229</v>
      </c>
      <c r="H1297" s="258" t="s">
        <v>260</v>
      </c>
      <c r="I1297" s="259" t="s">
        <v>261</v>
      </c>
      <c r="J1297" s="308" t="s">
        <v>140</v>
      </c>
      <c r="K1297" s="309" t="s">
        <v>140</v>
      </c>
      <c r="L1297" s="851" t="s">
        <v>924</v>
      </c>
      <c r="M1297" s="262" t="s">
        <v>142</v>
      </c>
      <c r="N1297" s="263" t="s">
        <v>143</v>
      </c>
      <c r="O1297" s="260" t="s">
        <v>144</v>
      </c>
      <c r="P1297" s="260" t="s">
        <v>144</v>
      </c>
      <c r="Q1297" s="258" t="s">
        <v>262</v>
      </c>
      <c r="R1297" s="259" t="s">
        <v>263</v>
      </c>
      <c r="S1297" s="170" t="s">
        <v>233</v>
      </c>
      <c r="T1297" s="264" t="s">
        <v>234</v>
      </c>
      <c r="U1297" s="265" t="s">
        <v>235</v>
      </c>
      <c r="V1297" s="852">
        <v>8</v>
      </c>
      <c r="W1297" s="853" t="s">
        <v>144</v>
      </c>
      <c r="X1297" s="264" t="s">
        <v>925</v>
      </c>
      <c r="Y1297" s="264" t="s">
        <v>144</v>
      </c>
      <c r="Z1297" s="264" t="s">
        <v>144</v>
      </c>
      <c r="AA1297" s="260" t="s">
        <v>148</v>
      </c>
      <c r="AB1297" s="262" t="s">
        <v>140</v>
      </c>
      <c r="AC1297" s="852" t="s">
        <v>265</v>
      </c>
      <c r="AD1297" s="852" t="s">
        <v>8527</v>
      </c>
      <c r="AE1297" s="852" t="s">
        <v>144</v>
      </c>
      <c r="AF1297" s="855" t="s">
        <v>144</v>
      </c>
      <c r="AG1297" s="838"/>
      <c r="AH1297" s="856" t="s">
        <v>266</v>
      </c>
      <c r="AI1297" s="266" t="s">
        <v>267</v>
      </c>
      <c r="AJ1297" s="857"/>
      <c r="AK1297" s="858" t="s">
        <v>268</v>
      </c>
      <c r="AL1297" s="859"/>
      <c r="AM1297" s="266"/>
      <c r="AN1297" s="857"/>
      <c r="AO1297" s="858"/>
      <c r="AP1297" s="859" t="s">
        <v>926</v>
      </c>
      <c r="AQ1297" s="266" t="s">
        <v>270</v>
      </c>
      <c r="AR1297" s="857"/>
      <c r="AS1297" s="858" t="s">
        <v>271</v>
      </c>
      <c r="AT1297" s="859" t="s">
        <v>272</v>
      </c>
      <c r="AU1297" s="266" t="s">
        <v>273</v>
      </c>
      <c r="AV1297" s="857"/>
      <c r="AW1297" s="858" t="s">
        <v>274</v>
      </c>
      <c r="AX1297" s="859"/>
      <c r="AY1297" s="266"/>
      <c r="AZ1297" s="857"/>
      <c r="BA1297" s="858"/>
      <c r="BB1297" s="856"/>
      <c r="BC1297" s="266"/>
      <c r="BD1297" s="857"/>
      <c r="BE1297" s="858"/>
      <c r="BF1297" s="838"/>
    </row>
    <row r="1298" spans="1:58" s="87" customFormat="1" ht="54" hidden="1" customHeight="1" x14ac:dyDescent="0.25">
      <c r="A1298" s="267" t="s">
        <v>8525</v>
      </c>
      <c r="B1298" s="268">
        <v>2</v>
      </c>
      <c r="C1298" s="240" t="s">
        <v>256</v>
      </c>
      <c r="D1298" s="270" t="s">
        <v>257</v>
      </c>
      <c r="E1298" s="268" t="s">
        <v>8528</v>
      </c>
      <c r="F1298" s="861" t="s">
        <v>276</v>
      </c>
      <c r="G1298" s="269" t="s">
        <v>277</v>
      </c>
      <c r="H1298" s="845" t="s">
        <v>928</v>
      </c>
      <c r="I1298" s="269" t="s">
        <v>1692</v>
      </c>
      <c r="J1298" s="296" t="s">
        <v>140</v>
      </c>
      <c r="K1298" s="297" t="s">
        <v>140</v>
      </c>
      <c r="L1298" s="862" t="s">
        <v>929</v>
      </c>
      <c r="M1298" s="206" t="s">
        <v>142</v>
      </c>
      <c r="N1298" s="211" t="s">
        <v>143</v>
      </c>
      <c r="O1298" s="240" t="s">
        <v>179</v>
      </c>
      <c r="P1298" s="240" t="s">
        <v>280</v>
      </c>
      <c r="Q1298" s="845" t="s">
        <v>144</v>
      </c>
      <c r="R1298" s="269" t="s">
        <v>144</v>
      </c>
      <c r="S1298" s="864" t="s">
        <v>147</v>
      </c>
      <c r="T1298" s="212" t="s">
        <v>144</v>
      </c>
      <c r="U1298" s="213" t="s">
        <v>144</v>
      </c>
      <c r="V1298" s="847">
        <v>5</v>
      </c>
      <c r="W1298" s="415" t="s">
        <v>144</v>
      </c>
      <c r="X1298" s="212" t="s">
        <v>925</v>
      </c>
      <c r="Y1298" s="212" t="s">
        <v>144</v>
      </c>
      <c r="Z1298" s="212" t="s">
        <v>144</v>
      </c>
      <c r="AA1298" s="240" t="s">
        <v>8529</v>
      </c>
      <c r="AB1298" s="206" t="s">
        <v>140</v>
      </c>
      <c r="AC1298" s="847" t="s">
        <v>265</v>
      </c>
      <c r="AD1298" s="847" t="s">
        <v>8527</v>
      </c>
      <c r="AE1298" s="847" t="s">
        <v>144</v>
      </c>
      <c r="AF1298" s="848" t="s">
        <v>144</v>
      </c>
      <c r="AG1298" s="838"/>
      <c r="AH1298" s="866" t="s">
        <v>266</v>
      </c>
      <c r="AI1298" s="273" t="s">
        <v>267</v>
      </c>
      <c r="AJ1298" s="847"/>
      <c r="AK1298" s="848" t="s">
        <v>281</v>
      </c>
      <c r="AL1298" s="867" t="s">
        <v>282</v>
      </c>
      <c r="AM1298" s="273" t="s">
        <v>283</v>
      </c>
      <c r="AN1298" s="864"/>
      <c r="AO1298" s="868" t="s">
        <v>284</v>
      </c>
      <c r="AP1298" s="867"/>
      <c r="AQ1298" s="273"/>
      <c r="AR1298" s="847"/>
      <c r="AS1298" s="848"/>
      <c r="AT1298" s="867"/>
      <c r="AU1298" s="273"/>
      <c r="AV1298" s="847"/>
      <c r="AW1298" s="848"/>
      <c r="AX1298" s="134" t="s">
        <v>930</v>
      </c>
      <c r="AY1298" s="135" t="s">
        <v>931</v>
      </c>
      <c r="AZ1298" s="847">
        <v>7</v>
      </c>
      <c r="BA1298" s="848" t="s">
        <v>932</v>
      </c>
      <c r="BB1298" s="866"/>
      <c r="BC1298" s="273"/>
      <c r="BD1298" s="847"/>
      <c r="BE1298" s="848"/>
      <c r="BF1298" s="838"/>
    </row>
    <row r="1299" spans="1:58" s="87" customFormat="1" ht="54" hidden="1" customHeight="1" x14ac:dyDescent="0.25">
      <c r="A1299" s="267" t="s">
        <v>8525</v>
      </c>
      <c r="B1299" s="268">
        <v>3</v>
      </c>
      <c r="C1299" s="240" t="s">
        <v>256</v>
      </c>
      <c r="D1299" s="270" t="s">
        <v>257</v>
      </c>
      <c r="E1299" s="268" t="s">
        <v>8530</v>
      </c>
      <c r="F1299" s="861" t="s">
        <v>286</v>
      </c>
      <c r="G1299" s="269" t="s">
        <v>287</v>
      </c>
      <c r="H1299" s="845" t="s">
        <v>288</v>
      </c>
      <c r="I1299" s="208" t="s">
        <v>289</v>
      </c>
      <c r="J1299" s="240" t="s">
        <v>140</v>
      </c>
      <c r="K1299" s="270" t="s">
        <v>140</v>
      </c>
      <c r="L1299" s="862" t="s">
        <v>934</v>
      </c>
      <c r="M1299" s="206" t="s">
        <v>142</v>
      </c>
      <c r="N1299" s="211" t="s">
        <v>143</v>
      </c>
      <c r="O1299" s="437" t="s">
        <v>144</v>
      </c>
      <c r="P1299" s="181" t="s">
        <v>290</v>
      </c>
      <c r="Q1299" s="209" t="s">
        <v>291</v>
      </c>
      <c r="R1299" s="210" t="s">
        <v>292</v>
      </c>
      <c r="S1299" s="864" t="s">
        <v>147</v>
      </c>
      <c r="T1299" s="212" t="s">
        <v>144</v>
      </c>
      <c r="U1299" s="213" t="s">
        <v>144</v>
      </c>
      <c r="V1299" s="847">
        <v>12</v>
      </c>
      <c r="W1299" s="415" t="s">
        <v>144</v>
      </c>
      <c r="X1299" s="212" t="s">
        <v>925</v>
      </c>
      <c r="Y1299" s="212" t="s">
        <v>144</v>
      </c>
      <c r="Z1299" s="212" t="s">
        <v>144</v>
      </c>
      <c r="AA1299" s="240" t="s">
        <v>8529</v>
      </c>
      <c r="AB1299" s="206" t="s">
        <v>140</v>
      </c>
      <c r="AC1299" s="847" t="s">
        <v>265</v>
      </c>
      <c r="AD1299" s="847" t="s">
        <v>8527</v>
      </c>
      <c r="AE1299" s="847" t="s">
        <v>144</v>
      </c>
      <c r="AF1299" s="848" t="s">
        <v>144</v>
      </c>
      <c r="AG1299" s="838"/>
      <c r="AH1299" s="866" t="s">
        <v>266</v>
      </c>
      <c r="AI1299" s="274" t="s">
        <v>267</v>
      </c>
      <c r="AJ1299" s="864"/>
      <c r="AK1299" s="868" t="s">
        <v>293</v>
      </c>
      <c r="AL1299" s="185" t="s">
        <v>294</v>
      </c>
      <c r="AM1299" s="186" t="s">
        <v>295</v>
      </c>
      <c r="AN1299" s="864"/>
      <c r="AO1299" s="848" t="s">
        <v>296</v>
      </c>
      <c r="AP1299" s="867"/>
      <c r="AQ1299" s="273"/>
      <c r="AR1299" s="847"/>
      <c r="AS1299" s="848"/>
      <c r="AT1299" s="867"/>
      <c r="AU1299" s="273"/>
      <c r="AV1299" s="847"/>
      <c r="AW1299" s="848"/>
      <c r="AX1299" s="867"/>
      <c r="AY1299" s="273"/>
      <c r="AZ1299" s="847"/>
      <c r="BA1299" s="848"/>
      <c r="BB1299" s="866"/>
      <c r="BC1299" s="273"/>
      <c r="BD1299" s="847"/>
      <c r="BE1299" s="848"/>
      <c r="BF1299" s="838"/>
    </row>
    <row r="1300" spans="1:58" s="87" customFormat="1" ht="54" hidden="1" customHeight="1" x14ac:dyDescent="0.25">
      <c r="A1300" s="267" t="s">
        <v>8525</v>
      </c>
      <c r="B1300" s="268">
        <v>4</v>
      </c>
      <c r="C1300" s="240" t="s">
        <v>297</v>
      </c>
      <c r="D1300" s="270" t="s">
        <v>298</v>
      </c>
      <c r="E1300" s="268" t="s">
        <v>8531</v>
      </c>
      <c r="F1300" s="861" t="s">
        <v>300</v>
      </c>
      <c r="G1300" s="269" t="s">
        <v>301</v>
      </c>
      <c r="H1300" s="209" t="s">
        <v>302</v>
      </c>
      <c r="I1300" s="210" t="s">
        <v>303</v>
      </c>
      <c r="J1300" s="296" t="s">
        <v>140</v>
      </c>
      <c r="K1300" s="297" t="s">
        <v>140</v>
      </c>
      <c r="L1300" s="862" t="s">
        <v>936</v>
      </c>
      <c r="M1300" s="206" t="s">
        <v>142</v>
      </c>
      <c r="N1300" s="211" t="s">
        <v>143</v>
      </c>
      <c r="O1300" s="240" t="s">
        <v>144</v>
      </c>
      <c r="P1300" s="240" t="s">
        <v>144</v>
      </c>
      <c r="Q1300" s="209" t="s">
        <v>304</v>
      </c>
      <c r="R1300" s="210" t="s">
        <v>305</v>
      </c>
      <c r="S1300" s="864" t="s">
        <v>147</v>
      </c>
      <c r="T1300" s="212" t="s">
        <v>144</v>
      </c>
      <c r="U1300" s="213" t="s">
        <v>144</v>
      </c>
      <c r="V1300" s="847">
        <v>1</v>
      </c>
      <c r="W1300" s="415" t="s">
        <v>144</v>
      </c>
      <c r="X1300" s="212" t="s">
        <v>925</v>
      </c>
      <c r="Y1300" s="212" t="s">
        <v>144</v>
      </c>
      <c r="Z1300" s="212" t="s">
        <v>144</v>
      </c>
      <c r="AA1300" s="240" t="s">
        <v>148</v>
      </c>
      <c r="AB1300" s="206" t="s">
        <v>140</v>
      </c>
      <c r="AC1300" s="847" t="s">
        <v>265</v>
      </c>
      <c r="AD1300" s="847" t="s">
        <v>8527</v>
      </c>
      <c r="AE1300" s="847" t="s">
        <v>144</v>
      </c>
      <c r="AF1300" s="848" t="s">
        <v>144</v>
      </c>
      <c r="AG1300" s="838"/>
      <c r="AH1300" s="866" t="s">
        <v>266</v>
      </c>
      <c r="AI1300" s="273" t="s">
        <v>267</v>
      </c>
      <c r="AJ1300" s="847"/>
      <c r="AK1300" s="848" t="s">
        <v>306</v>
      </c>
      <c r="AL1300" s="867"/>
      <c r="AM1300" s="273"/>
      <c r="AN1300" s="847"/>
      <c r="AO1300" s="848"/>
      <c r="AP1300" s="867" t="s">
        <v>307</v>
      </c>
      <c r="AQ1300" s="273" t="s">
        <v>937</v>
      </c>
      <c r="AR1300" s="847"/>
      <c r="AS1300" s="848" t="s">
        <v>309</v>
      </c>
      <c r="AT1300" s="867"/>
      <c r="AU1300" s="273"/>
      <c r="AV1300" s="847"/>
      <c r="AW1300" s="848"/>
      <c r="AX1300" s="867"/>
      <c r="AY1300" s="273"/>
      <c r="AZ1300" s="847"/>
      <c r="BA1300" s="848"/>
      <c r="BB1300" s="866"/>
      <c r="BC1300" s="273"/>
      <c r="BD1300" s="847"/>
      <c r="BE1300" s="848"/>
      <c r="BF1300" s="838"/>
    </row>
    <row r="1301" spans="1:58" s="87" customFormat="1" ht="54" hidden="1" customHeight="1" x14ac:dyDescent="0.25">
      <c r="A1301" s="267" t="s">
        <v>8525</v>
      </c>
      <c r="B1301" s="268">
        <v>5</v>
      </c>
      <c r="C1301" s="240" t="s">
        <v>297</v>
      </c>
      <c r="D1301" s="270" t="s">
        <v>298</v>
      </c>
      <c r="E1301" s="268" t="s">
        <v>8532</v>
      </c>
      <c r="F1301" s="861" t="s">
        <v>311</v>
      </c>
      <c r="G1301" s="269" t="s">
        <v>312</v>
      </c>
      <c r="H1301" s="209" t="s">
        <v>313</v>
      </c>
      <c r="I1301" s="210" t="s">
        <v>314</v>
      </c>
      <c r="J1301" s="296" t="s">
        <v>140</v>
      </c>
      <c r="K1301" s="297" t="s">
        <v>140</v>
      </c>
      <c r="L1301" s="862" t="s">
        <v>939</v>
      </c>
      <c r="M1301" s="206" t="s">
        <v>142</v>
      </c>
      <c r="N1301" s="211" t="s">
        <v>143</v>
      </c>
      <c r="O1301" s="240" t="s">
        <v>144</v>
      </c>
      <c r="P1301" s="240" t="s">
        <v>144</v>
      </c>
      <c r="Q1301" s="209" t="s">
        <v>315</v>
      </c>
      <c r="R1301" s="210" t="s">
        <v>316</v>
      </c>
      <c r="S1301" s="864" t="s">
        <v>147</v>
      </c>
      <c r="T1301" s="212" t="s">
        <v>144</v>
      </c>
      <c r="U1301" s="213" t="s">
        <v>144</v>
      </c>
      <c r="V1301" s="847">
        <v>12</v>
      </c>
      <c r="W1301" s="415" t="s">
        <v>144</v>
      </c>
      <c r="X1301" s="212" t="s">
        <v>925</v>
      </c>
      <c r="Y1301" s="212" t="s">
        <v>144</v>
      </c>
      <c r="Z1301" s="212" t="s">
        <v>144</v>
      </c>
      <c r="AA1301" s="240" t="s">
        <v>148</v>
      </c>
      <c r="AB1301" s="206" t="s">
        <v>140</v>
      </c>
      <c r="AC1301" s="847" t="s">
        <v>265</v>
      </c>
      <c r="AD1301" s="847" t="s">
        <v>8527</v>
      </c>
      <c r="AE1301" s="847" t="s">
        <v>144</v>
      </c>
      <c r="AF1301" s="848" t="s">
        <v>144</v>
      </c>
      <c r="AG1301" s="838"/>
      <c r="AH1301" s="866" t="s">
        <v>266</v>
      </c>
      <c r="AI1301" s="273" t="s">
        <v>267</v>
      </c>
      <c r="AJ1301" s="847"/>
      <c r="AK1301" s="848" t="s">
        <v>317</v>
      </c>
      <c r="AL1301" s="867"/>
      <c r="AM1301" s="273"/>
      <c r="AN1301" s="847"/>
      <c r="AO1301" s="848"/>
      <c r="AP1301" s="867"/>
      <c r="AQ1301" s="273"/>
      <c r="AR1301" s="847"/>
      <c r="AS1301" s="848"/>
      <c r="AT1301" s="867" t="s">
        <v>318</v>
      </c>
      <c r="AU1301" s="273" t="s">
        <v>319</v>
      </c>
      <c r="AV1301" s="847"/>
      <c r="AW1301" s="848" t="s">
        <v>320</v>
      </c>
      <c r="AX1301" s="867"/>
      <c r="AY1301" s="273"/>
      <c r="AZ1301" s="847"/>
      <c r="BA1301" s="848"/>
      <c r="BB1301" s="866"/>
      <c r="BC1301" s="273"/>
      <c r="BD1301" s="847"/>
      <c r="BE1301" s="848"/>
      <c r="BF1301" s="838"/>
    </row>
    <row r="1302" spans="1:58" s="87" customFormat="1" ht="54" hidden="1" customHeight="1" x14ac:dyDescent="0.25">
      <c r="A1302" s="267" t="s">
        <v>8525</v>
      </c>
      <c r="B1302" s="268">
        <v>6</v>
      </c>
      <c r="C1302" s="240" t="s">
        <v>297</v>
      </c>
      <c r="D1302" s="270" t="s">
        <v>298</v>
      </c>
      <c r="E1302" s="268" t="s">
        <v>8533</v>
      </c>
      <c r="F1302" s="861" t="s">
        <v>136</v>
      </c>
      <c r="G1302" s="269" t="s">
        <v>322</v>
      </c>
      <c r="H1302" s="846" t="s">
        <v>323</v>
      </c>
      <c r="I1302" s="210" t="s">
        <v>324</v>
      </c>
      <c r="J1302" s="296" t="s">
        <v>140</v>
      </c>
      <c r="K1302" s="297" t="s">
        <v>140</v>
      </c>
      <c r="L1302" s="862" t="s">
        <v>941</v>
      </c>
      <c r="M1302" s="206" t="s">
        <v>142</v>
      </c>
      <c r="N1302" s="211" t="s">
        <v>143</v>
      </c>
      <c r="O1302" s="240" t="s">
        <v>144</v>
      </c>
      <c r="P1302" s="240" t="s">
        <v>144</v>
      </c>
      <c r="Q1302" s="845" t="s">
        <v>8534</v>
      </c>
      <c r="R1302" s="269" t="s">
        <v>8535</v>
      </c>
      <c r="S1302" s="864" t="s">
        <v>147</v>
      </c>
      <c r="T1302" s="212" t="s">
        <v>144</v>
      </c>
      <c r="U1302" s="213" t="s">
        <v>144</v>
      </c>
      <c r="V1302" s="847">
        <v>2</v>
      </c>
      <c r="W1302" s="415" t="s">
        <v>144</v>
      </c>
      <c r="X1302" s="212" t="s">
        <v>925</v>
      </c>
      <c r="Y1302" s="212" t="s">
        <v>144</v>
      </c>
      <c r="Z1302" s="212" t="s">
        <v>144</v>
      </c>
      <c r="AA1302" s="240" t="s">
        <v>148</v>
      </c>
      <c r="AB1302" s="206" t="s">
        <v>140</v>
      </c>
      <c r="AC1302" s="847" t="s">
        <v>265</v>
      </c>
      <c r="AD1302" s="847" t="s">
        <v>8527</v>
      </c>
      <c r="AE1302" s="847" t="s">
        <v>144</v>
      </c>
      <c r="AF1302" s="848" t="s">
        <v>144</v>
      </c>
      <c r="AG1302" s="838"/>
      <c r="AH1302" s="866" t="s">
        <v>266</v>
      </c>
      <c r="AI1302" s="273" t="s">
        <v>267</v>
      </c>
      <c r="AJ1302" s="847"/>
      <c r="AK1302" s="848" t="s">
        <v>327</v>
      </c>
      <c r="AL1302" s="867"/>
      <c r="AM1302" s="273"/>
      <c r="AN1302" s="847"/>
      <c r="AO1302" s="848"/>
      <c r="AP1302" s="867" t="s">
        <v>8536</v>
      </c>
      <c r="AQ1302" s="273" t="s">
        <v>8537</v>
      </c>
      <c r="AR1302" s="847"/>
      <c r="AS1302" s="848" t="s">
        <v>327</v>
      </c>
      <c r="AT1302" s="867"/>
      <c r="AU1302" s="273"/>
      <c r="AV1302" s="847"/>
      <c r="AW1302" s="848"/>
      <c r="AX1302" s="867"/>
      <c r="AY1302" s="273"/>
      <c r="AZ1302" s="847"/>
      <c r="BA1302" s="848"/>
      <c r="BB1302" s="866"/>
      <c r="BC1302" s="273"/>
      <c r="BD1302" s="847"/>
      <c r="BE1302" s="848"/>
      <c r="BF1302" s="838"/>
    </row>
    <row r="1303" spans="1:58" s="87" customFormat="1" ht="54" hidden="1" customHeight="1" x14ac:dyDescent="0.25">
      <c r="A1303" s="267" t="s">
        <v>8525</v>
      </c>
      <c r="B1303" s="268">
        <v>7</v>
      </c>
      <c r="C1303" s="240" t="s">
        <v>256</v>
      </c>
      <c r="D1303" s="270" t="s">
        <v>257</v>
      </c>
      <c r="E1303" s="268" t="s">
        <v>8538</v>
      </c>
      <c r="F1303" s="861" t="s">
        <v>331</v>
      </c>
      <c r="G1303" s="269" t="s">
        <v>332</v>
      </c>
      <c r="H1303" s="845" t="s">
        <v>331</v>
      </c>
      <c r="I1303" s="269" t="s">
        <v>332</v>
      </c>
      <c r="J1303" s="296" t="s">
        <v>140</v>
      </c>
      <c r="K1303" s="297" t="s">
        <v>140</v>
      </c>
      <c r="L1303" s="862" t="s">
        <v>947</v>
      </c>
      <c r="M1303" s="206" t="s">
        <v>193</v>
      </c>
      <c r="N1303" s="211" t="s">
        <v>194</v>
      </c>
      <c r="O1303" s="240" t="s">
        <v>144</v>
      </c>
      <c r="P1303" s="240" t="s">
        <v>144</v>
      </c>
      <c r="Q1303" s="863" t="s">
        <v>948</v>
      </c>
      <c r="R1303" s="271" t="s">
        <v>949</v>
      </c>
      <c r="S1303" s="864" t="s">
        <v>147</v>
      </c>
      <c r="T1303" s="212" t="s">
        <v>144</v>
      </c>
      <c r="U1303" s="213" t="s">
        <v>144</v>
      </c>
      <c r="V1303" s="847">
        <v>1</v>
      </c>
      <c r="W1303" s="415" t="s">
        <v>144</v>
      </c>
      <c r="X1303" s="212" t="s">
        <v>925</v>
      </c>
      <c r="Y1303" s="212" t="s">
        <v>144</v>
      </c>
      <c r="Z1303" s="212" t="s">
        <v>144</v>
      </c>
      <c r="AA1303" s="343" t="s">
        <v>148</v>
      </c>
      <c r="AB1303" s="206" t="s">
        <v>140</v>
      </c>
      <c r="AC1303" s="847" t="s">
        <v>265</v>
      </c>
      <c r="AD1303" s="847" t="s">
        <v>8527</v>
      </c>
      <c r="AE1303" s="847" t="s">
        <v>144</v>
      </c>
      <c r="AF1303" s="848" t="s">
        <v>144</v>
      </c>
      <c r="AG1303" s="838"/>
      <c r="AH1303" s="866"/>
      <c r="AI1303" s="273"/>
      <c r="AJ1303" s="847"/>
      <c r="AK1303" s="848"/>
      <c r="AL1303" s="867"/>
      <c r="AM1303" s="273"/>
      <c r="AN1303" s="847"/>
      <c r="AO1303" s="848"/>
      <c r="AP1303" s="867" t="s">
        <v>950</v>
      </c>
      <c r="AQ1303" s="273" t="s">
        <v>951</v>
      </c>
      <c r="AR1303" s="847"/>
      <c r="AS1303" s="848" t="s">
        <v>952</v>
      </c>
      <c r="AT1303" s="867" t="s">
        <v>953</v>
      </c>
      <c r="AU1303" s="273" t="s">
        <v>954</v>
      </c>
      <c r="AV1303" s="847"/>
      <c r="AW1303" s="848" t="s">
        <v>952</v>
      </c>
      <c r="AX1303" s="867"/>
      <c r="AY1303" s="273"/>
      <c r="AZ1303" s="847"/>
      <c r="BA1303" s="848"/>
      <c r="BB1303" s="866"/>
      <c r="BC1303" s="273"/>
      <c r="BD1303" s="847"/>
      <c r="BE1303" s="848"/>
      <c r="BF1303" s="838"/>
    </row>
    <row r="1304" spans="1:58" s="87" customFormat="1" ht="54" hidden="1" customHeight="1" x14ac:dyDescent="0.25">
      <c r="A1304" s="267" t="s">
        <v>8525</v>
      </c>
      <c r="B1304" s="268">
        <v>8</v>
      </c>
      <c r="C1304" s="240" t="s">
        <v>256</v>
      </c>
      <c r="D1304" s="270" t="s">
        <v>257</v>
      </c>
      <c r="E1304" s="268" t="s">
        <v>8539</v>
      </c>
      <c r="F1304" s="861" t="s">
        <v>956</v>
      </c>
      <c r="G1304" s="269" t="s">
        <v>957</v>
      </c>
      <c r="H1304" s="845" t="s">
        <v>958</v>
      </c>
      <c r="I1304" s="269" t="s">
        <v>959</v>
      </c>
      <c r="J1304" s="296" t="s">
        <v>140</v>
      </c>
      <c r="K1304" s="297" t="s">
        <v>140</v>
      </c>
      <c r="L1304" s="862" t="s">
        <v>960</v>
      </c>
      <c r="M1304" s="206" t="s">
        <v>193</v>
      </c>
      <c r="N1304" s="211" t="s">
        <v>194</v>
      </c>
      <c r="O1304" s="240" t="s">
        <v>961</v>
      </c>
      <c r="P1304" s="240" t="s">
        <v>962</v>
      </c>
      <c r="Q1304" s="845" t="s">
        <v>963</v>
      </c>
      <c r="R1304" s="269" t="s">
        <v>8540</v>
      </c>
      <c r="S1304" s="864" t="s">
        <v>147</v>
      </c>
      <c r="T1304" s="212" t="s">
        <v>144</v>
      </c>
      <c r="U1304" s="213" t="s">
        <v>144</v>
      </c>
      <c r="V1304" s="847">
        <v>2</v>
      </c>
      <c r="W1304" s="415" t="s">
        <v>144</v>
      </c>
      <c r="X1304" s="212" t="s">
        <v>925</v>
      </c>
      <c r="Y1304" s="212" t="s">
        <v>144</v>
      </c>
      <c r="Z1304" s="212" t="s">
        <v>144</v>
      </c>
      <c r="AA1304" s="343" t="s">
        <v>148</v>
      </c>
      <c r="AB1304" s="206" t="s">
        <v>140</v>
      </c>
      <c r="AC1304" s="847" t="s">
        <v>265</v>
      </c>
      <c r="AD1304" s="847" t="s">
        <v>8527</v>
      </c>
      <c r="AE1304" s="847" t="s">
        <v>144</v>
      </c>
      <c r="AF1304" s="848" t="s">
        <v>144</v>
      </c>
      <c r="AG1304" s="838"/>
      <c r="AH1304" s="866"/>
      <c r="AI1304" s="273"/>
      <c r="AJ1304" s="847"/>
      <c r="AK1304" s="848"/>
      <c r="AL1304" s="185" t="s">
        <v>294</v>
      </c>
      <c r="AM1304" s="186" t="s">
        <v>295</v>
      </c>
      <c r="AN1304" s="847">
        <v>7</v>
      </c>
      <c r="AO1304" s="187" t="s">
        <v>966</v>
      </c>
      <c r="AP1304" s="867"/>
      <c r="AQ1304" s="273"/>
      <c r="AR1304" s="847"/>
      <c r="AS1304" s="848"/>
      <c r="AT1304" s="867"/>
      <c r="AU1304" s="273"/>
      <c r="AV1304" s="847"/>
      <c r="AW1304" s="848"/>
      <c r="AX1304" s="867"/>
      <c r="AY1304" s="273"/>
      <c r="AZ1304" s="847"/>
      <c r="BA1304" s="848"/>
      <c r="BB1304" s="866"/>
      <c r="BC1304" s="273"/>
      <c r="BD1304" s="847"/>
      <c r="BE1304" s="848"/>
      <c r="BF1304" s="838"/>
    </row>
    <row r="1305" spans="1:58" s="87" customFormat="1" ht="54" hidden="1" customHeight="1" x14ac:dyDescent="0.25">
      <c r="A1305" s="267" t="s">
        <v>8525</v>
      </c>
      <c r="B1305" s="268">
        <v>9</v>
      </c>
      <c r="C1305" s="240" t="s">
        <v>256</v>
      </c>
      <c r="D1305" s="270" t="s">
        <v>257</v>
      </c>
      <c r="E1305" s="268" t="s">
        <v>8541</v>
      </c>
      <c r="F1305" s="861" t="s">
        <v>968</v>
      </c>
      <c r="G1305" s="269" t="s">
        <v>969</v>
      </c>
      <c r="H1305" s="845" t="s">
        <v>8542</v>
      </c>
      <c r="I1305" s="269" t="s">
        <v>8543</v>
      </c>
      <c r="J1305" s="296" t="s">
        <v>140</v>
      </c>
      <c r="K1305" s="297" t="s">
        <v>140</v>
      </c>
      <c r="L1305" s="862" t="s">
        <v>972</v>
      </c>
      <c r="M1305" s="206" t="s">
        <v>973</v>
      </c>
      <c r="N1305" s="211" t="s">
        <v>974</v>
      </c>
      <c r="O1305" s="437" t="s">
        <v>144</v>
      </c>
      <c r="P1305" s="240" t="s">
        <v>144</v>
      </c>
      <c r="Q1305" s="845" t="s">
        <v>1711</v>
      </c>
      <c r="R1305" s="269" t="s">
        <v>1712</v>
      </c>
      <c r="S1305" s="864" t="s">
        <v>965</v>
      </c>
      <c r="T1305" s="212" t="s">
        <v>144</v>
      </c>
      <c r="U1305" s="213" t="s">
        <v>144</v>
      </c>
      <c r="V1305" s="847">
        <v>4</v>
      </c>
      <c r="W1305" s="415" t="s">
        <v>144</v>
      </c>
      <c r="X1305" s="212" t="s">
        <v>925</v>
      </c>
      <c r="Y1305" s="212" t="s">
        <v>144</v>
      </c>
      <c r="Z1305" s="212" t="s">
        <v>144</v>
      </c>
      <c r="AA1305" s="343" t="s">
        <v>148</v>
      </c>
      <c r="AB1305" s="206" t="s">
        <v>140</v>
      </c>
      <c r="AC1305" s="847" t="s">
        <v>265</v>
      </c>
      <c r="AD1305" s="847" t="s">
        <v>8527</v>
      </c>
      <c r="AE1305" s="847" t="s">
        <v>144</v>
      </c>
      <c r="AF1305" s="848" t="s">
        <v>144</v>
      </c>
      <c r="AG1305" s="838"/>
      <c r="AH1305" s="866" t="s">
        <v>8544</v>
      </c>
      <c r="AI1305" s="273" t="s">
        <v>8545</v>
      </c>
      <c r="AJ1305" s="847"/>
      <c r="AK1305" s="848" t="s">
        <v>978</v>
      </c>
      <c r="AL1305" s="867" t="s">
        <v>8546</v>
      </c>
      <c r="AM1305" s="273" t="s">
        <v>8547</v>
      </c>
      <c r="AN1305" s="847"/>
      <c r="AO1305" s="848" t="s">
        <v>981</v>
      </c>
      <c r="AP1305" s="867"/>
      <c r="AQ1305" s="273"/>
      <c r="AR1305" s="847"/>
      <c r="AS1305" s="848"/>
      <c r="AT1305" s="867"/>
      <c r="AU1305" s="273"/>
      <c r="AV1305" s="847"/>
      <c r="AW1305" s="848"/>
      <c r="AX1305" s="867"/>
      <c r="AY1305" s="273"/>
      <c r="AZ1305" s="847"/>
      <c r="BA1305" s="848"/>
      <c r="BB1305" s="866"/>
      <c r="BC1305" s="273"/>
      <c r="BD1305" s="847"/>
      <c r="BE1305" s="848"/>
      <c r="BF1305" s="838"/>
    </row>
    <row r="1306" spans="1:58" s="55" customFormat="1" ht="54" customHeight="1" x14ac:dyDescent="0.25">
      <c r="A1306" s="275" t="s">
        <v>8525</v>
      </c>
      <c r="B1306" s="276">
        <v>10</v>
      </c>
      <c r="C1306" s="253" t="s">
        <v>144</v>
      </c>
      <c r="D1306" s="253" t="s">
        <v>144</v>
      </c>
      <c r="E1306" s="276" t="s">
        <v>8548</v>
      </c>
      <c r="F1306" s="277" t="s">
        <v>251</v>
      </c>
      <c r="G1306" s="277" t="s">
        <v>251</v>
      </c>
      <c r="H1306" s="220" t="s">
        <v>336</v>
      </c>
      <c r="I1306" s="277" t="s">
        <v>337</v>
      </c>
      <c r="J1306" s="302" t="s">
        <v>144</v>
      </c>
      <c r="K1306" s="302" t="s">
        <v>144</v>
      </c>
      <c r="L1306" s="718" t="s">
        <v>983</v>
      </c>
      <c r="M1306" s="253" t="s">
        <v>144</v>
      </c>
      <c r="N1306" s="302" t="s">
        <v>144</v>
      </c>
      <c r="O1306" s="253" t="s">
        <v>144</v>
      </c>
      <c r="P1306" s="253" t="s">
        <v>144</v>
      </c>
      <c r="Q1306" s="220" t="s">
        <v>338</v>
      </c>
      <c r="R1306" s="220" t="s">
        <v>339</v>
      </c>
      <c r="S1306" s="276" t="s">
        <v>147</v>
      </c>
      <c r="T1306" s="221" t="s">
        <v>144</v>
      </c>
      <c r="U1306" s="221" t="s">
        <v>144</v>
      </c>
      <c r="V1306" s="253">
        <v>3</v>
      </c>
      <c r="W1306" s="217" t="s">
        <v>144</v>
      </c>
      <c r="X1306" s="221" t="s">
        <v>144</v>
      </c>
      <c r="Y1306" s="221" t="s">
        <v>144</v>
      </c>
      <c r="Z1306" s="221" t="s">
        <v>144</v>
      </c>
      <c r="AA1306" s="253" t="s">
        <v>144</v>
      </c>
      <c r="AB1306" s="217" t="s">
        <v>144</v>
      </c>
      <c r="AC1306" s="253" t="s">
        <v>265</v>
      </c>
      <c r="AD1306" s="253" t="s">
        <v>144</v>
      </c>
      <c r="AE1306" s="253" t="s">
        <v>144</v>
      </c>
      <c r="AF1306" s="254" t="s">
        <v>144</v>
      </c>
      <c r="AG1306" s="838"/>
      <c r="AH1306" s="280"/>
      <c r="AI1306" s="281"/>
      <c r="AJ1306" s="253"/>
      <c r="AK1306" s="254"/>
      <c r="AL1306" s="281"/>
      <c r="AM1306" s="281"/>
      <c r="AN1306" s="253"/>
      <c r="AO1306" s="254"/>
      <c r="AP1306" s="281"/>
      <c r="AQ1306" s="281"/>
      <c r="AR1306" s="253"/>
      <c r="AS1306" s="254"/>
      <c r="AT1306" s="281"/>
      <c r="AU1306" s="281"/>
      <c r="AV1306" s="253"/>
      <c r="AW1306" s="254"/>
      <c r="AX1306" s="281"/>
      <c r="AY1306" s="281"/>
      <c r="AZ1306" s="253"/>
      <c r="BA1306" s="254"/>
      <c r="BB1306" s="280"/>
      <c r="BC1306" s="281"/>
      <c r="BD1306" s="253"/>
      <c r="BE1306" s="254"/>
      <c r="BF1306" s="838"/>
    </row>
    <row r="1307" spans="1:58" s="87" customFormat="1" ht="54" hidden="1" customHeight="1" x14ac:dyDescent="0.25">
      <c r="A1307" s="267" t="s">
        <v>8525</v>
      </c>
      <c r="B1307" s="268">
        <v>11</v>
      </c>
      <c r="C1307" s="240" t="s">
        <v>340</v>
      </c>
      <c r="D1307" s="211" t="s">
        <v>341</v>
      </c>
      <c r="E1307" s="268" t="s">
        <v>8549</v>
      </c>
      <c r="F1307" s="861" t="s">
        <v>343</v>
      </c>
      <c r="G1307" s="269" t="s">
        <v>344</v>
      </c>
      <c r="H1307" s="209" t="s">
        <v>345</v>
      </c>
      <c r="I1307" s="210" t="s">
        <v>346</v>
      </c>
      <c r="J1307" s="296" t="s">
        <v>140</v>
      </c>
      <c r="K1307" s="297" t="s">
        <v>140</v>
      </c>
      <c r="L1307" s="862" t="s">
        <v>988</v>
      </c>
      <c r="M1307" s="206" t="s">
        <v>193</v>
      </c>
      <c r="N1307" s="211" t="s">
        <v>194</v>
      </c>
      <c r="O1307" s="240" t="s">
        <v>144</v>
      </c>
      <c r="P1307" s="240" t="s">
        <v>144</v>
      </c>
      <c r="Q1307" s="845" t="s">
        <v>8550</v>
      </c>
      <c r="R1307" s="269" t="s">
        <v>8551</v>
      </c>
      <c r="S1307" s="864" t="s">
        <v>147</v>
      </c>
      <c r="T1307" s="212" t="s">
        <v>144</v>
      </c>
      <c r="U1307" s="213" t="s">
        <v>144</v>
      </c>
      <c r="V1307" s="847">
        <v>20</v>
      </c>
      <c r="W1307" s="415" t="s">
        <v>144</v>
      </c>
      <c r="X1307" s="212" t="s">
        <v>925</v>
      </c>
      <c r="Y1307" s="212" t="s">
        <v>144</v>
      </c>
      <c r="Z1307" s="252" t="s">
        <v>144</v>
      </c>
      <c r="AA1307" s="240" t="s">
        <v>148</v>
      </c>
      <c r="AB1307" s="206" t="s">
        <v>140</v>
      </c>
      <c r="AC1307" s="847" t="s">
        <v>265</v>
      </c>
      <c r="AD1307" s="847" t="s">
        <v>8527</v>
      </c>
      <c r="AE1307" s="847" t="s">
        <v>144</v>
      </c>
      <c r="AF1307" s="848" t="s">
        <v>144</v>
      </c>
      <c r="AG1307" s="838"/>
      <c r="AH1307" s="339"/>
      <c r="AI1307" s="313"/>
      <c r="AJ1307" s="289"/>
      <c r="AK1307" s="314"/>
      <c r="AL1307" s="867"/>
      <c r="AM1307" s="273"/>
      <c r="AN1307" s="847"/>
      <c r="AO1307" s="848"/>
      <c r="AP1307" s="867"/>
      <c r="AQ1307" s="273"/>
      <c r="AR1307" s="847"/>
      <c r="AS1307" s="848"/>
      <c r="AT1307" s="867"/>
      <c r="AU1307" s="273"/>
      <c r="AV1307" s="847"/>
      <c r="AW1307" s="848"/>
      <c r="AX1307" s="867" t="s">
        <v>8552</v>
      </c>
      <c r="AY1307" s="273" t="s">
        <v>8553</v>
      </c>
      <c r="AZ1307" s="847">
        <v>6</v>
      </c>
      <c r="BA1307" s="848" t="s">
        <v>8554</v>
      </c>
      <c r="BB1307" s="866"/>
      <c r="BC1307" s="273"/>
      <c r="BD1307" s="847"/>
      <c r="BE1307" s="848"/>
      <c r="BF1307" s="838"/>
    </row>
    <row r="1308" spans="1:58" s="87" customFormat="1" ht="54" hidden="1" customHeight="1" x14ac:dyDescent="0.25">
      <c r="A1308" s="267" t="s">
        <v>8525</v>
      </c>
      <c r="B1308" s="268">
        <v>12</v>
      </c>
      <c r="C1308" s="240" t="s">
        <v>340</v>
      </c>
      <c r="D1308" s="211" t="s">
        <v>341</v>
      </c>
      <c r="E1308" s="268" t="s">
        <v>8555</v>
      </c>
      <c r="F1308" s="861" t="s">
        <v>990</v>
      </c>
      <c r="G1308" s="269" t="s">
        <v>351</v>
      </c>
      <c r="H1308" s="845" t="s">
        <v>991</v>
      </c>
      <c r="I1308" s="269" t="s">
        <v>992</v>
      </c>
      <c r="J1308" s="296" t="s">
        <v>140</v>
      </c>
      <c r="K1308" s="297" t="s">
        <v>140</v>
      </c>
      <c r="L1308" s="862" t="s">
        <v>993</v>
      </c>
      <c r="M1308" s="206" t="s">
        <v>193</v>
      </c>
      <c r="N1308" s="211" t="s">
        <v>194</v>
      </c>
      <c r="O1308" s="240" t="s">
        <v>144</v>
      </c>
      <c r="P1308" s="240" t="s">
        <v>144</v>
      </c>
      <c r="Q1308" s="845" t="s">
        <v>1397</v>
      </c>
      <c r="R1308" s="208" t="s">
        <v>1398</v>
      </c>
      <c r="S1308" s="864" t="s">
        <v>147</v>
      </c>
      <c r="T1308" s="212" t="s">
        <v>144</v>
      </c>
      <c r="U1308" s="213" t="s">
        <v>144</v>
      </c>
      <c r="V1308" s="847">
        <v>10</v>
      </c>
      <c r="W1308" s="415" t="s">
        <v>144</v>
      </c>
      <c r="X1308" s="212" t="s">
        <v>925</v>
      </c>
      <c r="Y1308" s="212" t="s">
        <v>144</v>
      </c>
      <c r="Z1308" s="212" t="s">
        <v>144</v>
      </c>
      <c r="AA1308" s="240" t="s">
        <v>148</v>
      </c>
      <c r="AB1308" s="206" t="s">
        <v>140</v>
      </c>
      <c r="AC1308" s="847" t="s">
        <v>265</v>
      </c>
      <c r="AD1308" s="847" t="s">
        <v>8527</v>
      </c>
      <c r="AE1308" s="847" t="s">
        <v>144</v>
      </c>
      <c r="AF1308" s="848" t="s">
        <v>144</v>
      </c>
      <c r="AG1308" s="838"/>
      <c r="AH1308" s="866"/>
      <c r="AI1308" s="273"/>
      <c r="AJ1308" s="847"/>
      <c r="AK1308" s="848"/>
      <c r="AL1308" s="867"/>
      <c r="AM1308" s="273"/>
      <c r="AN1308" s="847"/>
      <c r="AO1308" s="848"/>
      <c r="AP1308" s="867"/>
      <c r="AQ1308" s="273"/>
      <c r="AR1308" s="847"/>
      <c r="AS1308" s="848"/>
      <c r="AT1308" s="867"/>
      <c r="AU1308" s="273"/>
      <c r="AV1308" s="847"/>
      <c r="AW1308" s="848"/>
      <c r="AX1308" s="867"/>
      <c r="AY1308" s="273"/>
      <c r="AZ1308" s="847"/>
      <c r="BA1308" s="848"/>
      <c r="BB1308" s="866"/>
      <c r="BC1308" s="273"/>
      <c r="BD1308" s="847"/>
      <c r="BE1308" s="848"/>
      <c r="BF1308" s="838"/>
    </row>
    <row r="1309" spans="1:58" s="55" customFormat="1" ht="54" hidden="1" customHeight="1" x14ac:dyDescent="0.25">
      <c r="A1309" s="275" t="s">
        <v>8525</v>
      </c>
      <c r="B1309" s="276">
        <v>13</v>
      </c>
      <c r="C1309" s="253" t="s">
        <v>144</v>
      </c>
      <c r="D1309" s="253" t="s">
        <v>144</v>
      </c>
      <c r="E1309" s="276" t="s">
        <v>8556</v>
      </c>
      <c r="F1309" s="277" t="s">
        <v>357</v>
      </c>
      <c r="G1309" s="277" t="s">
        <v>1734</v>
      </c>
      <c r="H1309" s="218" t="s">
        <v>357</v>
      </c>
      <c r="I1309" s="277" t="s">
        <v>359</v>
      </c>
      <c r="J1309" s="302" t="s">
        <v>144</v>
      </c>
      <c r="K1309" s="302" t="s">
        <v>144</v>
      </c>
      <c r="L1309" s="718" t="s">
        <v>998</v>
      </c>
      <c r="M1309" s="217" t="s">
        <v>144</v>
      </c>
      <c r="N1309" s="217" t="s">
        <v>144</v>
      </c>
      <c r="O1309" s="253" t="s">
        <v>144</v>
      </c>
      <c r="P1309" s="253" t="s">
        <v>144</v>
      </c>
      <c r="Q1309" s="220" t="s">
        <v>338</v>
      </c>
      <c r="R1309" s="220" t="s">
        <v>339</v>
      </c>
      <c r="S1309" s="276" t="s">
        <v>147</v>
      </c>
      <c r="T1309" s="221" t="s">
        <v>144</v>
      </c>
      <c r="U1309" s="221" t="s">
        <v>144</v>
      </c>
      <c r="V1309" s="253">
        <v>30</v>
      </c>
      <c r="W1309" s="217" t="s">
        <v>144</v>
      </c>
      <c r="X1309" s="221" t="s">
        <v>144</v>
      </c>
      <c r="Y1309" s="221">
        <v>43</v>
      </c>
      <c r="Z1309" s="221" t="s">
        <v>144</v>
      </c>
      <c r="AA1309" s="253" t="s">
        <v>144</v>
      </c>
      <c r="AB1309" s="217" t="s">
        <v>144</v>
      </c>
      <c r="AC1309" s="253" t="s">
        <v>265</v>
      </c>
      <c r="AD1309" s="253" t="s">
        <v>144</v>
      </c>
      <c r="AE1309" s="253" t="s">
        <v>144</v>
      </c>
      <c r="AF1309" s="254" t="s">
        <v>144</v>
      </c>
      <c r="AG1309" s="838"/>
      <c r="AH1309" s="280"/>
      <c r="AI1309" s="281"/>
      <c r="AJ1309" s="253"/>
      <c r="AK1309" s="254"/>
      <c r="AL1309" s="281"/>
      <c r="AM1309" s="281"/>
      <c r="AN1309" s="253"/>
      <c r="AO1309" s="254"/>
      <c r="AP1309" s="281"/>
      <c r="AQ1309" s="281"/>
      <c r="AR1309" s="253"/>
      <c r="AS1309" s="254"/>
      <c r="AT1309" s="281"/>
      <c r="AU1309" s="281"/>
      <c r="AV1309" s="253"/>
      <c r="AW1309" s="254"/>
      <c r="AX1309" s="281"/>
      <c r="AY1309" s="281"/>
      <c r="AZ1309" s="253"/>
      <c r="BA1309" s="254"/>
      <c r="BB1309" s="280"/>
      <c r="BC1309" s="281"/>
      <c r="BD1309" s="253"/>
      <c r="BE1309" s="254"/>
      <c r="BF1309" s="838"/>
    </row>
    <row r="1310" spans="1:58" s="87" customFormat="1" ht="56.45" hidden="1" customHeight="1" x14ac:dyDescent="0.25">
      <c r="A1310" s="267" t="s">
        <v>8525</v>
      </c>
      <c r="B1310" s="268">
        <v>14</v>
      </c>
      <c r="C1310" s="240" t="s">
        <v>994</v>
      </c>
      <c r="D1310" s="211" t="s">
        <v>995</v>
      </c>
      <c r="E1310" s="268" t="s">
        <v>8557</v>
      </c>
      <c r="F1310" s="861" t="s">
        <v>361</v>
      </c>
      <c r="G1310" s="269" t="s">
        <v>363</v>
      </c>
      <c r="H1310" s="845" t="s">
        <v>361</v>
      </c>
      <c r="I1310" s="269" t="s">
        <v>363</v>
      </c>
      <c r="J1310" s="296" t="s">
        <v>140</v>
      </c>
      <c r="K1310" s="297" t="s">
        <v>140</v>
      </c>
      <c r="L1310" s="862" t="s">
        <v>1008</v>
      </c>
      <c r="M1310" s="206" t="s">
        <v>142</v>
      </c>
      <c r="N1310" s="211" t="s">
        <v>143</v>
      </c>
      <c r="O1310" s="240" t="s">
        <v>144</v>
      </c>
      <c r="P1310" s="240" t="s">
        <v>144</v>
      </c>
      <c r="Q1310" s="845" t="s">
        <v>8558</v>
      </c>
      <c r="R1310" s="269" t="s">
        <v>8559</v>
      </c>
      <c r="S1310" s="864" t="s">
        <v>147</v>
      </c>
      <c r="T1310" s="212" t="s">
        <v>144</v>
      </c>
      <c r="U1310" s="213" t="s">
        <v>144</v>
      </c>
      <c r="V1310" s="847">
        <v>30</v>
      </c>
      <c r="W1310" s="415" t="s">
        <v>144</v>
      </c>
      <c r="X1310" s="212" t="s">
        <v>925</v>
      </c>
      <c r="Y1310" s="212" t="s">
        <v>144</v>
      </c>
      <c r="Z1310" s="252" t="s">
        <v>144</v>
      </c>
      <c r="AA1310" s="240" t="s">
        <v>148</v>
      </c>
      <c r="AB1310" s="206" t="s">
        <v>140</v>
      </c>
      <c r="AC1310" s="847" t="s">
        <v>265</v>
      </c>
      <c r="AD1310" s="847" t="s">
        <v>8527</v>
      </c>
      <c r="AE1310" s="847" t="s">
        <v>144</v>
      </c>
      <c r="AF1310" s="848" t="s">
        <v>144</v>
      </c>
      <c r="AG1310" s="838"/>
      <c r="AH1310" s="866" t="s">
        <v>266</v>
      </c>
      <c r="AI1310" s="273" t="s">
        <v>267</v>
      </c>
      <c r="AJ1310" s="847">
        <v>7</v>
      </c>
      <c r="AK1310" s="848" t="s">
        <v>8560</v>
      </c>
      <c r="AL1310" s="867"/>
      <c r="AM1310" s="273"/>
      <c r="AN1310" s="847"/>
      <c r="AO1310" s="848"/>
      <c r="AP1310" s="867"/>
      <c r="AQ1310" s="273"/>
      <c r="AR1310" s="847"/>
      <c r="AS1310" s="848"/>
      <c r="AT1310" s="867"/>
      <c r="AU1310" s="273"/>
      <c r="AV1310" s="847"/>
      <c r="AW1310" s="848"/>
      <c r="AX1310" s="867" t="s">
        <v>8561</v>
      </c>
      <c r="AY1310" s="273" t="s">
        <v>8562</v>
      </c>
      <c r="AZ1310" s="847">
        <v>7</v>
      </c>
      <c r="BA1310" s="848" t="s">
        <v>8563</v>
      </c>
      <c r="BB1310" s="866"/>
      <c r="BC1310" s="273"/>
      <c r="BD1310" s="847"/>
      <c r="BE1310" s="848"/>
      <c r="BF1310" s="838"/>
    </row>
    <row r="1311" spans="1:58" s="87" customFormat="1" ht="54" hidden="1" customHeight="1" x14ac:dyDescent="0.25">
      <c r="A1311" s="267" t="s">
        <v>8525</v>
      </c>
      <c r="B1311" s="268">
        <v>15</v>
      </c>
      <c r="C1311" s="240" t="s">
        <v>994</v>
      </c>
      <c r="D1311" s="211" t="s">
        <v>995</v>
      </c>
      <c r="E1311" s="268" t="s">
        <v>8564</v>
      </c>
      <c r="F1311" s="861" t="s">
        <v>365</v>
      </c>
      <c r="G1311" s="269" t="s">
        <v>366</v>
      </c>
      <c r="H1311" s="845" t="s">
        <v>365</v>
      </c>
      <c r="I1311" s="269" t="s">
        <v>1747</v>
      </c>
      <c r="J1311" s="296" t="s">
        <v>140</v>
      </c>
      <c r="K1311" s="297" t="s">
        <v>140</v>
      </c>
      <c r="L1311" s="862" t="s">
        <v>1010</v>
      </c>
      <c r="M1311" s="206" t="s">
        <v>142</v>
      </c>
      <c r="N1311" s="211" t="s">
        <v>143</v>
      </c>
      <c r="O1311" s="240" t="s">
        <v>144</v>
      </c>
      <c r="P1311" s="240" t="s">
        <v>144</v>
      </c>
      <c r="Q1311" s="845" t="s">
        <v>8565</v>
      </c>
      <c r="R1311" s="269" t="s">
        <v>8566</v>
      </c>
      <c r="S1311" s="864" t="s">
        <v>147</v>
      </c>
      <c r="T1311" s="212" t="s">
        <v>144</v>
      </c>
      <c r="U1311" s="213" t="s">
        <v>144</v>
      </c>
      <c r="V1311" s="847">
        <v>40</v>
      </c>
      <c r="W1311" s="415" t="s">
        <v>144</v>
      </c>
      <c r="X1311" s="212" t="s">
        <v>925</v>
      </c>
      <c r="Y1311" s="212" t="s">
        <v>144</v>
      </c>
      <c r="Z1311" s="252" t="s">
        <v>144</v>
      </c>
      <c r="AA1311" s="240" t="s">
        <v>6785</v>
      </c>
      <c r="AB1311" s="206" t="s">
        <v>140</v>
      </c>
      <c r="AC1311" s="847" t="s">
        <v>265</v>
      </c>
      <c r="AD1311" s="847" t="s">
        <v>8527</v>
      </c>
      <c r="AE1311" s="847" t="s">
        <v>144</v>
      </c>
      <c r="AF1311" s="848" t="s">
        <v>144</v>
      </c>
      <c r="AG1311" s="838"/>
      <c r="AH1311" s="866" t="s">
        <v>266</v>
      </c>
      <c r="AI1311" s="273" t="s">
        <v>267</v>
      </c>
      <c r="AJ1311" s="847">
        <v>7</v>
      </c>
      <c r="AK1311" s="848" t="s">
        <v>1002</v>
      </c>
      <c r="AL1311" s="867"/>
      <c r="AM1311" s="273"/>
      <c r="AN1311" s="847"/>
      <c r="AO1311" s="848"/>
      <c r="AP1311" s="867"/>
      <c r="AQ1311" s="273"/>
      <c r="AR1311" s="847"/>
      <c r="AS1311" s="848"/>
      <c r="AT1311" s="867"/>
      <c r="AU1311" s="273"/>
      <c r="AV1311" s="847"/>
      <c r="AW1311" s="848"/>
      <c r="AX1311" s="867" t="s">
        <v>8567</v>
      </c>
      <c r="AY1311" s="273" t="s">
        <v>8568</v>
      </c>
      <c r="AZ1311" s="847">
        <v>7</v>
      </c>
      <c r="BA1311" s="848" t="s">
        <v>8569</v>
      </c>
      <c r="BB1311" s="249" t="s">
        <v>8570</v>
      </c>
      <c r="BC1311" s="135" t="s">
        <v>8571</v>
      </c>
      <c r="BD1311" s="285">
        <v>6</v>
      </c>
      <c r="BE1311" s="306" t="s">
        <v>8572</v>
      </c>
      <c r="BF1311" s="838"/>
    </row>
    <row r="1312" spans="1:58" s="55" customFormat="1" ht="54" hidden="1" customHeight="1" x14ac:dyDescent="0.25">
      <c r="A1312" s="275" t="s">
        <v>8525</v>
      </c>
      <c r="B1312" s="276">
        <v>16</v>
      </c>
      <c r="C1312" s="253" t="s">
        <v>144</v>
      </c>
      <c r="D1312" s="217" t="s">
        <v>144</v>
      </c>
      <c r="E1312" s="276" t="s">
        <v>8573</v>
      </c>
      <c r="F1312" s="277" t="s">
        <v>369</v>
      </c>
      <c r="G1312" s="277" t="s">
        <v>370</v>
      </c>
      <c r="H1312" s="218" t="s">
        <v>1012</v>
      </c>
      <c r="I1312" s="218" t="s">
        <v>1013</v>
      </c>
      <c r="J1312" s="302" t="s">
        <v>144</v>
      </c>
      <c r="K1312" s="302" t="s">
        <v>144</v>
      </c>
      <c r="L1312" s="718" t="s">
        <v>1014</v>
      </c>
      <c r="M1312" s="253" t="s">
        <v>144</v>
      </c>
      <c r="N1312" s="302" t="s">
        <v>144</v>
      </c>
      <c r="O1312" s="253" t="s">
        <v>144</v>
      </c>
      <c r="P1312" s="253" t="s">
        <v>144</v>
      </c>
      <c r="Q1312" s="218" t="s">
        <v>144</v>
      </c>
      <c r="R1312" s="277" t="s">
        <v>144</v>
      </c>
      <c r="S1312" s="276" t="s">
        <v>147</v>
      </c>
      <c r="T1312" s="221" t="s">
        <v>144</v>
      </c>
      <c r="U1312" s="221" t="s">
        <v>144</v>
      </c>
      <c r="V1312" s="253">
        <v>40</v>
      </c>
      <c r="W1312" s="217" t="s">
        <v>144</v>
      </c>
      <c r="X1312" s="221" t="s">
        <v>144</v>
      </c>
      <c r="Y1312" s="221">
        <v>43</v>
      </c>
      <c r="Z1312" s="221" t="s">
        <v>144</v>
      </c>
      <c r="AA1312" s="253" t="s">
        <v>144</v>
      </c>
      <c r="AB1312" s="217" t="s">
        <v>144</v>
      </c>
      <c r="AC1312" s="253" t="s">
        <v>265</v>
      </c>
      <c r="AD1312" s="253" t="s">
        <v>144</v>
      </c>
      <c r="AE1312" s="253" t="s">
        <v>144</v>
      </c>
      <c r="AF1312" s="254" t="s">
        <v>144</v>
      </c>
      <c r="AG1312" s="838"/>
      <c r="AH1312" s="280"/>
      <c r="AI1312" s="281"/>
      <c r="AJ1312" s="253"/>
      <c r="AK1312" s="254"/>
      <c r="AL1312" s="281"/>
      <c r="AM1312" s="281"/>
      <c r="AN1312" s="253"/>
      <c r="AO1312" s="254"/>
      <c r="AP1312" s="281"/>
      <c r="AQ1312" s="281"/>
      <c r="AR1312" s="253"/>
      <c r="AS1312" s="254"/>
      <c r="AT1312" s="281"/>
      <c r="AU1312" s="281"/>
      <c r="AV1312" s="253"/>
      <c r="AW1312" s="254"/>
      <c r="AX1312" s="281"/>
      <c r="AY1312" s="281"/>
      <c r="AZ1312" s="253"/>
      <c r="BA1312" s="254"/>
      <c r="BB1312" s="280"/>
      <c r="BC1312" s="281"/>
      <c r="BD1312" s="253"/>
      <c r="BE1312" s="254"/>
      <c r="BF1312" s="838"/>
    </row>
    <row r="1313" spans="1:58" s="54" customFormat="1" ht="54" hidden="1" customHeight="1" x14ac:dyDescent="0.25">
      <c r="A1313" s="216" t="s">
        <v>8525</v>
      </c>
      <c r="B1313" s="217">
        <v>17</v>
      </c>
      <c r="C1313" s="253" t="s">
        <v>340</v>
      </c>
      <c r="D1313" s="217" t="s">
        <v>341</v>
      </c>
      <c r="E1313" s="219" t="s">
        <v>8574</v>
      </c>
      <c r="F1313" s="220" t="s">
        <v>373</v>
      </c>
      <c r="G1313" s="220" t="s">
        <v>374</v>
      </c>
      <c r="H1313" s="220" t="s">
        <v>373</v>
      </c>
      <c r="I1313" s="220" t="s">
        <v>375</v>
      </c>
      <c r="J1313" s="217" t="s">
        <v>144</v>
      </c>
      <c r="K1313" s="217" t="s">
        <v>144</v>
      </c>
      <c r="L1313" s="708" t="s">
        <v>1017</v>
      </c>
      <c r="M1313" s="217" t="s">
        <v>144</v>
      </c>
      <c r="N1313" s="217" t="s">
        <v>144</v>
      </c>
      <c r="O1313" s="219" t="s">
        <v>144</v>
      </c>
      <c r="P1313" s="219" t="s">
        <v>144</v>
      </c>
      <c r="Q1313" s="220" t="s">
        <v>144</v>
      </c>
      <c r="R1313" s="220" t="s">
        <v>144</v>
      </c>
      <c r="S1313" s="219" t="s">
        <v>147</v>
      </c>
      <c r="T1313" s="221" t="s">
        <v>144</v>
      </c>
      <c r="U1313" s="221" t="s">
        <v>144</v>
      </c>
      <c r="V1313" s="217">
        <v>40</v>
      </c>
      <c r="W1313" s="217" t="s">
        <v>144</v>
      </c>
      <c r="X1313" s="222" t="s">
        <v>144</v>
      </c>
      <c r="Y1313" s="222" t="s">
        <v>144</v>
      </c>
      <c r="Z1313" s="222" t="s">
        <v>144</v>
      </c>
      <c r="AA1313" s="217" t="s">
        <v>148</v>
      </c>
      <c r="AB1313" s="217" t="s">
        <v>144</v>
      </c>
      <c r="AC1313" s="217" t="s">
        <v>265</v>
      </c>
      <c r="AD1313" s="217" t="s">
        <v>144</v>
      </c>
      <c r="AE1313" s="217" t="s">
        <v>144</v>
      </c>
      <c r="AF1313" s="223" t="s">
        <v>144</v>
      </c>
      <c r="AG1313" s="838"/>
      <c r="AH1313" s="224"/>
      <c r="AI1313" s="225"/>
      <c r="AJ1313" s="219"/>
      <c r="AK1313" s="226"/>
      <c r="AL1313" s="225"/>
      <c r="AM1313" s="225"/>
      <c r="AN1313" s="219"/>
      <c r="AO1313" s="226"/>
      <c r="AP1313" s="225"/>
      <c r="AQ1313" s="225"/>
      <c r="AR1313" s="219"/>
      <c r="AS1313" s="226"/>
      <c r="AT1313" s="227"/>
      <c r="AU1313" s="227"/>
      <c r="AV1313" s="219"/>
      <c r="AW1313" s="226"/>
      <c r="AX1313" s="225"/>
      <c r="AY1313" s="225"/>
      <c r="AZ1313" s="219"/>
      <c r="BA1313" s="226"/>
      <c r="BB1313" s="224"/>
      <c r="BC1313" s="225"/>
      <c r="BD1313" s="219"/>
      <c r="BE1313" s="226"/>
      <c r="BF1313" s="838"/>
    </row>
    <row r="1314" spans="1:58" s="56" customFormat="1" ht="54" customHeight="1" x14ac:dyDescent="0.25">
      <c r="A1314" s="275" t="s">
        <v>8525</v>
      </c>
      <c r="B1314" s="276">
        <v>18</v>
      </c>
      <c r="C1314" s="253" t="s">
        <v>144</v>
      </c>
      <c r="D1314" s="217" t="s">
        <v>144</v>
      </c>
      <c r="E1314" s="282" t="s">
        <v>8575</v>
      </c>
      <c r="F1314" s="279" t="s">
        <v>251</v>
      </c>
      <c r="G1314" s="279" t="s">
        <v>251</v>
      </c>
      <c r="H1314" s="220" t="s">
        <v>336</v>
      </c>
      <c r="I1314" s="279" t="s">
        <v>337</v>
      </c>
      <c r="J1314" s="278" t="s">
        <v>144</v>
      </c>
      <c r="K1314" s="278" t="s">
        <v>144</v>
      </c>
      <c r="L1314" s="718" t="s">
        <v>1019</v>
      </c>
      <c r="M1314" s="253" t="s">
        <v>144</v>
      </c>
      <c r="N1314" s="278" t="s">
        <v>144</v>
      </c>
      <c r="O1314" s="253" t="s">
        <v>144</v>
      </c>
      <c r="P1314" s="253" t="s">
        <v>144</v>
      </c>
      <c r="Q1314" s="220" t="s">
        <v>338</v>
      </c>
      <c r="R1314" s="220" t="s">
        <v>339</v>
      </c>
      <c r="S1314" s="282" t="s">
        <v>147</v>
      </c>
      <c r="T1314" s="229" t="s">
        <v>144</v>
      </c>
      <c r="U1314" s="229" t="s">
        <v>144</v>
      </c>
      <c r="V1314" s="278">
        <v>11</v>
      </c>
      <c r="W1314" s="217" t="s">
        <v>144</v>
      </c>
      <c r="X1314" s="221" t="s">
        <v>144</v>
      </c>
      <c r="Y1314" s="229" t="s">
        <v>144</v>
      </c>
      <c r="Z1314" s="229" t="s">
        <v>144</v>
      </c>
      <c r="AA1314" s="253" t="s">
        <v>144</v>
      </c>
      <c r="AB1314" s="217" t="s">
        <v>144</v>
      </c>
      <c r="AC1314" s="253" t="s">
        <v>265</v>
      </c>
      <c r="AD1314" s="253" t="s">
        <v>144</v>
      </c>
      <c r="AE1314" s="253" t="s">
        <v>144</v>
      </c>
      <c r="AF1314" s="254" t="s">
        <v>144</v>
      </c>
      <c r="AG1314" s="838"/>
      <c r="AH1314" s="280"/>
      <c r="AI1314" s="281"/>
      <c r="AJ1314" s="253"/>
      <c r="AK1314" s="254"/>
      <c r="AL1314" s="281"/>
      <c r="AM1314" s="281"/>
      <c r="AN1314" s="253"/>
      <c r="AO1314" s="254"/>
      <c r="AP1314" s="281"/>
      <c r="AQ1314" s="281"/>
      <c r="AR1314" s="253"/>
      <c r="AS1314" s="254"/>
      <c r="AT1314" s="281"/>
      <c r="AU1314" s="281"/>
      <c r="AV1314" s="253"/>
      <c r="AW1314" s="254"/>
      <c r="AX1314" s="281"/>
      <c r="AY1314" s="281"/>
      <c r="AZ1314" s="253"/>
      <c r="BA1314" s="254"/>
      <c r="BB1314" s="280"/>
      <c r="BC1314" s="281"/>
      <c r="BD1314" s="253"/>
      <c r="BE1314" s="254"/>
      <c r="BF1314" s="838"/>
    </row>
    <row r="1315" spans="1:58" s="56" customFormat="1" ht="54" customHeight="1" x14ac:dyDescent="0.25">
      <c r="A1315" s="275" t="s">
        <v>8525</v>
      </c>
      <c r="B1315" s="276">
        <v>19</v>
      </c>
      <c r="C1315" s="253" t="s">
        <v>144</v>
      </c>
      <c r="D1315" s="217" t="s">
        <v>144</v>
      </c>
      <c r="E1315" s="282" t="s">
        <v>8576</v>
      </c>
      <c r="F1315" s="279" t="s">
        <v>251</v>
      </c>
      <c r="G1315" s="279" t="s">
        <v>251</v>
      </c>
      <c r="H1315" s="220" t="s">
        <v>336</v>
      </c>
      <c r="I1315" s="279" t="s">
        <v>337</v>
      </c>
      <c r="J1315" s="278" t="s">
        <v>144</v>
      </c>
      <c r="K1315" s="278" t="s">
        <v>144</v>
      </c>
      <c r="L1315" s="718" t="s">
        <v>144</v>
      </c>
      <c r="M1315" s="253" t="s">
        <v>144</v>
      </c>
      <c r="N1315" s="278" t="s">
        <v>144</v>
      </c>
      <c r="O1315" s="253" t="s">
        <v>144</v>
      </c>
      <c r="P1315" s="253" t="s">
        <v>144</v>
      </c>
      <c r="Q1315" s="220" t="s">
        <v>338</v>
      </c>
      <c r="R1315" s="220" t="s">
        <v>339</v>
      </c>
      <c r="S1315" s="282" t="s">
        <v>147</v>
      </c>
      <c r="T1315" s="229" t="s">
        <v>144</v>
      </c>
      <c r="U1315" s="229" t="s">
        <v>144</v>
      </c>
      <c r="V1315" s="278">
        <v>7</v>
      </c>
      <c r="W1315" s="217" t="s">
        <v>144</v>
      </c>
      <c r="X1315" s="221" t="s">
        <v>144</v>
      </c>
      <c r="Y1315" s="229" t="s">
        <v>144</v>
      </c>
      <c r="Z1315" s="229" t="s">
        <v>144</v>
      </c>
      <c r="AA1315" s="253" t="s">
        <v>144</v>
      </c>
      <c r="AB1315" s="217" t="s">
        <v>144</v>
      </c>
      <c r="AC1315" s="253" t="s">
        <v>265</v>
      </c>
      <c r="AD1315" s="253" t="s">
        <v>144</v>
      </c>
      <c r="AE1315" s="253" t="s">
        <v>144</v>
      </c>
      <c r="AF1315" s="254" t="s">
        <v>144</v>
      </c>
      <c r="AG1315" s="838"/>
      <c r="AH1315" s="280"/>
      <c r="AI1315" s="281"/>
      <c r="AJ1315" s="253"/>
      <c r="AK1315" s="254"/>
      <c r="AL1315" s="281"/>
      <c r="AM1315" s="281"/>
      <c r="AN1315" s="253"/>
      <c r="AO1315" s="254"/>
      <c r="AP1315" s="281"/>
      <c r="AQ1315" s="281"/>
      <c r="AR1315" s="253"/>
      <c r="AS1315" s="254"/>
      <c r="AT1315" s="281"/>
      <c r="AU1315" s="281"/>
      <c r="AV1315" s="253"/>
      <c r="AW1315" s="254"/>
      <c r="AX1315" s="281"/>
      <c r="AY1315" s="281"/>
      <c r="AZ1315" s="253"/>
      <c r="BA1315" s="254"/>
      <c r="BB1315" s="280"/>
      <c r="BC1315" s="281"/>
      <c r="BD1315" s="253"/>
      <c r="BE1315" s="254"/>
      <c r="BF1315" s="838"/>
    </row>
    <row r="1316" spans="1:58" s="56" customFormat="1" ht="54" customHeight="1" x14ac:dyDescent="0.25">
      <c r="A1316" s="275" t="s">
        <v>8525</v>
      </c>
      <c r="B1316" s="276">
        <v>20</v>
      </c>
      <c r="C1316" s="253" t="s">
        <v>144</v>
      </c>
      <c r="D1316" s="217" t="s">
        <v>144</v>
      </c>
      <c r="E1316" s="282" t="s">
        <v>8577</v>
      </c>
      <c r="F1316" s="279" t="s">
        <v>251</v>
      </c>
      <c r="G1316" s="279" t="s">
        <v>251</v>
      </c>
      <c r="H1316" s="220" t="s">
        <v>336</v>
      </c>
      <c r="I1316" s="279" t="s">
        <v>337</v>
      </c>
      <c r="J1316" s="278" t="s">
        <v>144</v>
      </c>
      <c r="K1316" s="278" t="s">
        <v>144</v>
      </c>
      <c r="L1316" s="718" t="s">
        <v>144</v>
      </c>
      <c r="M1316" s="253" t="s">
        <v>144</v>
      </c>
      <c r="N1316" s="278" t="s">
        <v>144</v>
      </c>
      <c r="O1316" s="253" t="s">
        <v>144</v>
      </c>
      <c r="P1316" s="253" t="s">
        <v>144</v>
      </c>
      <c r="Q1316" s="220" t="s">
        <v>338</v>
      </c>
      <c r="R1316" s="220" t="s">
        <v>339</v>
      </c>
      <c r="S1316" s="282" t="s">
        <v>147</v>
      </c>
      <c r="T1316" s="229" t="s">
        <v>144</v>
      </c>
      <c r="U1316" s="229" t="s">
        <v>144</v>
      </c>
      <c r="V1316" s="278">
        <v>2</v>
      </c>
      <c r="W1316" s="217" t="s">
        <v>144</v>
      </c>
      <c r="X1316" s="221" t="s">
        <v>144</v>
      </c>
      <c r="Y1316" s="229" t="s">
        <v>144</v>
      </c>
      <c r="Z1316" s="229" t="s">
        <v>144</v>
      </c>
      <c r="AA1316" s="253" t="s">
        <v>144</v>
      </c>
      <c r="AB1316" s="217" t="s">
        <v>144</v>
      </c>
      <c r="AC1316" s="253" t="s">
        <v>265</v>
      </c>
      <c r="AD1316" s="253" t="s">
        <v>144</v>
      </c>
      <c r="AE1316" s="253" t="s">
        <v>144</v>
      </c>
      <c r="AF1316" s="254" t="s">
        <v>144</v>
      </c>
      <c r="AG1316" s="838"/>
      <c r="AH1316" s="280"/>
      <c r="AI1316" s="281"/>
      <c r="AJ1316" s="253"/>
      <c r="AK1316" s="254"/>
      <c r="AL1316" s="281"/>
      <c r="AM1316" s="281"/>
      <c r="AN1316" s="253"/>
      <c r="AO1316" s="254"/>
      <c r="AP1316" s="281"/>
      <c r="AQ1316" s="281"/>
      <c r="AR1316" s="253"/>
      <c r="AS1316" s="254"/>
      <c r="AT1316" s="281"/>
      <c r="AU1316" s="281"/>
      <c r="AV1316" s="253"/>
      <c r="AW1316" s="254"/>
      <c r="AX1316" s="281"/>
      <c r="AY1316" s="281"/>
      <c r="AZ1316" s="253"/>
      <c r="BA1316" s="254"/>
      <c r="BB1316" s="280"/>
      <c r="BC1316" s="281"/>
      <c r="BD1316" s="253"/>
      <c r="BE1316" s="254"/>
      <c r="BF1316" s="838"/>
    </row>
    <row r="1317" spans="1:58" s="87" customFormat="1" ht="54" hidden="1" customHeight="1" x14ac:dyDescent="0.25">
      <c r="A1317" s="267" t="s">
        <v>8525</v>
      </c>
      <c r="B1317" s="268">
        <v>21</v>
      </c>
      <c r="C1317" s="240" t="s">
        <v>1022</v>
      </c>
      <c r="D1317" s="211" t="s">
        <v>1023</v>
      </c>
      <c r="E1317" s="268" t="s">
        <v>8578</v>
      </c>
      <c r="F1317" s="861" t="s">
        <v>8579</v>
      </c>
      <c r="G1317" s="269" t="s">
        <v>8580</v>
      </c>
      <c r="H1317" s="845" t="s">
        <v>8581</v>
      </c>
      <c r="I1317" s="208" t="s">
        <v>8582</v>
      </c>
      <c r="J1317" s="240" t="s">
        <v>140</v>
      </c>
      <c r="K1317" s="270" t="s">
        <v>140</v>
      </c>
      <c r="L1317" s="862" t="s">
        <v>1852</v>
      </c>
      <c r="M1317" s="206" t="s">
        <v>142</v>
      </c>
      <c r="N1317" s="211" t="s">
        <v>143</v>
      </c>
      <c r="O1317" s="240" t="s">
        <v>1853</v>
      </c>
      <c r="P1317" s="240" t="s">
        <v>1854</v>
      </c>
      <c r="Q1317" s="845" t="s">
        <v>144</v>
      </c>
      <c r="R1317" s="208" t="s">
        <v>144</v>
      </c>
      <c r="S1317" s="864" t="s">
        <v>147</v>
      </c>
      <c r="T1317" s="212" t="s">
        <v>144</v>
      </c>
      <c r="U1317" s="213" t="s">
        <v>144</v>
      </c>
      <c r="V1317" s="847">
        <v>12</v>
      </c>
      <c r="W1317" s="415" t="s">
        <v>144</v>
      </c>
      <c r="X1317" s="212">
        <v>40</v>
      </c>
      <c r="Y1317" s="212" t="s">
        <v>144</v>
      </c>
      <c r="Z1317" s="241" t="s">
        <v>144</v>
      </c>
      <c r="AA1317" s="437" t="s">
        <v>8583</v>
      </c>
      <c r="AB1317" s="206" t="s">
        <v>140</v>
      </c>
      <c r="AC1317" s="847" t="s">
        <v>265</v>
      </c>
      <c r="AD1317" s="847" t="s">
        <v>8527</v>
      </c>
      <c r="AE1317" s="847" t="s">
        <v>144</v>
      </c>
      <c r="AF1317" s="848" t="s">
        <v>144</v>
      </c>
      <c r="AG1317" s="838"/>
      <c r="AH1317" s="866" t="s">
        <v>266</v>
      </c>
      <c r="AI1317" s="273" t="s">
        <v>267</v>
      </c>
      <c r="AJ1317" s="847">
        <v>7</v>
      </c>
      <c r="AK1317" s="848" t="s">
        <v>1046</v>
      </c>
      <c r="AL1317" s="185" t="s">
        <v>294</v>
      </c>
      <c r="AM1317" s="186" t="s">
        <v>295</v>
      </c>
      <c r="AN1317" s="847">
        <v>7</v>
      </c>
      <c r="AO1317" s="187" t="s">
        <v>966</v>
      </c>
      <c r="AP1317" s="867"/>
      <c r="AQ1317" s="273"/>
      <c r="AR1317" s="847"/>
      <c r="AS1317" s="848"/>
      <c r="AT1317" s="867"/>
      <c r="AU1317" s="273"/>
      <c r="AV1317" s="847"/>
      <c r="AW1317" s="848"/>
      <c r="AX1317" s="867"/>
      <c r="AY1317" s="273"/>
      <c r="AZ1317" s="847"/>
      <c r="BA1317" s="848"/>
      <c r="BB1317" s="249" t="s">
        <v>8584</v>
      </c>
      <c r="BC1317" s="135" t="s">
        <v>8585</v>
      </c>
      <c r="BD1317" s="847">
        <v>6</v>
      </c>
      <c r="BE1317" s="306" t="s">
        <v>8586</v>
      </c>
      <c r="BF1317" s="838"/>
    </row>
    <row r="1318" spans="1:58" s="87" customFormat="1" ht="54" hidden="1" customHeight="1" x14ac:dyDescent="0.25">
      <c r="A1318" s="267" t="s">
        <v>8525</v>
      </c>
      <c r="B1318" s="268">
        <v>22</v>
      </c>
      <c r="C1318" s="240" t="s">
        <v>1022</v>
      </c>
      <c r="D1318" s="211" t="s">
        <v>1023</v>
      </c>
      <c r="E1318" s="268" t="s">
        <v>8587</v>
      </c>
      <c r="F1318" s="861" t="s">
        <v>8588</v>
      </c>
      <c r="G1318" s="269" t="s">
        <v>8589</v>
      </c>
      <c r="H1318" s="845" t="s">
        <v>8590</v>
      </c>
      <c r="I1318" s="208" t="s">
        <v>8591</v>
      </c>
      <c r="J1318" s="240" t="s">
        <v>140</v>
      </c>
      <c r="K1318" s="270" t="s">
        <v>140</v>
      </c>
      <c r="L1318" s="862" t="s">
        <v>8592</v>
      </c>
      <c r="M1318" s="206" t="s">
        <v>973</v>
      </c>
      <c r="N1318" s="211" t="s">
        <v>974</v>
      </c>
      <c r="O1318" s="240" t="s">
        <v>8593</v>
      </c>
      <c r="P1318" s="240" t="s">
        <v>8594</v>
      </c>
      <c r="Q1318" s="845" t="s">
        <v>144</v>
      </c>
      <c r="R1318" s="208" t="s">
        <v>144</v>
      </c>
      <c r="S1318" s="864" t="s">
        <v>147</v>
      </c>
      <c r="T1318" s="212" t="s">
        <v>144</v>
      </c>
      <c r="U1318" s="213" t="s">
        <v>144</v>
      </c>
      <c r="V1318" s="847">
        <v>1</v>
      </c>
      <c r="W1318" s="415" t="s">
        <v>144</v>
      </c>
      <c r="X1318" s="212">
        <v>40</v>
      </c>
      <c r="Y1318" s="212" t="s">
        <v>144</v>
      </c>
      <c r="Z1318" s="241" t="s">
        <v>144</v>
      </c>
      <c r="AA1318" s="616" t="s">
        <v>148</v>
      </c>
      <c r="AB1318" s="206" t="s">
        <v>140</v>
      </c>
      <c r="AC1318" s="847" t="s">
        <v>265</v>
      </c>
      <c r="AD1318" s="847" t="s">
        <v>8527</v>
      </c>
      <c r="AE1318" s="847" t="s">
        <v>144</v>
      </c>
      <c r="AF1318" s="848" t="s">
        <v>144</v>
      </c>
      <c r="AG1318" s="838"/>
      <c r="AH1318" s="866" t="s">
        <v>8595</v>
      </c>
      <c r="AI1318" s="273" t="s">
        <v>8596</v>
      </c>
      <c r="AJ1318" s="847">
        <v>7</v>
      </c>
      <c r="AK1318" s="848" t="s">
        <v>8597</v>
      </c>
      <c r="AL1318" s="185" t="s">
        <v>294</v>
      </c>
      <c r="AM1318" s="186" t="s">
        <v>295</v>
      </c>
      <c r="AN1318" s="847">
        <v>7</v>
      </c>
      <c r="AO1318" s="187" t="s">
        <v>966</v>
      </c>
      <c r="AP1318" s="867"/>
      <c r="AQ1318" s="273"/>
      <c r="AR1318" s="847"/>
      <c r="AS1318" s="848"/>
      <c r="AT1318" s="867"/>
      <c r="AU1318" s="273"/>
      <c r="AV1318" s="847"/>
      <c r="AW1318" s="848"/>
      <c r="AX1318" s="867"/>
      <c r="AY1318" s="273"/>
      <c r="AZ1318" s="847"/>
      <c r="BA1318" s="848"/>
      <c r="BB1318" s="866"/>
      <c r="BC1318" s="273"/>
      <c r="BD1318" s="847"/>
      <c r="BE1318" s="848"/>
      <c r="BF1318" s="838"/>
    </row>
    <row r="1319" spans="1:58" s="87" customFormat="1" ht="54" hidden="1" customHeight="1" x14ac:dyDescent="0.25">
      <c r="A1319" s="267" t="s">
        <v>8525</v>
      </c>
      <c r="B1319" s="268">
        <v>23</v>
      </c>
      <c r="C1319" s="240" t="s">
        <v>1022</v>
      </c>
      <c r="D1319" s="211" t="s">
        <v>1023</v>
      </c>
      <c r="E1319" s="268" t="s">
        <v>8598</v>
      </c>
      <c r="F1319" s="272" t="s">
        <v>1141</v>
      </c>
      <c r="G1319" s="269" t="s">
        <v>1142</v>
      </c>
      <c r="H1319" s="272" t="s">
        <v>1143</v>
      </c>
      <c r="I1319" s="208" t="s">
        <v>1144</v>
      </c>
      <c r="J1319" s="240" t="s">
        <v>140</v>
      </c>
      <c r="K1319" s="270" t="s">
        <v>140</v>
      </c>
      <c r="L1319" s="862" t="s">
        <v>1145</v>
      </c>
      <c r="M1319" s="206" t="s">
        <v>142</v>
      </c>
      <c r="N1319" s="211" t="s">
        <v>143</v>
      </c>
      <c r="O1319" s="240" t="s">
        <v>1146</v>
      </c>
      <c r="P1319" s="240" t="s">
        <v>1147</v>
      </c>
      <c r="Q1319" s="845" t="s">
        <v>144</v>
      </c>
      <c r="R1319" s="271" t="s">
        <v>144</v>
      </c>
      <c r="S1319" s="864" t="s">
        <v>147</v>
      </c>
      <c r="T1319" s="212" t="s">
        <v>144</v>
      </c>
      <c r="U1319" s="213" t="s">
        <v>144</v>
      </c>
      <c r="V1319" s="847">
        <v>6</v>
      </c>
      <c r="W1319" s="415" t="s">
        <v>144</v>
      </c>
      <c r="X1319" s="212">
        <v>43</v>
      </c>
      <c r="Y1319" s="212" t="s">
        <v>144</v>
      </c>
      <c r="Z1319" s="214" t="s">
        <v>144</v>
      </c>
      <c r="AA1319" s="240" t="s">
        <v>148</v>
      </c>
      <c r="AB1319" s="206" t="s">
        <v>140</v>
      </c>
      <c r="AC1319" s="847" t="s">
        <v>265</v>
      </c>
      <c r="AD1319" s="847" t="s">
        <v>8527</v>
      </c>
      <c r="AE1319" s="847" t="s">
        <v>144</v>
      </c>
      <c r="AF1319" s="848" t="s">
        <v>144</v>
      </c>
      <c r="AG1319" s="838"/>
      <c r="AH1319" s="291" t="s">
        <v>266</v>
      </c>
      <c r="AI1319" s="273" t="s">
        <v>267</v>
      </c>
      <c r="AJ1319" s="240">
        <v>7</v>
      </c>
      <c r="AK1319" s="848" t="s">
        <v>1046</v>
      </c>
      <c r="AL1319" s="185" t="s">
        <v>294</v>
      </c>
      <c r="AM1319" s="186" t="s">
        <v>295</v>
      </c>
      <c r="AN1319" s="240">
        <v>7</v>
      </c>
      <c r="AO1319" s="187" t="s">
        <v>966</v>
      </c>
      <c r="AP1319" s="867"/>
      <c r="AQ1319" s="273"/>
      <c r="AR1319" s="847"/>
      <c r="AS1319" s="848"/>
      <c r="AT1319" s="292" t="s">
        <v>1148</v>
      </c>
      <c r="AU1319" s="273" t="s">
        <v>1149</v>
      </c>
      <c r="AV1319" s="240">
        <v>7</v>
      </c>
      <c r="AW1319" s="848" t="s">
        <v>1150</v>
      </c>
      <c r="AX1319" s="867"/>
      <c r="AY1319" s="273"/>
      <c r="AZ1319" s="847"/>
      <c r="BA1319" s="848"/>
      <c r="BB1319" s="866"/>
      <c r="BC1319" s="273"/>
      <c r="BD1319" s="847"/>
      <c r="BE1319" s="848"/>
      <c r="BF1319" s="838"/>
    </row>
    <row r="1320" spans="1:58" s="55" customFormat="1" ht="54" customHeight="1" x14ac:dyDescent="0.25">
      <c r="A1320" s="275" t="s">
        <v>8525</v>
      </c>
      <c r="B1320" s="276">
        <v>24</v>
      </c>
      <c r="C1320" s="253" t="s">
        <v>144</v>
      </c>
      <c r="D1320" s="217" t="s">
        <v>144</v>
      </c>
      <c r="E1320" s="276" t="s">
        <v>8599</v>
      </c>
      <c r="F1320" s="277" t="s">
        <v>251</v>
      </c>
      <c r="G1320" s="277" t="s">
        <v>251</v>
      </c>
      <c r="H1320" s="220" t="s">
        <v>336</v>
      </c>
      <c r="I1320" s="277" t="s">
        <v>337</v>
      </c>
      <c r="J1320" s="302" t="s">
        <v>144</v>
      </c>
      <c r="K1320" s="302" t="s">
        <v>144</v>
      </c>
      <c r="L1320" s="718" t="s">
        <v>1152</v>
      </c>
      <c r="M1320" s="253" t="s">
        <v>144</v>
      </c>
      <c r="N1320" s="302" t="s">
        <v>144</v>
      </c>
      <c r="O1320" s="253" t="s">
        <v>144</v>
      </c>
      <c r="P1320" s="253" t="s">
        <v>144</v>
      </c>
      <c r="Q1320" s="220" t="s">
        <v>338</v>
      </c>
      <c r="R1320" s="220" t="s">
        <v>339</v>
      </c>
      <c r="S1320" s="276" t="s">
        <v>147</v>
      </c>
      <c r="T1320" s="221" t="s">
        <v>144</v>
      </c>
      <c r="U1320" s="221" t="s">
        <v>144</v>
      </c>
      <c r="V1320" s="253">
        <v>13</v>
      </c>
      <c r="W1320" s="217" t="s">
        <v>144</v>
      </c>
      <c r="X1320" s="221" t="s">
        <v>144</v>
      </c>
      <c r="Y1320" s="221" t="s">
        <v>144</v>
      </c>
      <c r="Z1320" s="222" t="s">
        <v>144</v>
      </c>
      <c r="AA1320" s="253" t="s">
        <v>144</v>
      </c>
      <c r="AB1320" s="217" t="s">
        <v>144</v>
      </c>
      <c r="AC1320" s="253" t="s">
        <v>265</v>
      </c>
      <c r="AD1320" s="253" t="s">
        <v>144</v>
      </c>
      <c r="AE1320" s="253" t="s">
        <v>144</v>
      </c>
      <c r="AF1320" s="254" t="s">
        <v>144</v>
      </c>
      <c r="AG1320" s="838"/>
      <c r="AH1320" s="280"/>
      <c r="AI1320" s="281"/>
      <c r="AJ1320" s="253"/>
      <c r="AK1320" s="254"/>
      <c r="AL1320" s="281"/>
      <c r="AM1320" s="281"/>
      <c r="AN1320" s="253"/>
      <c r="AO1320" s="254"/>
      <c r="AP1320" s="281"/>
      <c r="AQ1320" s="281"/>
      <c r="AR1320" s="253"/>
      <c r="AS1320" s="254"/>
      <c r="AT1320" s="281"/>
      <c r="AU1320" s="281"/>
      <c r="AV1320" s="253"/>
      <c r="AW1320" s="254"/>
      <c r="AX1320" s="281"/>
      <c r="AY1320" s="281"/>
      <c r="AZ1320" s="253"/>
      <c r="BA1320" s="254"/>
      <c r="BB1320" s="280"/>
      <c r="BC1320" s="281"/>
      <c r="BD1320" s="253"/>
      <c r="BE1320" s="254"/>
      <c r="BF1320" s="838"/>
    </row>
    <row r="1321" spans="1:58" s="87" customFormat="1" ht="54" hidden="1" customHeight="1" x14ac:dyDescent="0.25">
      <c r="A1321" s="267" t="s">
        <v>8525</v>
      </c>
      <c r="B1321" s="268">
        <v>25</v>
      </c>
      <c r="C1321" s="240" t="s">
        <v>8600</v>
      </c>
      <c r="D1321" s="270" t="s">
        <v>8601</v>
      </c>
      <c r="E1321" s="268" t="s">
        <v>8602</v>
      </c>
      <c r="F1321" s="861" t="s">
        <v>8603</v>
      </c>
      <c r="G1321" s="269" t="s">
        <v>8604</v>
      </c>
      <c r="H1321" s="845" t="s">
        <v>8605</v>
      </c>
      <c r="I1321" s="269" t="s">
        <v>8606</v>
      </c>
      <c r="J1321" s="296" t="s">
        <v>140</v>
      </c>
      <c r="K1321" s="297" t="s">
        <v>140</v>
      </c>
      <c r="L1321" s="862" t="s">
        <v>8607</v>
      </c>
      <c r="M1321" s="206" t="s">
        <v>142</v>
      </c>
      <c r="N1321" s="211" t="s">
        <v>143</v>
      </c>
      <c r="O1321" s="240" t="s">
        <v>144</v>
      </c>
      <c r="P1321" s="240" t="s">
        <v>144</v>
      </c>
      <c r="Q1321" s="845" t="s">
        <v>8608</v>
      </c>
      <c r="R1321" s="269" t="s">
        <v>8609</v>
      </c>
      <c r="S1321" s="864" t="s">
        <v>147</v>
      </c>
      <c r="T1321" s="212" t="s">
        <v>144</v>
      </c>
      <c r="U1321" s="213" t="s">
        <v>144</v>
      </c>
      <c r="V1321" s="847">
        <v>20</v>
      </c>
      <c r="W1321" s="415" t="s">
        <v>144</v>
      </c>
      <c r="X1321" s="212">
        <v>40</v>
      </c>
      <c r="Y1321" s="212" t="s">
        <v>144</v>
      </c>
      <c r="Z1321" s="241" t="s">
        <v>144</v>
      </c>
      <c r="AA1321" s="437" t="s">
        <v>8610</v>
      </c>
      <c r="AB1321" s="206" t="s">
        <v>140</v>
      </c>
      <c r="AC1321" s="847" t="s">
        <v>265</v>
      </c>
      <c r="AD1321" s="847" t="s">
        <v>8527</v>
      </c>
      <c r="AE1321" s="847" t="s">
        <v>144</v>
      </c>
      <c r="AF1321" s="848" t="s">
        <v>144</v>
      </c>
      <c r="AG1321" s="838"/>
      <c r="AH1321" s="866" t="s">
        <v>266</v>
      </c>
      <c r="AI1321" s="273" t="s">
        <v>267</v>
      </c>
      <c r="AJ1321" s="847">
        <v>7</v>
      </c>
      <c r="AK1321" s="848" t="s">
        <v>1046</v>
      </c>
      <c r="AL1321" s="867"/>
      <c r="AM1321" s="273"/>
      <c r="AN1321" s="847"/>
      <c r="AO1321" s="848"/>
      <c r="AP1321" s="867"/>
      <c r="AQ1321" s="273"/>
      <c r="AR1321" s="847"/>
      <c r="AS1321" s="848"/>
      <c r="AT1321" s="867"/>
      <c r="AU1321" s="273"/>
      <c r="AV1321" s="847"/>
      <c r="AW1321" s="848"/>
      <c r="AX1321" s="867" t="s">
        <v>1047</v>
      </c>
      <c r="AY1321" s="273" t="s">
        <v>1048</v>
      </c>
      <c r="AZ1321" s="847">
        <v>7</v>
      </c>
      <c r="BA1321" s="848" t="s">
        <v>1049</v>
      </c>
      <c r="BB1321" s="866"/>
      <c r="BC1321" s="273"/>
      <c r="BD1321" s="847"/>
      <c r="BE1321" s="848"/>
      <c r="BF1321" s="838"/>
    </row>
    <row r="1322" spans="1:58" s="87" customFormat="1" ht="54" hidden="1" customHeight="1" x14ac:dyDescent="0.25">
      <c r="A1322" s="267" t="s">
        <v>8525</v>
      </c>
      <c r="B1322" s="268">
        <v>26</v>
      </c>
      <c r="C1322" s="240" t="s">
        <v>8600</v>
      </c>
      <c r="D1322" s="270" t="s">
        <v>8601</v>
      </c>
      <c r="E1322" s="268" t="s">
        <v>8611</v>
      </c>
      <c r="F1322" s="861" t="s">
        <v>8612</v>
      </c>
      <c r="G1322" s="269" t="s">
        <v>8613</v>
      </c>
      <c r="H1322" s="845" t="s">
        <v>8614</v>
      </c>
      <c r="I1322" s="269" t="s">
        <v>8615</v>
      </c>
      <c r="J1322" s="296" t="s">
        <v>140</v>
      </c>
      <c r="K1322" s="297" t="s">
        <v>140</v>
      </c>
      <c r="L1322" s="862" t="s">
        <v>8616</v>
      </c>
      <c r="M1322" s="206" t="s">
        <v>193</v>
      </c>
      <c r="N1322" s="211" t="s">
        <v>194</v>
      </c>
      <c r="O1322" s="240" t="s">
        <v>144</v>
      </c>
      <c r="P1322" s="240" t="s">
        <v>144</v>
      </c>
      <c r="Q1322" s="845" t="s">
        <v>8617</v>
      </c>
      <c r="R1322" s="269" t="s">
        <v>8618</v>
      </c>
      <c r="S1322" s="864" t="s">
        <v>147</v>
      </c>
      <c r="T1322" s="212" t="s">
        <v>144</v>
      </c>
      <c r="U1322" s="213" t="s">
        <v>144</v>
      </c>
      <c r="V1322" s="847">
        <v>10</v>
      </c>
      <c r="W1322" s="415" t="s">
        <v>144</v>
      </c>
      <c r="X1322" s="212">
        <v>40</v>
      </c>
      <c r="Y1322" s="212" t="s">
        <v>144</v>
      </c>
      <c r="Z1322" s="241" t="s">
        <v>25</v>
      </c>
      <c r="AA1322" s="437" t="s">
        <v>8619</v>
      </c>
      <c r="AB1322" s="206" t="s">
        <v>140</v>
      </c>
      <c r="AC1322" s="847" t="s">
        <v>265</v>
      </c>
      <c r="AD1322" s="847" t="s">
        <v>8527</v>
      </c>
      <c r="AE1322" s="847" t="s">
        <v>144</v>
      </c>
      <c r="AF1322" s="848" t="s">
        <v>144</v>
      </c>
      <c r="AG1322" s="838"/>
      <c r="AH1322" s="866"/>
      <c r="AI1322" s="273"/>
      <c r="AJ1322" s="847"/>
      <c r="AK1322" s="848"/>
      <c r="AL1322" s="867"/>
      <c r="AM1322" s="273"/>
      <c r="AN1322" s="847"/>
      <c r="AO1322" s="848"/>
      <c r="AP1322" s="867"/>
      <c r="AQ1322" s="273"/>
      <c r="AR1322" s="847"/>
      <c r="AS1322" s="848"/>
      <c r="AT1322" s="867"/>
      <c r="AU1322" s="273"/>
      <c r="AV1322" s="847"/>
      <c r="AW1322" s="848"/>
      <c r="AX1322" s="873" t="s">
        <v>8620</v>
      </c>
      <c r="AY1322" s="406" t="s">
        <v>8621</v>
      </c>
      <c r="AZ1322" s="872" t="s">
        <v>1061</v>
      </c>
      <c r="BA1322" s="878" t="s">
        <v>1732</v>
      </c>
      <c r="BB1322" s="866"/>
      <c r="BC1322" s="273"/>
      <c r="BD1322" s="847"/>
      <c r="BE1322" s="848"/>
      <c r="BF1322" s="838"/>
    </row>
    <row r="1323" spans="1:58" s="87" customFormat="1" ht="54" hidden="1" customHeight="1" x14ac:dyDescent="0.25">
      <c r="A1323" s="267" t="s">
        <v>8525</v>
      </c>
      <c r="B1323" s="268">
        <v>27</v>
      </c>
      <c r="C1323" s="240" t="s">
        <v>8600</v>
      </c>
      <c r="D1323" s="270" t="s">
        <v>8601</v>
      </c>
      <c r="E1323" s="268" t="s">
        <v>8622</v>
      </c>
      <c r="F1323" s="861" t="s">
        <v>8623</v>
      </c>
      <c r="G1323" s="269" t="s">
        <v>8624</v>
      </c>
      <c r="H1323" s="845" t="s">
        <v>8625</v>
      </c>
      <c r="I1323" s="269" t="s">
        <v>8626</v>
      </c>
      <c r="J1323" s="296" t="s">
        <v>140</v>
      </c>
      <c r="K1323" s="297" t="s">
        <v>140</v>
      </c>
      <c r="L1323" s="862" t="s">
        <v>8627</v>
      </c>
      <c r="M1323" s="206" t="s">
        <v>193</v>
      </c>
      <c r="N1323" s="211" t="s">
        <v>194</v>
      </c>
      <c r="O1323" s="240" t="s">
        <v>144</v>
      </c>
      <c r="P1323" s="240" t="s">
        <v>144</v>
      </c>
      <c r="Q1323" s="845" t="s">
        <v>8550</v>
      </c>
      <c r="R1323" s="269" t="s">
        <v>8551</v>
      </c>
      <c r="S1323" s="864" t="s">
        <v>147</v>
      </c>
      <c r="T1323" s="212" t="s">
        <v>144</v>
      </c>
      <c r="U1323" s="213" t="s">
        <v>144</v>
      </c>
      <c r="V1323" s="847">
        <v>20</v>
      </c>
      <c r="W1323" s="415" t="s">
        <v>144</v>
      </c>
      <c r="X1323" s="212">
        <v>40</v>
      </c>
      <c r="Y1323" s="212" t="s">
        <v>144</v>
      </c>
      <c r="Z1323" s="241" t="s">
        <v>144</v>
      </c>
      <c r="AA1323" s="437" t="s">
        <v>8610</v>
      </c>
      <c r="AB1323" s="206" t="s">
        <v>140</v>
      </c>
      <c r="AC1323" s="847" t="s">
        <v>265</v>
      </c>
      <c r="AD1323" s="847" t="s">
        <v>8527</v>
      </c>
      <c r="AE1323" s="847" t="s">
        <v>144</v>
      </c>
      <c r="AF1323" s="848" t="s">
        <v>144</v>
      </c>
      <c r="AG1323" s="838"/>
      <c r="AH1323" s="866"/>
      <c r="AI1323" s="273"/>
      <c r="AJ1323" s="847"/>
      <c r="AK1323" s="848"/>
      <c r="AL1323" s="867"/>
      <c r="AM1323" s="273"/>
      <c r="AN1323" s="847"/>
      <c r="AO1323" s="848"/>
      <c r="AP1323" s="867"/>
      <c r="AQ1323" s="273"/>
      <c r="AR1323" s="847"/>
      <c r="AS1323" s="848"/>
      <c r="AT1323" s="867"/>
      <c r="AU1323" s="273"/>
      <c r="AV1323" s="847"/>
      <c r="AW1323" s="848"/>
      <c r="AX1323" s="867" t="s">
        <v>1047</v>
      </c>
      <c r="AY1323" s="273" t="s">
        <v>1048</v>
      </c>
      <c r="AZ1323" s="847">
        <v>7</v>
      </c>
      <c r="BA1323" s="848" t="s">
        <v>1049</v>
      </c>
      <c r="BB1323" s="866"/>
      <c r="BC1323" s="273"/>
      <c r="BD1323" s="847"/>
      <c r="BE1323" s="848"/>
      <c r="BF1323" s="838"/>
    </row>
    <row r="1324" spans="1:58" s="87" customFormat="1" ht="54" hidden="1" customHeight="1" x14ac:dyDescent="0.25">
      <c r="A1324" s="267" t="s">
        <v>8525</v>
      </c>
      <c r="B1324" s="268">
        <v>28</v>
      </c>
      <c r="C1324" s="240" t="s">
        <v>8600</v>
      </c>
      <c r="D1324" s="270" t="s">
        <v>8601</v>
      </c>
      <c r="E1324" s="268" t="s">
        <v>8628</v>
      </c>
      <c r="F1324" s="861" t="s">
        <v>8629</v>
      </c>
      <c r="G1324" s="269" t="s">
        <v>8630</v>
      </c>
      <c r="H1324" s="845" t="s">
        <v>8631</v>
      </c>
      <c r="I1324" s="269" t="s">
        <v>8632</v>
      </c>
      <c r="J1324" s="296" t="s">
        <v>140</v>
      </c>
      <c r="K1324" s="297" t="s">
        <v>140</v>
      </c>
      <c r="L1324" s="862" t="s">
        <v>8633</v>
      </c>
      <c r="M1324" s="206" t="s">
        <v>193</v>
      </c>
      <c r="N1324" s="211" t="s">
        <v>194</v>
      </c>
      <c r="O1324" s="240" t="s">
        <v>144</v>
      </c>
      <c r="P1324" s="240" t="s">
        <v>144</v>
      </c>
      <c r="Q1324" s="845" t="s">
        <v>8617</v>
      </c>
      <c r="R1324" s="269" t="s">
        <v>8618</v>
      </c>
      <c r="S1324" s="864" t="s">
        <v>147</v>
      </c>
      <c r="T1324" s="212" t="s">
        <v>144</v>
      </c>
      <c r="U1324" s="213" t="s">
        <v>144</v>
      </c>
      <c r="V1324" s="847">
        <v>10</v>
      </c>
      <c r="W1324" s="415" t="s">
        <v>144</v>
      </c>
      <c r="X1324" s="212">
        <v>40</v>
      </c>
      <c r="Y1324" s="212" t="s">
        <v>144</v>
      </c>
      <c r="Z1324" s="433" t="s">
        <v>25</v>
      </c>
      <c r="AA1324" s="437" t="s">
        <v>8634</v>
      </c>
      <c r="AB1324" s="206" t="s">
        <v>140</v>
      </c>
      <c r="AC1324" s="847" t="s">
        <v>265</v>
      </c>
      <c r="AD1324" s="847" t="s">
        <v>8527</v>
      </c>
      <c r="AE1324" s="847" t="s">
        <v>144</v>
      </c>
      <c r="AF1324" s="848" t="s">
        <v>144</v>
      </c>
      <c r="AG1324" s="838"/>
      <c r="AH1324" s="866"/>
      <c r="AI1324" s="273"/>
      <c r="AJ1324" s="847"/>
      <c r="AK1324" s="848"/>
      <c r="AL1324" s="867"/>
      <c r="AM1324" s="273"/>
      <c r="AN1324" s="847"/>
      <c r="AO1324" s="848"/>
      <c r="AP1324" s="867"/>
      <c r="AQ1324" s="273"/>
      <c r="AR1324" s="847"/>
      <c r="AS1324" s="848"/>
      <c r="AT1324" s="867"/>
      <c r="AU1324" s="273"/>
      <c r="AV1324" s="847"/>
      <c r="AW1324" s="848"/>
      <c r="AX1324" s="873" t="s">
        <v>8635</v>
      </c>
      <c r="AY1324" s="406" t="s">
        <v>8636</v>
      </c>
      <c r="AZ1324" s="872" t="s">
        <v>1061</v>
      </c>
      <c r="BA1324" s="878" t="s">
        <v>1732</v>
      </c>
      <c r="BB1324" s="866"/>
      <c r="BC1324" s="273"/>
      <c r="BD1324" s="847"/>
      <c r="BE1324" s="848"/>
      <c r="BF1324" s="838"/>
    </row>
    <row r="1325" spans="1:58" s="87" customFormat="1" ht="54" hidden="1" customHeight="1" x14ac:dyDescent="0.25">
      <c r="A1325" s="267" t="s">
        <v>8525</v>
      </c>
      <c r="B1325" s="268">
        <v>29</v>
      </c>
      <c r="C1325" s="240" t="s">
        <v>5602</v>
      </c>
      <c r="D1325" s="270" t="s">
        <v>5603</v>
      </c>
      <c r="E1325" s="268" t="s">
        <v>8637</v>
      </c>
      <c r="F1325" s="861" t="s">
        <v>8638</v>
      </c>
      <c r="G1325" s="269" t="s">
        <v>8639</v>
      </c>
      <c r="H1325" s="845" t="s">
        <v>8640</v>
      </c>
      <c r="I1325" s="269" t="s">
        <v>8641</v>
      </c>
      <c r="J1325" s="296" t="s">
        <v>140</v>
      </c>
      <c r="K1325" s="297" t="s">
        <v>140</v>
      </c>
      <c r="L1325" s="862" t="s">
        <v>8642</v>
      </c>
      <c r="M1325" s="206" t="s">
        <v>973</v>
      </c>
      <c r="N1325" s="211" t="s">
        <v>974</v>
      </c>
      <c r="O1325" s="240" t="s">
        <v>8643</v>
      </c>
      <c r="P1325" s="240" t="s">
        <v>8644</v>
      </c>
      <c r="Q1325" s="845" t="s">
        <v>144</v>
      </c>
      <c r="R1325" s="208" t="s">
        <v>144</v>
      </c>
      <c r="S1325" s="864" t="s">
        <v>147</v>
      </c>
      <c r="T1325" s="212" t="s">
        <v>144</v>
      </c>
      <c r="U1325" s="213" t="s">
        <v>144</v>
      </c>
      <c r="V1325" s="847">
        <v>1</v>
      </c>
      <c r="W1325" s="415" t="s">
        <v>144</v>
      </c>
      <c r="X1325" s="212">
        <v>40</v>
      </c>
      <c r="Y1325" s="212" t="s">
        <v>144</v>
      </c>
      <c r="Z1325" s="241" t="s">
        <v>144</v>
      </c>
      <c r="AA1325" s="437" t="s">
        <v>8610</v>
      </c>
      <c r="AB1325" s="206" t="s">
        <v>140</v>
      </c>
      <c r="AC1325" s="847" t="s">
        <v>265</v>
      </c>
      <c r="AD1325" s="847" t="s">
        <v>8527</v>
      </c>
      <c r="AE1325" s="847" t="s">
        <v>144</v>
      </c>
      <c r="AF1325" s="848" t="s">
        <v>144</v>
      </c>
      <c r="AG1325" s="838"/>
      <c r="AH1325" s="866" t="s">
        <v>8645</v>
      </c>
      <c r="AI1325" s="273" t="s">
        <v>8646</v>
      </c>
      <c r="AJ1325" s="847">
        <v>6</v>
      </c>
      <c r="AK1325" s="286" t="s">
        <v>8647</v>
      </c>
      <c r="AL1325" s="867" t="s">
        <v>294</v>
      </c>
      <c r="AM1325" s="273" t="s">
        <v>295</v>
      </c>
      <c r="AN1325" s="847">
        <v>7</v>
      </c>
      <c r="AO1325" s="848" t="s">
        <v>966</v>
      </c>
      <c r="AP1325" s="867"/>
      <c r="AQ1325" s="273"/>
      <c r="AR1325" s="847"/>
      <c r="AS1325" s="848"/>
      <c r="AT1325" s="867"/>
      <c r="AU1325" s="273"/>
      <c r="AV1325" s="847"/>
      <c r="AW1325" s="848"/>
      <c r="AX1325" s="867"/>
      <c r="AY1325" s="273"/>
      <c r="AZ1325" s="847"/>
      <c r="BA1325" s="848"/>
      <c r="BB1325" s="866"/>
      <c r="BC1325" s="273"/>
      <c r="BD1325" s="847"/>
      <c r="BE1325" s="848"/>
      <c r="BF1325" s="838"/>
    </row>
    <row r="1326" spans="1:58" s="55" customFormat="1" ht="54" customHeight="1" x14ac:dyDescent="0.25">
      <c r="A1326" s="275" t="s">
        <v>8525</v>
      </c>
      <c r="B1326" s="276">
        <v>30</v>
      </c>
      <c r="C1326" s="253" t="s">
        <v>144</v>
      </c>
      <c r="D1326" s="253" t="s">
        <v>144</v>
      </c>
      <c r="E1326" s="276" t="s">
        <v>8648</v>
      </c>
      <c r="F1326" s="277" t="s">
        <v>251</v>
      </c>
      <c r="G1326" s="277" t="s">
        <v>251</v>
      </c>
      <c r="H1326" s="220" t="s">
        <v>336</v>
      </c>
      <c r="I1326" s="218" t="s">
        <v>337</v>
      </c>
      <c r="J1326" s="253" t="s">
        <v>144</v>
      </c>
      <c r="K1326" s="253" t="s">
        <v>144</v>
      </c>
      <c r="L1326" s="718" t="s">
        <v>1199</v>
      </c>
      <c r="M1326" s="253" t="s">
        <v>144</v>
      </c>
      <c r="N1326" s="253" t="s">
        <v>144</v>
      </c>
      <c r="O1326" s="253" t="s">
        <v>144</v>
      </c>
      <c r="P1326" s="253" t="s">
        <v>144</v>
      </c>
      <c r="Q1326" s="220" t="s">
        <v>338</v>
      </c>
      <c r="R1326" s="220" t="s">
        <v>339</v>
      </c>
      <c r="S1326" s="276" t="s">
        <v>147</v>
      </c>
      <c r="T1326" s="221" t="s">
        <v>144</v>
      </c>
      <c r="U1326" s="221" t="s">
        <v>144</v>
      </c>
      <c r="V1326" s="253">
        <v>20</v>
      </c>
      <c r="W1326" s="217" t="s">
        <v>144</v>
      </c>
      <c r="X1326" s="221" t="s">
        <v>144</v>
      </c>
      <c r="Y1326" s="221" t="s">
        <v>144</v>
      </c>
      <c r="Z1326" s="221" t="s">
        <v>144</v>
      </c>
      <c r="AA1326" s="253" t="s">
        <v>144</v>
      </c>
      <c r="AB1326" s="217" t="s">
        <v>144</v>
      </c>
      <c r="AC1326" s="253" t="s">
        <v>265</v>
      </c>
      <c r="AD1326" s="253" t="s">
        <v>144</v>
      </c>
      <c r="AE1326" s="253" t="s">
        <v>144</v>
      </c>
      <c r="AF1326" s="254" t="s">
        <v>144</v>
      </c>
      <c r="AG1326" s="838"/>
      <c r="AH1326" s="280"/>
      <c r="AI1326" s="281"/>
      <c r="AJ1326" s="253"/>
      <c r="AK1326" s="254"/>
      <c r="AL1326" s="281"/>
      <c r="AM1326" s="281"/>
      <c r="AN1326" s="253"/>
      <c r="AO1326" s="254"/>
      <c r="AP1326" s="281"/>
      <c r="AQ1326" s="281"/>
      <c r="AR1326" s="253"/>
      <c r="AS1326" s="254"/>
      <c r="AT1326" s="281"/>
      <c r="AU1326" s="281"/>
      <c r="AV1326" s="253"/>
      <c r="AW1326" s="254"/>
      <c r="AX1326" s="281"/>
      <c r="AY1326" s="281"/>
      <c r="AZ1326" s="253"/>
      <c r="BA1326" s="254"/>
      <c r="BB1326" s="280"/>
      <c r="BC1326" s="281"/>
      <c r="BD1326" s="253"/>
      <c r="BE1326" s="254"/>
      <c r="BF1326" s="838"/>
    </row>
    <row r="1327" spans="1:58" s="87" customFormat="1" ht="54" hidden="1" customHeight="1" x14ac:dyDescent="0.25">
      <c r="A1327" s="267" t="s">
        <v>8525</v>
      </c>
      <c r="B1327" s="268">
        <v>31</v>
      </c>
      <c r="C1327" s="240" t="s">
        <v>1744</v>
      </c>
      <c r="D1327" s="211" t="s">
        <v>1745</v>
      </c>
      <c r="E1327" s="268" t="s">
        <v>8649</v>
      </c>
      <c r="F1327" s="861" t="s">
        <v>8650</v>
      </c>
      <c r="G1327" s="269" t="s">
        <v>8651</v>
      </c>
      <c r="H1327" s="845" t="s">
        <v>8652</v>
      </c>
      <c r="I1327" s="269" t="s">
        <v>8653</v>
      </c>
      <c r="J1327" s="296" t="s">
        <v>140</v>
      </c>
      <c r="K1327" s="297" t="s">
        <v>140</v>
      </c>
      <c r="L1327" s="862" t="s">
        <v>8654</v>
      </c>
      <c r="M1327" s="206" t="s">
        <v>142</v>
      </c>
      <c r="N1327" s="211" t="s">
        <v>143</v>
      </c>
      <c r="O1327" s="240" t="s">
        <v>5795</v>
      </c>
      <c r="P1327" s="240" t="s">
        <v>5796</v>
      </c>
      <c r="Q1327" s="845" t="s">
        <v>144</v>
      </c>
      <c r="R1327" s="269" t="s">
        <v>144</v>
      </c>
      <c r="S1327" s="864" t="s">
        <v>147</v>
      </c>
      <c r="T1327" s="212" t="s">
        <v>144</v>
      </c>
      <c r="U1327" s="213" t="s">
        <v>144</v>
      </c>
      <c r="V1327" s="847">
        <v>1</v>
      </c>
      <c r="W1327" s="415" t="s">
        <v>144</v>
      </c>
      <c r="X1327" s="212">
        <v>40</v>
      </c>
      <c r="Y1327" s="212" t="s">
        <v>144</v>
      </c>
      <c r="Z1327" s="241" t="s">
        <v>144</v>
      </c>
      <c r="AA1327" s="437" t="s">
        <v>8610</v>
      </c>
      <c r="AB1327" s="206" t="s">
        <v>140</v>
      </c>
      <c r="AC1327" s="847" t="s">
        <v>265</v>
      </c>
      <c r="AD1327" s="847" t="s">
        <v>8527</v>
      </c>
      <c r="AE1327" s="847" t="s">
        <v>144</v>
      </c>
      <c r="AF1327" s="848" t="s">
        <v>144</v>
      </c>
      <c r="AG1327" s="838"/>
      <c r="AH1327" s="866" t="s">
        <v>266</v>
      </c>
      <c r="AI1327" s="273" t="s">
        <v>267</v>
      </c>
      <c r="AJ1327" s="847">
        <v>7</v>
      </c>
      <c r="AK1327" s="848" t="s">
        <v>1046</v>
      </c>
      <c r="AL1327" s="867" t="s">
        <v>294</v>
      </c>
      <c r="AM1327" s="273" t="s">
        <v>295</v>
      </c>
      <c r="AN1327" s="847">
        <v>7</v>
      </c>
      <c r="AO1327" s="848" t="s">
        <v>966</v>
      </c>
      <c r="AP1327" s="867"/>
      <c r="AQ1327" s="273"/>
      <c r="AR1327" s="847"/>
      <c r="AS1327" s="848"/>
      <c r="AT1327" s="867"/>
      <c r="AU1327" s="273"/>
      <c r="AV1327" s="847"/>
      <c r="AW1327" s="848"/>
      <c r="AX1327" s="867"/>
      <c r="AY1327" s="273"/>
      <c r="AZ1327" s="847"/>
      <c r="BA1327" s="848"/>
      <c r="BB1327" s="866"/>
      <c r="BC1327" s="273"/>
      <c r="BD1327" s="847"/>
      <c r="BE1327" s="848"/>
      <c r="BF1327" s="838"/>
    </row>
    <row r="1328" spans="1:58" s="87" customFormat="1" ht="54" hidden="1" customHeight="1" x14ac:dyDescent="0.25">
      <c r="A1328" s="267" t="s">
        <v>8525</v>
      </c>
      <c r="B1328" s="268">
        <v>32</v>
      </c>
      <c r="C1328" s="240" t="s">
        <v>1744</v>
      </c>
      <c r="D1328" s="211" t="s">
        <v>1745</v>
      </c>
      <c r="E1328" s="268" t="s">
        <v>8655</v>
      </c>
      <c r="F1328" s="861" t="s">
        <v>8656</v>
      </c>
      <c r="G1328" s="269" t="s">
        <v>8657</v>
      </c>
      <c r="H1328" s="845" t="s">
        <v>8658</v>
      </c>
      <c r="I1328" s="269" t="s">
        <v>8659</v>
      </c>
      <c r="J1328" s="296" t="s">
        <v>140</v>
      </c>
      <c r="K1328" s="297" t="s">
        <v>140</v>
      </c>
      <c r="L1328" s="862" t="s">
        <v>8660</v>
      </c>
      <c r="M1328" s="206" t="s">
        <v>193</v>
      </c>
      <c r="N1328" s="211" t="s">
        <v>194</v>
      </c>
      <c r="O1328" s="240" t="s">
        <v>225</v>
      </c>
      <c r="P1328" s="240" t="s">
        <v>226</v>
      </c>
      <c r="Q1328" s="845" t="s">
        <v>144</v>
      </c>
      <c r="R1328" s="269" t="s">
        <v>144</v>
      </c>
      <c r="S1328" s="864" t="s">
        <v>147</v>
      </c>
      <c r="T1328" s="212" t="s">
        <v>144</v>
      </c>
      <c r="U1328" s="213" t="s">
        <v>144</v>
      </c>
      <c r="V1328" s="847">
        <v>1</v>
      </c>
      <c r="W1328" s="415" t="s">
        <v>144</v>
      </c>
      <c r="X1328" s="212">
        <v>40</v>
      </c>
      <c r="Y1328" s="212" t="s">
        <v>144</v>
      </c>
      <c r="Z1328" s="241" t="s">
        <v>144</v>
      </c>
      <c r="AA1328" s="437" t="s">
        <v>1545</v>
      </c>
      <c r="AB1328" s="206" t="s">
        <v>140</v>
      </c>
      <c r="AC1328" s="847" t="s">
        <v>265</v>
      </c>
      <c r="AD1328" s="847" t="s">
        <v>8527</v>
      </c>
      <c r="AE1328" s="847" t="s">
        <v>144</v>
      </c>
      <c r="AF1328" s="848" t="s">
        <v>144</v>
      </c>
      <c r="AG1328" s="838"/>
      <c r="AH1328" s="866"/>
      <c r="AI1328" s="273"/>
      <c r="AJ1328" s="847"/>
      <c r="AK1328" s="848"/>
      <c r="AL1328" s="867" t="s">
        <v>294</v>
      </c>
      <c r="AM1328" s="273" t="s">
        <v>295</v>
      </c>
      <c r="AN1328" s="847">
        <v>7</v>
      </c>
      <c r="AO1328" s="848" t="s">
        <v>966</v>
      </c>
      <c r="AP1328" s="867"/>
      <c r="AQ1328" s="273"/>
      <c r="AR1328" s="847"/>
      <c r="AS1328" s="848"/>
      <c r="AT1328" s="867"/>
      <c r="AU1328" s="273"/>
      <c r="AV1328" s="847"/>
      <c r="AW1328" s="848"/>
      <c r="AX1328" s="867"/>
      <c r="AY1328" s="273"/>
      <c r="AZ1328" s="847"/>
      <c r="BA1328" s="848"/>
      <c r="BB1328" s="866"/>
      <c r="BC1328" s="273"/>
      <c r="BD1328" s="847"/>
      <c r="BE1328" s="848"/>
      <c r="BF1328" s="838"/>
    </row>
    <row r="1329" spans="1:58" s="55" customFormat="1" ht="54" customHeight="1" x14ac:dyDescent="0.25">
      <c r="A1329" s="275" t="s">
        <v>8525</v>
      </c>
      <c r="B1329" s="276">
        <v>33</v>
      </c>
      <c r="C1329" s="253" t="s">
        <v>144</v>
      </c>
      <c r="D1329" s="217" t="s">
        <v>144</v>
      </c>
      <c r="E1329" s="276" t="s">
        <v>8661</v>
      </c>
      <c r="F1329" s="277" t="s">
        <v>251</v>
      </c>
      <c r="G1329" s="277" t="s">
        <v>251</v>
      </c>
      <c r="H1329" s="220" t="s">
        <v>336</v>
      </c>
      <c r="I1329" s="277" t="s">
        <v>337</v>
      </c>
      <c r="J1329" s="302" t="s">
        <v>144</v>
      </c>
      <c r="K1329" s="302" t="s">
        <v>144</v>
      </c>
      <c r="L1329" s="718" t="s">
        <v>1371</v>
      </c>
      <c r="M1329" s="253" t="s">
        <v>144</v>
      </c>
      <c r="N1329" s="302" t="s">
        <v>144</v>
      </c>
      <c r="O1329" s="253" t="s">
        <v>144</v>
      </c>
      <c r="P1329" s="253" t="s">
        <v>144</v>
      </c>
      <c r="Q1329" s="220" t="s">
        <v>338</v>
      </c>
      <c r="R1329" s="220" t="s">
        <v>339</v>
      </c>
      <c r="S1329" s="276" t="s">
        <v>147</v>
      </c>
      <c r="T1329" s="221" t="s">
        <v>144</v>
      </c>
      <c r="U1329" s="221" t="s">
        <v>144</v>
      </c>
      <c r="V1329" s="253">
        <v>20</v>
      </c>
      <c r="W1329" s="217" t="s">
        <v>144</v>
      </c>
      <c r="X1329" s="221" t="s">
        <v>144</v>
      </c>
      <c r="Y1329" s="221" t="s">
        <v>144</v>
      </c>
      <c r="Z1329" s="221" t="s">
        <v>144</v>
      </c>
      <c r="AA1329" s="253" t="s">
        <v>144</v>
      </c>
      <c r="AB1329" s="217" t="s">
        <v>144</v>
      </c>
      <c r="AC1329" s="253" t="s">
        <v>265</v>
      </c>
      <c r="AD1329" s="253" t="s">
        <v>144</v>
      </c>
      <c r="AE1329" s="253" t="s">
        <v>144</v>
      </c>
      <c r="AF1329" s="254" t="s">
        <v>144</v>
      </c>
      <c r="AG1329" s="838"/>
      <c r="AH1329" s="280"/>
      <c r="AI1329" s="281"/>
      <c r="AJ1329" s="253"/>
      <c r="AK1329" s="254"/>
      <c r="AL1329" s="281"/>
      <c r="AM1329" s="281"/>
      <c r="AN1329" s="253"/>
      <c r="AO1329" s="254"/>
      <c r="AP1329" s="281"/>
      <c r="AQ1329" s="281"/>
      <c r="AR1329" s="253"/>
      <c r="AS1329" s="254"/>
      <c r="AT1329" s="281"/>
      <c r="AU1329" s="281"/>
      <c r="AV1329" s="253"/>
      <c r="AW1329" s="254"/>
      <c r="AX1329" s="281"/>
      <c r="AY1329" s="281"/>
      <c r="AZ1329" s="253"/>
      <c r="BA1329" s="254"/>
      <c r="BB1329" s="280"/>
      <c r="BC1329" s="281"/>
      <c r="BD1329" s="253"/>
      <c r="BE1329" s="254"/>
      <c r="BF1329" s="838"/>
    </row>
    <row r="1330" spans="1:58" s="87" customFormat="1" ht="54" hidden="1" customHeight="1" x14ac:dyDescent="0.25">
      <c r="A1330" s="267" t="s">
        <v>8525</v>
      </c>
      <c r="B1330" s="268">
        <v>34</v>
      </c>
      <c r="C1330" s="240" t="s">
        <v>1744</v>
      </c>
      <c r="D1330" s="211" t="s">
        <v>1745</v>
      </c>
      <c r="E1330" s="268" t="s">
        <v>8662</v>
      </c>
      <c r="F1330" s="861" t="s">
        <v>8663</v>
      </c>
      <c r="G1330" s="269" t="s">
        <v>8664</v>
      </c>
      <c r="H1330" s="845" t="s">
        <v>8665</v>
      </c>
      <c r="I1330" s="269" t="s">
        <v>8666</v>
      </c>
      <c r="J1330" s="296" t="s">
        <v>140</v>
      </c>
      <c r="K1330" s="297" t="s">
        <v>140</v>
      </c>
      <c r="L1330" s="862" t="s">
        <v>8667</v>
      </c>
      <c r="M1330" s="206" t="s">
        <v>142</v>
      </c>
      <c r="N1330" s="211" t="s">
        <v>143</v>
      </c>
      <c r="O1330" s="240" t="s">
        <v>8668</v>
      </c>
      <c r="P1330" s="240" t="s">
        <v>8669</v>
      </c>
      <c r="Q1330" s="845" t="s">
        <v>144</v>
      </c>
      <c r="R1330" s="269" t="s">
        <v>144</v>
      </c>
      <c r="S1330" s="864" t="s">
        <v>147</v>
      </c>
      <c r="T1330" s="212" t="s">
        <v>144</v>
      </c>
      <c r="U1330" s="213" t="s">
        <v>144</v>
      </c>
      <c r="V1330" s="847">
        <v>7</v>
      </c>
      <c r="W1330" s="415" t="s">
        <v>144</v>
      </c>
      <c r="X1330" s="212">
        <v>40</v>
      </c>
      <c r="Y1330" s="212" t="s">
        <v>144</v>
      </c>
      <c r="Z1330" s="241" t="s">
        <v>144</v>
      </c>
      <c r="AA1330" s="437" t="s">
        <v>8670</v>
      </c>
      <c r="AB1330" s="206" t="s">
        <v>140</v>
      </c>
      <c r="AC1330" s="847" t="s">
        <v>265</v>
      </c>
      <c r="AD1330" s="847" t="s">
        <v>8527</v>
      </c>
      <c r="AE1330" s="847" t="s">
        <v>144</v>
      </c>
      <c r="AF1330" s="848" t="s">
        <v>144</v>
      </c>
      <c r="AG1330" s="838"/>
      <c r="AH1330" s="866" t="s">
        <v>266</v>
      </c>
      <c r="AI1330" s="273" t="s">
        <v>267</v>
      </c>
      <c r="AJ1330" s="847">
        <v>7</v>
      </c>
      <c r="AK1330" s="848" t="s">
        <v>1046</v>
      </c>
      <c r="AL1330" s="867" t="s">
        <v>294</v>
      </c>
      <c r="AM1330" s="273" t="s">
        <v>295</v>
      </c>
      <c r="AN1330" s="847">
        <v>7</v>
      </c>
      <c r="AO1330" s="848" t="s">
        <v>966</v>
      </c>
      <c r="AP1330" s="867"/>
      <c r="AQ1330" s="273"/>
      <c r="AR1330" s="847"/>
      <c r="AS1330" s="848"/>
      <c r="AT1330" s="867"/>
      <c r="AU1330" s="273"/>
      <c r="AV1330" s="847"/>
      <c r="AW1330" s="848"/>
      <c r="AX1330" s="867"/>
      <c r="AY1330" s="273"/>
      <c r="AZ1330" s="847"/>
      <c r="BA1330" s="848"/>
      <c r="BB1330" s="249" t="s">
        <v>8671</v>
      </c>
      <c r="BC1330" s="135" t="s">
        <v>8672</v>
      </c>
      <c r="BD1330" s="847">
        <v>6</v>
      </c>
      <c r="BE1330" s="306" t="s">
        <v>8673</v>
      </c>
      <c r="BF1330" s="838"/>
    </row>
    <row r="1331" spans="1:58" s="87" customFormat="1" ht="54" hidden="1" customHeight="1" x14ac:dyDescent="0.25">
      <c r="A1331" s="267" t="s">
        <v>8525</v>
      </c>
      <c r="B1331" s="268">
        <v>35</v>
      </c>
      <c r="C1331" s="240" t="s">
        <v>1744</v>
      </c>
      <c r="D1331" s="211" t="s">
        <v>1745</v>
      </c>
      <c r="E1331" s="268" t="s">
        <v>8674</v>
      </c>
      <c r="F1331" s="861" t="s">
        <v>8675</v>
      </c>
      <c r="G1331" s="269" t="s">
        <v>8676</v>
      </c>
      <c r="H1331" s="845" t="s">
        <v>8677</v>
      </c>
      <c r="I1331" s="269" t="s">
        <v>8678</v>
      </c>
      <c r="J1331" s="296" t="s">
        <v>140</v>
      </c>
      <c r="K1331" s="297" t="s">
        <v>140</v>
      </c>
      <c r="L1331" s="862" t="s">
        <v>8679</v>
      </c>
      <c r="M1331" s="206" t="s">
        <v>973</v>
      </c>
      <c r="N1331" s="211" t="s">
        <v>974</v>
      </c>
      <c r="O1331" s="240" t="s">
        <v>8668</v>
      </c>
      <c r="P1331" s="240" t="s">
        <v>8680</v>
      </c>
      <c r="Q1331" s="845" t="s">
        <v>8681</v>
      </c>
      <c r="R1331" s="269" t="s">
        <v>8682</v>
      </c>
      <c r="S1331" s="864" t="s">
        <v>147</v>
      </c>
      <c r="T1331" s="212" t="s">
        <v>144</v>
      </c>
      <c r="U1331" s="213" t="s">
        <v>144</v>
      </c>
      <c r="V1331" s="847">
        <v>2</v>
      </c>
      <c r="W1331" s="415" t="s">
        <v>144</v>
      </c>
      <c r="X1331" s="212">
        <v>40</v>
      </c>
      <c r="Y1331" s="212" t="s">
        <v>144</v>
      </c>
      <c r="Z1331" s="433" t="s">
        <v>144</v>
      </c>
      <c r="AA1331" s="437" t="s">
        <v>8683</v>
      </c>
      <c r="AB1331" s="206" t="s">
        <v>140</v>
      </c>
      <c r="AC1331" s="847" t="s">
        <v>265</v>
      </c>
      <c r="AD1331" s="847" t="s">
        <v>8527</v>
      </c>
      <c r="AE1331" s="847" t="s">
        <v>144</v>
      </c>
      <c r="AF1331" s="848" t="s">
        <v>144</v>
      </c>
      <c r="AG1331" s="838"/>
      <c r="AH1331" s="866" t="s">
        <v>8684</v>
      </c>
      <c r="AI1331" s="273" t="s">
        <v>8685</v>
      </c>
      <c r="AJ1331" s="847">
        <v>6</v>
      </c>
      <c r="AK1331" s="848" t="s">
        <v>8686</v>
      </c>
      <c r="AL1331" s="875" t="s">
        <v>294</v>
      </c>
      <c r="AM1331" s="301" t="s">
        <v>295</v>
      </c>
      <c r="AN1331" s="847">
        <v>7</v>
      </c>
      <c r="AO1331" s="848" t="s">
        <v>966</v>
      </c>
      <c r="AP1331" s="867"/>
      <c r="AQ1331" s="273"/>
      <c r="AR1331" s="847"/>
      <c r="AS1331" s="848"/>
      <c r="AT1331" s="867"/>
      <c r="AU1331" s="273"/>
      <c r="AV1331" s="847"/>
      <c r="AW1331" s="848"/>
      <c r="AX1331" s="867"/>
      <c r="AY1331" s="273"/>
      <c r="AZ1331" s="847"/>
      <c r="BA1331" s="848"/>
      <c r="BB1331" s="866"/>
      <c r="BC1331" s="273"/>
      <c r="BD1331" s="847"/>
      <c r="BE1331" s="848"/>
      <c r="BF1331" s="838"/>
    </row>
    <row r="1332" spans="1:58" s="87" customFormat="1" ht="54" hidden="1" customHeight="1" x14ac:dyDescent="0.25">
      <c r="A1332" s="267" t="s">
        <v>8525</v>
      </c>
      <c r="B1332" s="268">
        <v>36</v>
      </c>
      <c r="C1332" s="240" t="s">
        <v>1744</v>
      </c>
      <c r="D1332" s="211" t="s">
        <v>1745</v>
      </c>
      <c r="E1332" s="268" t="s">
        <v>8687</v>
      </c>
      <c r="F1332" s="861" t="s">
        <v>8688</v>
      </c>
      <c r="G1332" s="269" t="s">
        <v>8689</v>
      </c>
      <c r="H1332" s="845" t="s">
        <v>8690</v>
      </c>
      <c r="I1332" s="269" t="s">
        <v>8691</v>
      </c>
      <c r="J1332" s="296" t="s">
        <v>140</v>
      </c>
      <c r="K1332" s="297" t="s">
        <v>140</v>
      </c>
      <c r="L1332" s="862" t="s">
        <v>8692</v>
      </c>
      <c r="M1332" s="206" t="s">
        <v>973</v>
      </c>
      <c r="N1332" s="211" t="s">
        <v>974</v>
      </c>
      <c r="O1332" s="240" t="s">
        <v>8668</v>
      </c>
      <c r="P1332" s="240" t="s">
        <v>8693</v>
      </c>
      <c r="Q1332" s="845" t="s">
        <v>144</v>
      </c>
      <c r="R1332" s="269" t="s">
        <v>144</v>
      </c>
      <c r="S1332" s="864" t="s">
        <v>147</v>
      </c>
      <c r="T1332" s="212" t="s">
        <v>144</v>
      </c>
      <c r="U1332" s="213" t="s">
        <v>144</v>
      </c>
      <c r="V1332" s="847">
        <v>2</v>
      </c>
      <c r="W1332" s="415" t="s">
        <v>144</v>
      </c>
      <c r="X1332" s="212">
        <v>40</v>
      </c>
      <c r="Y1332" s="212" t="s">
        <v>144</v>
      </c>
      <c r="Z1332" s="433" t="s">
        <v>25</v>
      </c>
      <c r="AA1332" s="407" t="s">
        <v>8694</v>
      </c>
      <c r="AB1332" s="206" t="s">
        <v>140</v>
      </c>
      <c r="AC1332" s="847" t="s">
        <v>265</v>
      </c>
      <c r="AD1332" s="847" t="s">
        <v>8527</v>
      </c>
      <c r="AE1332" s="847" t="s">
        <v>144</v>
      </c>
      <c r="AF1332" s="848" t="s">
        <v>144</v>
      </c>
      <c r="AG1332" s="838"/>
      <c r="AH1332" s="381" t="s">
        <v>8684</v>
      </c>
      <c r="AI1332" s="273" t="s">
        <v>8685</v>
      </c>
      <c r="AJ1332" s="240">
        <v>6</v>
      </c>
      <c r="AK1332" s="848" t="s">
        <v>8686</v>
      </c>
      <c r="AL1332" s="875" t="s">
        <v>294</v>
      </c>
      <c r="AM1332" s="301" t="s">
        <v>295</v>
      </c>
      <c r="AN1332" s="847">
        <v>7</v>
      </c>
      <c r="AO1332" s="848" t="s">
        <v>966</v>
      </c>
      <c r="AP1332" s="867"/>
      <c r="AQ1332" s="273"/>
      <c r="AR1332" s="847"/>
      <c r="AS1332" s="848"/>
      <c r="AT1332" s="312"/>
      <c r="AU1332" s="313"/>
      <c r="AV1332" s="289"/>
      <c r="AW1332" s="848"/>
      <c r="AX1332" s="867"/>
      <c r="AY1332" s="273"/>
      <c r="AZ1332" s="847"/>
      <c r="BA1332" s="848"/>
      <c r="BB1332" s="866"/>
      <c r="BC1332" s="273"/>
      <c r="BD1332" s="847"/>
      <c r="BE1332" s="848"/>
      <c r="BF1332" s="838"/>
    </row>
    <row r="1333" spans="1:58" s="87" customFormat="1" ht="54" hidden="1" customHeight="1" x14ac:dyDescent="0.25">
      <c r="A1333" s="267" t="s">
        <v>8525</v>
      </c>
      <c r="B1333" s="268">
        <v>37</v>
      </c>
      <c r="C1333" s="240" t="s">
        <v>1744</v>
      </c>
      <c r="D1333" s="211" t="s">
        <v>1745</v>
      </c>
      <c r="E1333" s="268" t="s">
        <v>8695</v>
      </c>
      <c r="F1333" s="861" t="s">
        <v>8696</v>
      </c>
      <c r="G1333" s="269" t="s">
        <v>8697</v>
      </c>
      <c r="H1333" s="845" t="s">
        <v>8698</v>
      </c>
      <c r="I1333" s="269" t="s">
        <v>8699</v>
      </c>
      <c r="J1333" s="296" t="s">
        <v>140</v>
      </c>
      <c r="K1333" s="297" t="s">
        <v>140</v>
      </c>
      <c r="L1333" s="862" t="s">
        <v>8700</v>
      </c>
      <c r="M1333" s="206" t="s">
        <v>193</v>
      </c>
      <c r="N1333" s="211" t="s">
        <v>194</v>
      </c>
      <c r="O1333" s="240" t="s">
        <v>8668</v>
      </c>
      <c r="P1333" s="240" t="s">
        <v>8701</v>
      </c>
      <c r="Q1333" s="845" t="s">
        <v>8702</v>
      </c>
      <c r="R1333" s="269" t="s">
        <v>8703</v>
      </c>
      <c r="S1333" s="864" t="s">
        <v>147</v>
      </c>
      <c r="T1333" s="212" t="s">
        <v>144</v>
      </c>
      <c r="U1333" s="213" t="s">
        <v>144</v>
      </c>
      <c r="V1333" s="847">
        <v>2</v>
      </c>
      <c r="W1333" s="415" t="s">
        <v>144</v>
      </c>
      <c r="X1333" s="212">
        <v>40</v>
      </c>
      <c r="Y1333" s="212" t="s">
        <v>144</v>
      </c>
      <c r="Z1333" s="241" t="s">
        <v>144</v>
      </c>
      <c r="AA1333" s="437" t="s">
        <v>8704</v>
      </c>
      <c r="AB1333" s="206" t="s">
        <v>140</v>
      </c>
      <c r="AC1333" s="847" t="s">
        <v>265</v>
      </c>
      <c r="AD1333" s="847" t="s">
        <v>8527</v>
      </c>
      <c r="AE1333" s="847" t="s">
        <v>144</v>
      </c>
      <c r="AF1333" s="848" t="s">
        <v>144</v>
      </c>
      <c r="AG1333" s="838"/>
      <c r="AH1333" s="866"/>
      <c r="AI1333" s="273"/>
      <c r="AJ1333" s="847"/>
      <c r="AK1333" s="848"/>
      <c r="AL1333" s="875" t="s">
        <v>294</v>
      </c>
      <c r="AM1333" s="301" t="s">
        <v>295</v>
      </c>
      <c r="AN1333" s="847">
        <v>7</v>
      </c>
      <c r="AO1333" s="848" t="s">
        <v>966</v>
      </c>
      <c r="AP1333" s="867"/>
      <c r="AQ1333" s="273"/>
      <c r="AR1333" s="847"/>
      <c r="AS1333" s="848"/>
      <c r="AT1333" s="867"/>
      <c r="AU1333" s="273"/>
      <c r="AV1333" s="847"/>
      <c r="AW1333" s="848"/>
      <c r="AX1333" s="867"/>
      <c r="AY1333" s="273"/>
      <c r="AZ1333" s="847"/>
      <c r="BA1333" s="848"/>
      <c r="BB1333" s="866"/>
      <c r="BC1333" s="273"/>
      <c r="BD1333" s="847"/>
      <c r="BE1333" s="848"/>
      <c r="BF1333" s="838"/>
    </row>
    <row r="1334" spans="1:58" s="87" customFormat="1" ht="54" hidden="1" customHeight="1" x14ac:dyDescent="0.25">
      <c r="A1334" s="267" t="s">
        <v>8525</v>
      </c>
      <c r="B1334" s="268">
        <v>38</v>
      </c>
      <c r="C1334" s="240" t="s">
        <v>1744</v>
      </c>
      <c r="D1334" s="211" t="s">
        <v>1745</v>
      </c>
      <c r="E1334" s="268" t="s">
        <v>8705</v>
      </c>
      <c r="F1334" s="861" t="s">
        <v>8706</v>
      </c>
      <c r="G1334" s="269" t="s">
        <v>8707</v>
      </c>
      <c r="H1334" s="845" t="s">
        <v>8708</v>
      </c>
      <c r="I1334" s="269" t="s">
        <v>8709</v>
      </c>
      <c r="J1334" s="296" t="s">
        <v>140</v>
      </c>
      <c r="K1334" s="297" t="s">
        <v>140</v>
      </c>
      <c r="L1334" s="862" t="s">
        <v>8710</v>
      </c>
      <c r="M1334" s="206" t="s">
        <v>193</v>
      </c>
      <c r="N1334" s="211" t="s">
        <v>194</v>
      </c>
      <c r="O1334" s="240" t="s">
        <v>8668</v>
      </c>
      <c r="P1334" s="240" t="s">
        <v>8711</v>
      </c>
      <c r="Q1334" s="845" t="s">
        <v>8712</v>
      </c>
      <c r="R1334" s="269" t="s">
        <v>8713</v>
      </c>
      <c r="S1334" s="864" t="s">
        <v>147</v>
      </c>
      <c r="T1334" s="212" t="s">
        <v>144</v>
      </c>
      <c r="U1334" s="213" t="s">
        <v>144</v>
      </c>
      <c r="V1334" s="847">
        <v>2</v>
      </c>
      <c r="W1334" s="415" t="s">
        <v>144</v>
      </c>
      <c r="X1334" s="212">
        <v>40</v>
      </c>
      <c r="Y1334" s="212" t="s">
        <v>144</v>
      </c>
      <c r="Z1334" s="241" t="s">
        <v>144</v>
      </c>
      <c r="AA1334" s="437" t="s">
        <v>8704</v>
      </c>
      <c r="AB1334" s="206" t="s">
        <v>140</v>
      </c>
      <c r="AC1334" s="847" t="s">
        <v>265</v>
      </c>
      <c r="AD1334" s="847" t="s">
        <v>8527</v>
      </c>
      <c r="AE1334" s="847" t="s">
        <v>144</v>
      </c>
      <c r="AF1334" s="848" t="s">
        <v>144</v>
      </c>
      <c r="AG1334" s="838"/>
      <c r="AH1334" s="866"/>
      <c r="AI1334" s="273"/>
      <c r="AJ1334" s="847"/>
      <c r="AK1334" s="848"/>
      <c r="AL1334" s="875" t="s">
        <v>294</v>
      </c>
      <c r="AM1334" s="301" t="s">
        <v>295</v>
      </c>
      <c r="AN1334" s="847">
        <v>7</v>
      </c>
      <c r="AO1334" s="848" t="s">
        <v>966</v>
      </c>
      <c r="AP1334" s="867"/>
      <c r="AQ1334" s="273"/>
      <c r="AR1334" s="847"/>
      <c r="AS1334" s="848"/>
      <c r="AT1334" s="867"/>
      <c r="AU1334" s="273"/>
      <c r="AV1334" s="847"/>
      <c r="AW1334" s="848"/>
      <c r="AX1334" s="867"/>
      <c r="AY1334" s="273"/>
      <c r="AZ1334" s="847"/>
      <c r="BA1334" s="848"/>
      <c r="BB1334" s="866"/>
      <c r="BC1334" s="273"/>
      <c r="BD1334" s="847"/>
      <c r="BE1334" s="848"/>
      <c r="BF1334" s="838"/>
    </row>
    <row r="1335" spans="1:58" s="55" customFormat="1" ht="54" customHeight="1" x14ac:dyDescent="0.25">
      <c r="A1335" s="275" t="s">
        <v>8525</v>
      </c>
      <c r="B1335" s="276">
        <v>39</v>
      </c>
      <c r="C1335" s="253" t="s">
        <v>144</v>
      </c>
      <c r="D1335" s="217" t="s">
        <v>144</v>
      </c>
      <c r="E1335" s="276" t="s">
        <v>8714</v>
      </c>
      <c r="F1335" s="277" t="s">
        <v>251</v>
      </c>
      <c r="G1335" s="277" t="s">
        <v>251</v>
      </c>
      <c r="H1335" s="220" t="s">
        <v>336</v>
      </c>
      <c r="I1335" s="277" t="s">
        <v>337</v>
      </c>
      <c r="J1335" s="302" t="s">
        <v>144</v>
      </c>
      <c r="K1335" s="302" t="s">
        <v>144</v>
      </c>
      <c r="L1335" s="718" t="s">
        <v>1423</v>
      </c>
      <c r="M1335" s="253" t="s">
        <v>144</v>
      </c>
      <c r="N1335" s="302" t="s">
        <v>144</v>
      </c>
      <c r="O1335" s="253" t="s">
        <v>144</v>
      </c>
      <c r="P1335" s="253" t="s">
        <v>144</v>
      </c>
      <c r="Q1335" s="220" t="s">
        <v>338</v>
      </c>
      <c r="R1335" s="220" t="s">
        <v>339</v>
      </c>
      <c r="S1335" s="276" t="s">
        <v>147</v>
      </c>
      <c r="T1335" s="221" t="s">
        <v>144</v>
      </c>
      <c r="U1335" s="221" t="s">
        <v>144</v>
      </c>
      <c r="V1335" s="253">
        <v>20</v>
      </c>
      <c r="W1335" s="217" t="s">
        <v>144</v>
      </c>
      <c r="X1335" s="221" t="s">
        <v>144</v>
      </c>
      <c r="Y1335" s="221" t="s">
        <v>144</v>
      </c>
      <c r="Z1335" s="221" t="s">
        <v>144</v>
      </c>
      <c r="AA1335" s="253" t="s">
        <v>144</v>
      </c>
      <c r="AB1335" s="217" t="s">
        <v>144</v>
      </c>
      <c r="AC1335" s="253" t="s">
        <v>265</v>
      </c>
      <c r="AD1335" s="253" t="s">
        <v>8715</v>
      </c>
      <c r="AE1335" s="253" t="s">
        <v>144</v>
      </c>
      <c r="AF1335" s="254" t="s">
        <v>144</v>
      </c>
      <c r="AG1335" s="838"/>
      <c r="AH1335" s="280"/>
      <c r="AI1335" s="281"/>
      <c r="AJ1335" s="253"/>
      <c r="AK1335" s="254"/>
      <c r="AL1335" s="281"/>
      <c r="AM1335" s="281"/>
      <c r="AN1335" s="253"/>
      <c r="AO1335" s="254"/>
      <c r="AP1335" s="281"/>
      <c r="AQ1335" s="281"/>
      <c r="AR1335" s="253"/>
      <c r="AS1335" s="254"/>
      <c r="AT1335" s="281"/>
      <c r="AU1335" s="281"/>
      <c r="AV1335" s="253"/>
      <c r="AW1335" s="254"/>
      <c r="AX1335" s="281"/>
      <c r="AY1335" s="281"/>
      <c r="AZ1335" s="253"/>
      <c r="BA1335" s="254"/>
      <c r="BB1335" s="280"/>
      <c r="BC1335" s="281"/>
      <c r="BD1335" s="253"/>
      <c r="BE1335" s="254"/>
      <c r="BF1335" s="838"/>
    </row>
    <row r="1336" spans="1:58" s="87" customFormat="1" ht="54" hidden="1" customHeight="1" x14ac:dyDescent="0.25">
      <c r="A1336" s="267" t="s">
        <v>8525</v>
      </c>
      <c r="B1336" s="268">
        <v>40</v>
      </c>
      <c r="C1336" s="240" t="s">
        <v>1744</v>
      </c>
      <c r="D1336" s="211" t="s">
        <v>1745</v>
      </c>
      <c r="E1336" s="268" t="s">
        <v>8716</v>
      </c>
      <c r="F1336" s="861" t="s">
        <v>8717</v>
      </c>
      <c r="G1336" s="269" t="s">
        <v>8718</v>
      </c>
      <c r="H1336" s="845" t="s">
        <v>8719</v>
      </c>
      <c r="I1336" s="269" t="s">
        <v>8720</v>
      </c>
      <c r="J1336" s="296" t="s">
        <v>140</v>
      </c>
      <c r="K1336" s="297" t="s">
        <v>140</v>
      </c>
      <c r="L1336" s="862" t="s">
        <v>8721</v>
      </c>
      <c r="M1336" s="206" t="s">
        <v>142</v>
      </c>
      <c r="N1336" s="211" t="s">
        <v>143</v>
      </c>
      <c r="O1336" s="240" t="s">
        <v>144</v>
      </c>
      <c r="P1336" s="240" t="s">
        <v>144</v>
      </c>
      <c r="Q1336" s="845" t="s">
        <v>144</v>
      </c>
      <c r="R1336" s="269" t="s">
        <v>144</v>
      </c>
      <c r="S1336" s="864" t="s">
        <v>746</v>
      </c>
      <c r="T1336" s="212" t="s">
        <v>1104</v>
      </c>
      <c r="U1336" s="213" t="s">
        <v>1105</v>
      </c>
      <c r="V1336" s="847">
        <v>19</v>
      </c>
      <c r="W1336" s="415" t="s">
        <v>144</v>
      </c>
      <c r="X1336" s="212">
        <v>40</v>
      </c>
      <c r="Y1336" s="212" t="s">
        <v>144</v>
      </c>
      <c r="Z1336" s="241" t="s">
        <v>144</v>
      </c>
      <c r="AA1336" s="437" t="s">
        <v>8722</v>
      </c>
      <c r="AB1336" s="206" t="s">
        <v>140</v>
      </c>
      <c r="AC1336" s="847" t="s">
        <v>265</v>
      </c>
      <c r="AD1336" s="847" t="s">
        <v>8723</v>
      </c>
      <c r="AE1336" s="847" t="s">
        <v>144</v>
      </c>
      <c r="AF1336" s="848" t="s">
        <v>144</v>
      </c>
      <c r="AG1336" s="838"/>
      <c r="AH1336" s="866" t="s">
        <v>266</v>
      </c>
      <c r="AI1336" s="273" t="s">
        <v>267</v>
      </c>
      <c r="AJ1336" s="847">
        <v>7</v>
      </c>
      <c r="AK1336" s="848" t="s">
        <v>1046</v>
      </c>
      <c r="AL1336" s="867"/>
      <c r="AM1336" s="273"/>
      <c r="AN1336" s="847"/>
      <c r="AO1336" s="848"/>
      <c r="AP1336" s="867" t="s">
        <v>6119</v>
      </c>
      <c r="AQ1336" s="273" t="s">
        <v>6120</v>
      </c>
      <c r="AR1336" s="847">
        <v>7</v>
      </c>
      <c r="AS1336" s="848" t="s">
        <v>6121</v>
      </c>
      <c r="AT1336" s="867"/>
      <c r="AU1336" s="273"/>
      <c r="AV1336" s="847"/>
      <c r="AW1336" s="848"/>
      <c r="AX1336" s="867"/>
      <c r="AY1336" s="273"/>
      <c r="AZ1336" s="847"/>
      <c r="BA1336" s="848"/>
      <c r="BB1336" s="866"/>
      <c r="BC1336" s="273"/>
      <c r="BD1336" s="847"/>
      <c r="BE1336" s="848"/>
      <c r="BF1336" s="838"/>
    </row>
    <row r="1337" spans="1:58" s="55" customFormat="1" ht="54" customHeight="1" x14ac:dyDescent="0.25">
      <c r="A1337" s="275" t="s">
        <v>8525</v>
      </c>
      <c r="B1337" s="276">
        <v>41</v>
      </c>
      <c r="C1337" s="253" t="s">
        <v>144</v>
      </c>
      <c r="D1337" s="217" t="s">
        <v>144</v>
      </c>
      <c r="E1337" s="276" t="s">
        <v>8724</v>
      </c>
      <c r="F1337" s="277" t="s">
        <v>251</v>
      </c>
      <c r="G1337" s="277" t="s">
        <v>251</v>
      </c>
      <c r="H1337" s="220" t="s">
        <v>336</v>
      </c>
      <c r="I1337" s="277" t="s">
        <v>337</v>
      </c>
      <c r="J1337" s="302" t="s">
        <v>144</v>
      </c>
      <c r="K1337" s="302" t="s">
        <v>144</v>
      </c>
      <c r="L1337" s="718" t="s">
        <v>8725</v>
      </c>
      <c r="M1337" s="253" t="s">
        <v>144</v>
      </c>
      <c r="N1337" s="302" t="s">
        <v>144</v>
      </c>
      <c r="O1337" s="253" t="s">
        <v>144</v>
      </c>
      <c r="P1337" s="253" t="s">
        <v>144</v>
      </c>
      <c r="Q1337" s="220" t="s">
        <v>338</v>
      </c>
      <c r="R1337" s="220" t="s">
        <v>339</v>
      </c>
      <c r="S1337" s="276" t="s">
        <v>147</v>
      </c>
      <c r="T1337" s="221" t="s">
        <v>144</v>
      </c>
      <c r="U1337" s="221" t="s">
        <v>144</v>
      </c>
      <c r="V1337" s="253">
        <v>10</v>
      </c>
      <c r="W1337" s="217" t="s">
        <v>144</v>
      </c>
      <c r="X1337" s="221" t="s">
        <v>144</v>
      </c>
      <c r="Y1337" s="221" t="s">
        <v>144</v>
      </c>
      <c r="Z1337" s="221" t="s">
        <v>144</v>
      </c>
      <c r="AA1337" s="253" t="s">
        <v>144</v>
      </c>
      <c r="AB1337" s="217" t="s">
        <v>144</v>
      </c>
      <c r="AC1337" s="253" t="s">
        <v>265</v>
      </c>
      <c r="AD1337" s="253" t="s">
        <v>144</v>
      </c>
      <c r="AE1337" s="253" t="s">
        <v>144</v>
      </c>
      <c r="AF1337" s="254" t="s">
        <v>144</v>
      </c>
      <c r="AG1337" s="838"/>
      <c r="AH1337" s="280"/>
      <c r="AI1337" s="281"/>
      <c r="AJ1337" s="253"/>
      <c r="AK1337" s="254"/>
      <c r="AL1337" s="281"/>
      <c r="AM1337" s="281"/>
      <c r="AN1337" s="253"/>
      <c r="AO1337" s="254"/>
      <c r="AP1337" s="281"/>
      <c r="AQ1337" s="281"/>
      <c r="AR1337" s="253"/>
      <c r="AS1337" s="254"/>
      <c r="AT1337" s="281"/>
      <c r="AU1337" s="281"/>
      <c r="AV1337" s="253"/>
      <c r="AW1337" s="254"/>
      <c r="AX1337" s="281"/>
      <c r="AY1337" s="281"/>
      <c r="AZ1337" s="253"/>
      <c r="BA1337" s="254"/>
      <c r="BB1337" s="280"/>
      <c r="BC1337" s="281"/>
      <c r="BD1337" s="253"/>
      <c r="BE1337" s="254"/>
      <c r="BF1337" s="838"/>
    </row>
    <row r="1338" spans="1:58" s="87" customFormat="1" ht="54" hidden="1" customHeight="1" x14ac:dyDescent="0.25">
      <c r="A1338" s="267" t="s">
        <v>8525</v>
      </c>
      <c r="B1338" s="268">
        <v>42</v>
      </c>
      <c r="C1338" s="240" t="s">
        <v>1744</v>
      </c>
      <c r="D1338" s="211" t="s">
        <v>1745</v>
      </c>
      <c r="E1338" s="268" t="s">
        <v>8726</v>
      </c>
      <c r="F1338" s="861" t="s">
        <v>8727</v>
      </c>
      <c r="G1338" s="269" t="s">
        <v>8728</v>
      </c>
      <c r="H1338" s="845" t="s">
        <v>8729</v>
      </c>
      <c r="I1338" s="208" t="s">
        <v>8730</v>
      </c>
      <c r="J1338" s="240" t="s">
        <v>140</v>
      </c>
      <c r="K1338" s="270" t="s">
        <v>140</v>
      </c>
      <c r="L1338" s="862" t="s">
        <v>1537</v>
      </c>
      <c r="M1338" s="206" t="s">
        <v>973</v>
      </c>
      <c r="N1338" s="211" t="s">
        <v>974</v>
      </c>
      <c r="O1338" s="240" t="s">
        <v>144</v>
      </c>
      <c r="P1338" s="240" t="s">
        <v>144</v>
      </c>
      <c r="Q1338" s="845" t="s">
        <v>144</v>
      </c>
      <c r="R1338" s="208" t="s">
        <v>144</v>
      </c>
      <c r="S1338" s="864" t="s">
        <v>746</v>
      </c>
      <c r="T1338" s="212" t="s">
        <v>1104</v>
      </c>
      <c r="U1338" s="213" t="s">
        <v>1105</v>
      </c>
      <c r="V1338" s="847">
        <v>19</v>
      </c>
      <c r="W1338" s="415" t="s">
        <v>144</v>
      </c>
      <c r="X1338" s="212">
        <v>40</v>
      </c>
      <c r="Y1338" s="212" t="s">
        <v>144</v>
      </c>
      <c r="Z1338" s="241" t="s">
        <v>25</v>
      </c>
      <c r="AA1338" s="407" t="s">
        <v>8731</v>
      </c>
      <c r="AB1338" s="206" t="s">
        <v>140</v>
      </c>
      <c r="AC1338" s="847" t="s">
        <v>265</v>
      </c>
      <c r="AD1338" s="847" t="s">
        <v>8527</v>
      </c>
      <c r="AE1338" s="847" t="s">
        <v>144</v>
      </c>
      <c r="AF1338" s="848" t="s">
        <v>144</v>
      </c>
      <c r="AG1338" s="838"/>
      <c r="AH1338" s="866" t="s">
        <v>8732</v>
      </c>
      <c r="AI1338" s="273" t="s">
        <v>8733</v>
      </c>
      <c r="AJ1338" s="847">
        <v>7</v>
      </c>
      <c r="AK1338" s="286" t="s">
        <v>8734</v>
      </c>
      <c r="AL1338" s="867"/>
      <c r="AM1338" s="273"/>
      <c r="AN1338" s="847"/>
      <c r="AO1338" s="848"/>
      <c r="AP1338" s="867" t="s">
        <v>6119</v>
      </c>
      <c r="AQ1338" s="273" t="s">
        <v>6120</v>
      </c>
      <c r="AR1338" s="847">
        <v>7</v>
      </c>
      <c r="AS1338" s="848" t="s">
        <v>6121</v>
      </c>
      <c r="AT1338" s="867"/>
      <c r="AU1338" s="273"/>
      <c r="AV1338" s="847"/>
      <c r="AW1338" s="848"/>
      <c r="AX1338" s="867"/>
      <c r="AY1338" s="273"/>
      <c r="AZ1338" s="847"/>
      <c r="BA1338" s="848"/>
      <c r="BB1338" s="866"/>
      <c r="BC1338" s="273"/>
      <c r="BD1338" s="847"/>
      <c r="BE1338" s="848"/>
      <c r="BF1338" s="838"/>
    </row>
    <row r="1339" spans="1:58" s="55" customFormat="1" ht="54" customHeight="1" x14ac:dyDescent="0.25">
      <c r="A1339" s="275" t="s">
        <v>8525</v>
      </c>
      <c r="B1339" s="276">
        <v>43</v>
      </c>
      <c r="C1339" s="253" t="s">
        <v>144</v>
      </c>
      <c r="D1339" s="217" t="s">
        <v>144</v>
      </c>
      <c r="E1339" s="276" t="s">
        <v>8735</v>
      </c>
      <c r="F1339" s="277" t="s">
        <v>251</v>
      </c>
      <c r="G1339" s="277" t="s">
        <v>251</v>
      </c>
      <c r="H1339" s="220" t="s">
        <v>336</v>
      </c>
      <c r="I1339" s="277" t="s">
        <v>337</v>
      </c>
      <c r="J1339" s="302" t="s">
        <v>144</v>
      </c>
      <c r="K1339" s="302" t="s">
        <v>144</v>
      </c>
      <c r="L1339" s="718" t="s">
        <v>8736</v>
      </c>
      <c r="M1339" s="253" t="s">
        <v>144</v>
      </c>
      <c r="N1339" s="302" t="s">
        <v>144</v>
      </c>
      <c r="O1339" s="253" t="s">
        <v>144</v>
      </c>
      <c r="P1339" s="253" t="s">
        <v>144</v>
      </c>
      <c r="Q1339" s="220" t="s">
        <v>338</v>
      </c>
      <c r="R1339" s="220" t="s">
        <v>339</v>
      </c>
      <c r="S1339" s="276" t="s">
        <v>147</v>
      </c>
      <c r="T1339" s="221" t="s">
        <v>144</v>
      </c>
      <c r="U1339" s="221" t="s">
        <v>144</v>
      </c>
      <c r="V1339" s="253">
        <v>10</v>
      </c>
      <c r="W1339" s="217" t="s">
        <v>144</v>
      </c>
      <c r="X1339" s="221" t="s">
        <v>144</v>
      </c>
      <c r="Y1339" s="221" t="s">
        <v>144</v>
      </c>
      <c r="Z1339" s="221" t="s">
        <v>144</v>
      </c>
      <c r="AA1339" s="253" t="s">
        <v>144</v>
      </c>
      <c r="AB1339" s="217" t="s">
        <v>144</v>
      </c>
      <c r="AC1339" s="253" t="s">
        <v>265</v>
      </c>
      <c r="AD1339" s="253" t="s">
        <v>144</v>
      </c>
      <c r="AE1339" s="253" t="s">
        <v>144</v>
      </c>
      <c r="AF1339" s="254" t="s">
        <v>144</v>
      </c>
      <c r="AG1339" s="838"/>
      <c r="AH1339" s="280"/>
      <c r="AI1339" s="281"/>
      <c r="AJ1339" s="253"/>
      <c r="AK1339" s="254"/>
      <c r="AL1339" s="281"/>
      <c r="AM1339" s="281"/>
      <c r="AN1339" s="253"/>
      <c r="AO1339" s="254"/>
      <c r="AP1339" s="281"/>
      <c r="AQ1339" s="281"/>
      <c r="AR1339" s="253"/>
      <c r="AS1339" s="254"/>
      <c r="AT1339" s="281"/>
      <c r="AU1339" s="281"/>
      <c r="AV1339" s="253"/>
      <c r="AW1339" s="254"/>
      <c r="AX1339" s="281"/>
      <c r="AY1339" s="281"/>
      <c r="AZ1339" s="253"/>
      <c r="BA1339" s="254"/>
      <c r="BB1339" s="280"/>
      <c r="BC1339" s="281"/>
      <c r="BD1339" s="253"/>
      <c r="BE1339" s="254"/>
      <c r="BF1339" s="838"/>
    </row>
    <row r="1340" spans="1:58" s="87" customFormat="1" ht="54" hidden="1" customHeight="1" x14ac:dyDescent="0.25">
      <c r="A1340" s="267" t="s">
        <v>8525</v>
      </c>
      <c r="B1340" s="268">
        <v>44</v>
      </c>
      <c r="C1340" s="240" t="s">
        <v>1744</v>
      </c>
      <c r="D1340" s="211" t="s">
        <v>1745</v>
      </c>
      <c r="E1340" s="268" t="s">
        <v>8737</v>
      </c>
      <c r="F1340" s="861" t="s">
        <v>8738</v>
      </c>
      <c r="G1340" s="269" t="s">
        <v>8739</v>
      </c>
      <c r="H1340" s="845" t="s">
        <v>8740</v>
      </c>
      <c r="I1340" s="269" t="s">
        <v>8741</v>
      </c>
      <c r="J1340" s="296" t="s">
        <v>140</v>
      </c>
      <c r="K1340" s="297" t="s">
        <v>140</v>
      </c>
      <c r="L1340" s="862" t="s">
        <v>8742</v>
      </c>
      <c r="M1340" s="206" t="s">
        <v>973</v>
      </c>
      <c r="N1340" s="211" t="s">
        <v>974</v>
      </c>
      <c r="O1340" s="240" t="s">
        <v>814</v>
      </c>
      <c r="P1340" s="240" t="s">
        <v>815</v>
      </c>
      <c r="Q1340" s="845" t="s">
        <v>144</v>
      </c>
      <c r="R1340" s="208" t="s">
        <v>144</v>
      </c>
      <c r="S1340" s="864" t="s">
        <v>147</v>
      </c>
      <c r="T1340" s="212" t="s">
        <v>144</v>
      </c>
      <c r="U1340" s="213" t="s">
        <v>144</v>
      </c>
      <c r="V1340" s="847">
        <v>3</v>
      </c>
      <c r="W1340" s="415" t="s">
        <v>144</v>
      </c>
      <c r="X1340" s="212">
        <v>40</v>
      </c>
      <c r="Y1340" s="212" t="s">
        <v>144</v>
      </c>
      <c r="Z1340" s="433" t="s">
        <v>25</v>
      </c>
      <c r="AA1340" s="407" t="s">
        <v>8743</v>
      </c>
      <c r="AB1340" s="206" t="s">
        <v>140</v>
      </c>
      <c r="AC1340" s="847" t="s">
        <v>265</v>
      </c>
      <c r="AD1340" s="847" t="s">
        <v>8527</v>
      </c>
      <c r="AE1340" s="847" t="s">
        <v>144</v>
      </c>
      <c r="AF1340" s="848" t="s">
        <v>144</v>
      </c>
      <c r="AG1340" s="838"/>
      <c r="AH1340" s="866" t="s">
        <v>8744</v>
      </c>
      <c r="AI1340" s="273" t="s">
        <v>8745</v>
      </c>
      <c r="AJ1340" s="847">
        <v>7</v>
      </c>
      <c r="AK1340" s="848" t="s">
        <v>1280</v>
      </c>
      <c r="AL1340" s="867" t="s">
        <v>294</v>
      </c>
      <c r="AM1340" s="273" t="s">
        <v>295</v>
      </c>
      <c r="AN1340" s="847">
        <v>7</v>
      </c>
      <c r="AO1340" s="848" t="s">
        <v>966</v>
      </c>
      <c r="AP1340" s="867"/>
      <c r="AQ1340" s="273"/>
      <c r="AR1340" s="847"/>
      <c r="AS1340" s="848"/>
      <c r="AT1340" s="867"/>
      <c r="AU1340" s="273"/>
      <c r="AV1340" s="847"/>
      <c r="AW1340" s="848"/>
      <c r="AX1340" s="867"/>
      <c r="AY1340" s="273"/>
      <c r="AZ1340" s="847"/>
      <c r="BA1340" s="848"/>
      <c r="BB1340" s="866"/>
      <c r="BC1340" s="273"/>
      <c r="BD1340" s="847"/>
      <c r="BE1340" s="848"/>
      <c r="BF1340" s="838"/>
    </row>
    <row r="1341" spans="1:58" s="87" customFormat="1" ht="54" hidden="1" customHeight="1" x14ac:dyDescent="0.25">
      <c r="A1341" s="267" t="s">
        <v>8525</v>
      </c>
      <c r="B1341" s="268">
        <v>45</v>
      </c>
      <c r="C1341" s="240" t="s">
        <v>1744</v>
      </c>
      <c r="D1341" s="211" t="s">
        <v>1745</v>
      </c>
      <c r="E1341" s="268" t="s">
        <v>8746</v>
      </c>
      <c r="F1341" s="861" t="s">
        <v>8747</v>
      </c>
      <c r="G1341" s="269" t="s">
        <v>8748</v>
      </c>
      <c r="H1341" s="845" t="s">
        <v>8749</v>
      </c>
      <c r="I1341" s="269" t="s">
        <v>8750</v>
      </c>
      <c r="J1341" s="296" t="s">
        <v>140</v>
      </c>
      <c r="K1341" s="297" t="s">
        <v>140</v>
      </c>
      <c r="L1341" s="862" t="s">
        <v>8751</v>
      </c>
      <c r="M1341" s="206" t="s">
        <v>193</v>
      </c>
      <c r="N1341" s="211" t="s">
        <v>194</v>
      </c>
      <c r="O1341" s="240" t="s">
        <v>144</v>
      </c>
      <c r="P1341" s="240" t="s">
        <v>144</v>
      </c>
      <c r="Q1341" s="845" t="s">
        <v>8752</v>
      </c>
      <c r="R1341" s="269" t="s">
        <v>8753</v>
      </c>
      <c r="S1341" s="181" t="s">
        <v>233</v>
      </c>
      <c r="T1341" s="212" t="s">
        <v>234</v>
      </c>
      <c r="U1341" s="213" t="s">
        <v>235</v>
      </c>
      <c r="V1341" s="847">
        <v>8</v>
      </c>
      <c r="W1341" s="415" t="s">
        <v>144</v>
      </c>
      <c r="X1341" s="212">
        <v>40</v>
      </c>
      <c r="Y1341" s="212" t="s">
        <v>144</v>
      </c>
      <c r="Z1341" s="433" t="s">
        <v>25</v>
      </c>
      <c r="AA1341" s="407" t="s">
        <v>8754</v>
      </c>
      <c r="AB1341" s="206" t="s">
        <v>140</v>
      </c>
      <c r="AC1341" s="847" t="s">
        <v>265</v>
      </c>
      <c r="AD1341" s="847" t="s">
        <v>8527</v>
      </c>
      <c r="AE1341" s="847" t="s">
        <v>144</v>
      </c>
      <c r="AF1341" s="848" t="s">
        <v>144</v>
      </c>
      <c r="AG1341" s="838"/>
      <c r="AH1341" s="866"/>
      <c r="AI1341" s="273"/>
      <c r="AJ1341" s="847"/>
      <c r="AK1341" s="848"/>
      <c r="AL1341" s="867"/>
      <c r="AM1341" s="273"/>
      <c r="AN1341" s="847"/>
      <c r="AO1341" s="848"/>
      <c r="AP1341" s="867"/>
      <c r="AQ1341" s="273"/>
      <c r="AR1341" s="847"/>
      <c r="AS1341" s="848"/>
      <c r="AT1341" s="867" t="s">
        <v>8755</v>
      </c>
      <c r="AU1341" s="273" t="s">
        <v>8756</v>
      </c>
      <c r="AV1341" s="847">
        <v>6</v>
      </c>
      <c r="AW1341" s="286" t="s">
        <v>8757</v>
      </c>
      <c r="AX1341" s="867"/>
      <c r="AY1341" s="273"/>
      <c r="AZ1341" s="847"/>
      <c r="BA1341" s="848"/>
      <c r="BB1341" s="866"/>
      <c r="BC1341" s="273"/>
      <c r="BD1341" s="847"/>
      <c r="BE1341" s="848"/>
      <c r="BF1341" s="838"/>
    </row>
    <row r="1342" spans="1:58" s="87" customFormat="1" ht="54" hidden="1" customHeight="1" x14ac:dyDescent="0.25">
      <c r="A1342" s="267" t="s">
        <v>8525</v>
      </c>
      <c r="B1342" s="268">
        <v>46</v>
      </c>
      <c r="C1342" s="240" t="s">
        <v>1744</v>
      </c>
      <c r="D1342" s="211" t="s">
        <v>1745</v>
      </c>
      <c r="E1342" s="298" t="s">
        <v>8758</v>
      </c>
      <c r="F1342" s="861" t="s">
        <v>8759</v>
      </c>
      <c r="G1342" s="269" t="s">
        <v>8760</v>
      </c>
      <c r="H1342" s="845" t="s">
        <v>8761</v>
      </c>
      <c r="I1342" s="269" t="s">
        <v>8762</v>
      </c>
      <c r="J1342" s="296" t="s">
        <v>140</v>
      </c>
      <c r="K1342" s="297" t="s">
        <v>140</v>
      </c>
      <c r="L1342" s="862" t="s">
        <v>8763</v>
      </c>
      <c r="M1342" s="206" t="s">
        <v>973</v>
      </c>
      <c r="N1342" s="211" t="s">
        <v>974</v>
      </c>
      <c r="O1342" s="240" t="s">
        <v>814</v>
      </c>
      <c r="P1342" s="240" t="s">
        <v>815</v>
      </c>
      <c r="Q1342" s="845" t="s">
        <v>144</v>
      </c>
      <c r="R1342" s="269" t="s">
        <v>144</v>
      </c>
      <c r="S1342" s="864" t="s">
        <v>147</v>
      </c>
      <c r="T1342" s="212" t="s">
        <v>144</v>
      </c>
      <c r="U1342" s="213" t="s">
        <v>144</v>
      </c>
      <c r="V1342" s="847">
        <v>3</v>
      </c>
      <c r="W1342" s="415" t="s">
        <v>144</v>
      </c>
      <c r="X1342" s="212">
        <v>42</v>
      </c>
      <c r="Y1342" s="212" t="s">
        <v>144</v>
      </c>
      <c r="Z1342" s="241" t="s">
        <v>144</v>
      </c>
      <c r="AA1342" s="616" t="s">
        <v>148</v>
      </c>
      <c r="AB1342" s="206" t="s">
        <v>140</v>
      </c>
      <c r="AC1342" s="847" t="s">
        <v>265</v>
      </c>
      <c r="AD1342" s="847" t="s">
        <v>8715</v>
      </c>
      <c r="AE1342" s="847" t="s">
        <v>144</v>
      </c>
      <c r="AF1342" s="848" t="s">
        <v>144</v>
      </c>
      <c r="AG1342" s="838"/>
      <c r="AH1342" s="866" t="s">
        <v>8764</v>
      </c>
      <c r="AI1342" s="273" t="s">
        <v>8765</v>
      </c>
      <c r="AJ1342" s="847">
        <v>7</v>
      </c>
      <c r="AK1342" s="848" t="s">
        <v>1280</v>
      </c>
      <c r="AL1342" s="867" t="s">
        <v>294</v>
      </c>
      <c r="AM1342" s="273" t="s">
        <v>295</v>
      </c>
      <c r="AN1342" s="847">
        <v>7</v>
      </c>
      <c r="AO1342" s="848" t="s">
        <v>966</v>
      </c>
      <c r="AP1342" s="867"/>
      <c r="AQ1342" s="273"/>
      <c r="AR1342" s="847"/>
      <c r="AS1342" s="848"/>
      <c r="AT1342" s="867"/>
      <c r="AU1342" s="273"/>
      <c r="AV1342" s="847"/>
      <c r="AW1342" s="848"/>
      <c r="AX1342" s="867"/>
      <c r="AY1342" s="273"/>
      <c r="AZ1342" s="847"/>
      <c r="BA1342" s="848"/>
      <c r="BB1342" s="866"/>
      <c r="BC1342" s="273"/>
      <c r="BD1342" s="847"/>
      <c r="BE1342" s="848"/>
      <c r="BF1342" s="838"/>
    </row>
    <row r="1343" spans="1:58" s="55" customFormat="1" ht="54" customHeight="1" x14ac:dyDescent="0.25">
      <c r="A1343" s="275" t="s">
        <v>8525</v>
      </c>
      <c r="B1343" s="276">
        <v>47</v>
      </c>
      <c r="C1343" s="253" t="s">
        <v>144</v>
      </c>
      <c r="D1343" s="217" t="s">
        <v>144</v>
      </c>
      <c r="E1343" s="276" t="s">
        <v>8766</v>
      </c>
      <c r="F1343" s="277" t="s">
        <v>251</v>
      </c>
      <c r="G1343" s="277" t="s">
        <v>251</v>
      </c>
      <c r="H1343" s="220" t="s">
        <v>336</v>
      </c>
      <c r="I1343" s="277" t="s">
        <v>337</v>
      </c>
      <c r="J1343" s="302" t="s">
        <v>144</v>
      </c>
      <c r="K1343" s="302" t="s">
        <v>144</v>
      </c>
      <c r="L1343" s="718" t="s">
        <v>3270</v>
      </c>
      <c r="M1343" s="253" t="s">
        <v>144</v>
      </c>
      <c r="N1343" s="302" t="s">
        <v>144</v>
      </c>
      <c r="O1343" s="253" t="s">
        <v>144</v>
      </c>
      <c r="P1343" s="253" t="s">
        <v>144</v>
      </c>
      <c r="Q1343" s="220" t="s">
        <v>338</v>
      </c>
      <c r="R1343" s="220" t="s">
        <v>339</v>
      </c>
      <c r="S1343" s="276" t="s">
        <v>147</v>
      </c>
      <c r="T1343" s="221" t="s">
        <v>144</v>
      </c>
      <c r="U1343" s="221" t="s">
        <v>144</v>
      </c>
      <c r="V1343" s="253">
        <v>17</v>
      </c>
      <c r="W1343" s="217" t="s">
        <v>144</v>
      </c>
      <c r="X1343" s="221" t="s">
        <v>144</v>
      </c>
      <c r="Y1343" s="221" t="s">
        <v>144</v>
      </c>
      <c r="Z1343" s="221" t="s">
        <v>144</v>
      </c>
      <c r="AA1343" s="253" t="s">
        <v>144</v>
      </c>
      <c r="AB1343" s="217" t="s">
        <v>144</v>
      </c>
      <c r="AC1343" s="253" t="s">
        <v>265</v>
      </c>
      <c r="AD1343" s="253" t="s">
        <v>144</v>
      </c>
      <c r="AE1343" s="253" t="s">
        <v>144</v>
      </c>
      <c r="AF1343" s="254" t="s">
        <v>144</v>
      </c>
      <c r="AG1343" s="838"/>
      <c r="AH1343" s="280"/>
      <c r="AI1343" s="281"/>
      <c r="AJ1343" s="253"/>
      <c r="AK1343" s="254"/>
      <c r="AL1343" s="281"/>
      <c r="AM1343" s="281"/>
      <c r="AN1343" s="253"/>
      <c r="AO1343" s="254"/>
      <c r="AP1343" s="281"/>
      <c r="AQ1343" s="281"/>
      <c r="AR1343" s="253"/>
      <c r="AS1343" s="254"/>
      <c r="AT1343" s="281"/>
      <c r="AU1343" s="281"/>
      <c r="AV1343" s="253"/>
      <c r="AW1343" s="254"/>
      <c r="AX1343" s="281"/>
      <c r="AY1343" s="281"/>
      <c r="AZ1343" s="253"/>
      <c r="BA1343" s="254"/>
      <c r="BB1343" s="280"/>
      <c r="BC1343" s="281"/>
      <c r="BD1343" s="253"/>
      <c r="BE1343" s="254"/>
      <c r="BF1343" s="838"/>
    </row>
    <row r="1344" spans="1:58" s="87" customFormat="1" ht="54" hidden="1" customHeight="1" x14ac:dyDescent="0.25">
      <c r="A1344" s="267" t="s">
        <v>8525</v>
      </c>
      <c r="B1344" s="268">
        <v>48</v>
      </c>
      <c r="C1344" s="240" t="s">
        <v>1744</v>
      </c>
      <c r="D1344" s="270" t="s">
        <v>1745</v>
      </c>
      <c r="E1344" s="268" t="s">
        <v>8767</v>
      </c>
      <c r="F1344" s="861" t="s">
        <v>8768</v>
      </c>
      <c r="G1344" s="269" t="s">
        <v>8769</v>
      </c>
      <c r="H1344" s="845" t="s">
        <v>8770</v>
      </c>
      <c r="I1344" s="269" t="s">
        <v>8769</v>
      </c>
      <c r="J1344" s="296" t="s">
        <v>140</v>
      </c>
      <c r="K1344" s="297" t="s">
        <v>140</v>
      </c>
      <c r="L1344" s="862" t="s">
        <v>8771</v>
      </c>
      <c r="M1344" s="206" t="s">
        <v>142</v>
      </c>
      <c r="N1344" s="211" t="s">
        <v>143</v>
      </c>
      <c r="O1344" s="240" t="s">
        <v>144</v>
      </c>
      <c r="P1344" s="240" t="s">
        <v>144</v>
      </c>
      <c r="Q1344" s="845" t="s">
        <v>8772</v>
      </c>
      <c r="R1344" s="269" t="s">
        <v>8773</v>
      </c>
      <c r="S1344" s="181" t="s">
        <v>233</v>
      </c>
      <c r="T1344" s="212" t="s">
        <v>234</v>
      </c>
      <c r="U1344" s="213" t="s">
        <v>235</v>
      </c>
      <c r="V1344" s="847">
        <v>8</v>
      </c>
      <c r="W1344" s="415" t="s">
        <v>144</v>
      </c>
      <c r="X1344" s="212">
        <v>40</v>
      </c>
      <c r="Y1344" s="212" t="s">
        <v>144</v>
      </c>
      <c r="Z1344" s="433" t="s">
        <v>25</v>
      </c>
      <c r="AA1344" s="407" t="s">
        <v>8774</v>
      </c>
      <c r="AB1344" s="206" t="s">
        <v>140</v>
      </c>
      <c r="AC1344" s="847" t="s">
        <v>265</v>
      </c>
      <c r="AD1344" s="847" t="s">
        <v>8527</v>
      </c>
      <c r="AE1344" s="847" t="s">
        <v>144</v>
      </c>
      <c r="AF1344" s="848" t="s">
        <v>144</v>
      </c>
      <c r="AG1344" s="838"/>
      <c r="AH1344" s="866" t="s">
        <v>266</v>
      </c>
      <c r="AI1344" s="273" t="s">
        <v>267</v>
      </c>
      <c r="AJ1344" s="847">
        <v>7</v>
      </c>
      <c r="AK1344" s="848" t="s">
        <v>1046</v>
      </c>
      <c r="AL1344" s="867"/>
      <c r="AM1344" s="273"/>
      <c r="AN1344" s="847"/>
      <c r="AO1344" s="848"/>
      <c r="AP1344" s="867" t="s">
        <v>1160</v>
      </c>
      <c r="AQ1344" s="273" t="s">
        <v>1161</v>
      </c>
      <c r="AR1344" s="847">
        <v>7</v>
      </c>
      <c r="AS1344" s="848" t="s">
        <v>1162</v>
      </c>
      <c r="AT1344" s="867" t="s">
        <v>1163</v>
      </c>
      <c r="AU1344" s="273" t="s">
        <v>1164</v>
      </c>
      <c r="AV1344" s="847">
        <v>7</v>
      </c>
      <c r="AW1344" s="848" t="s">
        <v>1165</v>
      </c>
      <c r="AX1344" s="867"/>
      <c r="AY1344" s="273"/>
      <c r="AZ1344" s="847"/>
      <c r="BA1344" s="848"/>
      <c r="BB1344" s="866"/>
      <c r="BC1344" s="273"/>
      <c r="BD1344" s="847"/>
      <c r="BE1344" s="848"/>
      <c r="BF1344" s="838"/>
    </row>
    <row r="1345" spans="1:58" s="87" customFormat="1" ht="54" hidden="1" customHeight="1" x14ac:dyDescent="0.25">
      <c r="A1345" s="267" t="s">
        <v>8525</v>
      </c>
      <c r="B1345" s="268">
        <v>49</v>
      </c>
      <c r="C1345" s="240" t="s">
        <v>1744</v>
      </c>
      <c r="D1345" s="270" t="s">
        <v>1745</v>
      </c>
      <c r="E1345" s="268" t="s">
        <v>8775</v>
      </c>
      <c r="F1345" s="861" t="s">
        <v>8776</v>
      </c>
      <c r="G1345" s="269" t="s">
        <v>8777</v>
      </c>
      <c r="H1345" s="845" t="s">
        <v>8778</v>
      </c>
      <c r="I1345" s="269" t="s">
        <v>8779</v>
      </c>
      <c r="J1345" s="296" t="s">
        <v>140</v>
      </c>
      <c r="K1345" s="297" t="s">
        <v>140</v>
      </c>
      <c r="L1345" s="862" t="s">
        <v>8780</v>
      </c>
      <c r="M1345" s="206" t="s">
        <v>142</v>
      </c>
      <c r="N1345" s="211" t="s">
        <v>143</v>
      </c>
      <c r="O1345" s="240" t="s">
        <v>144</v>
      </c>
      <c r="P1345" s="240" t="s">
        <v>144</v>
      </c>
      <c r="Q1345" s="845" t="s">
        <v>8772</v>
      </c>
      <c r="R1345" s="269" t="s">
        <v>8773</v>
      </c>
      <c r="S1345" s="181" t="s">
        <v>233</v>
      </c>
      <c r="T1345" s="212" t="s">
        <v>234</v>
      </c>
      <c r="U1345" s="213" t="s">
        <v>235</v>
      </c>
      <c r="V1345" s="847">
        <v>8</v>
      </c>
      <c r="W1345" s="415" t="s">
        <v>144</v>
      </c>
      <c r="X1345" s="212">
        <v>40</v>
      </c>
      <c r="Y1345" s="212" t="s">
        <v>144</v>
      </c>
      <c r="Z1345" s="433" t="s">
        <v>25</v>
      </c>
      <c r="AA1345" s="407" t="s">
        <v>8781</v>
      </c>
      <c r="AB1345" s="206" t="s">
        <v>140</v>
      </c>
      <c r="AC1345" s="847" t="s">
        <v>265</v>
      </c>
      <c r="AD1345" s="847" t="s">
        <v>8527</v>
      </c>
      <c r="AE1345" s="847" t="s">
        <v>144</v>
      </c>
      <c r="AF1345" s="848" t="s">
        <v>144</v>
      </c>
      <c r="AG1345" s="838"/>
      <c r="AH1345" s="866" t="s">
        <v>266</v>
      </c>
      <c r="AI1345" s="273" t="s">
        <v>267</v>
      </c>
      <c r="AJ1345" s="847">
        <v>7</v>
      </c>
      <c r="AK1345" s="848" t="s">
        <v>1046</v>
      </c>
      <c r="AL1345" s="867"/>
      <c r="AM1345" s="273"/>
      <c r="AN1345" s="847"/>
      <c r="AO1345" s="848"/>
      <c r="AP1345" s="867" t="s">
        <v>1174</v>
      </c>
      <c r="AQ1345" s="273" t="s">
        <v>1175</v>
      </c>
      <c r="AR1345" s="847">
        <v>7</v>
      </c>
      <c r="AS1345" s="293" t="s">
        <v>1176</v>
      </c>
      <c r="AT1345" s="867" t="s">
        <v>8782</v>
      </c>
      <c r="AU1345" s="273" t="s">
        <v>8783</v>
      </c>
      <c r="AV1345" s="847">
        <v>7</v>
      </c>
      <c r="AW1345" s="848" t="s">
        <v>8784</v>
      </c>
      <c r="AX1345" s="867"/>
      <c r="AY1345" s="273"/>
      <c r="AZ1345" s="847"/>
      <c r="BA1345" s="848"/>
      <c r="BB1345" s="866"/>
      <c r="BC1345" s="273"/>
      <c r="BD1345" s="847"/>
      <c r="BE1345" s="848"/>
      <c r="BF1345" s="838"/>
    </row>
    <row r="1346" spans="1:58" s="87" customFormat="1" ht="54" hidden="1" customHeight="1" x14ac:dyDescent="0.25">
      <c r="A1346" s="267" t="s">
        <v>8525</v>
      </c>
      <c r="B1346" s="268">
        <v>50</v>
      </c>
      <c r="C1346" s="240" t="s">
        <v>1744</v>
      </c>
      <c r="D1346" s="270" t="s">
        <v>1745</v>
      </c>
      <c r="E1346" s="268" t="s">
        <v>8785</v>
      </c>
      <c r="F1346" s="861" t="s">
        <v>8786</v>
      </c>
      <c r="G1346" s="269" t="s">
        <v>8787</v>
      </c>
      <c r="H1346" s="845" t="s">
        <v>8788</v>
      </c>
      <c r="I1346" s="269" t="s">
        <v>8789</v>
      </c>
      <c r="J1346" s="296" t="s">
        <v>140</v>
      </c>
      <c r="K1346" s="297" t="s">
        <v>140</v>
      </c>
      <c r="L1346" s="862" t="s">
        <v>8790</v>
      </c>
      <c r="M1346" s="206" t="s">
        <v>142</v>
      </c>
      <c r="N1346" s="211" t="s">
        <v>143</v>
      </c>
      <c r="O1346" s="240" t="s">
        <v>8791</v>
      </c>
      <c r="P1346" s="240" t="s">
        <v>8792</v>
      </c>
      <c r="Q1346" s="845" t="s">
        <v>8793</v>
      </c>
      <c r="R1346" s="269" t="s">
        <v>8794</v>
      </c>
      <c r="S1346" s="864" t="s">
        <v>147</v>
      </c>
      <c r="T1346" s="212" t="s">
        <v>144</v>
      </c>
      <c r="U1346" s="213" t="s">
        <v>144</v>
      </c>
      <c r="V1346" s="847">
        <v>1</v>
      </c>
      <c r="W1346" s="415" t="s">
        <v>144</v>
      </c>
      <c r="X1346" s="212">
        <v>40</v>
      </c>
      <c r="Y1346" s="212" t="s">
        <v>144</v>
      </c>
      <c r="Z1346" s="433" t="s">
        <v>144</v>
      </c>
      <c r="AA1346" s="437" t="s">
        <v>8795</v>
      </c>
      <c r="AB1346" s="206" t="s">
        <v>140</v>
      </c>
      <c r="AC1346" s="847" t="s">
        <v>265</v>
      </c>
      <c r="AD1346" s="847" t="s">
        <v>8527</v>
      </c>
      <c r="AE1346" s="847" t="s">
        <v>144</v>
      </c>
      <c r="AF1346" s="848" t="s">
        <v>144</v>
      </c>
      <c r="AG1346" s="838"/>
      <c r="AH1346" s="866" t="s">
        <v>266</v>
      </c>
      <c r="AI1346" s="273" t="s">
        <v>267</v>
      </c>
      <c r="AJ1346" s="847">
        <v>7</v>
      </c>
      <c r="AK1346" s="848" t="s">
        <v>1046</v>
      </c>
      <c r="AL1346" s="867" t="s">
        <v>294</v>
      </c>
      <c r="AM1346" s="273" t="s">
        <v>295</v>
      </c>
      <c r="AN1346" s="847">
        <v>7</v>
      </c>
      <c r="AO1346" s="848" t="s">
        <v>966</v>
      </c>
      <c r="AP1346" s="867"/>
      <c r="AQ1346" s="273"/>
      <c r="AR1346" s="847"/>
      <c r="AS1346" s="848"/>
      <c r="AT1346" s="867"/>
      <c r="AU1346" s="273"/>
      <c r="AV1346" s="847"/>
      <c r="AW1346" s="848"/>
      <c r="AX1346" s="867"/>
      <c r="AY1346" s="273"/>
      <c r="AZ1346" s="847"/>
      <c r="BA1346" s="848"/>
      <c r="BB1346" s="866"/>
      <c r="BC1346" s="273"/>
      <c r="BD1346" s="847"/>
      <c r="BE1346" s="848"/>
      <c r="BF1346" s="838"/>
    </row>
    <row r="1347" spans="1:58" s="87" customFormat="1" ht="54" hidden="1" customHeight="1" x14ac:dyDescent="0.25">
      <c r="A1347" s="267" t="s">
        <v>8525</v>
      </c>
      <c r="B1347" s="268">
        <v>51</v>
      </c>
      <c r="C1347" s="240" t="s">
        <v>1744</v>
      </c>
      <c r="D1347" s="270" t="s">
        <v>1745</v>
      </c>
      <c r="E1347" s="268" t="s">
        <v>8796</v>
      </c>
      <c r="F1347" s="861" t="s">
        <v>8797</v>
      </c>
      <c r="G1347" s="269" t="s">
        <v>8798</v>
      </c>
      <c r="H1347" s="845" t="s">
        <v>8799</v>
      </c>
      <c r="I1347" s="269" t="s">
        <v>8800</v>
      </c>
      <c r="J1347" s="296" t="s">
        <v>140</v>
      </c>
      <c r="K1347" s="297" t="s">
        <v>140</v>
      </c>
      <c r="L1347" s="862" t="s">
        <v>8801</v>
      </c>
      <c r="M1347" s="206" t="s">
        <v>142</v>
      </c>
      <c r="N1347" s="211" t="s">
        <v>143</v>
      </c>
      <c r="O1347" s="240" t="s">
        <v>4634</v>
      </c>
      <c r="P1347" s="240" t="s">
        <v>4635</v>
      </c>
      <c r="Q1347" s="845" t="s">
        <v>144</v>
      </c>
      <c r="R1347" s="269" t="s">
        <v>144</v>
      </c>
      <c r="S1347" s="864" t="s">
        <v>147</v>
      </c>
      <c r="T1347" s="212" t="s">
        <v>144</v>
      </c>
      <c r="U1347" s="213" t="s">
        <v>144</v>
      </c>
      <c r="V1347" s="847">
        <v>2</v>
      </c>
      <c r="W1347" s="415" t="s">
        <v>144</v>
      </c>
      <c r="X1347" s="212">
        <v>40</v>
      </c>
      <c r="Y1347" s="212" t="s">
        <v>144</v>
      </c>
      <c r="Z1347" s="241" t="s">
        <v>144</v>
      </c>
      <c r="AA1347" s="437" t="s">
        <v>1545</v>
      </c>
      <c r="AB1347" s="206" t="s">
        <v>140</v>
      </c>
      <c r="AC1347" s="847" t="s">
        <v>265</v>
      </c>
      <c r="AD1347" s="847" t="s">
        <v>8527</v>
      </c>
      <c r="AE1347" s="847" t="s">
        <v>144</v>
      </c>
      <c r="AF1347" s="848" t="s">
        <v>144</v>
      </c>
      <c r="AG1347" s="838"/>
      <c r="AH1347" s="866" t="s">
        <v>266</v>
      </c>
      <c r="AI1347" s="273" t="s">
        <v>267</v>
      </c>
      <c r="AJ1347" s="847">
        <v>7</v>
      </c>
      <c r="AK1347" s="848" t="s">
        <v>1046</v>
      </c>
      <c r="AL1347" s="867" t="s">
        <v>294</v>
      </c>
      <c r="AM1347" s="273" t="s">
        <v>295</v>
      </c>
      <c r="AN1347" s="847">
        <v>7</v>
      </c>
      <c r="AO1347" s="848" t="s">
        <v>966</v>
      </c>
      <c r="AP1347" s="867"/>
      <c r="AQ1347" s="273"/>
      <c r="AR1347" s="847"/>
      <c r="AS1347" s="848"/>
      <c r="AT1347" s="867"/>
      <c r="AU1347" s="273"/>
      <c r="AV1347" s="847"/>
      <c r="AW1347" s="848"/>
      <c r="AX1347" s="867"/>
      <c r="AY1347" s="273"/>
      <c r="AZ1347" s="847"/>
      <c r="BA1347" s="848"/>
      <c r="BB1347" s="866"/>
      <c r="BC1347" s="273"/>
      <c r="BD1347" s="847"/>
      <c r="BE1347" s="848"/>
      <c r="BF1347" s="838"/>
    </row>
    <row r="1348" spans="1:58" s="87" customFormat="1" ht="54" hidden="1" customHeight="1" x14ac:dyDescent="0.25">
      <c r="A1348" s="267" t="s">
        <v>8525</v>
      </c>
      <c r="B1348" s="268">
        <v>52</v>
      </c>
      <c r="C1348" s="240" t="s">
        <v>1744</v>
      </c>
      <c r="D1348" s="270" t="s">
        <v>1745</v>
      </c>
      <c r="E1348" s="268" t="s">
        <v>8802</v>
      </c>
      <c r="F1348" s="861" t="s">
        <v>8803</v>
      </c>
      <c r="G1348" s="269" t="s">
        <v>8804</v>
      </c>
      <c r="H1348" s="845" t="s">
        <v>8805</v>
      </c>
      <c r="I1348" s="208" t="s">
        <v>8806</v>
      </c>
      <c r="J1348" s="240" t="s">
        <v>140</v>
      </c>
      <c r="K1348" s="270" t="s">
        <v>140</v>
      </c>
      <c r="L1348" s="862" t="s">
        <v>8807</v>
      </c>
      <c r="M1348" s="206" t="s">
        <v>142</v>
      </c>
      <c r="N1348" s="211" t="s">
        <v>143</v>
      </c>
      <c r="O1348" s="240" t="s">
        <v>8808</v>
      </c>
      <c r="P1348" s="240" t="s">
        <v>8809</v>
      </c>
      <c r="Q1348" s="845" t="s">
        <v>8810</v>
      </c>
      <c r="R1348" s="208" t="s">
        <v>8811</v>
      </c>
      <c r="S1348" s="864" t="s">
        <v>147</v>
      </c>
      <c r="T1348" s="212" t="s">
        <v>144</v>
      </c>
      <c r="U1348" s="213" t="s">
        <v>144</v>
      </c>
      <c r="V1348" s="847">
        <v>1</v>
      </c>
      <c r="W1348" s="415" t="s">
        <v>144</v>
      </c>
      <c r="X1348" s="212">
        <v>40</v>
      </c>
      <c r="Y1348" s="212" t="s">
        <v>144</v>
      </c>
      <c r="Z1348" s="433" t="s">
        <v>144</v>
      </c>
      <c r="AA1348" s="437" t="s">
        <v>8812</v>
      </c>
      <c r="AB1348" s="206" t="s">
        <v>140</v>
      </c>
      <c r="AC1348" s="847" t="s">
        <v>265</v>
      </c>
      <c r="AD1348" s="847" t="s">
        <v>8527</v>
      </c>
      <c r="AE1348" s="847" t="s">
        <v>144</v>
      </c>
      <c r="AF1348" s="848" t="s">
        <v>144</v>
      </c>
      <c r="AG1348" s="838"/>
      <c r="AH1348" s="866" t="s">
        <v>266</v>
      </c>
      <c r="AI1348" s="273" t="s">
        <v>267</v>
      </c>
      <c r="AJ1348" s="847">
        <v>6</v>
      </c>
      <c r="AK1348" s="848" t="s">
        <v>1046</v>
      </c>
      <c r="AL1348" s="867" t="s">
        <v>294</v>
      </c>
      <c r="AM1348" s="273" t="s">
        <v>295</v>
      </c>
      <c r="AN1348" s="847">
        <v>7</v>
      </c>
      <c r="AO1348" s="848" t="s">
        <v>966</v>
      </c>
      <c r="AP1348" s="867"/>
      <c r="AQ1348" s="273"/>
      <c r="AR1348" s="847"/>
      <c r="AS1348" s="848"/>
      <c r="AT1348" s="867"/>
      <c r="AU1348" s="273"/>
      <c r="AV1348" s="847"/>
      <c r="AW1348" s="848"/>
      <c r="AX1348" s="867"/>
      <c r="AY1348" s="273"/>
      <c r="AZ1348" s="847"/>
      <c r="BA1348" s="848"/>
      <c r="BB1348" s="866"/>
      <c r="BC1348" s="273"/>
      <c r="BD1348" s="847"/>
      <c r="BE1348" s="848"/>
      <c r="BF1348" s="838"/>
    </row>
    <row r="1349" spans="1:58" s="87" customFormat="1" ht="54" hidden="1" customHeight="1" x14ac:dyDescent="0.25">
      <c r="A1349" s="267" t="s">
        <v>8525</v>
      </c>
      <c r="B1349" s="268">
        <v>53</v>
      </c>
      <c r="C1349" s="240" t="s">
        <v>1744</v>
      </c>
      <c r="D1349" s="270" t="s">
        <v>1745</v>
      </c>
      <c r="E1349" s="268" t="s">
        <v>8813</v>
      </c>
      <c r="F1349" s="861" t="s">
        <v>8814</v>
      </c>
      <c r="G1349" s="269" t="s">
        <v>8815</v>
      </c>
      <c r="H1349" s="845" t="s">
        <v>8816</v>
      </c>
      <c r="I1349" s="269" t="s">
        <v>8817</v>
      </c>
      <c r="J1349" s="296" t="s">
        <v>140</v>
      </c>
      <c r="K1349" s="297" t="s">
        <v>140</v>
      </c>
      <c r="L1349" s="862" t="s">
        <v>8818</v>
      </c>
      <c r="M1349" s="206" t="s">
        <v>193</v>
      </c>
      <c r="N1349" s="211" t="s">
        <v>194</v>
      </c>
      <c r="O1349" s="240" t="s">
        <v>8819</v>
      </c>
      <c r="P1349" s="240" t="s">
        <v>8820</v>
      </c>
      <c r="Q1349" s="845" t="s">
        <v>8821</v>
      </c>
      <c r="R1349" s="269" t="s">
        <v>8822</v>
      </c>
      <c r="S1349" s="864" t="s">
        <v>147</v>
      </c>
      <c r="T1349" s="212" t="s">
        <v>144</v>
      </c>
      <c r="U1349" s="213" t="s">
        <v>144</v>
      </c>
      <c r="V1349" s="847">
        <v>1</v>
      </c>
      <c r="W1349" s="415" t="s">
        <v>144</v>
      </c>
      <c r="X1349" s="212">
        <v>40</v>
      </c>
      <c r="Y1349" s="212" t="s">
        <v>144</v>
      </c>
      <c r="Z1349" s="241" t="s">
        <v>144</v>
      </c>
      <c r="AA1349" s="616" t="s">
        <v>148</v>
      </c>
      <c r="AB1349" s="206" t="s">
        <v>140</v>
      </c>
      <c r="AC1349" s="847" t="s">
        <v>265</v>
      </c>
      <c r="AD1349" s="847" t="s">
        <v>8527</v>
      </c>
      <c r="AE1349" s="847" t="s">
        <v>144</v>
      </c>
      <c r="AF1349" s="848" t="s">
        <v>144</v>
      </c>
      <c r="AG1349" s="838"/>
      <c r="AH1349" s="866"/>
      <c r="AI1349" s="273"/>
      <c r="AJ1349" s="847"/>
      <c r="AK1349" s="848"/>
      <c r="AL1349" s="867" t="s">
        <v>294</v>
      </c>
      <c r="AM1349" s="273" t="s">
        <v>295</v>
      </c>
      <c r="AN1349" s="847">
        <v>7</v>
      </c>
      <c r="AO1349" s="848" t="s">
        <v>966</v>
      </c>
      <c r="AP1349" s="867"/>
      <c r="AQ1349" s="273"/>
      <c r="AR1349" s="847"/>
      <c r="AS1349" s="848"/>
      <c r="AT1349" s="867"/>
      <c r="AU1349" s="273"/>
      <c r="AV1349" s="847"/>
      <c r="AW1349" s="848"/>
      <c r="AX1349" s="867"/>
      <c r="AY1349" s="273"/>
      <c r="AZ1349" s="847"/>
      <c r="BA1349" s="848"/>
      <c r="BB1349" s="866"/>
      <c r="BC1349" s="273"/>
      <c r="BD1349" s="847"/>
      <c r="BE1349" s="848"/>
      <c r="BF1349" s="838"/>
    </row>
    <row r="1350" spans="1:58" s="87" customFormat="1" ht="54" hidden="1" customHeight="1" x14ac:dyDescent="0.25">
      <c r="A1350" s="267" t="s">
        <v>8525</v>
      </c>
      <c r="B1350" s="268">
        <v>54</v>
      </c>
      <c r="C1350" s="240" t="s">
        <v>1744</v>
      </c>
      <c r="D1350" s="270" t="s">
        <v>1745</v>
      </c>
      <c r="E1350" s="268" t="s">
        <v>8823</v>
      </c>
      <c r="F1350" s="861" t="s">
        <v>8824</v>
      </c>
      <c r="G1350" s="269" t="s">
        <v>8825</v>
      </c>
      <c r="H1350" s="845" t="s">
        <v>8826</v>
      </c>
      <c r="I1350" s="269" t="s">
        <v>8827</v>
      </c>
      <c r="J1350" s="296" t="s">
        <v>140</v>
      </c>
      <c r="K1350" s="297" t="s">
        <v>140</v>
      </c>
      <c r="L1350" s="862" t="s">
        <v>8828</v>
      </c>
      <c r="M1350" s="206" t="s">
        <v>193</v>
      </c>
      <c r="N1350" s="211" t="s">
        <v>194</v>
      </c>
      <c r="O1350" s="240" t="s">
        <v>8829</v>
      </c>
      <c r="P1350" s="240" t="s">
        <v>8830</v>
      </c>
      <c r="Q1350" s="845" t="s">
        <v>144</v>
      </c>
      <c r="R1350" s="269" t="s">
        <v>144</v>
      </c>
      <c r="S1350" s="864" t="s">
        <v>147</v>
      </c>
      <c r="T1350" s="212" t="s">
        <v>144</v>
      </c>
      <c r="U1350" s="213" t="s">
        <v>144</v>
      </c>
      <c r="V1350" s="847">
        <v>1</v>
      </c>
      <c r="W1350" s="415" t="s">
        <v>144</v>
      </c>
      <c r="X1350" s="212">
        <v>40</v>
      </c>
      <c r="Y1350" s="212" t="s">
        <v>144</v>
      </c>
      <c r="Z1350" s="241" t="s">
        <v>144</v>
      </c>
      <c r="AA1350" s="616" t="s">
        <v>148</v>
      </c>
      <c r="AB1350" s="206" t="s">
        <v>140</v>
      </c>
      <c r="AC1350" s="847" t="s">
        <v>265</v>
      </c>
      <c r="AD1350" s="847" t="s">
        <v>8527</v>
      </c>
      <c r="AE1350" s="847" t="s">
        <v>144</v>
      </c>
      <c r="AF1350" s="848" t="s">
        <v>144</v>
      </c>
      <c r="AG1350" s="838"/>
      <c r="AH1350" s="866"/>
      <c r="AI1350" s="273"/>
      <c r="AJ1350" s="847"/>
      <c r="AK1350" s="848"/>
      <c r="AL1350" s="867" t="s">
        <v>294</v>
      </c>
      <c r="AM1350" s="273" t="s">
        <v>295</v>
      </c>
      <c r="AN1350" s="847">
        <v>7</v>
      </c>
      <c r="AO1350" s="848" t="s">
        <v>966</v>
      </c>
      <c r="AP1350" s="867"/>
      <c r="AQ1350" s="273"/>
      <c r="AR1350" s="847"/>
      <c r="AS1350" s="848"/>
      <c r="AT1350" s="867"/>
      <c r="AU1350" s="273"/>
      <c r="AV1350" s="847"/>
      <c r="AW1350" s="848"/>
      <c r="AX1350" s="867"/>
      <c r="AY1350" s="273"/>
      <c r="AZ1350" s="847"/>
      <c r="BA1350" s="848"/>
      <c r="BB1350" s="866"/>
      <c r="BC1350" s="273"/>
      <c r="BD1350" s="847"/>
      <c r="BE1350" s="848"/>
      <c r="BF1350" s="838"/>
    </row>
    <row r="1351" spans="1:58" s="87" customFormat="1" ht="54" hidden="1" customHeight="1" x14ac:dyDescent="0.25">
      <c r="A1351" s="267" t="s">
        <v>8525</v>
      </c>
      <c r="B1351" s="268">
        <v>55</v>
      </c>
      <c r="C1351" s="240" t="s">
        <v>1744</v>
      </c>
      <c r="D1351" s="270" t="s">
        <v>1745</v>
      </c>
      <c r="E1351" s="268" t="s">
        <v>8831</v>
      </c>
      <c r="F1351" s="861" t="s">
        <v>8832</v>
      </c>
      <c r="G1351" s="269" t="s">
        <v>8833</v>
      </c>
      <c r="H1351" s="845" t="s">
        <v>8834</v>
      </c>
      <c r="I1351" s="269" t="s">
        <v>8835</v>
      </c>
      <c r="J1351" s="296" t="s">
        <v>140</v>
      </c>
      <c r="K1351" s="297" t="s">
        <v>140</v>
      </c>
      <c r="L1351" s="862" t="s">
        <v>8836</v>
      </c>
      <c r="M1351" s="206" t="s">
        <v>142</v>
      </c>
      <c r="N1351" s="211" t="s">
        <v>143</v>
      </c>
      <c r="O1351" s="240" t="s">
        <v>144</v>
      </c>
      <c r="P1351" s="240" t="s">
        <v>144</v>
      </c>
      <c r="Q1351" s="845" t="s">
        <v>144</v>
      </c>
      <c r="R1351" s="269" t="s">
        <v>144</v>
      </c>
      <c r="S1351" s="864" t="s">
        <v>746</v>
      </c>
      <c r="T1351" s="212" t="s">
        <v>144</v>
      </c>
      <c r="U1351" s="213" t="s">
        <v>144</v>
      </c>
      <c r="V1351" s="847">
        <v>5</v>
      </c>
      <c r="W1351" s="415" t="s">
        <v>144</v>
      </c>
      <c r="X1351" s="212">
        <v>40</v>
      </c>
      <c r="Y1351" s="212" t="s">
        <v>144</v>
      </c>
      <c r="Z1351" s="241" t="s">
        <v>144</v>
      </c>
      <c r="AA1351" s="437" t="s">
        <v>8837</v>
      </c>
      <c r="AB1351" s="206" t="s">
        <v>140</v>
      </c>
      <c r="AC1351" s="847" t="s">
        <v>265</v>
      </c>
      <c r="AD1351" s="847" t="s">
        <v>8527</v>
      </c>
      <c r="AE1351" s="847" t="s">
        <v>144</v>
      </c>
      <c r="AF1351" s="848" t="s">
        <v>144</v>
      </c>
      <c r="AG1351" s="838"/>
      <c r="AH1351" s="866" t="s">
        <v>266</v>
      </c>
      <c r="AI1351" s="273" t="s">
        <v>267</v>
      </c>
      <c r="AJ1351" s="847">
        <v>7</v>
      </c>
      <c r="AK1351" s="848" t="s">
        <v>1046</v>
      </c>
      <c r="AL1351" s="867"/>
      <c r="AM1351" s="273"/>
      <c r="AN1351" s="847"/>
      <c r="AO1351" s="848"/>
      <c r="AP1351" s="867"/>
      <c r="AQ1351" s="273"/>
      <c r="AR1351" s="847"/>
      <c r="AS1351" s="848"/>
      <c r="AT1351" s="867"/>
      <c r="AU1351" s="273"/>
      <c r="AV1351" s="847"/>
      <c r="AW1351" s="848"/>
      <c r="AX1351" s="867"/>
      <c r="AY1351" s="273"/>
      <c r="AZ1351" s="847"/>
      <c r="BA1351" s="848"/>
      <c r="BB1351" s="866"/>
      <c r="BC1351" s="273"/>
      <c r="BD1351" s="847"/>
      <c r="BE1351" s="848"/>
      <c r="BF1351" s="838"/>
    </row>
    <row r="1352" spans="1:58" s="59" customFormat="1" ht="54" hidden="1" customHeight="1" x14ac:dyDescent="0.25">
      <c r="A1352" s="267" t="s">
        <v>8525</v>
      </c>
      <c r="B1352" s="268">
        <v>56</v>
      </c>
      <c r="C1352" s="240" t="s">
        <v>1744</v>
      </c>
      <c r="D1352" s="270" t="s">
        <v>1745</v>
      </c>
      <c r="E1352" s="298" t="s">
        <v>8838</v>
      </c>
      <c r="F1352" s="861" t="s">
        <v>4651</v>
      </c>
      <c r="G1352" s="269" t="s">
        <v>8839</v>
      </c>
      <c r="H1352" s="845" t="s">
        <v>8840</v>
      </c>
      <c r="I1352" s="269" t="s">
        <v>8841</v>
      </c>
      <c r="J1352" s="296" t="s">
        <v>140</v>
      </c>
      <c r="K1352" s="297" t="s">
        <v>140</v>
      </c>
      <c r="L1352" s="862" t="s">
        <v>4655</v>
      </c>
      <c r="M1352" s="872" t="s">
        <v>193</v>
      </c>
      <c r="N1352" s="435" t="s">
        <v>194</v>
      </c>
      <c r="O1352" s="240" t="s">
        <v>4656</v>
      </c>
      <c r="P1352" s="240" t="s">
        <v>4657</v>
      </c>
      <c r="Q1352" s="846" t="s">
        <v>144</v>
      </c>
      <c r="R1352" s="208" t="s">
        <v>144</v>
      </c>
      <c r="S1352" s="864" t="s">
        <v>147</v>
      </c>
      <c r="T1352" s="212" t="s">
        <v>144</v>
      </c>
      <c r="U1352" s="213" t="s">
        <v>144</v>
      </c>
      <c r="V1352" s="847">
        <v>2</v>
      </c>
      <c r="W1352" s="415" t="s">
        <v>144</v>
      </c>
      <c r="X1352" s="212">
        <v>42</v>
      </c>
      <c r="Y1352" s="934" t="s">
        <v>144</v>
      </c>
      <c r="Z1352" s="214" t="s">
        <v>25</v>
      </c>
      <c r="AA1352" s="240" t="s">
        <v>2512</v>
      </c>
      <c r="AB1352" s="206" t="s">
        <v>140</v>
      </c>
      <c r="AC1352" s="847" t="s">
        <v>265</v>
      </c>
      <c r="AD1352" s="847" t="s">
        <v>8527</v>
      </c>
      <c r="AE1352" s="847" t="s">
        <v>144</v>
      </c>
      <c r="AF1352" s="848" t="s">
        <v>144</v>
      </c>
      <c r="AG1352" s="838"/>
      <c r="AH1352" s="885"/>
      <c r="AI1352" s="406"/>
      <c r="AJ1352" s="872"/>
      <c r="AK1352" s="878"/>
      <c r="AL1352" s="875" t="s">
        <v>294</v>
      </c>
      <c r="AM1352" s="301" t="s">
        <v>295</v>
      </c>
      <c r="AN1352" s="847">
        <v>7</v>
      </c>
      <c r="AO1352" s="848" t="s">
        <v>966</v>
      </c>
      <c r="AP1352" s="281"/>
      <c r="AQ1352" s="382"/>
      <c r="AR1352" s="253"/>
      <c r="AS1352" s="254"/>
      <c r="AT1352" s="281"/>
      <c r="AU1352" s="382"/>
      <c r="AV1352" s="253"/>
      <c r="AW1352" s="254"/>
      <c r="AX1352" s="281"/>
      <c r="AY1352" s="382"/>
      <c r="AZ1352" s="253"/>
      <c r="BA1352" s="848"/>
      <c r="BB1352" s="280"/>
      <c r="BC1352" s="382"/>
      <c r="BD1352" s="253"/>
      <c r="BE1352" s="848"/>
      <c r="BF1352" s="838"/>
    </row>
    <row r="1353" spans="1:58" s="55" customFormat="1" ht="54" hidden="1" customHeight="1" x14ac:dyDescent="0.25">
      <c r="A1353" s="275" t="s">
        <v>8525</v>
      </c>
      <c r="B1353" s="276">
        <v>57</v>
      </c>
      <c r="C1353" s="253" t="s">
        <v>5202</v>
      </c>
      <c r="D1353" s="253" t="s">
        <v>5203</v>
      </c>
      <c r="E1353" s="282" t="s">
        <v>8842</v>
      </c>
      <c r="F1353" s="277" t="s">
        <v>5205</v>
      </c>
      <c r="G1353" s="277" t="s">
        <v>5206</v>
      </c>
      <c r="H1353" s="218" t="s">
        <v>8843</v>
      </c>
      <c r="I1353" s="277" t="s">
        <v>8844</v>
      </c>
      <c r="J1353" s="302" t="s">
        <v>144</v>
      </c>
      <c r="K1353" s="302" t="s">
        <v>144</v>
      </c>
      <c r="L1353" s="718" t="s">
        <v>8845</v>
      </c>
      <c r="M1353" s="253" t="s">
        <v>144</v>
      </c>
      <c r="N1353" s="217" t="s">
        <v>144</v>
      </c>
      <c r="O1353" s="253" t="s">
        <v>5092</v>
      </c>
      <c r="P1353" s="253" t="s">
        <v>5093</v>
      </c>
      <c r="Q1353" s="218" t="s">
        <v>144</v>
      </c>
      <c r="R1353" s="277" t="s">
        <v>144</v>
      </c>
      <c r="S1353" s="276" t="s">
        <v>147</v>
      </c>
      <c r="T1353" s="221" t="s">
        <v>144</v>
      </c>
      <c r="U1353" s="221" t="s">
        <v>144</v>
      </c>
      <c r="V1353" s="253">
        <v>1</v>
      </c>
      <c r="W1353" s="217" t="s">
        <v>144</v>
      </c>
      <c r="X1353" s="221">
        <v>43</v>
      </c>
      <c r="Y1353" s="221" t="s">
        <v>2285</v>
      </c>
      <c r="Z1353" s="222" t="s">
        <v>25</v>
      </c>
      <c r="AA1353" s="253" t="s">
        <v>5211</v>
      </c>
      <c r="AB1353" s="217" t="s">
        <v>144</v>
      </c>
      <c r="AC1353" s="253" t="s">
        <v>265</v>
      </c>
      <c r="AD1353" s="253" t="s">
        <v>8527</v>
      </c>
      <c r="AE1353" s="253" t="s">
        <v>144</v>
      </c>
      <c r="AF1353" s="254" t="s">
        <v>144</v>
      </c>
      <c r="AG1353" s="681"/>
      <c r="AH1353" s="280"/>
      <c r="AI1353" s="281"/>
      <c r="AJ1353" s="253"/>
      <c r="AK1353" s="254"/>
      <c r="AL1353" s="442"/>
      <c r="AM1353" s="442"/>
      <c r="AN1353" s="422"/>
      <c r="AO1353" s="423"/>
      <c r="AP1353" s="281"/>
      <c r="AQ1353" s="281"/>
      <c r="AR1353" s="253"/>
      <c r="AS1353" s="254"/>
      <c r="AT1353" s="281"/>
      <c r="AU1353" s="281"/>
      <c r="AV1353" s="253"/>
      <c r="AW1353" s="254"/>
      <c r="AX1353" s="281"/>
      <c r="AY1353" s="281"/>
      <c r="AZ1353" s="253"/>
      <c r="BA1353" s="254"/>
      <c r="BB1353" s="280"/>
      <c r="BC1353" s="281"/>
      <c r="BD1353" s="253"/>
      <c r="BE1353" s="254"/>
      <c r="BF1353" s="838"/>
    </row>
    <row r="1354" spans="1:58" s="55" customFormat="1" ht="54" customHeight="1" x14ac:dyDescent="0.25">
      <c r="A1354" s="275" t="s">
        <v>8525</v>
      </c>
      <c r="B1354" s="276">
        <v>58</v>
      </c>
      <c r="C1354" s="253" t="s">
        <v>144</v>
      </c>
      <c r="D1354" s="253" t="s">
        <v>144</v>
      </c>
      <c r="E1354" s="276" t="s">
        <v>8846</v>
      </c>
      <c r="F1354" s="277" t="s">
        <v>251</v>
      </c>
      <c r="G1354" s="277" t="s">
        <v>251</v>
      </c>
      <c r="H1354" s="220" t="s">
        <v>336</v>
      </c>
      <c r="I1354" s="277" t="s">
        <v>337</v>
      </c>
      <c r="J1354" s="302" t="s">
        <v>144</v>
      </c>
      <c r="K1354" s="302" t="s">
        <v>144</v>
      </c>
      <c r="L1354" s="718" t="s">
        <v>8847</v>
      </c>
      <c r="M1354" s="253" t="s">
        <v>144</v>
      </c>
      <c r="N1354" s="302" t="s">
        <v>144</v>
      </c>
      <c r="O1354" s="253" t="s">
        <v>144</v>
      </c>
      <c r="P1354" s="253" t="s">
        <v>144</v>
      </c>
      <c r="Q1354" s="220" t="s">
        <v>338</v>
      </c>
      <c r="R1354" s="220" t="s">
        <v>339</v>
      </c>
      <c r="S1354" s="276" t="s">
        <v>147</v>
      </c>
      <c r="T1354" s="221" t="s">
        <v>144</v>
      </c>
      <c r="U1354" s="221" t="s">
        <v>144</v>
      </c>
      <c r="V1354" s="253">
        <v>17</v>
      </c>
      <c r="W1354" s="217" t="s">
        <v>144</v>
      </c>
      <c r="X1354" s="221" t="s">
        <v>144</v>
      </c>
      <c r="Y1354" s="221" t="s">
        <v>144</v>
      </c>
      <c r="Z1354" s="222" t="s">
        <v>144</v>
      </c>
      <c r="AA1354" s="253" t="s">
        <v>144</v>
      </c>
      <c r="AB1354" s="217" t="s">
        <v>144</v>
      </c>
      <c r="AC1354" s="253" t="s">
        <v>265</v>
      </c>
      <c r="AD1354" s="253" t="s">
        <v>144</v>
      </c>
      <c r="AE1354" s="253" t="s">
        <v>144</v>
      </c>
      <c r="AF1354" s="254" t="s">
        <v>144</v>
      </c>
      <c r="AG1354" s="838"/>
      <c r="AH1354" s="280"/>
      <c r="AI1354" s="281"/>
      <c r="AJ1354" s="253"/>
      <c r="AK1354" s="254"/>
      <c r="AL1354" s="281"/>
      <c r="AM1354" s="281"/>
      <c r="AN1354" s="253"/>
      <c r="AO1354" s="254"/>
      <c r="AP1354" s="281"/>
      <c r="AQ1354" s="281"/>
      <c r="AR1354" s="253"/>
      <c r="AS1354" s="254"/>
      <c r="AT1354" s="281"/>
      <c r="AU1354" s="281"/>
      <c r="AV1354" s="253"/>
      <c r="AW1354" s="254"/>
      <c r="AX1354" s="281"/>
      <c r="AY1354" s="281"/>
      <c r="AZ1354" s="253"/>
      <c r="BA1354" s="254"/>
      <c r="BB1354" s="280"/>
      <c r="BC1354" s="281"/>
      <c r="BD1354" s="253"/>
      <c r="BE1354" s="254"/>
      <c r="BF1354" s="838"/>
    </row>
    <row r="1355" spans="1:58" s="87" customFormat="1" ht="54" hidden="1" customHeight="1" x14ac:dyDescent="0.25">
      <c r="A1355" s="267" t="s">
        <v>8525</v>
      </c>
      <c r="B1355" s="268">
        <v>59</v>
      </c>
      <c r="C1355" s="240" t="s">
        <v>1744</v>
      </c>
      <c r="D1355" s="270" t="s">
        <v>1745</v>
      </c>
      <c r="E1355" s="268" t="s">
        <v>8848</v>
      </c>
      <c r="F1355" s="861" t="s">
        <v>8849</v>
      </c>
      <c r="G1355" s="269" t="s">
        <v>8850</v>
      </c>
      <c r="H1355" s="845" t="s">
        <v>8851</v>
      </c>
      <c r="I1355" s="269" t="s">
        <v>8852</v>
      </c>
      <c r="J1355" s="296" t="s">
        <v>140</v>
      </c>
      <c r="K1355" s="297" t="s">
        <v>140</v>
      </c>
      <c r="L1355" s="862" t="s">
        <v>8853</v>
      </c>
      <c r="M1355" s="206" t="s">
        <v>193</v>
      </c>
      <c r="N1355" s="211" t="s">
        <v>194</v>
      </c>
      <c r="O1355" s="240" t="s">
        <v>8854</v>
      </c>
      <c r="P1355" s="240" t="s">
        <v>8855</v>
      </c>
      <c r="Q1355" s="845" t="s">
        <v>144</v>
      </c>
      <c r="R1355" s="269" t="s">
        <v>144</v>
      </c>
      <c r="S1355" s="864" t="s">
        <v>147</v>
      </c>
      <c r="T1355" s="212" t="s">
        <v>144</v>
      </c>
      <c r="U1355" s="213" t="s">
        <v>144</v>
      </c>
      <c r="V1355" s="847">
        <v>1</v>
      </c>
      <c r="W1355" s="415" t="s">
        <v>144</v>
      </c>
      <c r="X1355" s="212">
        <v>40</v>
      </c>
      <c r="Y1355" s="212" t="s">
        <v>144</v>
      </c>
      <c r="Z1355" s="241" t="s">
        <v>144</v>
      </c>
      <c r="AA1355" s="616" t="s">
        <v>148</v>
      </c>
      <c r="AB1355" s="206" t="s">
        <v>140</v>
      </c>
      <c r="AC1355" s="847" t="s">
        <v>265</v>
      </c>
      <c r="AD1355" s="847" t="s">
        <v>8856</v>
      </c>
      <c r="AE1355" s="847" t="s">
        <v>144</v>
      </c>
      <c r="AF1355" s="848" t="s">
        <v>144</v>
      </c>
      <c r="AG1355" s="838"/>
      <c r="AH1355" s="866"/>
      <c r="AI1355" s="273"/>
      <c r="AJ1355" s="847"/>
      <c r="AK1355" s="848"/>
      <c r="AL1355" s="933" t="s">
        <v>294</v>
      </c>
      <c r="AM1355" s="376" t="s">
        <v>295</v>
      </c>
      <c r="AN1355" s="891">
        <v>7</v>
      </c>
      <c r="AO1355" s="848" t="s">
        <v>966</v>
      </c>
      <c r="AP1355" s="867"/>
      <c r="AQ1355" s="273"/>
      <c r="AR1355" s="847"/>
      <c r="AS1355" s="848"/>
      <c r="AT1355" s="867"/>
      <c r="AU1355" s="273"/>
      <c r="AV1355" s="847"/>
      <c r="AW1355" s="848"/>
      <c r="AX1355" s="867"/>
      <c r="AY1355" s="273"/>
      <c r="AZ1355" s="847"/>
      <c r="BA1355" s="848"/>
      <c r="BB1355" s="866"/>
      <c r="BC1355" s="273"/>
      <c r="BD1355" s="847"/>
      <c r="BE1355" s="848"/>
      <c r="BF1355" s="838"/>
    </row>
    <row r="1356" spans="1:58" s="87" customFormat="1" ht="54" hidden="1" customHeight="1" x14ac:dyDescent="0.25">
      <c r="A1356" s="267" t="s">
        <v>8525</v>
      </c>
      <c r="B1356" s="268">
        <v>60</v>
      </c>
      <c r="C1356" s="240" t="s">
        <v>1744</v>
      </c>
      <c r="D1356" s="270" t="s">
        <v>1745</v>
      </c>
      <c r="E1356" s="268" t="s">
        <v>8857</v>
      </c>
      <c r="F1356" s="861" t="s">
        <v>8858</v>
      </c>
      <c r="G1356" s="269" t="s">
        <v>8859</v>
      </c>
      <c r="H1356" s="845" t="s">
        <v>8860</v>
      </c>
      <c r="I1356" s="269" t="s">
        <v>8861</v>
      </c>
      <c r="J1356" s="296" t="s">
        <v>140</v>
      </c>
      <c r="K1356" s="297" t="s">
        <v>140</v>
      </c>
      <c r="L1356" s="862" t="s">
        <v>8862</v>
      </c>
      <c r="M1356" s="206" t="s">
        <v>193</v>
      </c>
      <c r="N1356" s="211" t="s">
        <v>194</v>
      </c>
      <c r="O1356" s="240" t="s">
        <v>8863</v>
      </c>
      <c r="P1356" s="240" t="s">
        <v>8864</v>
      </c>
      <c r="Q1356" s="845" t="s">
        <v>8865</v>
      </c>
      <c r="R1356" s="269" t="s">
        <v>8866</v>
      </c>
      <c r="S1356" s="864" t="s">
        <v>147</v>
      </c>
      <c r="T1356" s="212" t="s">
        <v>144</v>
      </c>
      <c r="U1356" s="213" t="s">
        <v>144</v>
      </c>
      <c r="V1356" s="847">
        <v>1</v>
      </c>
      <c r="W1356" s="415" t="s">
        <v>144</v>
      </c>
      <c r="X1356" s="212">
        <v>40</v>
      </c>
      <c r="Y1356" s="212" t="s">
        <v>144</v>
      </c>
      <c r="Z1356" s="241" t="s">
        <v>144</v>
      </c>
      <c r="AA1356" s="616" t="s">
        <v>148</v>
      </c>
      <c r="AB1356" s="206" t="s">
        <v>140</v>
      </c>
      <c r="AC1356" s="847" t="s">
        <v>265</v>
      </c>
      <c r="AD1356" s="847" t="s">
        <v>8856</v>
      </c>
      <c r="AE1356" s="847" t="s">
        <v>144</v>
      </c>
      <c r="AF1356" s="848" t="s">
        <v>144</v>
      </c>
      <c r="AG1356" s="838"/>
      <c r="AH1356" s="866"/>
      <c r="AI1356" s="273"/>
      <c r="AJ1356" s="847"/>
      <c r="AK1356" s="848"/>
      <c r="AL1356" s="933" t="s">
        <v>294</v>
      </c>
      <c r="AM1356" s="376" t="s">
        <v>295</v>
      </c>
      <c r="AN1356" s="891">
        <v>7</v>
      </c>
      <c r="AO1356" s="848" t="s">
        <v>966</v>
      </c>
      <c r="AP1356" s="867"/>
      <c r="AQ1356" s="273"/>
      <c r="AR1356" s="847"/>
      <c r="AS1356" s="848"/>
      <c r="AT1356" s="867"/>
      <c r="AU1356" s="273"/>
      <c r="AV1356" s="847"/>
      <c r="AW1356" s="848"/>
      <c r="AX1356" s="867"/>
      <c r="AY1356" s="273"/>
      <c r="AZ1356" s="847"/>
      <c r="BA1356" s="848"/>
      <c r="BB1356" s="866"/>
      <c r="BC1356" s="273"/>
      <c r="BD1356" s="847"/>
      <c r="BE1356" s="848"/>
      <c r="BF1356" s="838"/>
    </row>
    <row r="1357" spans="1:58" s="87" customFormat="1" ht="54" hidden="1" customHeight="1" x14ac:dyDescent="0.25">
      <c r="A1357" s="267" t="s">
        <v>8525</v>
      </c>
      <c r="B1357" s="268">
        <v>61</v>
      </c>
      <c r="C1357" s="240" t="s">
        <v>1744</v>
      </c>
      <c r="D1357" s="270" t="s">
        <v>1745</v>
      </c>
      <c r="E1357" s="268" t="s">
        <v>8867</v>
      </c>
      <c r="F1357" s="861" t="s">
        <v>8868</v>
      </c>
      <c r="G1357" s="269" t="s">
        <v>8869</v>
      </c>
      <c r="H1357" s="845" t="s">
        <v>8870</v>
      </c>
      <c r="I1357" s="269" t="s">
        <v>8871</v>
      </c>
      <c r="J1357" s="296" t="s">
        <v>140</v>
      </c>
      <c r="K1357" s="297" t="s">
        <v>140</v>
      </c>
      <c r="L1357" s="862" t="s">
        <v>8872</v>
      </c>
      <c r="M1357" s="206" t="s">
        <v>193</v>
      </c>
      <c r="N1357" s="211" t="s">
        <v>194</v>
      </c>
      <c r="O1357" s="240" t="s">
        <v>8873</v>
      </c>
      <c r="P1357" s="240" t="s">
        <v>8874</v>
      </c>
      <c r="Q1357" s="845" t="s">
        <v>8875</v>
      </c>
      <c r="R1357" s="269" t="s">
        <v>8876</v>
      </c>
      <c r="S1357" s="864" t="s">
        <v>147</v>
      </c>
      <c r="T1357" s="212" t="s">
        <v>144</v>
      </c>
      <c r="U1357" s="213" t="s">
        <v>144</v>
      </c>
      <c r="V1357" s="847">
        <v>1</v>
      </c>
      <c r="W1357" s="415" t="s">
        <v>144</v>
      </c>
      <c r="X1357" s="212">
        <v>40</v>
      </c>
      <c r="Y1357" s="212" t="s">
        <v>144</v>
      </c>
      <c r="Z1357" s="241" t="s">
        <v>144</v>
      </c>
      <c r="AA1357" s="437" t="s">
        <v>8877</v>
      </c>
      <c r="AB1357" s="206" t="s">
        <v>140</v>
      </c>
      <c r="AC1357" s="847" t="s">
        <v>265</v>
      </c>
      <c r="AD1357" s="847" t="s">
        <v>8856</v>
      </c>
      <c r="AE1357" s="847" t="s">
        <v>144</v>
      </c>
      <c r="AF1357" s="848" t="s">
        <v>144</v>
      </c>
      <c r="AG1357" s="838"/>
      <c r="AH1357" s="866"/>
      <c r="AI1357" s="273"/>
      <c r="AJ1357" s="847"/>
      <c r="AK1357" s="848"/>
      <c r="AL1357" s="867" t="s">
        <v>294</v>
      </c>
      <c r="AM1357" s="273" t="s">
        <v>295</v>
      </c>
      <c r="AN1357" s="847">
        <v>7</v>
      </c>
      <c r="AO1357" s="848" t="s">
        <v>966</v>
      </c>
      <c r="AP1357" s="867"/>
      <c r="AQ1357" s="273"/>
      <c r="AR1357" s="847"/>
      <c r="AS1357" s="848"/>
      <c r="AT1357" s="867"/>
      <c r="AU1357" s="273"/>
      <c r="AV1357" s="847"/>
      <c r="AW1357" s="848"/>
      <c r="AX1357" s="867"/>
      <c r="AY1357" s="273"/>
      <c r="AZ1357" s="847"/>
      <c r="BA1357" s="848"/>
      <c r="BB1357" s="866"/>
      <c r="BC1357" s="273"/>
      <c r="BD1357" s="847"/>
      <c r="BE1357" s="848"/>
      <c r="BF1357" s="838"/>
    </row>
    <row r="1358" spans="1:58" s="87" customFormat="1" ht="54" hidden="1" customHeight="1" x14ac:dyDescent="0.25">
      <c r="A1358" s="267" t="s">
        <v>8525</v>
      </c>
      <c r="B1358" s="268">
        <v>62</v>
      </c>
      <c r="C1358" s="240" t="s">
        <v>1744</v>
      </c>
      <c r="D1358" s="270" t="s">
        <v>1745</v>
      </c>
      <c r="E1358" s="268" t="s">
        <v>8878</v>
      </c>
      <c r="F1358" s="861" t="s">
        <v>8879</v>
      </c>
      <c r="G1358" s="294" t="s">
        <v>8880</v>
      </c>
      <c r="H1358" s="845" t="s">
        <v>8881</v>
      </c>
      <c r="I1358" s="269" t="s">
        <v>8882</v>
      </c>
      <c r="J1358" s="296" t="s">
        <v>140</v>
      </c>
      <c r="K1358" s="297" t="s">
        <v>140</v>
      </c>
      <c r="L1358" s="862" t="s">
        <v>8883</v>
      </c>
      <c r="M1358" s="206" t="s">
        <v>193</v>
      </c>
      <c r="N1358" s="211" t="s">
        <v>194</v>
      </c>
      <c r="O1358" s="240" t="s">
        <v>8884</v>
      </c>
      <c r="P1358" s="240" t="s">
        <v>8885</v>
      </c>
      <c r="Q1358" s="845" t="s">
        <v>8886</v>
      </c>
      <c r="R1358" s="269" t="s">
        <v>8887</v>
      </c>
      <c r="S1358" s="864" t="s">
        <v>147</v>
      </c>
      <c r="T1358" s="212" t="s">
        <v>144</v>
      </c>
      <c r="U1358" s="213" t="s">
        <v>144</v>
      </c>
      <c r="V1358" s="847">
        <v>1</v>
      </c>
      <c r="W1358" s="415" t="s">
        <v>144</v>
      </c>
      <c r="X1358" s="212">
        <v>40</v>
      </c>
      <c r="Y1358" s="212" t="s">
        <v>144</v>
      </c>
      <c r="Z1358" s="241" t="s">
        <v>144</v>
      </c>
      <c r="AA1358" s="616" t="s">
        <v>148</v>
      </c>
      <c r="AB1358" s="206" t="s">
        <v>140</v>
      </c>
      <c r="AC1358" s="847" t="s">
        <v>265</v>
      </c>
      <c r="AD1358" s="847" t="s">
        <v>8856</v>
      </c>
      <c r="AE1358" s="847" t="s">
        <v>144</v>
      </c>
      <c r="AF1358" s="848" t="s">
        <v>144</v>
      </c>
      <c r="AG1358" s="838"/>
      <c r="AH1358" s="866"/>
      <c r="AI1358" s="273"/>
      <c r="AJ1358" s="847"/>
      <c r="AK1358" s="848"/>
      <c r="AL1358" s="867" t="s">
        <v>294</v>
      </c>
      <c r="AM1358" s="273" t="s">
        <v>295</v>
      </c>
      <c r="AN1358" s="847">
        <v>7</v>
      </c>
      <c r="AO1358" s="848" t="s">
        <v>966</v>
      </c>
      <c r="AP1358" s="867"/>
      <c r="AQ1358" s="273"/>
      <c r="AR1358" s="847"/>
      <c r="AS1358" s="848"/>
      <c r="AT1358" s="867"/>
      <c r="AU1358" s="273"/>
      <c r="AV1358" s="847"/>
      <c r="AW1358" s="848"/>
      <c r="AX1358" s="867"/>
      <c r="AY1358" s="273"/>
      <c r="AZ1358" s="847"/>
      <c r="BA1358" s="848"/>
      <c r="BB1358" s="866"/>
      <c r="BC1358" s="273"/>
      <c r="BD1358" s="847"/>
      <c r="BE1358" s="848"/>
      <c r="BF1358" s="838"/>
    </row>
    <row r="1359" spans="1:58" s="87" customFormat="1" ht="54" hidden="1" customHeight="1" x14ac:dyDescent="0.25">
      <c r="A1359" s="267" t="s">
        <v>8525</v>
      </c>
      <c r="B1359" s="268">
        <v>63</v>
      </c>
      <c r="C1359" s="240" t="s">
        <v>1744</v>
      </c>
      <c r="D1359" s="270" t="s">
        <v>1745</v>
      </c>
      <c r="E1359" s="268" t="s">
        <v>8888</v>
      </c>
      <c r="F1359" s="861" t="s">
        <v>8889</v>
      </c>
      <c r="G1359" s="294" t="s">
        <v>8890</v>
      </c>
      <c r="H1359" s="845" t="s">
        <v>8891</v>
      </c>
      <c r="I1359" s="269" t="s">
        <v>8892</v>
      </c>
      <c r="J1359" s="296" t="s">
        <v>140</v>
      </c>
      <c r="K1359" s="297" t="s">
        <v>140</v>
      </c>
      <c r="L1359" s="862" t="s">
        <v>8893</v>
      </c>
      <c r="M1359" s="444" t="s">
        <v>193</v>
      </c>
      <c r="N1359" s="443" t="s">
        <v>194</v>
      </c>
      <c r="O1359" s="240" t="s">
        <v>8894</v>
      </c>
      <c r="P1359" s="240" t="s">
        <v>8895</v>
      </c>
      <c r="Q1359" s="845" t="s">
        <v>8896</v>
      </c>
      <c r="R1359" s="269" t="s">
        <v>8897</v>
      </c>
      <c r="S1359" s="864" t="s">
        <v>147</v>
      </c>
      <c r="T1359" s="212" t="s">
        <v>144</v>
      </c>
      <c r="U1359" s="213" t="s">
        <v>144</v>
      </c>
      <c r="V1359" s="847">
        <v>1</v>
      </c>
      <c r="W1359" s="415" t="s">
        <v>144</v>
      </c>
      <c r="X1359" s="212">
        <v>40</v>
      </c>
      <c r="Y1359" s="212" t="s">
        <v>144</v>
      </c>
      <c r="Z1359" s="241" t="s">
        <v>25</v>
      </c>
      <c r="AA1359" s="616" t="s">
        <v>148</v>
      </c>
      <c r="AB1359" s="206" t="s">
        <v>140</v>
      </c>
      <c r="AC1359" s="847" t="s">
        <v>265</v>
      </c>
      <c r="AD1359" s="847" t="s">
        <v>8898</v>
      </c>
      <c r="AE1359" s="847" t="s">
        <v>144</v>
      </c>
      <c r="AF1359" s="848" t="s">
        <v>144</v>
      </c>
      <c r="AG1359" s="838"/>
      <c r="AH1359" s="885"/>
      <c r="AI1359" s="406"/>
      <c r="AJ1359" s="872"/>
      <c r="AK1359" s="878"/>
      <c r="AL1359" s="867" t="s">
        <v>294</v>
      </c>
      <c r="AM1359" s="273" t="s">
        <v>295</v>
      </c>
      <c r="AN1359" s="847">
        <v>7</v>
      </c>
      <c r="AO1359" s="848" t="s">
        <v>966</v>
      </c>
      <c r="AP1359" s="867"/>
      <c r="AQ1359" s="273"/>
      <c r="AR1359" s="847"/>
      <c r="AS1359" s="848"/>
      <c r="AT1359" s="867"/>
      <c r="AU1359" s="273"/>
      <c r="AV1359" s="847"/>
      <c r="AW1359" s="848"/>
      <c r="AX1359" s="867"/>
      <c r="AY1359" s="273"/>
      <c r="AZ1359" s="847"/>
      <c r="BA1359" s="848"/>
      <c r="BB1359" s="866"/>
      <c r="BC1359" s="273"/>
      <c r="BD1359" s="847"/>
      <c r="BE1359" s="848"/>
      <c r="BF1359" s="838"/>
    </row>
    <row r="1360" spans="1:58" s="55" customFormat="1" ht="54" customHeight="1" x14ac:dyDescent="0.25">
      <c r="A1360" s="275" t="s">
        <v>8525</v>
      </c>
      <c r="B1360" s="276">
        <v>64</v>
      </c>
      <c r="C1360" s="253" t="s">
        <v>144</v>
      </c>
      <c r="D1360" s="253" t="s">
        <v>144</v>
      </c>
      <c r="E1360" s="276" t="s">
        <v>8899</v>
      </c>
      <c r="F1360" s="277" t="s">
        <v>251</v>
      </c>
      <c r="G1360" s="277" t="s">
        <v>251</v>
      </c>
      <c r="H1360" s="220" t="s">
        <v>336</v>
      </c>
      <c r="I1360" s="277" t="s">
        <v>337</v>
      </c>
      <c r="J1360" s="302" t="s">
        <v>144</v>
      </c>
      <c r="K1360" s="302" t="s">
        <v>144</v>
      </c>
      <c r="L1360" s="718" t="s">
        <v>8900</v>
      </c>
      <c r="M1360" s="253" t="s">
        <v>144</v>
      </c>
      <c r="N1360" s="302" t="s">
        <v>144</v>
      </c>
      <c r="O1360" s="253" t="s">
        <v>144</v>
      </c>
      <c r="P1360" s="253" t="s">
        <v>144</v>
      </c>
      <c r="Q1360" s="220" t="s">
        <v>338</v>
      </c>
      <c r="R1360" s="220" t="s">
        <v>339</v>
      </c>
      <c r="S1360" s="276" t="s">
        <v>147</v>
      </c>
      <c r="T1360" s="221" t="s">
        <v>144</v>
      </c>
      <c r="U1360" s="221" t="s">
        <v>144</v>
      </c>
      <c r="V1360" s="253">
        <v>20</v>
      </c>
      <c r="W1360" s="217" t="s">
        <v>144</v>
      </c>
      <c r="X1360" s="221" t="s">
        <v>144</v>
      </c>
      <c r="Y1360" s="221" t="s">
        <v>144</v>
      </c>
      <c r="Z1360" s="221" t="s">
        <v>144</v>
      </c>
      <c r="AA1360" s="253" t="s">
        <v>144</v>
      </c>
      <c r="AB1360" s="217" t="s">
        <v>144</v>
      </c>
      <c r="AC1360" s="253" t="s">
        <v>265</v>
      </c>
      <c r="AD1360" s="253" t="s">
        <v>144</v>
      </c>
      <c r="AE1360" s="253" t="s">
        <v>144</v>
      </c>
      <c r="AF1360" s="254" t="s">
        <v>144</v>
      </c>
      <c r="AG1360" s="838"/>
      <c r="AH1360" s="280"/>
      <c r="AI1360" s="281"/>
      <c r="AJ1360" s="253"/>
      <c r="AK1360" s="254"/>
      <c r="AL1360" s="281"/>
      <c r="AM1360" s="281"/>
      <c r="AN1360" s="253"/>
      <c r="AO1360" s="254"/>
      <c r="AP1360" s="281"/>
      <c r="AQ1360" s="281"/>
      <c r="AR1360" s="253"/>
      <c r="AS1360" s="254"/>
      <c r="AT1360" s="281"/>
      <c r="AU1360" s="281"/>
      <c r="AV1360" s="253"/>
      <c r="AW1360" s="254"/>
      <c r="AX1360" s="281"/>
      <c r="AY1360" s="281"/>
      <c r="AZ1360" s="253"/>
      <c r="BA1360" s="254"/>
      <c r="BB1360" s="280"/>
      <c r="BC1360" s="281"/>
      <c r="BD1360" s="253"/>
      <c r="BE1360" s="254"/>
      <c r="BF1360" s="838"/>
    </row>
    <row r="1361" spans="1:58" s="87" customFormat="1" ht="54" hidden="1" customHeight="1" x14ac:dyDescent="0.25">
      <c r="A1361" s="267" t="s">
        <v>8525</v>
      </c>
      <c r="B1361" s="268">
        <v>65</v>
      </c>
      <c r="C1361" s="240" t="s">
        <v>1744</v>
      </c>
      <c r="D1361" s="270" t="s">
        <v>1745</v>
      </c>
      <c r="E1361" s="268" t="s">
        <v>8901</v>
      </c>
      <c r="F1361" s="861" t="s">
        <v>3814</v>
      </c>
      <c r="G1361" s="269" t="s">
        <v>8902</v>
      </c>
      <c r="H1361" s="861" t="s">
        <v>3814</v>
      </c>
      <c r="I1361" s="269" t="s">
        <v>8902</v>
      </c>
      <c r="J1361" s="296" t="s">
        <v>140</v>
      </c>
      <c r="K1361" s="297" t="s">
        <v>140</v>
      </c>
      <c r="L1361" s="862" t="s">
        <v>3816</v>
      </c>
      <c r="M1361" s="206" t="s">
        <v>973</v>
      </c>
      <c r="N1361" s="211" t="s">
        <v>974</v>
      </c>
      <c r="O1361" s="240" t="s">
        <v>144</v>
      </c>
      <c r="P1361" s="240" t="s">
        <v>144</v>
      </c>
      <c r="Q1361" s="845" t="s">
        <v>144</v>
      </c>
      <c r="R1361" s="269" t="s">
        <v>144</v>
      </c>
      <c r="S1361" s="864" t="s">
        <v>746</v>
      </c>
      <c r="T1361" s="212" t="s">
        <v>1104</v>
      </c>
      <c r="U1361" s="213" t="s">
        <v>1105</v>
      </c>
      <c r="V1361" s="847">
        <v>19</v>
      </c>
      <c r="W1361" s="415" t="s">
        <v>144</v>
      </c>
      <c r="X1361" s="212">
        <v>40</v>
      </c>
      <c r="Y1361" s="212" t="s">
        <v>144</v>
      </c>
      <c r="Z1361" s="241" t="s">
        <v>144</v>
      </c>
      <c r="AA1361" s="437" t="s">
        <v>8903</v>
      </c>
      <c r="AB1361" s="206" t="s">
        <v>140</v>
      </c>
      <c r="AC1361" s="847" t="s">
        <v>265</v>
      </c>
      <c r="AD1361" s="847" t="s">
        <v>8904</v>
      </c>
      <c r="AE1361" s="847" t="s">
        <v>144</v>
      </c>
      <c r="AF1361" s="848" t="s">
        <v>144</v>
      </c>
      <c r="AG1361" s="838"/>
      <c r="AH1361" s="866" t="s">
        <v>8905</v>
      </c>
      <c r="AI1361" s="273" t="s">
        <v>8906</v>
      </c>
      <c r="AJ1361" s="847">
        <v>6</v>
      </c>
      <c r="AK1361" s="848" t="s">
        <v>8907</v>
      </c>
      <c r="AL1361" s="867"/>
      <c r="AM1361" s="273"/>
      <c r="AN1361" s="847"/>
      <c r="AO1361" s="848"/>
      <c r="AP1361" s="284" t="s">
        <v>1107</v>
      </c>
      <c r="AQ1361" s="273" t="s">
        <v>1108</v>
      </c>
      <c r="AR1361" s="285">
        <v>7</v>
      </c>
      <c r="AS1361" s="286" t="s">
        <v>1109</v>
      </c>
      <c r="AT1361" s="867"/>
      <c r="AU1361" s="273"/>
      <c r="AV1361" s="847"/>
      <c r="AW1361" s="848"/>
      <c r="AX1361" s="867"/>
      <c r="AY1361" s="273"/>
      <c r="AZ1361" s="847"/>
      <c r="BA1361" s="848"/>
      <c r="BB1361" s="866"/>
      <c r="BC1361" s="273"/>
      <c r="BD1361" s="847"/>
      <c r="BE1361" s="848"/>
      <c r="BF1361" s="838"/>
    </row>
    <row r="1362" spans="1:58" s="87" customFormat="1" ht="54" hidden="1" customHeight="1" x14ac:dyDescent="0.25">
      <c r="A1362" s="267" t="s">
        <v>8525</v>
      </c>
      <c r="B1362" s="268">
        <v>66</v>
      </c>
      <c r="C1362" s="240" t="s">
        <v>1744</v>
      </c>
      <c r="D1362" s="270" t="s">
        <v>1745</v>
      </c>
      <c r="E1362" s="268" t="s">
        <v>8908</v>
      </c>
      <c r="F1362" s="861" t="s">
        <v>3822</v>
      </c>
      <c r="G1362" s="269" t="s">
        <v>8909</v>
      </c>
      <c r="H1362" s="845" t="s">
        <v>8910</v>
      </c>
      <c r="I1362" s="269" t="s">
        <v>8909</v>
      </c>
      <c r="J1362" s="296" t="s">
        <v>140</v>
      </c>
      <c r="K1362" s="297" t="s">
        <v>140</v>
      </c>
      <c r="L1362" s="862" t="s">
        <v>3824</v>
      </c>
      <c r="M1362" s="206" t="s">
        <v>973</v>
      </c>
      <c r="N1362" s="211" t="s">
        <v>974</v>
      </c>
      <c r="O1362" s="240" t="s">
        <v>814</v>
      </c>
      <c r="P1362" s="240" t="s">
        <v>815</v>
      </c>
      <c r="Q1362" s="845" t="s">
        <v>144</v>
      </c>
      <c r="R1362" s="269" t="s">
        <v>144</v>
      </c>
      <c r="S1362" s="864" t="s">
        <v>147</v>
      </c>
      <c r="T1362" s="212" t="s">
        <v>144</v>
      </c>
      <c r="U1362" s="213" t="s">
        <v>144</v>
      </c>
      <c r="V1362" s="847">
        <v>3</v>
      </c>
      <c r="W1362" s="415" t="s">
        <v>144</v>
      </c>
      <c r="X1362" s="212">
        <v>40</v>
      </c>
      <c r="Y1362" s="212" t="s">
        <v>144</v>
      </c>
      <c r="Z1362" s="241" t="s">
        <v>144</v>
      </c>
      <c r="AA1362" s="437" t="s">
        <v>8903</v>
      </c>
      <c r="AB1362" s="206" t="s">
        <v>140</v>
      </c>
      <c r="AC1362" s="847" t="s">
        <v>265</v>
      </c>
      <c r="AD1362" s="847" t="s">
        <v>8911</v>
      </c>
      <c r="AE1362" s="847" t="s">
        <v>144</v>
      </c>
      <c r="AF1362" s="848" t="s">
        <v>144</v>
      </c>
      <c r="AG1362" s="838"/>
      <c r="AH1362" s="866" t="s">
        <v>8912</v>
      </c>
      <c r="AI1362" s="273" t="s">
        <v>8913</v>
      </c>
      <c r="AJ1362" s="847">
        <v>7</v>
      </c>
      <c r="AK1362" s="848" t="s">
        <v>1280</v>
      </c>
      <c r="AL1362" s="867" t="s">
        <v>294</v>
      </c>
      <c r="AM1362" s="273" t="s">
        <v>295</v>
      </c>
      <c r="AN1362" s="847">
        <v>7</v>
      </c>
      <c r="AO1362" s="848" t="s">
        <v>966</v>
      </c>
      <c r="AP1362" s="867"/>
      <c r="AQ1362" s="273"/>
      <c r="AR1362" s="847"/>
      <c r="AS1362" s="848"/>
      <c r="AT1362" s="867"/>
      <c r="AU1362" s="273"/>
      <c r="AV1362" s="847"/>
      <c r="AW1362" s="848"/>
      <c r="AX1362" s="867"/>
      <c r="AY1362" s="273"/>
      <c r="AZ1362" s="847"/>
      <c r="BA1362" s="848"/>
      <c r="BB1362" s="866"/>
      <c r="BC1362" s="273"/>
      <c r="BD1362" s="847"/>
      <c r="BE1362" s="848"/>
      <c r="BF1362" s="838"/>
    </row>
    <row r="1363" spans="1:58" s="87" customFormat="1" ht="54" hidden="1" customHeight="1" x14ac:dyDescent="0.25">
      <c r="A1363" s="267" t="s">
        <v>8525</v>
      </c>
      <c r="B1363" s="268">
        <v>67</v>
      </c>
      <c r="C1363" s="240" t="s">
        <v>1744</v>
      </c>
      <c r="D1363" s="270" t="s">
        <v>1745</v>
      </c>
      <c r="E1363" s="268" t="s">
        <v>8914</v>
      </c>
      <c r="F1363" s="886" t="s">
        <v>8915</v>
      </c>
      <c r="G1363" s="430" t="s">
        <v>8916</v>
      </c>
      <c r="H1363" s="845" t="s">
        <v>3466</v>
      </c>
      <c r="I1363" s="269" t="s">
        <v>8917</v>
      </c>
      <c r="J1363" s="296" t="s">
        <v>140</v>
      </c>
      <c r="K1363" s="297" t="s">
        <v>140</v>
      </c>
      <c r="L1363" s="862" t="s">
        <v>8918</v>
      </c>
      <c r="M1363" s="206" t="s">
        <v>973</v>
      </c>
      <c r="N1363" s="211" t="s">
        <v>974</v>
      </c>
      <c r="O1363" s="240" t="s">
        <v>2760</v>
      </c>
      <c r="P1363" s="240" t="s">
        <v>2761</v>
      </c>
      <c r="Q1363" s="845" t="s">
        <v>8919</v>
      </c>
      <c r="R1363" s="269" t="s">
        <v>8920</v>
      </c>
      <c r="S1363" s="864" t="s">
        <v>147</v>
      </c>
      <c r="T1363" s="212" t="s">
        <v>144</v>
      </c>
      <c r="U1363" s="213" t="s">
        <v>144</v>
      </c>
      <c r="V1363" s="847">
        <v>2</v>
      </c>
      <c r="W1363" s="415" t="s">
        <v>144</v>
      </c>
      <c r="X1363" s="212">
        <v>40</v>
      </c>
      <c r="Y1363" s="212" t="s">
        <v>144</v>
      </c>
      <c r="Z1363" s="241" t="s">
        <v>25</v>
      </c>
      <c r="AA1363" s="437" t="s">
        <v>8921</v>
      </c>
      <c r="AB1363" s="206" t="s">
        <v>140</v>
      </c>
      <c r="AC1363" s="847" t="s">
        <v>265</v>
      </c>
      <c r="AD1363" s="847" t="s">
        <v>8922</v>
      </c>
      <c r="AE1363" s="847" t="s">
        <v>144</v>
      </c>
      <c r="AF1363" s="848" t="s">
        <v>144</v>
      </c>
      <c r="AG1363" s="838"/>
      <c r="AH1363" s="866" t="s">
        <v>8923</v>
      </c>
      <c r="AI1363" s="273" t="s">
        <v>8924</v>
      </c>
      <c r="AJ1363" s="847">
        <v>6</v>
      </c>
      <c r="AK1363" s="286" t="s">
        <v>8925</v>
      </c>
      <c r="AL1363" s="867" t="s">
        <v>294</v>
      </c>
      <c r="AM1363" s="273" t="s">
        <v>295</v>
      </c>
      <c r="AN1363" s="847">
        <v>7</v>
      </c>
      <c r="AO1363" s="848" t="s">
        <v>966</v>
      </c>
      <c r="AP1363" s="867"/>
      <c r="AQ1363" s="273"/>
      <c r="AR1363" s="847"/>
      <c r="AS1363" s="848"/>
      <c r="AT1363" s="867"/>
      <c r="AU1363" s="273"/>
      <c r="AV1363" s="847"/>
      <c r="AW1363" s="848"/>
      <c r="AX1363" s="867"/>
      <c r="AY1363" s="273"/>
      <c r="AZ1363" s="847"/>
      <c r="BA1363" s="848"/>
      <c r="BB1363" s="866"/>
      <c r="BC1363" s="273"/>
      <c r="BD1363" s="847"/>
      <c r="BE1363" s="848"/>
      <c r="BF1363" s="838"/>
    </row>
    <row r="1364" spans="1:58" s="87" customFormat="1" ht="54" hidden="1" customHeight="1" x14ac:dyDescent="0.25">
      <c r="A1364" s="267" t="s">
        <v>8525</v>
      </c>
      <c r="B1364" s="268">
        <v>68</v>
      </c>
      <c r="C1364" s="240" t="s">
        <v>684</v>
      </c>
      <c r="D1364" s="270" t="s">
        <v>685</v>
      </c>
      <c r="E1364" s="268" t="s">
        <v>8926</v>
      </c>
      <c r="F1364" s="861" t="s">
        <v>8927</v>
      </c>
      <c r="G1364" s="269" t="s">
        <v>8928</v>
      </c>
      <c r="H1364" s="845" t="s">
        <v>8927</v>
      </c>
      <c r="I1364" s="269" t="s">
        <v>8928</v>
      </c>
      <c r="J1364" s="296" t="s">
        <v>140</v>
      </c>
      <c r="K1364" s="297" t="s">
        <v>140</v>
      </c>
      <c r="L1364" s="862" t="s">
        <v>8929</v>
      </c>
      <c r="M1364" s="206" t="s">
        <v>193</v>
      </c>
      <c r="N1364" s="211" t="s">
        <v>194</v>
      </c>
      <c r="O1364" s="240" t="s">
        <v>8930</v>
      </c>
      <c r="P1364" s="240" t="s">
        <v>8931</v>
      </c>
      <c r="Q1364" s="845" t="s">
        <v>144</v>
      </c>
      <c r="R1364" s="269" t="s">
        <v>144</v>
      </c>
      <c r="S1364" s="864" t="s">
        <v>147</v>
      </c>
      <c r="T1364" s="212" t="s">
        <v>144</v>
      </c>
      <c r="U1364" s="213" t="s">
        <v>144</v>
      </c>
      <c r="V1364" s="847">
        <v>1</v>
      </c>
      <c r="W1364" s="415" t="s">
        <v>144</v>
      </c>
      <c r="X1364" s="212">
        <v>40</v>
      </c>
      <c r="Y1364" s="212" t="s">
        <v>144</v>
      </c>
      <c r="Z1364" s="241" t="s">
        <v>144</v>
      </c>
      <c r="AA1364" s="616" t="s">
        <v>148</v>
      </c>
      <c r="AB1364" s="206" t="s">
        <v>140</v>
      </c>
      <c r="AC1364" s="847" t="s">
        <v>265</v>
      </c>
      <c r="AD1364" s="847" t="s">
        <v>8922</v>
      </c>
      <c r="AE1364" s="847" t="s">
        <v>144</v>
      </c>
      <c r="AF1364" s="848" t="s">
        <v>144</v>
      </c>
      <c r="AG1364" s="838"/>
      <c r="AH1364" s="866"/>
      <c r="AI1364" s="273"/>
      <c r="AJ1364" s="847"/>
      <c r="AK1364" s="848"/>
      <c r="AL1364" s="875" t="s">
        <v>294</v>
      </c>
      <c r="AM1364" s="301" t="s">
        <v>295</v>
      </c>
      <c r="AN1364" s="847">
        <v>7</v>
      </c>
      <c r="AO1364" s="848" t="s">
        <v>966</v>
      </c>
      <c r="AP1364" s="867"/>
      <c r="AQ1364" s="273"/>
      <c r="AR1364" s="847"/>
      <c r="AS1364" s="848"/>
      <c r="AT1364" s="867"/>
      <c r="AU1364" s="273"/>
      <c r="AV1364" s="847"/>
      <c r="AW1364" s="848"/>
      <c r="AX1364" s="867"/>
      <c r="AY1364" s="273"/>
      <c r="AZ1364" s="847"/>
      <c r="BA1364" s="848"/>
      <c r="BB1364" s="866"/>
      <c r="BC1364" s="273"/>
      <c r="BD1364" s="847"/>
      <c r="BE1364" s="848"/>
      <c r="BF1364" s="838"/>
    </row>
    <row r="1365" spans="1:58" s="87" customFormat="1" ht="54" hidden="1" customHeight="1" x14ac:dyDescent="0.25">
      <c r="A1365" s="267" t="s">
        <v>8525</v>
      </c>
      <c r="B1365" s="268">
        <v>69</v>
      </c>
      <c r="C1365" s="240" t="s">
        <v>2378</v>
      </c>
      <c r="D1365" s="270" t="s">
        <v>2379</v>
      </c>
      <c r="E1365" s="268" t="s">
        <v>8932</v>
      </c>
      <c r="F1365" s="861" t="s">
        <v>8933</v>
      </c>
      <c r="G1365" s="269" t="s">
        <v>8934</v>
      </c>
      <c r="H1365" s="845" t="s">
        <v>8935</v>
      </c>
      <c r="I1365" s="269" t="s">
        <v>8936</v>
      </c>
      <c r="J1365" s="296" t="s">
        <v>140</v>
      </c>
      <c r="K1365" s="297" t="s">
        <v>140</v>
      </c>
      <c r="L1365" s="862" t="s">
        <v>8937</v>
      </c>
      <c r="M1365" s="206" t="s">
        <v>973</v>
      </c>
      <c r="N1365" s="211" t="s">
        <v>974</v>
      </c>
      <c r="O1365" s="240" t="s">
        <v>2771</v>
      </c>
      <c r="P1365" s="240" t="s">
        <v>2772</v>
      </c>
      <c r="Q1365" s="845" t="s">
        <v>144</v>
      </c>
      <c r="R1365" s="269" t="s">
        <v>144</v>
      </c>
      <c r="S1365" s="864" t="s">
        <v>147</v>
      </c>
      <c r="T1365" s="212" t="s">
        <v>144</v>
      </c>
      <c r="U1365" s="213" t="s">
        <v>144</v>
      </c>
      <c r="V1365" s="847">
        <v>2</v>
      </c>
      <c r="W1365" s="415" t="s">
        <v>144</v>
      </c>
      <c r="X1365" s="212">
        <v>40</v>
      </c>
      <c r="Y1365" s="212" t="s">
        <v>144</v>
      </c>
      <c r="Z1365" s="241" t="s">
        <v>144</v>
      </c>
      <c r="AA1365" s="437" t="s">
        <v>8921</v>
      </c>
      <c r="AB1365" s="206" t="s">
        <v>140</v>
      </c>
      <c r="AC1365" s="847" t="s">
        <v>265</v>
      </c>
      <c r="AD1365" s="847" t="s">
        <v>8911</v>
      </c>
      <c r="AE1365" s="847" t="s">
        <v>144</v>
      </c>
      <c r="AF1365" s="848" t="s">
        <v>144</v>
      </c>
      <c r="AG1365" s="838"/>
      <c r="AH1365" s="866" t="s">
        <v>8938</v>
      </c>
      <c r="AI1365" s="273" t="s">
        <v>8939</v>
      </c>
      <c r="AJ1365" s="847">
        <v>6</v>
      </c>
      <c r="AK1365" s="848" t="s">
        <v>8940</v>
      </c>
      <c r="AL1365" s="867" t="s">
        <v>294</v>
      </c>
      <c r="AM1365" s="273" t="s">
        <v>295</v>
      </c>
      <c r="AN1365" s="847">
        <v>7</v>
      </c>
      <c r="AO1365" s="848" t="s">
        <v>966</v>
      </c>
      <c r="AP1365" s="867"/>
      <c r="AQ1365" s="273"/>
      <c r="AR1365" s="847"/>
      <c r="AS1365" s="848"/>
      <c r="AT1365" s="867"/>
      <c r="AU1365" s="273"/>
      <c r="AV1365" s="847"/>
      <c r="AW1365" s="848"/>
      <c r="AX1365" s="867"/>
      <c r="AY1365" s="273"/>
      <c r="AZ1365" s="847"/>
      <c r="BA1365" s="848"/>
      <c r="BB1365" s="866"/>
      <c r="BC1365" s="273"/>
      <c r="BD1365" s="847"/>
      <c r="BE1365" s="848"/>
      <c r="BF1365" s="838"/>
    </row>
    <row r="1366" spans="1:58" s="87" customFormat="1" ht="54" hidden="1" customHeight="1" x14ac:dyDescent="0.25">
      <c r="A1366" s="267" t="s">
        <v>8525</v>
      </c>
      <c r="B1366" s="268">
        <v>70</v>
      </c>
      <c r="C1366" s="240" t="s">
        <v>2378</v>
      </c>
      <c r="D1366" s="270" t="s">
        <v>2379</v>
      </c>
      <c r="E1366" s="268" t="s">
        <v>8941</v>
      </c>
      <c r="F1366" s="861" t="s">
        <v>8942</v>
      </c>
      <c r="G1366" s="269" t="s">
        <v>8943</v>
      </c>
      <c r="H1366" s="845" t="s">
        <v>8944</v>
      </c>
      <c r="I1366" s="269" t="s">
        <v>8945</v>
      </c>
      <c r="J1366" s="296" t="s">
        <v>140</v>
      </c>
      <c r="K1366" s="297" t="s">
        <v>140</v>
      </c>
      <c r="L1366" s="862" t="s">
        <v>8946</v>
      </c>
      <c r="M1366" s="206" t="s">
        <v>973</v>
      </c>
      <c r="N1366" s="211" t="s">
        <v>974</v>
      </c>
      <c r="O1366" s="240" t="s">
        <v>144</v>
      </c>
      <c r="P1366" s="240" t="s">
        <v>144</v>
      </c>
      <c r="Q1366" s="845" t="s">
        <v>144</v>
      </c>
      <c r="R1366" s="269" t="s">
        <v>144</v>
      </c>
      <c r="S1366" s="864" t="s">
        <v>147</v>
      </c>
      <c r="T1366" s="212" t="s">
        <v>144</v>
      </c>
      <c r="U1366" s="213" t="s">
        <v>144</v>
      </c>
      <c r="V1366" s="847">
        <v>12</v>
      </c>
      <c r="W1366" s="415" t="s">
        <v>144</v>
      </c>
      <c r="X1366" s="212">
        <v>40</v>
      </c>
      <c r="Y1366" s="212" t="s">
        <v>144</v>
      </c>
      <c r="Z1366" s="433" t="s">
        <v>25</v>
      </c>
      <c r="AA1366" s="407" t="s">
        <v>8947</v>
      </c>
      <c r="AB1366" s="206" t="s">
        <v>140</v>
      </c>
      <c r="AC1366" s="847" t="s">
        <v>265</v>
      </c>
      <c r="AD1366" s="847" t="s">
        <v>8911</v>
      </c>
      <c r="AE1366" s="847" t="s">
        <v>144</v>
      </c>
      <c r="AF1366" s="848" t="s">
        <v>144</v>
      </c>
      <c r="AG1366" s="838"/>
      <c r="AH1366" s="866" t="s">
        <v>8938</v>
      </c>
      <c r="AI1366" s="273" t="s">
        <v>8939</v>
      </c>
      <c r="AJ1366" s="847">
        <v>6</v>
      </c>
      <c r="AK1366" s="848" t="s">
        <v>8940</v>
      </c>
      <c r="AL1366" s="867"/>
      <c r="AM1366" s="273"/>
      <c r="AN1366" s="847"/>
      <c r="AO1366" s="848"/>
      <c r="AP1366" s="867" t="s">
        <v>2788</v>
      </c>
      <c r="AQ1366" s="273" t="s">
        <v>2789</v>
      </c>
      <c r="AR1366" s="847">
        <v>6</v>
      </c>
      <c r="AS1366" s="848" t="s">
        <v>2790</v>
      </c>
      <c r="AT1366" s="867"/>
      <c r="AU1366" s="273"/>
      <c r="AV1366" s="847"/>
      <c r="AW1366" s="848"/>
      <c r="AX1366" s="867"/>
      <c r="AY1366" s="273"/>
      <c r="AZ1366" s="847"/>
      <c r="BA1366" s="848"/>
      <c r="BB1366" s="866"/>
      <c r="BC1366" s="273"/>
      <c r="BD1366" s="847"/>
      <c r="BE1366" s="848"/>
      <c r="BF1366" s="838"/>
    </row>
    <row r="1367" spans="1:58" s="87" customFormat="1" ht="54" hidden="1" customHeight="1" x14ac:dyDescent="0.25">
      <c r="A1367" s="267" t="s">
        <v>8525</v>
      </c>
      <c r="B1367" s="268">
        <v>71</v>
      </c>
      <c r="C1367" s="240" t="s">
        <v>2378</v>
      </c>
      <c r="D1367" s="270" t="s">
        <v>2379</v>
      </c>
      <c r="E1367" s="268" t="s">
        <v>8948</v>
      </c>
      <c r="F1367" s="861" t="s">
        <v>8949</v>
      </c>
      <c r="G1367" s="269" t="s">
        <v>8950</v>
      </c>
      <c r="H1367" s="845" t="s">
        <v>8951</v>
      </c>
      <c r="I1367" s="269" t="s">
        <v>8952</v>
      </c>
      <c r="J1367" s="296" t="s">
        <v>140</v>
      </c>
      <c r="K1367" s="297" t="s">
        <v>140</v>
      </c>
      <c r="L1367" s="862" t="s">
        <v>8953</v>
      </c>
      <c r="M1367" s="206" t="s">
        <v>973</v>
      </c>
      <c r="N1367" s="211" t="s">
        <v>974</v>
      </c>
      <c r="O1367" s="240" t="s">
        <v>2797</v>
      </c>
      <c r="P1367" s="240" t="s">
        <v>2798</v>
      </c>
      <c r="Q1367" s="845" t="s">
        <v>8919</v>
      </c>
      <c r="R1367" s="269" t="s">
        <v>8920</v>
      </c>
      <c r="S1367" s="864" t="s">
        <v>147</v>
      </c>
      <c r="T1367" s="212" t="s">
        <v>144</v>
      </c>
      <c r="U1367" s="213" t="s">
        <v>144</v>
      </c>
      <c r="V1367" s="847">
        <v>1</v>
      </c>
      <c r="W1367" s="415" t="s">
        <v>144</v>
      </c>
      <c r="X1367" s="212">
        <v>40</v>
      </c>
      <c r="Y1367" s="212" t="s">
        <v>144</v>
      </c>
      <c r="Z1367" s="241" t="s">
        <v>144</v>
      </c>
      <c r="AA1367" s="437" t="s">
        <v>8954</v>
      </c>
      <c r="AB1367" s="206" t="s">
        <v>140</v>
      </c>
      <c r="AC1367" s="847" t="s">
        <v>265</v>
      </c>
      <c r="AD1367" s="847" t="s">
        <v>8922</v>
      </c>
      <c r="AE1367" s="847" t="s">
        <v>144</v>
      </c>
      <c r="AF1367" s="848" t="s">
        <v>144</v>
      </c>
      <c r="AG1367" s="838"/>
      <c r="AH1367" s="866" t="s">
        <v>8938</v>
      </c>
      <c r="AI1367" s="273" t="s">
        <v>8939</v>
      </c>
      <c r="AJ1367" s="847">
        <v>6</v>
      </c>
      <c r="AK1367" s="848" t="s">
        <v>8940</v>
      </c>
      <c r="AL1367" s="867" t="s">
        <v>294</v>
      </c>
      <c r="AM1367" s="273" t="s">
        <v>295</v>
      </c>
      <c r="AN1367" s="847">
        <v>7</v>
      </c>
      <c r="AO1367" s="848" t="s">
        <v>966</v>
      </c>
      <c r="AP1367" s="867"/>
      <c r="AQ1367" s="273"/>
      <c r="AR1367" s="847"/>
      <c r="AS1367" s="848"/>
      <c r="AT1367" s="867"/>
      <c r="AU1367" s="273"/>
      <c r="AV1367" s="847"/>
      <c r="AW1367" s="848"/>
      <c r="AX1367" s="867"/>
      <c r="AY1367" s="273"/>
      <c r="AZ1367" s="847"/>
      <c r="BA1367" s="848"/>
      <c r="BB1367" s="866"/>
      <c r="BC1367" s="273"/>
      <c r="BD1367" s="847"/>
      <c r="BE1367" s="848"/>
      <c r="BF1367" s="838"/>
    </row>
    <row r="1368" spans="1:58" s="87" customFormat="1" ht="54" hidden="1" customHeight="1" x14ac:dyDescent="0.25">
      <c r="A1368" s="267" t="s">
        <v>8525</v>
      </c>
      <c r="B1368" s="268">
        <v>72</v>
      </c>
      <c r="C1368" s="240" t="s">
        <v>2378</v>
      </c>
      <c r="D1368" s="270" t="s">
        <v>2379</v>
      </c>
      <c r="E1368" s="268" t="s">
        <v>8955</v>
      </c>
      <c r="F1368" s="861" t="s">
        <v>8956</v>
      </c>
      <c r="G1368" s="269" t="s">
        <v>8957</v>
      </c>
      <c r="H1368" s="845" t="s">
        <v>8956</v>
      </c>
      <c r="I1368" s="269" t="s">
        <v>8957</v>
      </c>
      <c r="J1368" s="296" t="s">
        <v>140</v>
      </c>
      <c r="K1368" s="297" t="s">
        <v>140</v>
      </c>
      <c r="L1368" s="862" t="s">
        <v>8958</v>
      </c>
      <c r="M1368" s="444" t="s">
        <v>193</v>
      </c>
      <c r="N1368" s="443" t="s">
        <v>194</v>
      </c>
      <c r="O1368" s="240" t="s">
        <v>144</v>
      </c>
      <c r="P1368" s="240" t="s">
        <v>144</v>
      </c>
      <c r="Q1368" s="845" t="s">
        <v>144</v>
      </c>
      <c r="R1368" s="269" t="s">
        <v>144</v>
      </c>
      <c r="S1368" s="864" t="s">
        <v>746</v>
      </c>
      <c r="T1368" s="212" t="s">
        <v>144</v>
      </c>
      <c r="U1368" s="213" t="s">
        <v>144</v>
      </c>
      <c r="V1368" s="847">
        <v>10</v>
      </c>
      <c r="W1368" s="415" t="s">
        <v>144</v>
      </c>
      <c r="X1368" s="212">
        <v>40</v>
      </c>
      <c r="Y1368" s="212" t="s">
        <v>144</v>
      </c>
      <c r="Z1368" s="241" t="s">
        <v>25</v>
      </c>
      <c r="AA1368" s="437" t="s">
        <v>148</v>
      </c>
      <c r="AB1368" s="206" t="s">
        <v>140</v>
      </c>
      <c r="AC1368" s="847" t="s">
        <v>265</v>
      </c>
      <c r="AD1368" s="847" t="s">
        <v>8904</v>
      </c>
      <c r="AE1368" s="847" t="s">
        <v>144</v>
      </c>
      <c r="AF1368" s="848" t="s">
        <v>144</v>
      </c>
      <c r="AG1368" s="838"/>
      <c r="AH1368" s="885"/>
      <c r="AI1368" s="406"/>
      <c r="AJ1368" s="872"/>
      <c r="AK1368" s="878"/>
      <c r="AL1368" s="867"/>
      <c r="AM1368" s="273"/>
      <c r="AN1368" s="847"/>
      <c r="AO1368" s="848"/>
      <c r="AP1368" s="867"/>
      <c r="AQ1368" s="273"/>
      <c r="AR1368" s="847"/>
      <c r="AS1368" s="848"/>
      <c r="AT1368" s="867"/>
      <c r="AU1368" s="273"/>
      <c r="AV1368" s="847"/>
      <c r="AW1368" s="848"/>
      <c r="AX1368" s="867"/>
      <c r="AY1368" s="273"/>
      <c r="AZ1368" s="847"/>
      <c r="BA1368" s="848"/>
      <c r="BB1368" s="866"/>
      <c r="BC1368" s="273"/>
      <c r="BD1368" s="847"/>
      <c r="BE1368" s="848"/>
      <c r="BF1368" s="838"/>
    </row>
    <row r="1369" spans="1:58" s="87" customFormat="1" ht="54" hidden="1" customHeight="1" x14ac:dyDescent="0.25">
      <c r="A1369" s="267" t="s">
        <v>8525</v>
      </c>
      <c r="B1369" s="268">
        <v>73</v>
      </c>
      <c r="C1369" s="240" t="s">
        <v>2378</v>
      </c>
      <c r="D1369" s="270" t="s">
        <v>2379</v>
      </c>
      <c r="E1369" s="268" t="s">
        <v>8959</v>
      </c>
      <c r="F1369" s="861" t="s">
        <v>8960</v>
      </c>
      <c r="G1369" s="269" t="s">
        <v>8961</v>
      </c>
      <c r="H1369" s="845" t="s">
        <v>8962</v>
      </c>
      <c r="I1369" s="269" t="s">
        <v>8963</v>
      </c>
      <c r="J1369" s="296" t="s">
        <v>140</v>
      </c>
      <c r="K1369" s="297" t="s">
        <v>140</v>
      </c>
      <c r="L1369" s="862" t="s">
        <v>8847</v>
      </c>
      <c r="M1369" s="206" t="s">
        <v>973</v>
      </c>
      <c r="N1369" s="211" t="s">
        <v>974</v>
      </c>
      <c r="O1369" s="240" t="s">
        <v>144</v>
      </c>
      <c r="P1369" s="240" t="s">
        <v>144</v>
      </c>
      <c r="Q1369" s="845" t="s">
        <v>144</v>
      </c>
      <c r="R1369" s="269" t="s">
        <v>144</v>
      </c>
      <c r="S1369" s="181" t="s">
        <v>233</v>
      </c>
      <c r="T1369" s="212" t="s">
        <v>234</v>
      </c>
      <c r="U1369" s="213" t="s">
        <v>235</v>
      </c>
      <c r="V1369" s="847">
        <v>8</v>
      </c>
      <c r="W1369" s="415" t="s">
        <v>144</v>
      </c>
      <c r="X1369" s="212">
        <v>40</v>
      </c>
      <c r="Y1369" s="212" t="s">
        <v>144</v>
      </c>
      <c r="Z1369" s="241" t="s">
        <v>144</v>
      </c>
      <c r="AA1369" s="437" t="s">
        <v>8964</v>
      </c>
      <c r="AB1369" s="206" t="s">
        <v>140</v>
      </c>
      <c r="AC1369" s="847" t="s">
        <v>265</v>
      </c>
      <c r="AD1369" s="847" t="s">
        <v>8965</v>
      </c>
      <c r="AE1369" s="847" t="s">
        <v>144</v>
      </c>
      <c r="AF1369" s="848" t="s">
        <v>144</v>
      </c>
      <c r="AG1369" s="838"/>
      <c r="AH1369" s="866" t="s">
        <v>8966</v>
      </c>
      <c r="AI1369" s="273" t="s">
        <v>8967</v>
      </c>
      <c r="AJ1369" s="847">
        <v>6</v>
      </c>
      <c r="AK1369" s="286" t="s">
        <v>8968</v>
      </c>
      <c r="AL1369" s="867"/>
      <c r="AM1369" s="273"/>
      <c r="AN1369" s="847"/>
      <c r="AO1369" s="848"/>
      <c r="AP1369" s="867" t="s">
        <v>1174</v>
      </c>
      <c r="AQ1369" s="273" t="s">
        <v>1175</v>
      </c>
      <c r="AR1369" s="847">
        <v>7</v>
      </c>
      <c r="AS1369" s="293" t="s">
        <v>1176</v>
      </c>
      <c r="AT1369" s="867"/>
      <c r="AU1369" s="273"/>
      <c r="AV1369" s="847"/>
      <c r="AW1369" s="848"/>
      <c r="AX1369" s="867"/>
      <c r="AY1369" s="273"/>
      <c r="AZ1369" s="847"/>
      <c r="BA1369" s="848"/>
      <c r="BB1369" s="866"/>
      <c r="BC1369" s="273"/>
      <c r="BD1369" s="847"/>
      <c r="BE1369" s="848"/>
      <c r="BF1369" s="838"/>
    </row>
    <row r="1370" spans="1:58" s="87" customFormat="1" ht="54" hidden="1" customHeight="1" x14ac:dyDescent="0.25">
      <c r="A1370" s="267" t="s">
        <v>8525</v>
      </c>
      <c r="B1370" s="268">
        <v>74</v>
      </c>
      <c r="C1370" s="240" t="s">
        <v>2378</v>
      </c>
      <c r="D1370" s="270" t="s">
        <v>2379</v>
      </c>
      <c r="E1370" s="268" t="s">
        <v>8969</v>
      </c>
      <c r="F1370" s="861" t="s">
        <v>8970</v>
      </c>
      <c r="G1370" s="269" t="s">
        <v>8971</v>
      </c>
      <c r="H1370" s="845" t="s">
        <v>8972</v>
      </c>
      <c r="I1370" s="269" t="s">
        <v>8973</v>
      </c>
      <c r="J1370" s="296" t="s">
        <v>140</v>
      </c>
      <c r="K1370" s="297" t="s">
        <v>140</v>
      </c>
      <c r="L1370" s="862" t="s">
        <v>8974</v>
      </c>
      <c r="M1370" s="206" t="s">
        <v>973</v>
      </c>
      <c r="N1370" s="211" t="s">
        <v>974</v>
      </c>
      <c r="O1370" s="240" t="s">
        <v>144</v>
      </c>
      <c r="P1370" s="240" t="s">
        <v>144</v>
      </c>
      <c r="Q1370" s="845" t="s">
        <v>144</v>
      </c>
      <c r="R1370" s="269" t="s">
        <v>144</v>
      </c>
      <c r="S1370" s="864" t="s">
        <v>746</v>
      </c>
      <c r="T1370" s="212" t="s">
        <v>144</v>
      </c>
      <c r="U1370" s="213" t="s">
        <v>144</v>
      </c>
      <c r="V1370" s="847">
        <v>5</v>
      </c>
      <c r="W1370" s="415" t="s">
        <v>144</v>
      </c>
      <c r="X1370" s="212">
        <v>40</v>
      </c>
      <c r="Y1370" s="212" t="s">
        <v>144</v>
      </c>
      <c r="Z1370" s="241" t="s">
        <v>144</v>
      </c>
      <c r="AA1370" s="616" t="s">
        <v>148</v>
      </c>
      <c r="AB1370" s="206" t="s">
        <v>140</v>
      </c>
      <c r="AC1370" s="847" t="s">
        <v>265</v>
      </c>
      <c r="AD1370" s="847" t="s">
        <v>8911</v>
      </c>
      <c r="AE1370" s="847" t="s">
        <v>144</v>
      </c>
      <c r="AF1370" s="848" t="s">
        <v>144</v>
      </c>
      <c r="AG1370" s="838"/>
      <c r="AH1370" s="866" t="s">
        <v>8975</v>
      </c>
      <c r="AI1370" s="273" t="s">
        <v>8976</v>
      </c>
      <c r="AJ1370" s="847">
        <v>6</v>
      </c>
      <c r="AK1370" s="848" t="s">
        <v>8977</v>
      </c>
      <c r="AL1370" s="867"/>
      <c r="AM1370" s="273"/>
      <c r="AN1370" s="847"/>
      <c r="AO1370" s="848"/>
      <c r="AP1370" s="867"/>
      <c r="AQ1370" s="273"/>
      <c r="AR1370" s="847"/>
      <c r="AS1370" s="848"/>
      <c r="AT1370" s="867"/>
      <c r="AU1370" s="273"/>
      <c r="AV1370" s="847"/>
      <c r="AW1370" s="848"/>
      <c r="AX1370" s="867"/>
      <c r="AY1370" s="273"/>
      <c r="AZ1370" s="847"/>
      <c r="BA1370" s="848"/>
      <c r="BB1370" s="866"/>
      <c r="BC1370" s="273"/>
      <c r="BD1370" s="847"/>
      <c r="BE1370" s="848"/>
      <c r="BF1370" s="838"/>
    </row>
    <row r="1371" spans="1:58" s="87" customFormat="1" ht="54" hidden="1" customHeight="1" x14ac:dyDescent="0.25">
      <c r="A1371" s="267" t="s">
        <v>8525</v>
      </c>
      <c r="B1371" s="268">
        <v>75</v>
      </c>
      <c r="C1371" s="240" t="s">
        <v>2378</v>
      </c>
      <c r="D1371" s="270" t="s">
        <v>2379</v>
      </c>
      <c r="E1371" s="268" t="s">
        <v>8978</v>
      </c>
      <c r="F1371" s="861" t="s">
        <v>8979</v>
      </c>
      <c r="G1371" s="269" t="s">
        <v>8980</v>
      </c>
      <c r="H1371" s="845" t="s">
        <v>8981</v>
      </c>
      <c r="I1371" s="269" t="s">
        <v>8982</v>
      </c>
      <c r="J1371" s="296" t="s">
        <v>140</v>
      </c>
      <c r="K1371" s="297" t="s">
        <v>140</v>
      </c>
      <c r="L1371" s="862" t="s">
        <v>8983</v>
      </c>
      <c r="M1371" s="206" t="s">
        <v>973</v>
      </c>
      <c r="N1371" s="211" t="s">
        <v>974</v>
      </c>
      <c r="O1371" s="240" t="s">
        <v>4634</v>
      </c>
      <c r="P1371" s="240" t="s">
        <v>4635</v>
      </c>
      <c r="Q1371" s="845" t="s">
        <v>8919</v>
      </c>
      <c r="R1371" s="269" t="s">
        <v>8920</v>
      </c>
      <c r="S1371" s="864" t="s">
        <v>147</v>
      </c>
      <c r="T1371" s="212" t="s">
        <v>144</v>
      </c>
      <c r="U1371" s="213" t="s">
        <v>144</v>
      </c>
      <c r="V1371" s="847">
        <v>2</v>
      </c>
      <c r="W1371" s="415" t="s">
        <v>144</v>
      </c>
      <c r="X1371" s="212">
        <v>40</v>
      </c>
      <c r="Y1371" s="212" t="s">
        <v>144</v>
      </c>
      <c r="Z1371" s="241" t="s">
        <v>144</v>
      </c>
      <c r="AA1371" s="437" t="s">
        <v>8984</v>
      </c>
      <c r="AB1371" s="206" t="s">
        <v>140</v>
      </c>
      <c r="AC1371" s="847" t="s">
        <v>265</v>
      </c>
      <c r="AD1371" s="847" t="s">
        <v>8922</v>
      </c>
      <c r="AE1371" s="847" t="s">
        <v>144</v>
      </c>
      <c r="AF1371" s="848" t="s">
        <v>144</v>
      </c>
      <c r="AG1371" s="838"/>
      <c r="AH1371" s="866" t="s">
        <v>8975</v>
      </c>
      <c r="AI1371" s="273" t="s">
        <v>8976</v>
      </c>
      <c r="AJ1371" s="847">
        <v>5</v>
      </c>
      <c r="AK1371" s="848" t="s">
        <v>8977</v>
      </c>
      <c r="AL1371" s="867" t="s">
        <v>294</v>
      </c>
      <c r="AM1371" s="273" t="s">
        <v>295</v>
      </c>
      <c r="AN1371" s="847">
        <v>7</v>
      </c>
      <c r="AO1371" s="848" t="s">
        <v>966</v>
      </c>
      <c r="AP1371" s="867"/>
      <c r="AQ1371" s="273"/>
      <c r="AR1371" s="847"/>
      <c r="AS1371" s="848"/>
      <c r="AT1371" s="867"/>
      <c r="AU1371" s="273"/>
      <c r="AV1371" s="847"/>
      <c r="AW1371" s="848"/>
      <c r="AX1371" s="867"/>
      <c r="AY1371" s="273"/>
      <c r="AZ1371" s="847"/>
      <c r="BA1371" s="848"/>
      <c r="BB1371" s="866"/>
      <c r="BC1371" s="273"/>
      <c r="BD1371" s="847"/>
      <c r="BE1371" s="848"/>
      <c r="BF1371" s="838"/>
    </row>
    <row r="1372" spans="1:58" s="87" customFormat="1" ht="54" hidden="1" customHeight="1" x14ac:dyDescent="0.25">
      <c r="A1372" s="267" t="s">
        <v>8525</v>
      </c>
      <c r="B1372" s="268">
        <v>76</v>
      </c>
      <c r="C1372" s="240" t="s">
        <v>2378</v>
      </c>
      <c r="D1372" s="270" t="s">
        <v>2379</v>
      </c>
      <c r="E1372" s="268" t="s">
        <v>8985</v>
      </c>
      <c r="F1372" s="861" t="s">
        <v>8986</v>
      </c>
      <c r="G1372" s="269" t="s">
        <v>8987</v>
      </c>
      <c r="H1372" s="845" t="s">
        <v>8988</v>
      </c>
      <c r="I1372" s="208" t="s">
        <v>8989</v>
      </c>
      <c r="J1372" s="296" t="s">
        <v>140</v>
      </c>
      <c r="K1372" s="297" t="s">
        <v>140</v>
      </c>
      <c r="L1372" s="862" t="s">
        <v>8990</v>
      </c>
      <c r="M1372" s="206" t="s">
        <v>973</v>
      </c>
      <c r="N1372" s="211" t="s">
        <v>974</v>
      </c>
      <c r="O1372" s="240" t="s">
        <v>144</v>
      </c>
      <c r="P1372" s="240" t="s">
        <v>144</v>
      </c>
      <c r="Q1372" s="845" t="s">
        <v>8991</v>
      </c>
      <c r="R1372" s="269" t="s">
        <v>8992</v>
      </c>
      <c r="S1372" s="864" t="s">
        <v>147</v>
      </c>
      <c r="T1372" s="212" t="s">
        <v>144</v>
      </c>
      <c r="U1372" s="213" t="s">
        <v>144</v>
      </c>
      <c r="V1372" s="847">
        <v>20</v>
      </c>
      <c r="W1372" s="415" t="s">
        <v>144</v>
      </c>
      <c r="X1372" s="212">
        <v>40</v>
      </c>
      <c r="Y1372" s="212" t="s">
        <v>144</v>
      </c>
      <c r="Z1372" s="241" t="s">
        <v>144</v>
      </c>
      <c r="AA1372" s="437" t="s">
        <v>8993</v>
      </c>
      <c r="AB1372" s="206" t="s">
        <v>140</v>
      </c>
      <c r="AC1372" s="847" t="s">
        <v>265</v>
      </c>
      <c r="AD1372" s="847" t="s">
        <v>8922</v>
      </c>
      <c r="AE1372" s="847" t="s">
        <v>144</v>
      </c>
      <c r="AF1372" s="848" t="s">
        <v>144</v>
      </c>
      <c r="AG1372" s="838"/>
      <c r="AH1372" s="866" t="s">
        <v>8975</v>
      </c>
      <c r="AI1372" s="273" t="s">
        <v>8976</v>
      </c>
      <c r="AJ1372" s="847">
        <v>6</v>
      </c>
      <c r="AK1372" s="848" t="s">
        <v>8977</v>
      </c>
      <c r="AL1372" s="867"/>
      <c r="AM1372" s="273"/>
      <c r="AN1372" s="847"/>
      <c r="AO1372" s="848"/>
      <c r="AP1372" s="867"/>
      <c r="AQ1372" s="273"/>
      <c r="AR1372" s="847"/>
      <c r="AS1372" s="848"/>
      <c r="AT1372" s="867"/>
      <c r="AU1372" s="273"/>
      <c r="AV1372" s="847"/>
      <c r="AW1372" s="848"/>
      <c r="AX1372" s="867" t="s">
        <v>1047</v>
      </c>
      <c r="AY1372" s="273" t="s">
        <v>1048</v>
      </c>
      <c r="AZ1372" s="847">
        <v>7</v>
      </c>
      <c r="BA1372" s="848" t="s">
        <v>1049</v>
      </c>
      <c r="BB1372" s="866"/>
      <c r="BC1372" s="273"/>
      <c r="BD1372" s="847"/>
      <c r="BE1372" s="848"/>
      <c r="BF1372" s="838"/>
    </row>
    <row r="1373" spans="1:58" s="87" customFormat="1" ht="54" hidden="1" customHeight="1" x14ac:dyDescent="0.25">
      <c r="A1373" s="267" t="s">
        <v>8525</v>
      </c>
      <c r="B1373" s="268">
        <v>77</v>
      </c>
      <c r="C1373" s="240" t="s">
        <v>2378</v>
      </c>
      <c r="D1373" s="270" t="s">
        <v>2379</v>
      </c>
      <c r="E1373" s="268" t="s">
        <v>8994</v>
      </c>
      <c r="F1373" s="861" t="s">
        <v>8995</v>
      </c>
      <c r="G1373" s="269" t="s">
        <v>8996</v>
      </c>
      <c r="H1373" s="845" t="s">
        <v>8997</v>
      </c>
      <c r="I1373" s="269" t="s">
        <v>8998</v>
      </c>
      <c r="J1373" s="296" t="s">
        <v>140</v>
      </c>
      <c r="K1373" s="297" t="s">
        <v>140</v>
      </c>
      <c r="L1373" s="862" t="s">
        <v>8999</v>
      </c>
      <c r="M1373" s="206" t="s">
        <v>193</v>
      </c>
      <c r="N1373" s="211" t="s">
        <v>194</v>
      </c>
      <c r="O1373" s="240" t="s">
        <v>144</v>
      </c>
      <c r="P1373" s="240" t="s">
        <v>144</v>
      </c>
      <c r="Q1373" s="845" t="s">
        <v>9000</v>
      </c>
      <c r="R1373" s="269" t="s">
        <v>9001</v>
      </c>
      <c r="S1373" s="864" t="s">
        <v>147</v>
      </c>
      <c r="T1373" s="212" t="s">
        <v>144</v>
      </c>
      <c r="U1373" s="213" t="s">
        <v>144</v>
      </c>
      <c r="V1373" s="847">
        <v>10</v>
      </c>
      <c r="W1373" s="415" t="s">
        <v>144</v>
      </c>
      <c r="X1373" s="212">
        <v>40</v>
      </c>
      <c r="Y1373" s="212" t="s">
        <v>144</v>
      </c>
      <c r="Z1373" s="241" t="s">
        <v>25</v>
      </c>
      <c r="AA1373" s="437" t="s">
        <v>9002</v>
      </c>
      <c r="AB1373" s="206" t="s">
        <v>140</v>
      </c>
      <c r="AC1373" s="847" t="s">
        <v>265</v>
      </c>
      <c r="AD1373" s="847" t="s">
        <v>8922</v>
      </c>
      <c r="AE1373" s="847" t="s">
        <v>144</v>
      </c>
      <c r="AF1373" s="848" t="s">
        <v>144</v>
      </c>
      <c r="AG1373" s="838"/>
      <c r="AH1373" s="866"/>
      <c r="AI1373" s="273"/>
      <c r="AJ1373" s="847"/>
      <c r="AK1373" s="848"/>
      <c r="AL1373" s="867"/>
      <c r="AM1373" s="273"/>
      <c r="AN1373" s="847"/>
      <c r="AO1373" s="848"/>
      <c r="AP1373" s="867"/>
      <c r="AQ1373" s="273"/>
      <c r="AR1373" s="847"/>
      <c r="AS1373" s="848"/>
      <c r="AT1373" s="867"/>
      <c r="AU1373" s="273"/>
      <c r="AV1373" s="847"/>
      <c r="AW1373" s="848"/>
      <c r="AX1373" s="873" t="s">
        <v>9003</v>
      </c>
      <c r="AY1373" s="406" t="s">
        <v>9004</v>
      </c>
      <c r="AZ1373" s="872" t="s">
        <v>1061</v>
      </c>
      <c r="BA1373" s="878" t="s">
        <v>1732</v>
      </c>
      <c r="BB1373" s="866"/>
      <c r="BC1373" s="273"/>
      <c r="BD1373" s="847"/>
      <c r="BE1373" s="848"/>
      <c r="BF1373" s="838"/>
    </row>
    <row r="1374" spans="1:58" s="87" customFormat="1" ht="54" hidden="1" customHeight="1" x14ac:dyDescent="0.25">
      <c r="A1374" s="267" t="s">
        <v>8525</v>
      </c>
      <c r="B1374" s="268">
        <v>78</v>
      </c>
      <c r="C1374" s="240" t="s">
        <v>1744</v>
      </c>
      <c r="D1374" s="270" t="s">
        <v>1745</v>
      </c>
      <c r="E1374" s="268" t="s">
        <v>9005</v>
      </c>
      <c r="F1374" s="861" t="s">
        <v>9006</v>
      </c>
      <c r="G1374" s="269" t="s">
        <v>9007</v>
      </c>
      <c r="H1374" s="845" t="s">
        <v>9008</v>
      </c>
      <c r="I1374" s="269" t="s">
        <v>9009</v>
      </c>
      <c r="J1374" s="296" t="s">
        <v>140</v>
      </c>
      <c r="K1374" s="297" t="s">
        <v>140</v>
      </c>
      <c r="L1374" s="862" t="s">
        <v>9010</v>
      </c>
      <c r="M1374" s="206" t="s">
        <v>193</v>
      </c>
      <c r="N1374" s="211" t="s">
        <v>194</v>
      </c>
      <c r="O1374" s="240" t="s">
        <v>4634</v>
      </c>
      <c r="P1374" s="240" t="s">
        <v>4635</v>
      </c>
      <c r="Q1374" s="845" t="s">
        <v>8919</v>
      </c>
      <c r="R1374" s="269" t="s">
        <v>8920</v>
      </c>
      <c r="S1374" s="864" t="s">
        <v>147</v>
      </c>
      <c r="T1374" s="212" t="s">
        <v>144</v>
      </c>
      <c r="U1374" s="213" t="s">
        <v>144</v>
      </c>
      <c r="V1374" s="847">
        <v>2</v>
      </c>
      <c r="W1374" s="415" t="s">
        <v>144</v>
      </c>
      <c r="X1374" s="212">
        <v>40</v>
      </c>
      <c r="Y1374" s="212" t="s">
        <v>144</v>
      </c>
      <c r="Z1374" s="241" t="s">
        <v>144</v>
      </c>
      <c r="AA1374" s="437" t="s">
        <v>8984</v>
      </c>
      <c r="AB1374" s="206" t="s">
        <v>140</v>
      </c>
      <c r="AC1374" s="847" t="s">
        <v>265</v>
      </c>
      <c r="AD1374" s="847" t="s">
        <v>8922</v>
      </c>
      <c r="AE1374" s="847" t="s">
        <v>144</v>
      </c>
      <c r="AF1374" s="848" t="s">
        <v>144</v>
      </c>
      <c r="AG1374" s="838"/>
      <c r="AH1374" s="866"/>
      <c r="AI1374" s="273"/>
      <c r="AJ1374" s="847"/>
      <c r="AK1374" s="848"/>
      <c r="AL1374" s="867" t="s">
        <v>294</v>
      </c>
      <c r="AM1374" s="273" t="s">
        <v>295</v>
      </c>
      <c r="AN1374" s="847">
        <v>7</v>
      </c>
      <c r="AO1374" s="848" t="s">
        <v>966</v>
      </c>
      <c r="AP1374" s="867"/>
      <c r="AQ1374" s="273"/>
      <c r="AR1374" s="847"/>
      <c r="AS1374" s="848"/>
      <c r="AT1374" s="867"/>
      <c r="AU1374" s="273"/>
      <c r="AV1374" s="847"/>
      <c r="AW1374" s="848"/>
      <c r="AX1374" s="867"/>
      <c r="AY1374" s="273"/>
      <c r="AZ1374" s="847"/>
      <c r="BA1374" s="848"/>
      <c r="BB1374" s="866"/>
      <c r="BC1374" s="273"/>
      <c r="BD1374" s="847"/>
      <c r="BE1374" s="848"/>
      <c r="BF1374" s="838"/>
    </row>
    <row r="1375" spans="1:58" s="87" customFormat="1" ht="54" hidden="1" customHeight="1" x14ac:dyDescent="0.25">
      <c r="A1375" s="267" t="s">
        <v>8525</v>
      </c>
      <c r="B1375" s="268">
        <v>79</v>
      </c>
      <c r="C1375" s="240" t="s">
        <v>1744</v>
      </c>
      <c r="D1375" s="270" t="s">
        <v>1745</v>
      </c>
      <c r="E1375" s="268" t="s">
        <v>9011</v>
      </c>
      <c r="F1375" s="861" t="s">
        <v>2914</v>
      </c>
      <c r="G1375" s="269" t="s">
        <v>2915</v>
      </c>
      <c r="H1375" s="845" t="s">
        <v>2916</v>
      </c>
      <c r="I1375" s="269" t="s">
        <v>2917</v>
      </c>
      <c r="J1375" s="296" t="s">
        <v>140</v>
      </c>
      <c r="K1375" s="297" t="s">
        <v>140</v>
      </c>
      <c r="L1375" s="862" t="s">
        <v>2918</v>
      </c>
      <c r="M1375" s="206" t="s">
        <v>193</v>
      </c>
      <c r="N1375" s="211" t="s">
        <v>194</v>
      </c>
      <c r="O1375" s="240" t="s">
        <v>2919</v>
      </c>
      <c r="P1375" s="240" t="s">
        <v>2920</v>
      </c>
      <c r="Q1375" s="845" t="s">
        <v>9012</v>
      </c>
      <c r="R1375" s="269" t="s">
        <v>9013</v>
      </c>
      <c r="S1375" s="864" t="s">
        <v>147</v>
      </c>
      <c r="T1375" s="212" t="s">
        <v>144</v>
      </c>
      <c r="U1375" s="213" t="s">
        <v>144</v>
      </c>
      <c r="V1375" s="847">
        <v>1</v>
      </c>
      <c r="W1375" s="415" t="s">
        <v>144</v>
      </c>
      <c r="X1375" s="212">
        <v>40</v>
      </c>
      <c r="Y1375" s="212" t="s">
        <v>144</v>
      </c>
      <c r="Z1375" s="241" t="s">
        <v>144</v>
      </c>
      <c r="AA1375" s="437" t="s">
        <v>8903</v>
      </c>
      <c r="AB1375" s="206" t="s">
        <v>140</v>
      </c>
      <c r="AC1375" s="847" t="s">
        <v>265</v>
      </c>
      <c r="AD1375" s="847" t="s">
        <v>8911</v>
      </c>
      <c r="AE1375" s="847" t="s">
        <v>144</v>
      </c>
      <c r="AF1375" s="848" t="s">
        <v>144</v>
      </c>
      <c r="AG1375" s="838"/>
      <c r="AH1375" s="866"/>
      <c r="AI1375" s="273"/>
      <c r="AJ1375" s="847"/>
      <c r="AK1375" s="848"/>
      <c r="AL1375" s="867" t="s">
        <v>294</v>
      </c>
      <c r="AM1375" s="273" t="s">
        <v>295</v>
      </c>
      <c r="AN1375" s="847">
        <v>7</v>
      </c>
      <c r="AO1375" s="848" t="s">
        <v>966</v>
      </c>
      <c r="AP1375" s="312"/>
      <c r="AQ1375" s="313"/>
      <c r="AR1375" s="289"/>
      <c r="AS1375" s="383"/>
      <c r="AT1375" s="867"/>
      <c r="AU1375" s="273"/>
      <c r="AV1375" s="847"/>
      <c r="AW1375" s="848"/>
      <c r="AX1375" s="867"/>
      <c r="AY1375" s="273"/>
      <c r="AZ1375" s="847"/>
      <c r="BA1375" s="848"/>
      <c r="BB1375" s="866"/>
      <c r="BC1375" s="273"/>
      <c r="BD1375" s="847"/>
      <c r="BE1375" s="848"/>
      <c r="BF1375" s="838"/>
    </row>
    <row r="1376" spans="1:58" s="87" customFormat="1" ht="54" hidden="1" customHeight="1" x14ac:dyDescent="0.25">
      <c r="A1376" s="267" t="s">
        <v>8525</v>
      </c>
      <c r="B1376" s="268">
        <v>80</v>
      </c>
      <c r="C1376" s="240" t="s">
        <v>1744</v>
      </c>
      <c r="D1376" s="270" t="s">
        <v>1745</v>
      </c>
      <c r="E1376" s="268" t="s">
        <v>9014</v>
      </c>
      <c r="F1376" s="861" t="s">
        <v>2922</v>
      </c>
      <c r="G1376" s="269" t="s">
        <v>2923</v>
      </c>
      <c r="H1376" s="845" t="s">
        <v>2924</v>
      </c>
      <c r="I1376" s="269" t="s">
        <v>2925</v>
      </c>
      <c r="J1376" s="296" t="s">
        <v>140</v>
      </c>
      <c r="K1376" s="297" t="s">
        <v>140</v>
      </c>
      <c r="L1376" s="862" t="s">
        <v>2926</v>
      </c>
      <c r="M1376" s="206" t="s">
        <v>193</v>
      </c>
      <c r="N1376" s="211" t="s">
        <v>194</v>
      </c>
      <c r="O1376" s="319" t="s">
        <v>2927</v>
      </c>
      <c r="P1376" s="319" t="s">
        <v>2928</v>
      </c>
      <c r="Q1376" s="845" t="s">
        <v>9012</v>
      </c>
      <c r="R1376" s="269" t="s">
        <v>9013</v>
      </c>
      <c r="S1376" s="864" t="s">
        <v>147</v>
      </c>
      <c r="T1376" s="212" t="s">
        <v>144</v>
      </c>
      <c r="U1376" s="213" t="s">
        <v>144</v>
      </c>
      <c r="V1376" s="847">
        <v>1</v>
      </c>
      <c r="W1376" s="415" t="s">
        <v>144</v>
      </c>
      <c r="X1376" s="212">
        <v>40</v>
      </c>
      <c r="Y1376" s="212" t="s">
        <v>144</v>
      </c>
      <c r="Z1376" s="241" t="s">
        <v>144</v>
      </c>
      <c r="AA1376" s="437" t="s">
        <v>8903</v>
      </c>
      <c r="AB1376" s="206" t="s">
        <v>140</v>
      </c>
      <c r="AC1376" s="847" t="s">
        <v>265</v>
      </c>
      <c r="AD1376" s="847" t="s">
        <v>8911</v>
      </c>
      <c r="AE1376" s="847" t="s">
        <v>144</v>
      </c>
      <c r="AF1376" s="848" t="s">
        <v>144</v>
      </c>
      <c r="AG1376" s="838"/>
      <c r="AH1376" s="866"/>
      <c r="AI1376" s="273"/>
      <c r="AJ1376" s="847"/>
      <c r="AK1376" s="848"/>
      <c r="AL1376" s="867" t="s">
        <v>294</v>
      </c>
      <c r="AM1376" s="273" t="s">
        <v>295</v>
      </c>
      <c r="AN1376" s="847">
        <v>7</v>
      </c>
      <c r="AO1376" s="848" t="s">
        <v>966</v>
      </c>
      <c r="AP1376" s="312"/>
      <c r="AQ1376" s="313"/>
      <c r="AR1376" s="289"/>
      <c r="AS1376" s="383"/>
      <c r="AT1376" s="867"/>
      <c r="AU1376" s="273"/>
      <c r="AV1376" s="847"/>
      <c r="AW1376" s="848"/>
      <c r="AX1376" s="867"/>
      <c r="AY1376" s="273"/>
      <c r="AZ1376" s="847"/>
      <c r="BA1376" s="848"/>
      <c r="BB1376" s="866"/>
      <c r="BC1376" s="273"/>
      <c r="BD1376" s="847"/>
      <c r="BE1376" s="848"/>
      <c r="BF1376" s="838"/>
    </row>
    <row r="1377" spans="1:58" s="87" customFormat="1" ht="54" hidden="1" customHeight="1" x14ac:dyDescent="0.25">
      <c r="A1377" s="267" t="s">
        <v>8525</v>
      </c>
      <c r="B1377" s="268">
        <v>81</v>
      </c>
      <c r="C1377" s="240" t="s">
        <v>1744</v>
      </c>
      <c r="D1377" s="270" t="s">
        <v>1745</v>
      </c>
      <c r="E1377" s="268" t="s">
        <v>9015</v>
      </c>
      <c r="F1377" s="861" t="s">
        <v>9016</v>
      </c>
      <c r="G1377" s="269" t="s">
        <v>9017</v>
      </c>
      <c r="H1377" s="845" t="s">
        <v>9016</v>
      </c>
      <c r="I1377" s="269" t="s">
        <v>9018</v>
      </c>
      <c r="J1377" s="296" t="s">
        <v>140</v>
      </c>
      <c r="K1377" s="297" t="s">
        <v>140</v>
      </c>
      <c r="L1377" s="862" t="s">
        <v>9019</v>
      </c>
      <c r="M1377" s="444" t="s">
        <v>193</v>
      </c>
      <c r="N1377" s="443" t="s">
        <v>194</v>
      </c>
      <c r="O1377" s="240" t="s">
        <v>4634</v>
      </c>
      <c r="P1377" s="240" t="s">
        <v>4635</v>
      </c>
      <c r="Q1377" s="845" t="s">
        <v>144</v>
      </c>
      <c r="R1377" s="269" t="s">
        <v>144</v>
      </c>
      <c r="S1377" s="864" t="s">
        <v>147</v>
      </c>
      <c r="T1377" s="212" t="s">
        <v>144</v>
      </c>
      <c r="U1377" s="213" t="s">
        <v>144</v>
      </c>
      <c r="V1377" s="847">
        <v>2</v>
      </c>
      <c r="W1377" s="415" t="s">
        <v>144</v>
      </c>
      <c r="X1377" s="212">
        <v>40</v>
      </c>
      <c r="Y1377" s="212" t="s">
        <v>144</v>
      </c>
      <c r="Z1377" s="241" t="s">
        <v>25</v>
      </c>
      <c r="AA1377" s="437" t="s">
        <v>148</v>
      </c>
      <c r="AB1377" s="206" t="s">
        <v>140</v>
      </c>
      <c r="AC1377" s="847" t="s">
        <v>265</v>
      </c>
      <c r="AD1377" s="847" t="s">
        <v>9020</v>
      </c>
      <c r="AE1377" s="847" t="s">
        <v>144</v>
      </c>
      <c r="AF1377" s="848" t="s">
        <v>144</v>
      </c>
      <c r="AG1377" s="838"/>
      <c r="AH1377" s="885"/>
      <c r="AI1377" s="406"/>
      <c r="AJ1377" s="872"/>
      <c r="AK1377" s="878"/>
      <c r="AL1377" s="867" t="s">
        <v>294</v>
      </c>
      <c r="AM1377" s="273" t="s">
        <v>295</v>
      </c>
      <c r="AN1377" s="847">
        <v>7</v>
      </c>
      <c r="AO1377" s="848" t="s">
        <v>966</v>
      </c>
      <c r="AP1377" s="867"/>
      <c r="AQ1377" s="273"/>
      <c r="AR1377" s="847"/>
      <c r="AS1377" s="848"/>
      <c r="AT1377" s="867"/>
      <c r="AU1377" s="273"/>
      <c r="AV1377" s="847"/>
      <c r="AW1377" s="848"/>
      <c r="AX1377" s="867"/>
      <c r="AY1377" s="273"/>
      <c r="AZ1377" s="847"/>
      <c r="BA1377" s="848"/>
      <c r="BB1377" s="866"/>
      <c r="BC1377" s="273"/>
      <c r="BD1377" s="847"/>
      <c r="BE1377" s="848"/>
      <c r="BF1377" s="838"/>
    </row>
    <row r="1378" spans="1:58" s="87" customFormat="1" ht="54" hidden="1" customHeight="1" x14ac:dyDescent="0.25">
      <c r="A1378" s="267" t="s">
        <v>8525</v>
      </c>
      <c r="B1378" s="268">
        <v>82</v>
      </c>
      <c r="C1378" s="240" t="s">
        <v>1744</v>
      </c>
      <c r="D1378" s="270" t="s">
        <v>1745</v>
      </c>
      <c r="E1378" s="268" t="s">
        <v>9021</v>
      </c>
      <c r="F1378" s="861" t="s">
        <v>9022</v>
      </c>
      <c r="G1378" s="269" t="s">
        <v>9023</v>
      </c>
      <c r="H1378" s="845" t="s">
        <v>9024</v>
      </c>
      <c r="I1378" s="269" t="s">
        <v>9025</v>
      </c>
      <c r="J1378" s="296" t="s">
        <v>140</v>
      </c>
      <c r="K1378" s="297" t="s">
        <v>140</v>
      </c>
      <c r="L1378" s="862" t="s">
        <v>9026</v>
      </c>
      <c r="M1378" s="206" t="s">
        <v>973</v>
      </c>
      <c r="N1378" s="211" t="s">
        <v>974</v>
      </c>
      <c r="O1378" s="240" t="s">
        <v>9027</v>
      </c>
      <c r="P1378" s="240" t="s">
        <v>9028</v>
      </c>
      <c r="Q1378" s="845" t="s">
        <v>144</v>
      </c>
      <c r="R1378" s="269" t="s">
        <v>144</v>
      </c>
      <c r="S1378" s="864" t="s">
        <v>147</v>
      </c>
      <c r="T1378" s="212" t="s">
        <v>144</v>
      </c>
      <c r="U1378" s="213" t="s">
        <v>144</v>
      </c>
      <c r="V1378" s="847">
        <v>1</v>
      </c>
      <c r="W1378" s="415" t="s">
        <v>144</v>
      </c>
      <c r="X1378" s="212">
        <v>40</v>
      </c>
      <c r="Y1378" s="212" t="s">
        <v>144</v>
      </c>
      <c r="Z1378" s="241" t="s">
        <v>144</v>
      </c>
      <c r="AA1378" s="437" t="s">
        <v>148</v>
      </c>
      <c r="AB1378" s="206" t="s">
        <v>140</v>
      </c>
      <c r="AC1378" s="847" t="s">
        <v>265</v>
      </c>
      <c r="AD1378" s="847" t="s">
        <v>9029</v>
      </c>
      <c r="AE1378" s="847" t="s">
        <v>144</v>
      </c>
      <c r="AF1378" s="848" t="s">
        <v>144</v>
      </c>
      <c r="AG1378" s="838"/>
      <c r="AH1378" s="866" t="s">
        <v>9030</v>
      </c>
      <c r="AI1378" s="273" t="s">
        <v>9031</v>
      </c>
      <c r="AJ1378" s="847">
        <v>6</v>
      </c>
      <c r="AK1378" s="848" t="s">
        <v>9032</v>
      </c>
      <c r="AL1378" s="867" t="s">
        <v>294</v>
      </c>
      <c r="AM1378" s="273" t="s">
        <v>295</v>
      </c>
      <c r="AN1378" s="847">
        <v>7</v>
      </c>
      <c r="AO1378" s="848" t="s">
        <v>966</v>
      </c>
      <c r="AP1378" s="312"/>
      <c r="AQ1378" s="313"/>
      <c r="AR1378" s="289"/>
      <c r="AS1378" s="314"/>
      <c r="AT1378" s="867"/>
      <c r="AU1378" s="273"/>
      <c r="AV1378" s="847"/>
      <c r="AW1378" s="848"/>
      <c r="AX1378" s="867"/>
      <c r="AY1378" s="273"/>
      <c r="AZ1378" s="847"/>
      <c r="BA1378" s="848"/>
      <c r="BB1378" s="866"/>
      <c r="BC1378" s="273"/>
      <c r="BD1378" s="847"/>
      <c r="BE1378" s="848"/>
      <c r="BF1378" s="838"/>
    </row>
    <row r="1379" spans="1:58" s="87" customFormat="1" ht="54" hidden="1" customHeight="1" x14ac:dyDescent="0.25">
      <c r="A1379" s="267" t="s">
        <v>8525</v>
      </c>
      <c r="B1379" s="268">
        <v>83</v>
      </c>
      <c r="C1379" s="240" t="s">
        <v>1744</v>
      </c>
      <c r="D1379" s="270" t="s">
        <v>1745</v>
      </c>
      <c r="E1379" s="268" t="s">
        <v>9033</v>
      </c>
      <c r="F1379" s="861" t="s">
        <v>9034</v>
      </c>
      <c r="G1379" s="269" t="s">
        <v>9035</v>
      </c>
      <c r="H1379" s="845" t="s">
        <v>9034</v>
      </c>
      <c r="I1379" s="269" t="s">
        <v>9035</v>
      </c>
      <c r="J1379" s="296" t="s">
        <v>140</v>
      </c>
      <c r="K1379" s="297" t="s">
        <v>140</v>
      </c>
      <c r="L1379" s="862" t="s">
        <v>9036</v>
      </c>
      <c r="M1379" s="444" t="s">
        <v>193</v>
      </c>
      <c r="N1379" s="443" t="s">
        <v>194</v>
      </c>
      <c r="O1379" s="240" t="s">
        <v>144</v>
      </c>
      <c r="P1379" s="240" t="s">
        <v>144</v>
      </c>
      <c r="Q1379" s="845" t="s">
        <v>144</v>
      </c>
      <c r="R1379" s="269" t="s">
        <v>144</v>
      </c>
      <c r="S1379" s="864" t="s">
        <v>746</v>
      </c>
      <c r="T1379" s="212" t="s">
        <v>144</v>
      </c>
      <c r="U1379" s="213" t="s">
        <v>144</v>
      </c>
      <c r="V1379" s="847">
        <v>4</v>
      </c>
      <c r="W1379" s="415" t="s">
        <v>144</v>
      </c>
      <c r="X1379" s="212">
        <v>40</v>
      </c>
      <c r="Y1379" s="212" t="s">
        <v>144</v>
      </c>
      <c r="Z1379" s="241" t="s">
        <v>25</v>
      </c>
      <c r="AA1379" s="437" t="s">
        <v>148</v>
      </c>
      <c r="AB1379" s="206" t="s">
        <v>140</v>
      </c>
      <c r="AC1379" s="847" t="s">
        <v>265</v>
      </c>
      <c r="AD1379" s="847" t="s">
        <v>9020</v>
      </c>
      <c r="AE1379" s="847" t="s">
        <v>144</v>
      </c>
      <c r="AF1379" s="848" t="s">
        <v>144</v>
      </c>
      <c r="AG1379" s="838"/>
      <c r="AH1379" s="885"/>
      <c r="AI1379" s="406"/>
      <c r="AJ1379" s="872"/>
      <c r="AK1379" s="878"/>
      <c r="AL1379" s="867"/>
      <c r="AM1379" s="273"/>
      <c r="AN1379" s="847"/>
      <c r="AO1379" s="848"/>
      <c r="AP1379" s="867"/>
      <c r="AQ1379" s="273"/>
      <c r="AR1379" s="847"/>
      <c r="AS1379" s="848"/>
      <c r="AT1379" s="867"/>
      <c r="AU1379" s="273"/>
      <c r="AV1379" s="847"/>
      <c r="AW1379" s="848"/>
      <c r="AX1379" s="867"/>
      <c r="AY1379" s="273"/>
      <c r="AZ1379" s="847"/>
      <c r="BA1379" s="848"/>
      <c r="BB1379" s="866"/>
      <c r="BC1379" s="273"/>
      <c r="BD1379" s="847"/>
      <c r="BE1379" s="848"/>
      <c r="BF1379" s="838"/>
    </row>
    <row r="1380" spans="1:58" s="87" customFormat="1" ht="54" hidden="1" customHeight="1" x14ac:dyDescent="0.25">
      <c r="A1380" s="267" t="s">
        <v>8525</v>
      </c>
      <c r="B1380" s="268">
        <v>84</v>
      </c>
      <c r="C1380" s="240" t="s">
        <v>1744</v>
      </c>
      <c r="D1380" s="270" t="s">
        <v>1745</v>
      </c>
      <c r="E1380" s="268" t="s">
        <v>9037</v>
      </c>
      <c r="F1380" s="861" t="s">
        <v>9038</v>
      </c>
      <c r="G1380" s="269" t="s">
        <v>9039</v>
      </c>
      <c r="H1380" s="845" t="s">
        <v>9040</v>
      </c>
      <c r="I1380" s="269" t="s">
        <v>9041</v>
      </c>
      <c r="J1380" s="296" t="s">
        <v>140</v>
      </c>
      <c r="K1380" s="297" t="s">
        <v>140</v>
      </c>
      <c r="L1380" s="862" t="s">
        <v>9042</v>
      </c>
      <c r="M1380" s="444" t="s">
        <v>193</v>
      </c>
      <c r="N1380" s="443" t="s">
        <v>194</v>
      </c>
      <c r="O1380" s="240" t="s">
        <v>4634</v>
      </c>
      <c r="P1380" s="240" t="s">
        <v>4635</v>
      </c>
      <c r="Q1380" s="845" t="s">
        <v>144</v>
      </c>
      <c r="R1380" s="269" t="s">
        <v>144</v>
      </c>
      <c r="S1380" s="864" t="s">
        <v>147</v>
      </c>
      <c r="T1380" s="212" t="s">
        <v>144</v>
      </c>
      <c r="U1380" s="213" t="s">
        <v>144</v>
      </c>
      <c r="V1380" s="847">
        <v>2</v>
      </c>
      <c r="W1380" s="415" t="s">
        <v>144</v>
      </c>
      <c r="X1380" s="212">
        <v>40</v>
      </c>
      <c r="Y1380" s="212" t="s">
        <v>144</v>
      </c>
      <c r="Z1380" s="241" t="s">
        <v>25</v>
      </c>
      <c r="AA1380" s="437" t="s">
        <v>148</v>
      </c>
      <c r="AB1380" s="206" t="s">
        <v>140</v>
      </c>
      <c r="AC1380" s="847" t="s">
        <v>265</v>
      </c>
      <c r="AD1380" s="847" t="s">
        <v>9020</v>
      </c>
      <c r="AE1380" s="847" t="s">
        <v>144</v>
      </c>
      <c r="AF1380" s="848" t="s">
        <v>144</v>
      </c>
      <c r="AG1380" s="838"/>
      <c r="AH1380" s="885"/>
      <c r="AI1380" s="406"/>
      <c r="AJ1380" s="872"/>
      <c r="AK1380" s="878"/>
      <c r="AL1380" s="867" t="s">
        <v>294</v>
      </c>
      <c r="AM1380" s="273" t="s">
        <v>295</v>
      </c>
      <c r="AN1380" s="847">
        <v>7</v>
      </c>
      <c r="AO1380" s="848" t="s">
        <v>966</v>
      </c>
      <c r="AP1380" s="867"/>
      <c r="AQ1380" s="273"/>
      <c r="AR1380" s="847"/>
      <c r="AS1380" s="848"/>
      <c r="AT1380" s="867"/>
      <c r="AU1380" s="273"/>
      <c r="AV1380" s="847"/>
      <c r="AW1380" s="848"/>
      <c r="AX1380" s="867"/>
      <c r="AY1380" s="273"/>
      <c r="AZ1380" s="847"/>
      <c r="BA1380" s="848"/>
      <c r="BB1380" s="866"/>
      <c r="BC1380" s="273"/>
      <c r="BD1380" s="847"/>
      <c r="BE1380" s="848"/>
      <c r="BF1380" s="838"/>
    </row>
    <row r="1381" spans="1:58" s="87" customFormat="1" ht="54" hidden="1" customHeight="1" x14ac:dyDescent="0.25">
      <c r="A1381" s="267" t="s">
        <v>8525</v>
      </c>
      <c r="B1381" s="268">
        <v>85</v>
      </c>
      <c r="C1381" s="240" t="s">
        <v>1744</v>
      </c>
      <c r="D1381" s="270" t="s">
        <v>1745</v>
      </c>
      <c r="E1381" s="268" t="s">
        <v>9043</v>
      </c>
      <c r="F1381" s="861" t="s">
        <v>9044</v>
      </c>
      <c r="G1381" s="269" t="s">
        <v>9045</v>
      </c>
      <c r="H1381" s="845" t="s">
        <v>9046</v>
      </c>
      <c r="I1381" s="269" t="s">
        <v>9047</v>
      </c>
      <c r="J1381" s="296" t="s">
        <v>140</v>
      </c>
      <c r="K1381" s="297" t="s">
        <v>140</v>
      </c>
      <c r="L1381" s="862" t="s">
        <v>9048</v>
      </c>
      <c r="M1381" s="444" t="s">
        <v>193</v>
      </c>
      <c r="N1381" s="443" t="s">
        <v>194</v>
      </c>
      <c r="O1381" s="240" t="s">
        <v>4634</v>
      </c>
      <c r="P1381" s="240" t="s">
        <v>4635</v>
      </c>
      <c r="Q1381" s="845" t="s">
        <v>144</v>
      </c>
      <c r="R1381" s="269" t="s">
        <v>144</v>
      </c>
      <c r="S1381" s="864" t="s">
        <v>147</v>
      </c>
      <c r="T1381" s="212" t="s">
        <v>144</v>
      </c>
      <c r="U1381" s="213" t="s">
        <v>144</v>
      </c>
      <c r="V1381" s="847">
        <v>2</v>
      </c>
      <c r="W1381" s="415" t="s">
        <v>144</v>
      </c>
      <c r="X1381" s="212">
        <v>40</v>
      </c>
      <c r="Y1381" s="212" t="s">
        <v>144</v>
      </c>
      <c r="Z1381" s="241" t="s">
        <v>25</v>
      </c>
      <c r="AA1381" s="437" t="s">
        <v>148</v>
      </c>
      <c r="AB1381" s="206" t="s">
        <v>140</v>
      </c>
      <c r="AC1381" s="847" t="s">
        <v>265</v>
      </c>
      <c r="AD1381" s="847" t="s">
        <v>9020</v>
      </c>
      <c r="AE1381" s="847" t="s">
        <v>144</v>
      </c>
      <c r="AF1381" s="848" t="s">
        <v>144</v>
      </c>
      <c r="AG1381" s="838"/>
      <c r="AH1381" s="885"/>
      <c r="AI1381" s="406"/>
      <c r="AJ1381" s="872"/>
      <c r="AK1381" s="878"/>
      <c r="AL1381" s="867" t="s">
        <v>294</v>
      </c>
      <c r="AM1381" s="273" t="s">
        <v>295</v>
      </c>
      <c r="AN1381" s="847">
        <v>7</v>
      </c>
      <c r="AO1381" s="848" t="s">
        <v>966</v>
      </c>
      <c r="AP1381" s="867"/>
      <c r="AQ1381" s="273"/>
      <c r="AR1381" s="847"/>
      <c r="AS1381" s="848"/>
      <c r="AT1381" s="867"/>
      <c r="AU1381" s="273"/>
      <c r="AV1381" s="847"/>
      <c r="AW1381" s="848"/>
      <c r="AX1381" s="867"/>
      <c r="AY1381" s="273"/>
      <c r="AZ1381" s="847"/>
      <c r="BA1381" s="848"/>
      <c r="BB1381" s="866"/>
      <c r="BC1381" s="273"/>
      <c r="BD1381" s="847"/>
      <c r="BE1381" s="848"/>
      <c r="BF1381" s="838"/>
    </row>
    <row r="1382" spans="1:58" s="87" customFormat="1" ht="54" hidden="1" customHeight="1" x14ac:dyDescent="0.25">
      <c r="A1382" s="267" t="s">
        <v>8525</v>
      </c>
      <c r="B1382" s="268">
        <v>86</v>
      </c>
      <c r="C1382" s="240" t="s">
        <v>1744</v>
      </c>
      <c r="D1382" s="270" t="s">
        <v>1745</v>
      </c>
      <c r="E1382" s="268" t="s">
        <v>9049</v>
      </c>
      <c r="F1382" s="861" t="s">
        <v>9050</v>
      </c>
      <c r="G1382" s="269" t="s">
        <v>9051</v>
      </c>
      <c r="H1382" s="845" t="s">
        <v>9052</v>
      </c>
      <c r="I1382" s="269" t="s">
        <v>9053</v>
      </c>
      <c r="J1382" s="296" t="s">
        <v>140</v>
      </c>
      <c r="K1382" s="297" t="s">
        <v>140</v>
      </c>
      <c r="L1382" s="862" t="s">
        <v>9054</v>
      </c>
      <c r="M1382" s="206" t="s">
        <v>973</v>
      </c>
      <c r="N1382" s="211" t="s">
        <v>974</v>
      </c>
      <c r="O1382" s="240" t="s">
        <v>9055</v>
      </c>
      <c r="P1382" s="240" t="s">
        <v>9056</v>
      </c>
      <c r="Q1382" s="845" t="s">
        <v>144</v>
      </c>
      <c r="R1382" s="269" t="s">
        <v>144</v>
      </c>
      <c r="S1382" s="864" t="s">
        <v>147</v>
      </c>
      <c r="T1382" s="212" t="s">
        <v>144</v>
      </c>
      <c r="U1382" s="213" t="s">
        <v>144</v>
      </c>
      <c r="V1382" s="847">
        <v>1</v>
      </c>
      <c r="W1382" s="415" t="s">
        <v>144</v>
      </c>
      <c r="X1382" s="212">
        <v>40</v>
      </c>
      <c r="Y1382" s="212" t="s">
        <v>144</v>
      </c>
      <c r="Z1382" s="241" t="s">
        <v>144</v>
      </c>
      <c r="AA1382" s="437" t="s">
        <v>148</v>
      </c>
      <c r="AB1382" s="206" t="s">
        <v>140</v>
      </c>
      <c r="AC1382" s="847" t="s">
        <v>265</v>
      </c>
      <c r="AD1382" s="847" t="s">
        <v>9029</v>
      </c>
      <c r="AE1382" s="847" t="s">
        <v>144</v>
      </c>
      <c r="AF1382" s="848" t="s">
        <v>144</v>
      </c>
      <c r="AG1382" s="838"/>
      <c r="AH1382" s="866" t="s">
        <v>9057</v>
      </c>
      <c r="AI1382" s="273" t="s">
        <v>9058</v>
      </c>
      <c r="AJ1382" s="847">
        <v>6</v>
      </c>
      <c r="AK1382" s="286" t="s">
        <v>9059</v>
      </c>
      <c r="AL1382" s="933" t="s">
        <v>294</v>
      </c>
      <c r="AM1382" s="376" t="s">
        <v>295</v>
      </c>
      <c r="AN1382" s="891">
        <v>7</v>
      </c>
      <c r="AO1382" s="848" t="s">
        <v>966</v>
      </c>
      <c r="AP1382" s="312"/>
      <c r="AQ1382" s="313"/>
      <c r="AR1382" s="289"/>
      <c r="AS1382" s="314"/>
      <c r="AT1382" s="867"/>
      <c r="AU1382" s="273"/>
      <c r="AV1382" s="847"/>
      <c r="AW1382" s="848"/>
      <c r="AX1382" s="867"/>
      <c r="AY1382" s="273"/>
      <c r="AZ1382" s="847"/>
      <c r="BA1382" s="848"/>
      <c r="BB1382" s="866"/>
      <c r="BC1382" s="273"/>
      <c r="BD1382" s="847"/>
      <c r="BE1382" s="848"/>
      <c r="BF1382" s="838"/>
    </row>
    <row r="1383" spans="1:58" s="87" customFormat="1" ht="54" hidden="1" customHeight="1" x14ac:dyDescent="0.25">
      <c r="A1383" s="267" t="s">
        <v>8525</v>
      </c>
      <c r="B1383" s="268">
        <v>87</v>
      </c>
      <c r="C1383" s="240" t="s">
        <v>1744</v>
      </c>
      <c r="D1383" s="270" t="s">
        <v>1745</v>
      </c>
      <c r="E1383" s="268" t="s">
        <v>9060</v>
      </c>
      <c r="F1383" s="861" t="s">
        <v>9061</v>
      </c>
      <c r="G1383" s="269" t="s">
        <v>9062</v>
      </c>
      <c r="H1383" s="845" t="s">
        <v>9061</v>
      </c>
      <c r="I1383" s="269" t="s">
        <v>9063</v>
      </c>
      <c r="J1383" s="296" t="s">
        <v>140</v>
      </c>
      <c r="K1383" s="297" t="s">
        <v>140</v>
      </c>
      <c r="L1383" s="862" t="s">
        <v>9064</v>
      </c>
      <c r="M1383" s="206" t="s">
        <v>193</v>
      </c>
      <c r="N1383" s="211" t="s">
        <v>194</v>
      </c>
      <c r="O1383" s="240" t="s">
        <v>144</v>
      </c>
      <c r="P1383" s="240" t="s">
        <v>144</v>
      </c>
      <c r="Q1383" s="845" t="s">
        <v>9065</v>
      </c>
      <c r="R1383" s="269" t="s">
        <v>9066</v>
      </c>
      <c r="S1383" s="864" t="s">
        <v>746</v>
      </c>
      <c r="T1383" s="212" t="s">
        <v>144</v>
      </c>
      <c r="U1383" s="213" t="s">
        <v>144</v>
      </c>
      <c r="V1383" s="847">
        <v>4</v>
      </c>
      <c r="W1383" s="415" t="s">
        <v>144</v>
      </c>
      <c r="X1383" s="212">
        <v>40</v>
      </c>
      <c r="Y1383" s="212" t="s">
        <v>144</v>
      </c>
      <c r="Z1383" s="241" t="s">
        <v>144</v>
      </c>
      <c r="AA1383" s="437" t="s">
        <v>9067</v>
      </c>
      <c r="AB1383" s="206" t="s">
        <v>140</v>
      </c>
      <c r="AC1383" s="847" t="s">
        <v>265</v>
      </c>
      <c r="AD1383" s="847" t="s">
        <v>8715</v>
      </c>
      <c r="AE1383" s="847" t="s">
        <v>144</v>
      </c>
      <c r="AF1383" s="848" t="s">
        <v>144</v>
      </c>
      <c r="AG1383" s="838"/>
      <c r="AH1383" s="866"/>
      <c r="AI1383" s="273"/>
      <c r="AJ1383" s="847"/>
      <c r="AK1383" s="848"/>
      <c r="AL1383" s="867"/>
      <c r="AM1383" s="273"/>
      <c r="AN1383" s="847"/>
      <c r="AO1383" s="848"/>
      <c r="AP1383" s="867"/>
      <c r="AQ1383" s="273"/>
      <c r="AR1383" s="847"/>
      <c r="AS1383" s="848"/>
      <c r="AT1383" s="867"/>
      <c r="AU1383" s="273"/>
      <c r="AV1383" s="847"/>
      <c r="AW1383" s="848"/>
      <c r="AX1383" s="867" t="s">
        <v>1228</v>
      </c>
      <c r="AY1383" s="273"/>
      <c r="AZ1383" s="847"/>
      <c r="BA1383" s="848"/>
      <c r="BB1383" s="866"/>
      <c r="BC1383" s="273"/>
      <c r="BD1383" s="847"/>
      <c r="BE1383" s="848"/>
      <c r="BF1383" s="838"/>
    </row>
    <row r="1384" spans="1:58" s="87" customFormat="1" ht="54" hidden="1" customHeight="1" x14ac:dyDescent="0.25">
      <c r="A1384" s="267" t="s">
        <v>8525</v>
      </c>
      <c r="B1384" s="268">
        <v>88</v>
      </c>
      <c r="C1384" s="240" t="s">
        <v>1744</v>
      </c>
      <c r="D1384" s="270" t="s">
        <v>1745</v>
      </c>
      <c r="E1384" s="268" t="s">
        <v>9068</v>
      </c>
      <c r="F1384" s="861" t="s">
        <v>9069</v>
      </c>
      <c r="G1384" s="269" t="s">
        <v>9070</v>
      </c>
      <c r="H1384" s="845" t="s">
        <v>9069</v>
      </c>
      <c r="I1384" s="269" t="s">
        <v>9071</v>
      </c>
      <c r="J1384" s="296" t="s">
        <v>140</v>
      </c>
      <c r="K1384" s="297" t="s">
        <v>140</v>
      </c>
      <c r="L1384" s="862" t="s">
        <v>9072</v>
      </c>
      <c r="M1384" s="206" t="s">
        <v>193</v>
      </c>
      <c r="N1384" s="211" t="s">
        <v>194</v>
      </c>
      <c r="O1384" s="240" t="s">
        <v>144</v>
      </c>
      <c r="P1384" s="240" t="s">
        <v>144</v>
      </c>
      <c r="Q1384" s="845" t="s">
        <v>9065</v>
      </c>
      <c r="R1384" s="269" t="s">
        <v>9066</v>
      </c>
      <c r="S1384" s="864" t="s">
        <v>746</v>
      </c>
      <c r="T1384" s="212" t="s">
        <v>144</v>
      </c>
      <c r="U1384" s="213" t="s">
        <v>144</v>
      </c>
      <c r="V1384" s="847">
        <v>4</v>
      </c>
      <c r="W1384" s="415" t="s">
        <v>144</v>
      </c>
      <c r="X1384" s="212">
        <v>40</v>
      </c>
      <c r="Y1384" s="212" t="s">
        <v>144</v>
      </c>
      <c r="Z1384" s="241" t="s">
        <v>144</v>
      </c>
      <c r="AA1384" s="437" t="s">
        <v>9067</v>
      </c>
      <c r="AB1384" s="206" t="s">
        <v>140</v>
      </c>
      <c r="AC1384" s="847" t="s">
        <v>265</v>
      </c>
      <c r="AD1384" s="847" t="s">
        <v>8715</v>
      </c>
      <c r="AE1384" s="847" t="s">
        <v>144</v>
      </c>
      <c r="AF1384" s="848" t="s">
        <v>144</v>
      </c>
      <c r="AG1384" s="838"/>
      <c r="AH1384" s="866"/>
      <c r="AI1384" s="273"/>
      <c r="AJ1384" s="847"/>
      <c r="AK1384" s="848"/>
      <c r="AL1384" s="867"/>
      <c r="AM1384" s="273"/>
      <c r="AN1384" s="847"/>
      <c r="AO1384" s="848"/>
      <c r="AP1384" s="867"/>
      <c r="AQ1384" s="273"/>
      <c r="AR1384" s="847"/>
      <c r="AS1384" s="848"/>
      <c r="AT1384" s="867"/>
      <c r="AU1384" s="273"/>
      <c r="AV1384" s="847"/>
      <c r="AW1384" s="848"/>
      <c r="AX1384" s="867"/>
      <c r="AY1384" s="273"/>
      <c r="AZ1384" s="847"/>
      <c r="BA1384" s="848"/>
      <c r="BB1384" s="866"/>
      <c r="BC1384" s="273"/>
      <c r="BD1384" s="847"/>
      <c r="BE1384" s="848"/>
      <c r="BF1384" s="838"/>
    </row>
    <row r="1385" spans="1:58" s="87" customFormat="1" ht="54" hidden="1" customHeight="1" x14ac:dyDescent="0.25">
      <c r="A1385" s="267" t="s">
        <v>8525</v>
      </c>
      <c r="B1385" s="268">
        <v>89</v>
      </c>
      <c r="C1385" s="240" t="s">
        <v>1744</v>
      </c>
      <c r="D1385" s="270" t="s">
        <v>1745</v>
      </c>
      <c r="E1385" s="268" t="s">
        <v>9073</v>
      </c>
      <c r="F1385" s="861" t="s">
        <v>9074</v>
      </c>
      <c r="G1385" s="269" t="s">
        <v>9075</v>
      </c>
      <c r="H1385" s="845" t="s">
        <v>9074</v>
      </c>
      <c r="I1385" s="269" t="s">
        <v>9076</v>
      </c>
      <c r="J1385" s="296" t="s">
        <v>140</v>
      </c>
      <c r="K1385" s="297" t="s">
        <v>140</v>
      </c>
      <c r="L1385" s="862" t="s">
        <v>5706</v>
      </c>
      <c r="M1385" s="206" t="s">
        <v>973</v>
      </c>
      <c r="N1385" s="211" t="s">
        <v>974</v>
      </c>
      <c r="O1385" s="240" t="s">
        <v>5707</v>
      </c>
      <c r="P1385" s="240" t="s">
        <v>5708</v>
      </c>
      <c r="Q1385" s="845" t="s">
        <v>144</v>
      </c>
      <c r="R1385" s="269" t="s">
        <v>144</v>
      </c>
      <c r="S1385" s="864" t="s">
        <v>147</v>
      </c>
      <c r="T1385" s="212" t="s">
        <v>144</v>
      </c>
      <c r="U1385" s="213" t="s">
        <v>144</v>
      </c>
      <c r="V1385" s="847">
        <v>1</v>
      </c>
      <c r="W1385" s="415" t="s">
        <v>144</v>
      </c>
      <c r="X1385" s="212">
        <v>40</v>
      </c>
      <c r="Y1385" s="212" t="s">
        <v>144</v>
      </c>
      <c r="Z1385" s="433" t="s">
        <v>144</v>
      </c>
      <c r="AA1385" s="437" t="s">
        <v>1212</v>
      </c>
      <c r="AB1385" s="206" t="s">
        <v>140</v>
      </c>
      <c r="AC1385" s="847" t="s">
        <v>265</v>
      </c>
      <c r="AD1385" s="847" t="s">
        <v>8715</v>
      </c>
      <c r="AE1385" s="847" t="s">
        <v>144</v>
      </c>
      <c r="AF1385" s="848" t="s">
        <v>144</v>
      </c>
      <c r="AG1385" s="838"/>
      <c r="AH1385" s="866" t="s">
        <v>9077</v>
      </c>
      <c r="AI1385" s="273" t="s">
        <v>9078</v>
      </c>
      <c r="AJ1385" s="847">
        <v>5</v>
      </c>
      <c r="AK1385" s="286" t="s">
        <v>9079</v>
      </c>
      <c r="AL1385" s="867" t="s">
        <v>294</v>
      </c>
      <c r="AM1385" s="273" t="s">
        <v>295</v>
      </c>
      <c r="AN1385" s="847">
        <v>7</v>
      </c>
      <c r="AO1385" s="848" t="s">
        <v>966</v>
      </c>
      <c r="AP1385" s="867"/>
      <c r="AQ1385" s="273"/>
      <c r="AR1385" s="847"/>
      <c r="AS1385" s="848"/>
      <c r="AT1385" s="867"/>
      <c r="AU1385" s="273"/>
      <c r="AV1385" s="847"/>
      <c r="AW1385" s="848"/>
      <c r="AX1385" s="867"/>
      <c r="AY1385" s="273"/>
      <c r="AZ1385" s="847"/>
      <c r="BA1385" s="848"/>
      <c r="BB1385" s="866"/>
      <c r="BC1385" s="273"/>
      <c r="BD1385" s="847"/>
      <c r="BE1385" s="848"/>
      <c r="BF1385" s="838"/>
    </row>
    <row r="1386" spans="1:58" s="87" customFormat="1" ht="54" hidden="1" customHeight="1" x14ac:dyDescent="0.25">
      <c r="A1386" s="267" t="s">
        <v>8525</v>
      </c>
      <c r="B1386" s="268">
        <v>90</v>
      </c>
      <c r="C1386" s="240" t="s">
        <v>1744</v>
      </c>
      <c r="D1386" s="270" t="s">
        <v>1745</v>
      </c>
      <c r="E1386" s="268" t="s">
        <v>9080</v>
      </c>
      <c r="F1386" s="861" t="s">
        <v>9081</v>
      </c>
      <c r="G1386" s="269" t="s">
        <v>9082</v>
      </c>
      <c r="H1386" s="845" t="s">
        <v>9081</v>
      </c>
      <c r="I1386" s="269" t="s">
        <v>9082</v>
      </c>
      <c r="J1386" s="296" t="s">
        <v>140</v>
      </c>
      <c r="K1386" s="297" t="s">
        <v>140</v>
      </c>
      <c r="L1386" s="862" t="s">
        <v>9083</v>
      </c>
      <c r="M1386" s="444" t="s">
        <v>193</v>
      </c>
      <c r="N1386" s="443" t="s">
        <v>194</v>
      </c>
      <c r="O1386" s="240" t="s">
        <v>9084</v>
      </c>
      <c r="P1386" s="240" t="s">
        <v>9085</v>
      </c>
      <c r="Q1386" s="845" t="s">
        <v>144</v>
      </c>
      <c r="R1386" s="269" t="s">
        <v>144</v>
      </c>
      <c r="S1386" s="864" t="s">
        <v>147</v>
      </c>
      <c r="T1386" s="212" t="s">
        <v>144</v>
      </c>
      <c r="U1386" s="213" t="s">
        <v>144</v>
      </c>
      <c r="V1386" s="847">
        <v>1</v>
      </c>
      <c r="W1386" s="415" t="s">
        <v>144</v>
      </c>
      <c r="X1386" s="212">
        <v>40</v>
      </c>
      <c r="Y1386" s="212" t="s">
        <v>144</v>
      </c>
      <c r="Z1386" s="241" t="s">
        <v>25</v>
      </c>
      <c r="AA1386" s="437" t="s">
        <v>148</v>
      </c>
      <c r="AB1386" s="206" t="s">
        <v>140</v>
      </c>
      <c r="AC1386" s="847" t="s">
        <v>265</v>
      </c>
      <c r="AD1386" s="847" t="s">
        <v>8715</v>
      </c>
      <c r="AE1386" s="847" t="s">
        <v>144</v>
      </c>
      <c r="AF1386" s="848" t="s">
        <v>144</v>
      </c>
      <c r="AG1386" s="838"/>
      <c r="AH1386" s="885"/>
      <c r="AI1386" s="406"/>
      <c r="AJ1386" s="872"/>
      <c r="AK1386" s="878"/>
      <c r="AL1386" s="867" t="s">
        <v>294</v>
      </c>
      <c r="AM1386" s="273" t="s">
        <v>295</v>
      </c>
      <c r="AN1386" s="847">
        <v>7</v>
      </c>
      <c r="AO1386" s="848" t="s">
        <v>966</v>
      </c>
      <c r="AP1386" s="867"/>
      <c r="AQ1386" s="273"/>
      <c r="AR1386" s="847"/>
      <c r="AS1386" s="848"/>
      <c r="AT1386" s="867"/>
      <c r="AU1386" s="273"/>
      <c r="AV1386" s="847"/>
      <c r="AW1386" s="848"/>
      <c r="AX1386" s="867"/>
      <c r="AY1386" s="273"/>
      <c r="AZ1386" s="847"/>
      <c r="BA1386" s="848"/>
      <c r="BB1386" s="866"/>
      <c r="BC1386" s="273"/>
      <c r="BD1386" s="847"/>
      <c r="BE1386" s="848"/>
      <c r="BF1386" s="838"/>
    </row>
    <row r="1387" spans="1:58" s="87" customFormat="1" ht="54" hidden="1" customHeight="1" x14ac:dyDescent="0.25">
      <c r="A1387" s="267" t="s">
        <v>8525</v>
      </c>
      <c r="B1387" s="268">
        <v>91</v>
      </c>
      <c r="C1387" s="240" t="s">
        <v>1744</v>
      </c>
      <c r="D1387" s="270" t="s">
        <v>1745</v>
      </c>
      <c r="E1387" s="268" t="s">
        <v>9086</v>
      </c>
      <c r="F1387" s="861" t="s">
        <v>9087</v>
      </c>
      <c r="G1387" s="269" t="s">
        <v>9088</v>
      </c>
      <c r="H1387" s="845" t="s">
        <v>9087</v>
      </c>
      <c r="I1387" s="269" t="s">
        <v>9088</v>
      </c>
      <c r="J1387" s="296" t="s">
        <v>140</v>
      </c>
      <c r="K1387" s="297" t="s">
        <v>140</v>
      </c>
      <c r="L1387" s="862" t="s">
        <v>9089</v>
      </c>
      <c r="M1387" s="206" t="s">
        <v>193</v>
      </c>
      <c r="N1387" s="211" t="s">
        <v>194</v>
      </c>
      <c r="O1387" s="240" t="s">
        <v>9090</v>
      </c>
      <c r="P1387" s="240" t="s">
        <v>9091</v>
      </c>
      <c r="Q1387" s="845" t="s">
        <v>144</v>
      </c>
      <c r="R1387" s="269" t="s">
        <v>144</v>
      </c>
      <c r="S1387" s="864" t="s">
        <v>147</v>
      </c>
      <c r="T1387" s="212" t="s">
        <v>144</v>
      </c>
      <c r="U1387" s="213" t="s">
        <v>144</v>
      </c>
      <c r="V1387" s="847">
        <v>1</v>
      </c>
      <c r="W1387" s="415" t="s">
        <v>144</v>
      </c>
      <c r="X1387" s="212">
        <v>40</v>
      </c>
      <c r="Y1387" s="212" t="s">
        <v>144</v>
      </c>
      <c r="Z1387" s="252" t="s">
        <v>144</v>
      </c>
      <c r="AA1387" s="240" t="s">
        <v>148</v>
      </c>
      <c r="AB1387" s="206" t="s">
        <v>140</v>
      </c>
      <c r="AC1387" s="847" t="s">
        <v>265</v>
      </c>
      <c r="AD1387" s="847" t="s">
        <v>8715</v>
      </c>
      <c r="AE1387" s="847" t="s">
        <v>144</v>
      </c>
      <c r="AF1387" s="848" t="s">
        <v>144</v>
      </c>
      <c r="AG1387" s="838"/>
      <c r="AH1387" s="866"/>
      <c r="AI1387" s="273"/>
      <c r="AJ1387" s="847"/>
      <c r="AK1387" s="848"/>
      <c r="AL1387" s="867" t="s">
        <v>294</v>
      </c>
      <c r="AM1387" s="273" t="s">
        <v>295</v>
      </c>
      <c r="AN1387" s="847">
        <v>7</v>
      </c>
      <c r="AO1387" s="848" t="s">
        <v>966</v>
      </c>
      <c r="AP1387" s="867"/>
      <c r="AQ1387" s="273"/>
      <c r="AR1387" s="847"/>
      <c r="AS1387" s="848"/>
      <c r="AT1387" s="867"/>
      <c r="AU1387" s="273"/>
      <c r="AV1387" s="847"/>
      <c r="AW1387" s="848"/>
      <c r="AX1387" s="867"/>
      <c r="AY1387" s="273"/>
      <c r="AZ1387" s="847"/>
      <c r="BA1387" s="848"/>
      <c r="BB1387" s="866"/>
      <c r="BC1387" s="273"/>
      <c r="BD1387" s="847"/>
      <c r="BE1387" s="848"/>
      <c r="BF1387" s="838"/>
    </row>
    <row r="1388" spans="1:58" s="87" customFormat="1" ht="54" hidden="1" customHeight="1" x14ac:dyDescent="0.25">
      <c r="A1388" s="267" t="s">
        <v>8525</v>
      </c>
      <c r="B1388" s="268">
        <v>92</v>
      </c>
      <c r="C1388" s="240" t="s">
        <v>1744</v>
      </c>
      <c r="D1388" s="270" t="s">
        <v>1745</v>
      </c>
      <c r="E1388" s="268" t="s">
        <v>9092</v>
      </c>
      <c r="F1388" s="861" t="s">
        <v>9093</v>
      </c>
      <c r="G1388" s="269" t="s">
        <v>9094</v>
      </c>
      <c r="H1388" s="845" t="s">
        <v>9095</v>
      </c>
      <c r="I1388" s="208" t="s">
        <v>9096</v>
      </c>
      <c r="J1388" s="240" t="s">
        <v>140</v>
      </c>
      <c r="K1388" s="270" t="s">
        <v>140</v>
      </c>
      <c r="L1388" s="862" t="s">
        <v>9097</v>
      </c>
      <c r="M1388" s="206" t="s">
        <v>973</v>
      </c>
      <c r="N1388" s="211" t="s">
        <v>974</v>
      </c>
      <c r="O1388" s="240" t="s">
        <v>144</v>
      </c>
      <c r="P1388" s="240" t="s">
        <v>144</v>
      </c>
      <c r="Q1388" s="845" t="s">
        <v>9098</v>
      </c>
      <c r="R1388" s="208" t="s">
        <v>9099</v>
      </c>
      <c r="S1388" s="864" t="s">
        <v>746</v>
      </c>
      <c r="T1388" s="212" t="s">
        <v>1104</v>
      </c>
      <c r="U1388" s="213" t="s">
        <v>1105</v>
      </c>
      <c r="V1388" s="847">
        <v>19</v>
      </c>
      <c r="W1388" s="415" t="s">
        <v>144</v>
      </c>
      <c r="X1388" s="212">
        <v>40</v>
      </c>
      <c r="Y1388" s="212" t="s">
        <v>144</v>
      </c>
      <c r="Z1388" s="241" t="s">
        <v>144</v>
      </c>
      <c r="AA1388" s="616" t="s">
        <v>148</v>
      </c>
      <c r="AB1388" s="206" t="s">
        <v>140</v>
      </c>
      <c r="AC1388" s="847" t="s">
        <v>265</v>
      </c>
      <c r="AD1388" s="847" t="s">
        <v>8715</v>
      </c>
      <c r="AE1388" s="847" t="s">
        <v>144</v>
      </c>
      <c r="AF1388" s="848" t="s">
        <v>144</v>
      </c>
      <c r="AG1388" s="838"/>
      <c r="AH1388" s="866" t="s">
        <v>9100</v>
      </c>
      <c r="AI1388" s="273" t="s">
        <v>9101</v>
      </c>
      <c r="AJ1388" s="847">
        <v>6</v>
      </c>
      <c r="AK1388" s="848" t="s">
        <v>9102</v>
      </c>
      <c r="AL1388" s="867"/>
      <c r="AM1388" s="273"/>
      <c r="AN1388" s="847"/>
      <c r="AO1388" s="848"/>
      <c r="AP1388" s="284" t="s">
        <v>1107</v>
      </c>
      <c r="AQ1388" s="273" t="s">
        <v>1108</v>
      </c>
      <c r="AR1388" s="285">
        <v>7</v>
      </c>
      <c r="AS1388" s="286" t="s">
        <v>1109</v>
      </c>
      <c r="AT1388" s="867"/>
      <c r="AU1388" s="273"/>
      <c r="AV1388" s="847"/>
      <c r="AW1388" s="848"/>
      <c r="AX1388" s="867"/>
      <c r="AY1388" s="273"/>
      <c r="AZ1388" s="847"/>
      <c r="BA1388" s="848"/>
      <c r="BB1388" s="866"/>
      <c r="BC1388" s="273"/>
      <c r="BD1388" s="847"/>
      <c r="BE1388" s="848"/>
      <c r="BF1388" s="838"/>
    </row>
    <row r="1389" spans="1:58" s="87" customFormat="1" ht="54" hidden="1" customHeight="1" x14ac:dyDescent="0.25">
      <c r="A1389" s="267" t="s">
        <v>8525</v>
      </c>
      <c r="B1389" s="268">
        <v>93</v>
      </c>
      <c r="C1389" s="240" t="s">
        <v>1744</v>
      </c>
      <c r="D1389" s="270" t="s">
        <v>1745</v>
      </c>
      <c r="E1389" s="268" t="s">
        <v>9103</v>
      </c>
      <c r="F1389" s="861" t="s">
        <v>9104</v>
      </c>
      <c r="G1389" s="269" t="s">
        <v>9105</v>
      </c>
      <c r="H1389" s="845" t="s">
        <v>9106</v>
      </c>
      <c r="I1389" s="269" t="s">
        <v>9107</v>
      </c>
      <c r="J1389" s="296" t="s">
        <v>140</v>
      </c>
      <c r="K1389" s="297" t="s">
        <v>140</v>
      </c>
      <c r="L1389" s="862" t="s">
        <v>9108</v>
      </c>
      <c r="M1389" s="206" t="s">
        <v>973</v>
      </c>
      <c r="N1389" s="211" t="s">
        <v>974</v>
      </c>
      <c r="O1389" s="240" t="s">
        <v>9109</v>
      </c>
      <c r="P1389" s="240" t="s">
        <v>9110</v>
      </c>
      <c r="Q1389" s="845" t="s">
        <v>9111</v>
      </c>
      <c r="R1389" s="269" t="s">
        <v>9112</v>
      </c>
      <c r="S1389" s="864" t="s">
        <v>147</v>
      </c>
      <c r="T1389" s="212" t="s">
        <v>144</v>
      </c>
      <c r="U1389" s="213" t="s">
        <v>144</v>
      </c>
      <c r="V1389" s="847">
        <v>1</v>
      </c>
      <c r="W1389" s="415" t="s">
        <v>144</v>
      </c>
      <c r="X1389" s="212">
        <v>40</v>
      </c>
      <c r="Y1389" s="212" t="s">
        <v>144</v>
      </c>
      <c r="Z1389" s="241" t="s">
        <v>144</v>
      </c>
      <c r="AA1389" s="616" t="s">
        <v>148</v>
      </c>
      <c r="AB1389" s="206" t="s">
        <v>140</v>
      </c>
      <c r="AC1389" s="847" t="s">
        <v>265</v>
      </c>
      <c r="AD1389" s="847" t="s">
        <v>9113</v>
      </c>
      <c r="AE1389" s="847" t="s">
        <v>144</v>
      </c>
      <c r="AF1389" s="848" t="s">
        <v>144</v>
      </c>
      <c r="AG1389" s="838"/>
      <c r="AH1389" s="866" t="s">
        <v>9114</v>
      </c>
      <c r="AI1389" s="273" t="s">
        <v>9115</v>
      </c>
      <c r="AJ1389" s="847">
        <v>6</v>
      </c>
      <c r="AK1389" s="286" t="s">
        <v>9116</v>
      </c>
      <c r="AL1389" s="867" t="s">
        <v>294</v>
      </c>
      <c r="AM1389" s="273" t="s">
        <v>295</v>
      </c>
      <c r="AN1389" s="847">
        <v>7</v>
      </c>
      <c r="AO1389" s="848" t="s">
        <v>966</v>
      </c>
      <c r="AP1389" s="312"/>
      <c r="AQ1389" s="313"/>
      <c r="AR1389" s="289"/>
      <c r="AS1389" s="383"/>
      <c r="AT1389" s="867"/>
      <c r="AU1389" s="273"/>
      <c r="AV1389" s="847"/>
      <c r="AW1389" s="848"/>
      <c r="AX1389" s="867"/>
      <c r="AY1389" s="273"/>
      <c r="AZ1389" s="847"/>
      <c r="BA1389" s="848"/>
      <c r="BB1389" s="866"/>
      <c r="BC1389" s="273"/>
      <c r="BD1389" s="847"/>
      <c r="BE1389" s="848"/>
      <c r="BF1389" s="838"/>
    </row>
    <row r="1390" spans="1:58" s="87" customFormat="1" ht="54" hidden="1" customHeight="1" x14ac:dyDescent="0.25">
      <c r="A1390" s="267" t="s">
        <v>8525</v>
      </c>
      <c r="B1390" s="268">
        <v>94</v>
      </c>
      <c r="C1390" s="240" t="s">
        <v>1744</v>
      </c>
      <c r="D1390" s="270" t="s">
        <v>1745</v>
      </c>
      <c r="E1390" s="268" t="s">
        <v>9117</v>
      </c>
      <c r="F1390" s="249" t="s">
        <v>9118</v>
      </c>
      <c r="G1390" s="135" t="s">
        <v>9119</v>
      </c>
      <c r="H1390" s="249" t="s">
        <v>9120</v>
      </c>
      <c r="I1390" s="135" t="s">
        <v>9121</v>
      </c>
      <c r="J1390" s="296" t="s">
        <v>140</v>
      </c>
      <c r="K1390" s="297" t="s">
        <v>140</v>
      </c>
      <c r="L1390" s="862" t="s">
        <v>2272</v>
      </c>
      <c r="M1390" s="206" t="s">
        <v>973</v>
      </c>
      <c r="N1390" s="211" t="s">
        <v>974</v>
      </c>
      <c r="O1390" s="240" t="s">
        <v>2273</v>
      </c>
      <c r="P1390" s="240" t="s">
        <v>2274</v>
      </c>
      <c r="Q1390" s="845" t="s">
        <v>9122</v>
      </c>
      <c r="R1390" s="269" t="s">
        <v>9123</v>
      </c>
      <c r="S1390" s="864" t="s">
        <v>147</v>
      </c>
      <c r="T1390" s="212" t="s">
        <v>144</v>
      </c>
      <c r="U1390" s="213" t="s">
        <v>144</v>
      </c>
      <c r="V1390" s="847">
        <v>1</v>
      </c>
      <c r="W1390" s="415" t="s">
        <v>144</v>
      </c>
      <c r="X1390" s="212">
        <v>41</v>
      </c>
      <c r="Y1390" s="212" t="s">
        <v>144</v>
      </c>
      <c r="Z1390" s="433" t="s">
        <v>144</v>
      </c>
      <c r="AA1390" s="437" t="s">
        <v>9124</v>
      </c>
      <c r="AB1390" s="206" t="s">
        <v>140</v>
      </c>
      <c r="AC1390" s="847" t="s">
        <v>265</v>
      </c>
      <c r="AD1390" s="847" t="s">
        <v>8715</v>
      </c>
      <c r="AE1390" s="847" t="s">
        <v>144</v>
      </c>
      <c r="AF1390" s="848" t="s">
        <v>144</v>
      </c>
      <c r="AG1390" s="838"/>
      <c r="AH1390" s="866" t="s">
        <v>9125</v>
      </c>
      <c r="AI1390" s="273" t="s">
        <v>9126</v>
      </c>
      <c r="AJ1390" s="847">
        <v>6</v>
      </c>
      <c r="AK1390" s="286" t="s">
        <v>9127</v>
      </c>
      <c r="AL1390" s="867" t="s">
        <v>294</v>
      </c>
      <c r="AM1390" s="273" t="s">
        <v>295</v>
      </c>
      <c r="AN1390" s="847">
        <v>7</v>
      </c>
      <c r="AO1390" s="848" t="s">
        <v>966</v>
      </c>
      <c r="AP1390" s="867"/>
      <c r="AQ1390" s="273"/>
      <c r="AR1390" s="847"/>
      <c r="AS1390" s="848"/>
      <c r="AT1390" s="867"/>
      <c r="AU1390" s="273"/>
      <c r="AV1390" s="847"/>
      <c r="AW1390" s="848"/>
      <c r="AX1390" s="867"/>
      <c r="AY1390" s="273"/>
      <c r="AZ1390" s="847"/>
      <c r="BA1390" s="848"/>
      <c r="BB1390" s="866"/>
      <c r="BC1390" s="273"/>
      <c r="BD1390" s="847"/>
      <c r="BE1390" s="848"/>
      <c r="BF1390" s="838"/>
    </row>
    <row r="1391" spans="1:58" s="87" customFormat="1" ht="54" hidden="1" customHeight="1" x14ac:dyDescent="0.25">
      <c r="A1391" s="267" t="s">
        <v>8525</v>
      </c>
      <c r="B1391" s="268">
        <v>95</v>
      </c>
      <c r="C1391" s="240" t="s">
        <v>5602</v>
      </c>
      <c r="D1391" s="211" t="s">
        <v>5603</v>
      </c>
      <c r="E1391" s="268" t="s">
        <v>9128</v>
      </c>
      <c r="F1391" s="861" t="s">
        <v>9129</v>
      </c>
      <c r="G1391" s="269" t="s">
        <v>9130</v>
      </c>
      <c r="H1391" s="845" t="s">
        <v>9129</v>
      </c>
      <c r="I1391" s="269" t="s">
        <v>9130</v>
      </c>
      <c r="J1391" s="296" t="s">
        <v>140</v>
      </c>
      <c r="K1391" s="297" t="s">
        <v>140</v>
      </c>
      <c r="L1391" s="862" t="s">
        <v>9131</v>
      </c>
      <c r="M1391" s="206" t="s">
        <v>973</v>
      </c>
      <c r="N1391" s="211" t="s">
        <v>974</v>
      </c>
      <c r="O1391" s="240" t="s">
        <v>4634</v>
      </c>
      <c r="P1391" s="240" t="s">
        <v>4635</v>
      </c>
      <c r="Q1391" s="845" t="s">
        <v>144</v>
      </c>
      <c r="R1391" s="269" t="s">
        <v>144</v>
      </c>
      <c r="S1391" s="864" t="s">
        <v>147</v>
      </c>
      <c r="T1391" s="212" t="s">
        <v>144</v>
      </c>
      <c r="U1391" s="213" t="s">
        <v>144</v>
      </c>
      <c r="V1391" s="847">
        <v>2</v>
      </c>
      <c r="W1391" s="415" t="s">
        <v>144</v>
      </c>
      <c r="X1391" s="212">
        <v>40</v>
      </c>
      <c r="Y1391" s="212" t="s">
        <v>144</v>
      </c>
      <c r="Z1391" s="241" t="s">
        <v>144</v>
      </c>
      <c r="AA1391" s="616" t="s">
        <v>148</v>
      </c>
      <c r="AB1391" s="206" t="s">
        <v>140</v>
      </c>
      <c r="AC1391" s="847" t="s">
        <v>265</v>
      </c>
      <c r="AD1391" s="847" t="s">
        <v>8856</v>
      </c>
      <c r="AE1391" s="847" t="s">
        <v>144</v>
      </c>
      <c r="AF1391" s="848" t="s">
        <v>144</v>
      </c>
      <c r="AG1391" s="838"/>
      <c r="AH1391" s="866" t="s">
        <v>9132</v>
      </c>
      <c r="AI1391" s="273" t="s">
        <v>9133</v>
      </c>
      <c r="AJ1391" s="847">
        <v>6</v>
      </c>
      <c r="AK1391" s="848" t="s">
        <v>9134</v>
      </c>
      <c r="AL1391" s="867" t="s">
        <v>294</v>
      </c>
      <c r="AM1391" s="273" t="s">
        <v>295</v>
      </c>
      <c r="AN1391" s="847">
        <v>7</v>
      </c>
      <c r="AO1391" s="848" t="s">
        <v>966</v>
      </c>
      <c r="AP1391" s="867"/>
      <c r="AQ1391" s="273"/>
      <c r="AR1391" s="847"/>
      <c r="AS1391" s="848"/>
      <c r="AT1391" s="867"/>
      <c r="AU1391" s="273"/>
      <c r="AV1391" s="847"/>
      <c r="AW1391" s="848"/>
      <c r="AX1391" s="867"/>
      <c r="AY1391" s="273"/>
      <c r="AZ1391" s="847"/>
      <c r="BA1391" s="848"/>
      <c r="BB1391" s="866"/>
      <c r="BC1391" s="273"/>
      <c r="BD1391" s="847"/>
      <c r="BE1391" s="848"/>
      <c r="BF1391" s="838"/>
    </row>
    <row r="1392" spans="1:58" s="55" customFormat="1" ht="54" customHeight="1" x14ac:dyDescent="0.25">
      <c r="A1392" s="275" t="s">
        <v>8525</v>
      </c>
      <c r="B1392" s="276">
        <v>96</v>
      </c>
      <c r="C1392" s="253" t="s">
        <v>144</v>
      </c>
      <c r="D1392" s="217" t="s">
        <v>144</v>
      </c>
      <c r="E1392" s="276" t="s">
        <v>9135</v>
      </c>
      <c r="F1392" s="277" t="s">
        <v>251</v>
      </c>
      <c r="G1392" s="277" t="s">
        <v>251</v>
      </c>
      <c r="H1392" s="220" t="s">
        <v>336</v>
      </c>
      <c r="I1392" s="277" t="s">
        <v>337</v>
      </c>
      <c r="J1392" s="302" t="s">
        <v>144</v>
      </c>
      <c r="K1392" s="302" t="s">
        <v>144</v>
      </c>
      <c r="L1392" s="718" t="s">
        <v>3413</v>
      </c>
      <c r="M1392" s="253" t="s">
        <v>144</v>
      </c>
      <c r="N1392" s="302" t="s">
        <v>144</v>
      </c>
      <c r="O1392" s="253" t="s">
        <v>144</v>
      </c>
      <c r="P1392" s="253" t="s">
        <v>144</v>
      </c>
      <c r="Q1392" s="220" t="s">
        <v>338</v>
      </c>
      <c r="R1392" s="220" t="s">
        <v>339</v>
      </c>
      <c r="S1392" s="276" t="s">
        <v>147</v>
      </c>
      <c r="T1392" s="221" t="s">
        <v>144</v>
      </c>
      <c r="U1392" s="221" t="s">
        <v>144</v>
      </c>
      <c r="V1392" s="253">
        <v>20</v>
      </c>
      <c r="W1392" s="217" t="s">
        <v>144</v>
      </c>
      <c r="X1392" s="221" t="s">
        <v>144</v>
      </c>
      <c r="Y1392" s="221" t="s">
        <v>144</v>
      </c>
      <c r="Z1392" s="221" t="s">
        <v>144</v>
      </c>
      <c r="AA1392" s="253" t="s">
        <v>144</v>
      </c>
      <c r="AB1392" s="217" t="s">
        <v>144</v>
      </c>
      <c r="AC1392" s="253" t="s">
        <v>265</v>
      </c>
      <c r="AD1392" s="253" t="s">
        <v>144</v>
      </c>
      <c r="AE1392" s="253" t="s">
        <v>144</v>
      </c>
      <c r="AF1392" s="254" t="s">
        <v>144</v>
      </c>
      <c r="AG1392" s="838"/>
      <c r="AH1392" s="280"/>
      <c r="AI1392" s="281"/>
      <c r="AJ1392" s="253"/>
      <c r="AK1392" s="254"/>
      <c r="AL1392" s="281"/>
      <c r="AM1392" s="281"/>
      <c r="AN1392" s="253"/>
      <c r="AO1392" s="254"/>
      <c r="AP1392" s="281"/>
      <c r="AQ1392" s="281"/>
      <c r="AR1392" s="253"/>
      <c r="AS1392" s="254"/>
      <c r="AT1392" s="281"/>
      <c r="AU1392" s="281"/>
      <c r="AV1392" s="253"/>
      <c r="AW1392" s="254"/>
      <c r="AX1392" s="281"/>
      <c r="AY1392" s="281"/>
      <c r="AZ1392" s="253"/>
      <c r="BA1392" s="254"/>
      <c r="BB1392" s="280"/>
      <c r="BC1392" s="281"/>
      <c r="BD1392" s="253"/>
      <c r="BE1392" s="254"/>
      <c r="BF1392" s="838"/>
    </row>
    <row r="1393" spans="1:58" s="87" customFormat="1" ht="54" hidden="1" customHeight="1" x14ac:dyDescent="0.25">
      <c r="A1393" s="267" t="s">
        <v>8525</v>
      </c>
      <c r="B1393" s="268">
        <v>97</v>
      </c>
      <c r="C1393" s="240" t="s">
        <v>1744</v>
      </c>
      <c r="D1393" s="211" t="s">
        <v>1745</v>
      </c>
      <c r="E1393" s="268" t="s">
        <v>9136</v>
      </c>
      <c r="F1393" s="861" t="s">
        <v>9137</v>
      </c>
      <c r="G1393" s="269" t="s">
        <v>9138</v>
      </c>
      <c r="H1393" s="861" t="s">
        <v>9139</v>
      </c>
      <c r="I1393" s="269" t="s">
        <v>9140</v>
      </c>
      <c r="J1393" s="296" t="s">
        <v>140</v>
      </c>
      <c r="K1393" s="297" t="s">
        <v>140</v>
      </c>
      <c r="L1393" s="862" t="s">
        <v>9141</v>
      </c>
      <c r="M1393" s="444" t="s">
        <v>193</v>
      </c>
      <c r="N1393" s="443" t="s">
        <v>194</v>
      </c>
      <c r="O1393" s="240" t="s">
        <v>144</v>
      </c>
      <c r="P1393" s="240" t="s">
        <v>144</v>
      </c>
      <c r="Q1393" s="845" t="s">
        <v>144</v>
      </c>
      <c r="R1393" s="269" t="s">
        <v>144</v>
      </c>
      <c r="S1393" s="864" t="s">
        <v>746</v>
      </c>
      <c r="T1393" s="212" t="s">
        <v>1307</v>
      </c>
      <c r="U1393" s="213" t="s">
        <v>1308</v>
      </c>
      <c r="V1393" s="847">
        <v>10</v>
      </c>
      <c r="W1393" s="415" t="s">
        <v>144</v>
      </c>
      <c r="X1393" s="212">
        <v>40</v>
      </c>
      <c r="Y1393" s="212" t="s">
        <v>144</v>
      </c>
      <c r="Z1393" s="241" t="s">
        <v>25</v>
      </c>
      <c r="AA1393" s="616" t="s">
        <v>148</v>
      </c>
      <c r="AB1393" s="206" t="s">
        <v>140</v>
      </c>
      <c r="AC1393" s="847" t="s">
        <v>265</v>
      </c>
      <c r="AD1393" s="847" t="s">
        <v>9142</v>
      </c>
      <c r="AE1393" s="847" t="s">
        <v>144</v>
      </c>
      <c r="AF1393" s="848" t="s">
        <v>144</v>
      </c>
      <c r="AG1393" s="838"/>
      <c r="AH1393" s="885"/>
      <c r="AI1393" s="406"/>
      <c r="AJ1393" s="872"/>
      <c r="AK1393" s="878"/>
      <c r="AL1393" s="867"/>
      <c r="AM1393" s="273"/>
      <c r="AN1393" s="847"/>
      <c r="AO1393" s="848"/>
      <c r="AP1393" s="867" t="s">
        <v>9143</v>
      </c>
      <c r="AQ1393" s="273" t="s">
        <v>9144</v>
      </c>
      <c r="AR1393" s="847">
        <v>7</v>
      </c>
      <c r="AS1393" s="848" t="s">
        <v>9145</v>
      </c>
      <c r="AT1393" s="867"/>
      <c r="AU1393" s="273"/>
      <c r="AV1393" s="847"/>
      <c r="AW1393" s="848"/>
      <c r="AX1393" s="867"/>
      <c r="AY1393" s="273"/>
      <c r="AZ1393" s="847"/>
      <c r="BA1393" s="848"/>
      <c r="BB1393" s="866"/>
      <c r="BC1393" s="273"/>
      <c r="BD1393" s="847"/>
      <c r="BE1393" s="848"/>
      <c r="BF1393" s="838"/>
    </row>
    <row r="1394" spans="1:58" s="87" customFormat="1" ht="54" hidden="1" customHeight="1" x14ac:dyDescent="0.25">
      <c r="A1394" s="267" t="s">
        <v>8525</v>
      </c>
      <c r="B1394" s="268">
        <v>98</v>
      </c>
      <c r="C1394" s="240" t="s">
        <v>1744</v>
      </c>
      <c r="D1394" s="211" t="s">
        <v>1745</v>
      </c>
      <c r="E1394" s="268" t="s">
        <v>9146</v>
      </c>
      <c r="F1394" s="861" t="s">
        <v>9147</v>
      </c>
      <c r="G1394" s="269" t="s">
        <v>9148</v>
      </c>
      <c r="H1394" s="861" t="s">
        <v>9149</v>
      </c>
      <c r="I1394" s="269" t="s">
        <v>9150</v>
      </c>
      <c r="J1394" s="296" t="s">
        <v>140</v>
      </c>
      <c r="K1394" s="297" t="s">
        <v>140</v>
      </c>
      <c r="L1394" s="862" t="s">
        <v>9151</v>
      </c>
      <c r="M1394" s="444" t="s">
        <v>193</v>
      </c>
      <c r="N1394" s="443" t="s">
        <v>194</v>
      </c>
      <c r="O1394" s="240" t="s">
        <v>144</v>
      </c>
      <c r="P1394" s="240" t="s">
        <v>144</v>
      </c>
      <c r="Q1394" s="845" t="s">
        <v>144</v>
      </c>
      <c r="R1394" s="269" t="s">
        <v>144</v>
      </c>
      <c r="S1394" s="864" t="s">
        <v>746</v>
      </c>
      <c r="T1394" s="212" t="s">
        <v>1307</v>
      </c>
      <c r="U1394" s="213" t="s">
        <v>1308</v>
      </c>
      <c r="V1394" s="847">
        <v>10</v>
      </c>
      <c r="W1394" s="415" t="s">
        <v>144</v>
      </c>
      <c r="X1394" s="212">
        <v>40</v>
      </c>
      <c r="Y1394" s="212" t="s">
        <v>144</v>
      </c>
      <c r="Z1394" s="241" t="s">
        <v>25</v>
      </c>
      <c r="AA1394" s="616" t="s">
        <v>148</v>
      </c>
      <c r="AB1394" s="206" t="s">
        <v>140</v>
      </c>
      <c r="AC1394" s="847" t="s">
        <v>265</v>
      </c>
      <c r="AD1394" s="847" t="s">
        <v>9142</v>
      </c>
      <c r="AE1394" s="847" t="s">
        <v>144</v>
      </c>
      <c r="AF1394" s="848" t="s">
        <v>144</v>
      </c>
      <c r="AG1394" s="838"/>
      <c r="AH1394" s="885"/>
      <c r="AI1394" s="406"/>
      <c r="AJ1394" s="872"/>
      <c r="AK1394" s="878"/>
      <c r="AL1394" s="867"/>
      <c r="AM1394" s="273"/>
      <c r="AN1394" s="847"/>
      <c r="AO1394" s="848"/>
      <c r="AP1394" s="867" t="s">
        <v>9143</v>
      </c>
      <c r="AQ1394" s="273" t="s">
        <v>9144</v>
      </c>
      <c r="AR1394" s="847">
        <v>7</v>
      </c>
      <c r="AS1394" s="848" t="s">
        <v>9145</v>
      </c>
      <c r="AT1394" s="867"/>
      <c r="AU1394" s="273"/>
      <c r="AV1394" s="847"/>
      <c r="AW1394" s="848"/>
      <c r="AX1394" s="867"/>
      <c r="AY1394" s="273"/>
      <c r="AZ1394" s="847"/>
      <c r="BA1394" s="848"/>
      <c r="BB1394" s="866"/>
      <c r="BC1394" s="273"/>
      <c r="BD1394" s="847"/>
      <c r="BE1394" s="848"/>
      <c r="BF1394" s="838"/>
    </row>
    <row r="1395" spans="1:58" s="55" customFormat="1" ht="54" customHeight="1" x14ac:dyDescent="0.25">
      <c r="A1395" s="275" t="s">
        <v>8525</v>
      </c>
      <c r="B1395" s="276">
        <v>99</v>
      </c>
      <c r="C1395" s="253" t="s">
        <v>144</v>
      </c>
      <c r="D1395" s="217" t="s">
        <v>144</v>
      </c>
      <c r="E1395" s="276" t="s">
        <v>9152</v>
      </c>
      <c r="F1395" s="277" t="s">
        <v>251</v>
      </c>
      <c r="G1395" s="277" t="s">
        <v>251</v>
      </c>
      <c r="H1395" s="220" t="s">
        <v>336</v>
      </c>
      <c r="I1395" s="277" t="s">
        <v>337</v>
      </c>
      <c r="J1395" s="302" t="s">
        <v>144</v>
      </c>
      <c r="K1395" s="302" t="s">
        <v>144</v>
      </c>
      <c r="L1395" s="718" t="s">
        <v>3494</v>
      </c>
      <c r="M1395" s="253" t="s">
        <v>144</v>
      </c>
      <c r="N1395" s="302" t="s">
        <v>144</v>
      </c>
      <c r="O1395" s="253" t="s">
        <v>144</v>
      </c>
      <c r="P1395" s="253" t="s">
        <v>144</v>
      </c>
      <c r="Q1395" s="220" t="s">
        <v>338</v>
      </c>
      <c r="R1395" s="220" t="s">
        <v>339</v>
      </c>
      <c r="S1395" s="276" t="s">
        <v>147</v>
      </c>
      <c r="T1395" s="221" t="s">
        <v>144</v>
      </c>
      <c r="U1395" s="221" t="s">
        <v>144</v>
      </c>
      <c r="V1395" s="253">
        <v>20</v>
      </c>
      <c r="W1395" s="217" t="s">
        <v>144</v>
      </c>
      <c r="X1395" s="221" t="s">
        <v>144</v>
      </c>
      <c r="Y1395" s="221" t="s">
        <v>144</v>
      </c>
      <c r="Z1395" s="221" t="s">
        <v>144</v>
      </c>
      <c r="AA1395" s="253" t="s">
        <v>144</v>
      </c>
      <c r="AB1395" s="217" t="s">
        <v>144</v>
      </c>
      <c r="AC1395" s="253" t="s">
        <v>265</v>
      </c>
      <c r="AD1395" s="253" t="s">
        <v>144</v>
      </c>
      <c r="AE1395" s="253" t="s">
        <v>144</v>
      </c>
      <c r="AF1395" s="254" t="s">
        <v>144</v>
      </c>
      <c r="AG1395" s="838"/>
      <c r="AH1395" s="280"/>
      <c r="AI1395" s="281"/>
      <c r="AJ1395" s="253"/>
      <c r="AK1395" s="254"/>
      <c r="AL1395" s="281"/>
      <c r="AM1395" s="281"/>
      <c r="AN1395" s="253"/>
      <c r="AO1395" s="254"/>
      <c r="AP1395" s="281"/>
      <c r="AQ1395" s="281"/>
      <c r="AR1395" s="253"/>
      <c r="AS1395" s="254"/>
      <c r="AT1395" s="281"/>
      <c r="AU1395" s="281"/>
      <c r="AV1395" s="253"/>
      <c r="AW1395" s="254"/>
      <c r="AX1395" s="281"/>
      <c r="AY1395" s="281"/>
      <c r="AZ1395" s="253"/>
      <c r="BA1395" s="254"/>
      <c r="BB1395" s="280"/>
      <c r="BC1395" s="281"/>
      <c r="BD1395" s="253"/>
      <c r="BE1395" s="254"/>
      <c r="BF1395" s="838"/>
    </row>
    <row r="1396" spans="1:58" s="87" customFormat="1" ht="54" hidden="1" customHeight="1" x14ac:dyDescent="0.25">
      <c r="A1396" s="267" t="s">
        <v>8525</v>
      </c>
      <c r="B1396" s="268">
        <v>100</v>
      </c>
      <c r="C1396" s="240" t="s">
        <v>1744</v>
      </c>
      <c r="D1396" s="211" t="s">
        <v>1745</v>
      </c>
      <c r="E1396" s="268" t="s">
        <v>9153</v>
      </c>
      <c r="F1396" s="861" t="s">
        <v>9154</v>
      </c>
      <c r="G1396" s="269" t="s">
        <v>9155</v>
      </c>
      <c r="H1396" s="845" t="s">
        <v>9156</v>
      </c>
      <c r="I1396" s="208" t="s">
        <v>9157</v>
      </c>
      <c r="J1396" s="240" t="s">
        <v>140</v>
      </c>
      <c r="K1396" s="270" t="s">
        <v>140</v>
      </c>
      <c r="L1396" s="862" t="s">
        <v>9158</v>
      </c>
      <c r="M1396" s="206" t="s">
        <v>973</v>
      </c>
      <c r="N1396" s="211" t="s">
        <v>974</v>
      </c>
      <c r="O1396" s="240" t="s">
        <v>9159</v>
      </c>
      <c r="P1396" s="240" t="s">
        <v>9160</v>
      </c>
      <c r="Q1396" s="845" t="s">
        <v>144</v>
      </c>
      <c r="R1396" s="269" t="s">
        <v>144</v>
      </c>
      <c r="S1396" s="864" t="s">
        <v>147</v>
      </c>
      <c r="T1396" s="212" t="s">
        <v>144</v>
      </c>
      <c r="U1396" s="213" t="s">
        <v>144</v>
      </c>
      <c r="V1396" s="847">
        <v>1</v>
      </c>
      <c r="W1396" s="415" t="s">
        <v>144</v>
      </c>
      <c r="X1396" s="212">
        <v>40</v>
      </c>
      <c r="Y1396" s="212" t="s">
        <v>144</v>
      </c>
      <c r="Z1396" s="241" t="s">
        <v>144</v>
      </c>
      <c r="AA1396" s="437" t="s">
        <v>148</v>
      </c>
      <c r="AB1396" s="206" t="s">
        <v>140</v>
      </c>
      <c r="AC1396" s="847" t="s">
        <v>265</v>
      </c>
      <c r="AD1396" s="847" t="s">
        <v>9161</v>
      </c>
      <c r="AE1396" s="847" t="s">
        <v>144</v>
      </c>
      <c r="AF1396" s="848" t="s">
        <v>144</v>
      </c>
      <c r="AG1396" s="838"/>
      <c r="AH1396" s="866" t="s">
        <v>9162</v>
      </c>
      <c r="AI1396" s="273" t="s">
        <v>9163</v>
      </c>
      <c r="AJ1396" s="847">
        <v>6</v>
      </c>
      <c r="AK1396" s="848" t="s">
        <v>9164</v>
      </c>
      <c r="AL1396" s="867" t="s">
        <v>294</v>
      </c>
      <c r="AM1396" s="273" t="s">
        <v>295</v>
      </c>
      <c r="AN1396" s="847">
        <v>7</v>
      </c>
      <c r="AO1396" s="848" t="s">
        <v>966</v>
      </c>
      <c r="AP1396" s="312"/>
      <c r="AQ1396" s="313"/>
      <c r="AR1396" s="289"/>
      <c r="AS1396" s="314"/>
      <c r="AT1396" s="867"/>
      <c r="AU1396" s="273"/>
      <c r="AV1396" s="847"/>
      <c r="AW1396" s="848"/>
      <c r="AX1396" s="867"/>
      <c r="AY1396" s="273"/>
      <c r="AZ1396" s="847"/>
      <c r="BA1396" s="848"/>
      <c r="BB1396" s="866"/>
      <c r="BC1396" s="273"/>
      <c r="BD1396" s="847"/>
      <c r="BE1396" s="848"/>
      <c r="BF1396" s="838"/>
    </row>
    <row r="1397" spans="1:58" s="87" customFormat="1" ht="54" hidden="1" customHeight="1" x14ac:dyDescent="0.25">
      <c r="A1397" s="267" t="s">
        <v>8525</v>
      </c>
      <c r="B1397" s="268">
        <v>101</v>
      </c>
      <c r="C1397" s="240" t="s">
        <v>1744</v>
      </c>
      <c r="D1397" s="211" t="s">
        <v>1745</v>
      </c>
      <c r="E1397" s="268" t="s">
        <v>9165</v>
      </c>
      <c r="F1397" s="861" t="s">
        <v>9166</v>
      </c>
      <c r="G1397" s="269" t="s">
        <v>9167</v>
      </c>
      <c r="H1397" s="845" t="s">
        <v>9168</v>
      </c>
      <c r="I1397" s="269" t="s">
        <v>9169</v>
      </c>
      <c r="J1397" s="296" t="s">
        <v>140</v>
      </c>
      <c r="K1397" s="297" t="s">
        <v>140</v>
      </c>
      <c r="L1397" s="862" t="s">
        <v>9170</v>
      </c>
      <c r="M1397" s="444" t="s">
        <v>193</v>
      </c>
      <c r="N1397" s="443" t="s">
        <v>194</v>
      </c>
      <c r="O1397" s="240" t="s">
        <v>144</v>
      </c>
      <c r="P1397" s="240" t="s">
        <v>144</v>
      </c>
      <c r="Q1397" s="845" t="s">
        <v>144</v>
      </c>
      <c r="R1397" s="208" t="s">
        <v>144</v>
      </c>
      <c r="S1397" s="181" t="s">
        <v>233</v>
      </c>
      <c r="T1397" s="212" t="s">
        <v>234</v>
      </c>
      <c r="U1397" s="213" t="s">
        <v>235</v>
      </c>
      <c r="V1397" s="847">
        <v>8</v>
      </c>
      <c r="W1397" s="415" t="s">
        <v>144</v>
      </c>
      <c r="X1397" s="212">
        <v>40</v>
      </c>
      <c r="Y1397" s="212" t="s">
        <v>144</v>
      </c>
      <c r="Z1397" s="241" t="s">
        <v>25</v>
      </c>
      <c r="AA1397" s="437" t="s">
        <v>148</v>
      </c>
      <c r="AB1397" s="206" t="s">
        <v>140</v>
      </c>
      <c r="AC1397" s="847" t="s">
        <v>265</v>
      </c>
      <c r="AD1397" s="847" t="s">
        <v>9142</v>
      </c>
      <c r="AE1397" s="847" t="s">
        <v>144</v>
      </c>
      <c r="AF1397" s="848" t="s">
        <v>144</v>
      </c>
      <c r="AG1397" s="838"/>
      <c r="AH1397" s="885"/>
      <c r="AI1397" s="406"/>
      <c r="AJ1397" s="872"/>
      <c r="AK1397" s="878"/>
      <c r="AL1397" s="867"/>
      <c r="AM1397" s="273"/>
      <c r="AN1397" s="847"/>
      <c r="AO1397" s="848"/>
      <c r="AP1397" s="867"/>
      <c r="AQ1397" s="273"/>
      <c r="AR1397" s="847"/>
      <c r="AS1397" s="848"/>
      <c r="AT1397" s="867"/>
      <c r="AU1397" s="273"/>
      <c r="AV1397" s="847"/>
      <c r="AW1397" s="848"/>
      <c r="AX1397" s="867"/>
      <c r="AY1397" s="273"/>
      <c r="AZ1397" s="847"/>
      <c r="BA1397" s="848"/>
      <c r="BB1397" s="866"/>
      <c r="BC1397" s="273"/>
      <c r="BD1397" s="847"/>
      <c r="BE1397" s="848"/>
      <c r="BF1397" s="838"/>
    </row>
    <row r="1398" spans="1:58" s="87" customFormat="1" ht="54" hidden="1" customHeight="1" x14ac:dyDescent="0.25">
      <c r="A1398" s="267" t="s">
        <v>8525</v>
      </c>
      <c r="B1398" s="268">
        <v>102</v>
      </c>
      <c r="C1398" s="240" t="s">
        <v>1744</v>
      </c>
      <c r="D1398" s="211" t="s">
        <v>1745</v>
      </c>
      <c r="E1398" s="268" t="s">
        <v>9171</v>
      </c>
      <c r="F1398" s="861" t="s">
        <v>9172</v>
      </c>
      <c r="G1398" s="269" t="s">
        <v>9173</v>
      </c>
      <c r="H1398" s="845" t="s">
        <v>9174</v>
      </c>
      <c r="I1398" s="269" t="s">
        <v>9175</v>
      </c>
      <c r="J1398" s="296" t="s">
        <v>140</v>
      </c>
      <c r="K1398" s="297" t="s">
        <v>140</v>
      </c>
      <c r="L1398" s="862" t="s">
        <v>9176</v>
      </c>
      <c r="M1398" s="444" t="s">
        <v>193</v>
      </c>
      <c r="N1398" s="443" t="s">
        <v>194</v>
      </c>
      <c r="O1398" s="240" t="s">
        <v>144</v>
      </c>
      <c r="P1398" s="240" t="s">
        <v>144</v>
      </c>
      <c r="Q1398" s="845" t="s">
        <v>9177</v>
      </c>
      <c r="R1398" s="269" t="s">
        <v>9178</v>
      </c>
      <c r="S1398" s="864" t="s">
        <v>746</v>
      </c>
      <c r="T1398" s="212" t="s">
        <v>144</v>
      </c>
      <c r="U1398" s="213" t="s">
        <v>144</v>
      </c>
      <c r="V1398" s="847">
        <v>5</v>
      </c>
      <c r="W1398" s="415" t="s">
        <v>144</v>
      </c>
      <c r="X1398" s="212">
        <v>40</v>
      </c>
      <c r="Y1398" s="212" t="s">
        <v>144</v>
      </c>
      <c r="Z1398" s="241" t="s">
        <v>25</v>
      </c>
      <c r="AA1398" s="437" t="s">
        <v>148</v>
      </c>
      <c r="AB1398" s="206" t="s">
        <v>140</v>
      </c>
      <c r="AC1398" s="847" t="s">
        <v>265</v>
      </c>
      <c r="AD1398" s="847" t="s">
        <v>9142</v>
      </c>
      <c r="AE1398" s="847" t="s">
        <v>144</v>
      </c>
      <c r="AF1398" s="848" t="s">
        <v>144</v>
      </c>
      <c r="AG1398" s="838"/>
      <c r="AH1398" s="885"/>
      <c r="AI1398" s="406"/>
      <c r="AJ1398" s="872"/>
      <c r="AK1398" s="878"/>
      <c r="AL1398" s="867"/>
      <c r="AM1398" s="273"/>
      <c r="AN1398" s="847"/>
      <c r="AO1398" s="848"/>
      <c r="AP1398" s="867"/>
      <c r="AQ1398" s="273"/>
      <c r="AR1398" s="847"/>
      <c r="AS1398" s="848"/>
      <c r="AT1398" s="867"/>
      <c r="AU1398" s="273"/>
      <c r="AV1398" s="847"/>
      <c r="AW1398" s="848"/>
      <c r="AX1398" s="867"/>
      <c r="AY1398" s="273"/>
      <c r="AZ1398" s="847"/>
      <c r="BA1398" s="848"/>
      <c r="BB1398" s="866"/>
      <c r="BC1398" s="273"/>
      <c r="BD1398" s="847"/>
      <c r="BE1398" s="848"/>
      <c r="BF1398" s="838"/>
    </row>
    <row r="1399" spans="1:58" s="87" customFormat="1" ht="54" hidden="1" customHeight="1" x14ac:dyDescent="0.25">
      <c r="A1399" s="267" t="s">
        <v>8525</v>
      </c>
      <c r="B1399" s="268">
        <v>103</v>
      </c>
      <c r="C1399" s="240" t="s">
        <v>1022</v>
      </c>
      <c r="D1399" s="211" t="s">
        <v>1023</v>
      </c>
      <c r="E1399" s="268" t="s">
        <v>9179</v>
      </c>
      <c r="F1399" s="861" t="s">
        <v>3829</v>
      </c>
      <c r="G1399" s="269" t="s">
        <v>3830</v>
      </c>
      <c r="H1399" s="861" t="s">
        <v>3829</v>
      </c>
      <c r="I1399" s="269" t="s">
        <v>3830</v>
      </c>
      <c r="J1399" s="296" t="s">
        <v>140</v>
      </c>
      <c r="K1399" s="297" t="s">
        <v>140</v>
      </c>
      <c r="L1399" s="862" t="s">
        <v>3831</v>
      </c>
      <c r="M1399" s="206" t="s">
        <v>973</v>
      </c>
      <c r="N1399" s="211" t="s">
        <v>974</v>
      </c>
      <c r="O1399" s="240" t="s">
        <v>144</v>
      </c>
      <c r="P1399" s="240" t="s">
        <v>144</v>
      </c>
      <c r="Q1399" s="845" t="s">
        <v>144</v>
      </c>
      <c r="R1399" s="269" t="s">
        <v>144</v>
      </c>
      <c r="S1399" s="864" t="s">
        <v>746</v>
      </c>
      <c r="T1399" s="212" t="s">
        <v>1104</v>
      </c>
      <c r="U1399" s="213" t="s">
        <v>1105</v>
      </c>
      <c r="V1399" s="847">
        <v>19</v>
      </c>
      <c r="W1399" s="415" t="s">
        <v>144</v>
      </c>
      <c r="X1399" s="212">
        <v>40</v>
      </c>
      <c r="Y1399" s="212" t="s">
        <v>144</v>
      </c>
      <c r="Z1399" s="241" t="s">
        <v>144</v>
      </c>
      <c r="AA1399" s="437" t="s">
        <v>8903</v>
      </c>
      <c r="AB1399" s="206" t="s">
        <v>140</v>
      </c>
      <c r="AC1399" s="847" t="s">
        <v>265</v>
      </c>
      <c r="AD1399" s="847" t="s">
        <v>8911</v>
      </c>
      <c r="AE1399" s="847" t="s">
        <v>144</v>
      </c>
      <c r="AF1399" s="848" t="s">
        <v>144</v>
      </c>
      <c r="AG1399" s="838"/>
      <c r="AH1399" s="866" t="s">
        <v>8905</v>
      </c>
      <c r="AI1399" s="273" t="s">
        <v>9180</v>
      </c>
      <c r="AJ1399" s="847">
        <v>6</v>
      </c>
      <c r="AK1399" s="848" t="s">
        <v>8907</v>
      </c>
      <c r="AL1399" s="867"/>
      <c r="AM1399" s="273"/>
      <c r="AN1399" s="847"/>
      <c r="AO1399" s="848"/>
      <c r="AP1399" s="284" t="s">
        <v>1107</v>
      </c>
      <c r="AQ1399" s="273" t="s">
        <v>1108</v>
      </c>
      <c r="AR1399" s="285">
        <v>7</v>
      </c>
      <c r="AS1399" s="286" t="s">
        <v>1109</v>
      </c>
      <c r="AT1399" s="867"/>
      <c r="AU1399" s="273"/>
      <c r="AV1399" s="847"/>
      <c r="AW1399" s="848"/>
      <c r="AX1399" s="867"/>
      <c r="AY1399" s="273"/>
      <c r="AZ1399" s="847"/>
      <c r="BA1399" s="848"/>
      <c r="BB1399" s="866"/>
      <c r="BC1399" s="273"/>
      <c r="BD1399" s="847"/>
      <c r="BE1399" s="848"/>
      <c r="BF1399" s="838"/>
    </row>
    <row r="1400" spans="1:58" s="87" customFormat="1" ht="54" hidden="1" customHeight="1" x14ac:dyDescent="0.25">
      <c r="A1400" s="267" t="s">
        <v>8525</v>
      </c>
      <c r="B1400" s="268">
        <v>104</v>
      </c>
      <c r="C1400" s="240" t="s">
        <v>1022</v>
      </c>
      <c r="D1400" s="211" t="s">
        <v>1023</v>
      </c>
      <c r="E1400" s="268" t="s">
        <v>9181</v>
      </c>
      <c r="F1400" s="861" t="s">
        <v>3833</v>
      </c>
      <c r="G1400" s="269" t="s">
        <v>3834</v>
      </c>
      <c r="H1400" s="845" t="s">
        <v>3833</v>
      </c>
      <c r="I1400" s="269" t="s">
        <v>3834</v>
      </c>
      <c r="J1400" s="296" t="s">
        <v>140</v>
      </c>
      <c r="K1400" s="297" t="s">
        <v>140</v>
      </c>
      <c r="L1400" s="862" t="s">
        <v>3835</v>
      </c>
      <c r="M1400" s="206" t="s">
        <v>973</v>
      </c>
      <c r="N1400" s="211" t="s">
        <v>974</v>
      </c>
      <c r="O1400" s="240" t="s">
        <v>814</v>
      </c>
      <c r="P1400" s="240" t="s">
        <v>815</v>
      </c>
      <c r="Q1400" s="845" t="s">
        <v>144</v>
      </c>
      <c r="R1400" s="269" t="s">
        <v>144</v>
      </c>
      <c r="S1400" s="864" t="s">
        <v>147</v>
      </c>
      <c r="T1400" s="212" t="s">
        <v>144</v>
      </c>
      <c r="U1400" s="213" t="s">
        <v>144</v>
      </c>
      <c r="V1400" s="847">
        <v>3</v>
      </c>
      <c r="W1400" s="415" t="s">
        <v>144</v>
      </c>
      <c r="X1400" s="212">
        <v>40</v>
      </c>
      <c r="Y1400" s="212" t="s">
        <v>144</v>
      </c>
      <c r="Z1400" s="241" t="s">
        <v>144</v>
      </c>
      <c r="AA1400" s="437" t="s">
        <v>8903</v>
      </c>
      <c r="AB1400" s="206" t="s">
        <v>140</v>
      </c>
      <c r="AC1400" s="847" t="s">
        <v>265</v>
      </c>
      <c r="AD1400" s="847" t="s">
        <v>8911</v>
      </c>
      <c r="AE1400" s="847" t="s">
        <v>144</v>
      </c>
      <c r="AF1400" s="848" t="s">
        <v>144</v>
      </c>
      <c r="AG1400" s="838"/>
      <c r="AH1400" s="866" t="s">
        <v>9182</v>
      </c>
      <c r="AI1400" s="273" t="s">
        <v>9183</v>
      </c>
      <c r="AJ1400" s="847">
        <v>7</v>
      </c>
      <c r="AK1400" s="848" t="s">
        <v>1280</v>
      </c>
      <c r="AL1400" s="875" t="s">
        <v>294</v>
      </c>
      <c r="AM1400" s="301" t="s">
        <v>295</v>
      </c>
      <c r="AN1400" s="847">
        <v>7</v>
      </c>
      <c r="AO1400" s="848" t="s">
        <v>966</v>
      </c>
      <c r="AP1400" s="867"/>
      <c r="AQ1400" s="273"/>
      <c r="AR1400" s="847"/>
      <c r="AS1400" s="848"/>
      <c r="AT1400" s="867"/>
      <c r="AU1400" s="273"/>
      <c r="AV1400" s="847"/>
      <c r="AW1400" s="848"/>
      <c r="AX1400" s="867"/>
      <c r="AY1400" s="273"/>
      <c r="AZ1400" s="847"/>
      <c r="BA1400" s="848"/>
      <c r="BB1400" s="866"/>
      <c r="BC1400" s="273"/>
      <c r="BD1400" s="847"/>
      <c r="BE1400" s="848"/>
      <c r="BF1400" s="838"/>
    </row>
    <row r="1401" spans="1:58" s="55" customFormat="1" ht="54" hidden="1" customHeight="1" x14ac:dyDescent="0.25">
      <c r="A1401" s="275" t="s">
        <v>8525</v>
      </c>
      <c r="B1401" s="276">
        <v>105</v>
      </c>
      <c r="C1401" s="253" t="s">
        <v>1022</v>
      </c>
      <c r="D1401" s="217" t="s">
        <v>1023</v>
      </c>
      <c r="E1401" s="276" t="s">
        <v>9184</v>
      </c>
      <c r="F1401" s="277" t="s">
        <v>9185</v>
      </c>
      <c r="G1401" s="277" t="s">
        <v>9186</v>
      </c>
      <c r="H1401" s="218" t="s">
        <v>336</v>
      </c>
      <c r="I1401" s="218" t="s">
        <v>337</v>
      </c>
      <c r="J1401" s="278" t="s">
        <v>144</v>
      </c>
      <c r="K1401" s="278" t="s">
        <v>144</v>
      </c>
      <c r="L1401" s="718" t="s">
        <v>9187</v>
      </c>
      <c r="M1401" s="253" t="s">
        <v>144</v>
      </c>
      <c r="N1401" s="253" t="s">
        <v>144</v>
      </c>
      <c r="O1401" s="253" t="s">
        <v>144</v>
      </c>
      <c r="P1401" s="253" t="s">
        <v>144</v>
      </c>
      <c r="Q1401" s="218" t="s">
        <v>144</v>
      </c>
      <c r="R1401" s="218" t="s">
        <v>144</v>
      </c>
      <c r="S1401" s="218" t="s">
        <v>147</v>
      </c>
      <c r="T1401" s="221" t="s">
        <v>144</v>
      </c>
      <c r="U1401" s="221" t="s">
        <v>144</v>
      </c>
      <c r="V1401" s="253">
        <v>2</v>
      </c>
      <c r="W1401" s="217" t="s">
        <v>144</v>
      </c>
      <c r="X1401" s="221" t="s">
        <v>144</v>
      </c>
      <c r="Y1401" s="221" t="s">
        <v>144</v>
      </c>
      <c r="Z1401" s="221" t="s">
        <v>144</v>
      </c>
      <c r="AA1401" s="253" t="s">
        <v>144</v>
      </c>
      <c r="AB1401" s="217" t="s">
        <v>144</v>
      </c>
      <c r="AC1401" s="253" t="s">
        <v>265</v>
      </c>
      <c r="AD1401" s="253" t="s">
        <v>144</v>
      </c>
      <c r="AE1401" s="253" t="s">
        <v>144</v>
      </c>
      <c r="AF1401" s="254" t="s">
        <v>144</v>
      </c>
      <c r="AG1401" s="838"/>
      <c r="AH1401" s="280"/>
      <c r="AI1401" s="281"/>
      <c r="AJ1401" s="253"/>
      <c r="AK1401" s="254"/>
      <c r="AL1401" s="281"/>
      <c r="AM1401" s="281"/>
      <c r="AN1401" s="253"/>
      <c r="AO1401" s="254"/>
      <c r="AP1401" s="281"/>
      <c r="AQ1401" s="281"/>
      <c r="AR1401" s="253"/>
      <c r="AS1401" s="254"/>
      <c r="AT1401" s="281"/>
      <c r="AU1401" s="281"/>
      <c r="AV1401" s="253"/>
      <c r="AW1401" s="254"/>
      <c r="AX1401" s="281"/>
      <c r="AY1401" s="281"/>
      <c r="AZ1401" s="253"/>
      <c r="BA1401" s="254"/>
      <c r="BB1401" s="280"/>
      <c r="BC1401" s="281"/>
      <c r="BD1401" s="253"/>
      <c r="BE1401" s="254"/>
      <c r="BF1401" s="838"/>
    </row>
    <row r="1402" spans="1:58" s="87" customFormat="1" ht="54" hidden="1" customHeight="1" x14ac:dyDescent="0.25">
      <c r="A1402" s="267" t="s">
        <v>8525</v>
      </c>
      <c r="B1402" s="268">
        <v>106</v>
      </c>
      <c r="C1402" s="240" t="s">
        <v>256</v>
      </c>
      <c r="D1402" s="211" t="s">
        <v>257</v>
      </c>
      <c r="E1402" s="268" t="s">
        <v>9188</v>
      </c>
      <c r="F1402" s="299" t="s">
        <v>9189</v>
      </c>
      <c r="G1402" s="269" t="s">
        <v>9190</v>
      </c>
      <c r="H1402" s="845" t="s">
        <v>9191</v>
      </c>
      <c r="I1402" s="269" t="s">
        <v>9192</v>
      </c>
      <c r="J1402" s="296" t="s">
        <v>140</v>
      </c>
      <c r="K1402" s="297" t="s">
        <v>140</v>
      </c>
      <c r="L1402" s="862" t="s">
        <v>1446</v>
      </c>
      <c r="M1402" s="206" t="s">
        <v>193</v>
      </c>
      <c r="N1402" s="211" t="s">
        <v>194</v>
      </c>
      <c r="O1402" s="240" t="s">
        <v>144</v>
      </c>
      <c r="P1402" s="240" t="s">
        <v>144</v>
      </c>
      <c r="Q1402" s="845" t="s">
        <v>144</v>
      </c>
      <c r="R1402" s="269" t="s">
        <v>144</v>
      </c>
      <c r="S1402" s="864" t="s">
        <v>147</v>
      </c>
      <c r="T1402" s="212" t="s">
        <v>144</v>
      </c>
      <c r="U1402" s="213" t="s">
        <v>144</v>
      </c>
      <c r="V1402" s="240">
        <v>40</v>
      </c>
      <c r="W1402" s="206" t="s">
        <v>144</v>
      </c>
      <c r="X1402" s="212">
        <v>41</v>
      </c>
      <c r="Y1402" s="212" t="s">
        <v>144</v>
      </c>
      <c r="Z1402" s="433" t="s">
        <v>25</v>
      </c>
      <c r="AA1402" s="407" t="s">
        <v>9193</v>
      </c>
      <c r="AB1402" s="206" t="s">
        <v>140</v>
      </c>
      <c r="AC1402" s="847" t="s">
        <v>265</v>
      </c>
      <c r="AD1402" s="847" t="s">
        <v>8527</v>
      </c>
      <c r="AE1402" s="847" t="s">
        <v>144</v>
      </c>
      <c r="AF1402" s="848" t="s">
        <v>144</v>
      </c>
      <c r="AG1402" s="838"/>
      <c r="AH1402" s="866"/>
      <c r="AI1402" s="273"/>
      <c r="AJ1402" s="847"/>
      <c r="AK1402" s="848"/>
      <c r="AL1402" s="867"/>
      <c r="AM1402" s="273"/>
      <c r="AN1402" s="847"/>
      <c r="AO1402" s="848"/>
      <c r="AP1402" s="867"/>
      <c r="AQ1402" s="273"/>
      <c r="AR1402" s="847"/>
      <c r="AS1402" s="848"/>
      <c r="AT1402" s="867"/>
      <c r="AU1402" s="273"/>
      <c r="AV1402" s="847"/>
      <c r="AW1402" s="848"/>
      <c r="AX1402" s="867"/>
      <c r="AY1402" s="273"/>
      <c r="AZ1402" s="847"/>
      <c r="BA1402" s="848"/>
      <c r="BB1402" s="866"/>
      <c r="BC1402" s="273"/>
      <c r="BD1402" s="847"/>
      <c r="BE1402" s="848"/>
      <c r="BF1402" s="838"/>
    </row>
    <row r="1403" spans="1:58" s="87" customFormat="1" ht="54" hidden="1" customHeight="1" x14ac:dyDescent="0.25">
      <c r="A1403" s="267" t="s">
        <v>8525</v>
      </c>
      <c r="B1403" s="268">
        <v>107</v>
      </c>
      <c r="C1403" s="240" t="s">
        <v>256</v>
      </c>
      <c r="D1403" s="211" t="s">
        <v>257</v>
      </c>
      <c r="E1403" s="268" t="s">
        <v>9194</v>
      </c>
      <c r="F1403" s="299" t="s">
        <v>9195</v>
      </c>
      <c r="G1403" s="269" t="s">
        <v>4064</v>
      </c>
      <c r="H1403" s="845" t="s">
        <v>9195</v>
      </c>
      <c r="I1403" s="269" t="s">
        <v>4064</v>
      </c>
      <c r="J1403" s="296" t="s">
        <v>140</v>
      </c>
      <c r="K1403" s="297" t="s">
        <v>140</v>
      </c>
      <c r="L1403" s="862" t="s">
        <v>4067</v>
      </c>
      <c r="M1403" s="206" t="s">
        <v>193</v>
      </c>
      <c r="N1403" s="211" t="s">
        <v>194</v>
      </c>
      <c r="O1403" s="240" t="s">
        <v>144</v>
      </c>
      <c r="P1403" s="240" t="s">
        <v>144</v>
      </c>
      <c r="Q1403" s="845" t="s">
        <v>144</v>
      </c>
      <c r="R1403" s="269" t="s">
        <v>144</v>
      </c>
      <c r="S1403" s="864" t="s">
        <v>147</v>
      </c>
      <c r="T1403" s="212" t="s">
        <v>144</v>
      </c>
      <c r="U1403" s="213" t="s">
        <v>144</v>
      </c>
      <c r="V1403" s="240">
        <v>40</v>
      </c>
      <c r="W1403" s="206" t="s">
        <v>144</v>
      </c>
      <c r="X1403" s="212">
        <v>41</v>
      </c>
      <c r="Y1403" s="212" t="s">
        <v>144</v>
      </c>
      <c r="Z1403" s="433" t="s">
        <v>25</v>
      </c>
      <c r="AA1403" s="407" t="s">
        <v>9196</v>
      </c>
      <c r="AB1403" s="206" t="s">
        <v>140</v>
      </c>
      <c r="AC1403" s="847" t="s">
        <v>265</v>
      </c>
      <c r="AD1403" s="847" t="s">
        <v>8527</v>
      </c>
      <c r="AE1403" s="847" t="s">
        <v>144</v>
      </c>
      <c r="AF1403" s="848" t="s">
        <v>144</v>
      </c>
      <c r="AG1403" s="838"/>
      <c r="AH1403" s="866"/>
      <c r="AI1403" s="273"/>
      <c r="AJ1403" s="847"/>
      <c r="AK1403" s="848"/>
      <c r="AL1403" s="867"/>
      <c r="AM1403" s="273"/>
      <c r="AN1403" s="847"/>
      <c r="AO1403" s="848"/>
      <c r="AP1403" s="867"/>
      <c r="AQ1403" s="273"/>
      <c r="AR1403" s="847"/>
      <c r="AS1403" s="848"/>
      <c r="AT1403" s="867"/>
      <c r="AU1403" s="273"/>
      <c r="AV1403" s="847"/>
      <c r="AW1403" s="848"/>
      <c r="AX1403" s="867"/>
      <c r="AY1403" s="273"/>
      <c r="AZ1403" s="847"/>
      <c r="BA1403" s="848"/>
      <c r="BB1403" s="866"/>
      <c r="BC1403" s="273"/>
      <c r="BD1403" s="847"/>
      <c r="BE1403" s="848"/>
      <c r="BF1403" s="838"/>
    </row>
    <row r="1404" spans="1:58" s="87" customFormat="1" ht="54" hidden="1" customHeight="1" x14ac:dyDescent="0.25">
      <c r="A1404" s="267" t="s">
        <v>8525</v>
      </c>
      <c r="B1404" s="268">
        <v>108</v>
      </c>
      <c r="C1404" s="240" t="s">
        <v>5602</v>
      </c>
      <c r="D1404" s="211" t="s">
        <v>5603</v>
      </c>
      <c r="E1404" s="268" t="s">
        <v>9197</v>
      </c>
      <c r="F1404" s="299" t="s">
        <v>9198</v>
      </c>
      <c r="G1404" s="269" t="s">
        <v>9199</v>
      </c>
      <c r="H1404" s="845" t="s">
        <v>9198</v>
      </c>
      <c r="I1404" s="269" t="s">
        <v>9199</v>
      </c>
      <c r="J1404" s="296" t="s">
        <v>140</v>
      </c>
      <c r="K1404" s="297" t="s">
        <v>140</v>
      </c>
      <c r="L1404" s="862" t="s">
        <v>9200</v>
      </c>
      <c r="M1404" s="206" t="s">
        <v>973</v>
      </c>
      <c r="N1404" s="211" t="s">
        <v>974</v>
      </c>
      <c r="O1404" s="181" t="s">
        <v>413</v>
      </c>
      <c r="P1404" s="181" t="s">
        <v>414</v>
      </c>
      <c r="Q1404" s="845" t="s">
        <v>9201</v>
      </c>
      <c r="R1404" s="294" t="s">
        <v>9202</v>
      </c>
      <c r="S1404" s="864" t="s">
        <v>147</v>
      </c>
      <c r="T1404" s="212" t="s">
        <v>144</v>
      </c>
      <c r="U1404" s="213" t="s">
        <v>144</v>
      </c>
      <c r="V1404" s="240">
        <v>5</v>
      </c>
      <c r="W1404" s="206" t="s">
        <v>144</v>
      </c>
      <c r="X1404" s="212">
        <v>41</v>
      </c>
      <c r="Y1404" s="212" t="s">
        <v>144</v>
      </c>
      <c r="Z1404" s="252" t="s">
        <v>144</v>
      </c>
      <c r="AA1404" s="240" t="s">
        <v>9203</v>
      </c>
      <c r="AB1404" s="206" t="s">
        <v>140</v>
      </c>
      <c r="AC1404" s="847" t="s">
        <v>265</v>
      </c>
      <c r="AD1404" s="847" t="s">
        <v>8527</v>
      </c>
      <c r="AE1404" s="847" t="s">
        <v>144</v>
      </c>
      <c r="AF1404" s="848" t="s">
        <v>144</v>
      </c>
      <c r="AG1404" s="838"/>
      <c r="AH1404" s="866" t="s">
        <v>9100</v>
      </c>
      <c r="AI1404" s="273" t="s">
        <v>9101</v>
      </c>
      <c r="AJ1404" s="240">
        <v>6</v>
      </c>
      <c r="AK1404" s="848" t="s">
        <v>9102</v>
      </c>
      <c r="AL1404" s="875" t="s">
        <v>294</v>
      </c>
      <c r="AM1404" s="301" t="s">
        <v>295</v>
      </c>
      <c r="AN1404" s="847">
        <v>7</v>
      </c>
      <c r="AO1404" s="848" t="s">
        <v>966</v>
      </c>
      <c r="AP1404" s="867"/>
      <c r="AQ1404" s="273"/>
      <c r="AR1404" s="847"/>
      <c r="AS1404" s="848"/>
      <c r="AT1404" s="867"/>
      <c r="AU1404" s="273"/>
      <c r="AV1404" s="847"/>
      <c r="AW1404" s="848"/>
      <c r="AX1404" s="867"/>
      <c r="AY1404" s="273"/>
      <c r="AZ1404" s="847"/>
      <c r="BA1404" s="848"/>
      <c r="BB1404" s="866"/>
      <c r="BC1404" s="273"/>
      <c r="BD1404" s="847"/>
      <c r="BE1404" s="848"/>
      <c r="BF1404" s="838"/>
    </row>
    <row r="1405" spans="1:58" s="87" customFormat="1" ht="54" hidden="1" customHeight="1" x14ac:dyDescent="0.25">
      <c r="A1405" s="267" t="s">
        <v>8525</v>
      </c>
      <c r="B1405" s="268">
        <v>109</v>
      </c>
      <c r="C1405" s="240" t="s">
        <v>2378</v>
      </c>
      <c r="D1405" s="211" t="s">
        <v>2379</v>
      </c>
      <c r="E1405" s="298" t="s">
        <v>9204</v>
      </c>
      <c r="F1405" s="861" t="s">
        <v>9205</v>
      </c>
      <c r="G1405" s="269" t="s">
        <v>9206</v>
      </c>
      <c r="H1405" s="845" t="s">
        <v>9207</v>
      </c>
      <c r="I1405" s="269" t="s">
        <v>9208</v>
      </c>
      <c r="J1405" s="296" t="s">
        <v>140</v>
      </c>
      <c r="K1405" s="297" t="s">
        <v>140</v>
      </c>
      <c r="L1405" s="862" t="s">
        <v>9209</v>
      </c>
      <c r="M1405" s="206" t="s">
        <v>973</v>
      </c>
      <c r="N1405" s="211" t="s">
        <v>974</v>
      </c>
      <c r="O1405" s="240" t="s">
        <v>144</v>
      </c>
      <c r="P1405" s="240" t="s">
        <v>144</v>
      </c>
      <c r="Q1405" s="845" t="s">
        <v>144</v>
      </c>
      <c r="R1405" s="269" t="s">
        <v>144</v>
      </c>
      <c r="S1405" s="864" t="s">
        <v>746</v>
      </c>
      <c r="T1405" s="212" t="s">
        <v>1104</v>
      </c>
      <c r="U1405" s="213" t="s">
        <v>1105</v>
      </c>
      <c r="V1405" s="847">
        <v>19</v>
      </c>
      <c r="W1405" s="415" t="s">
        <v>144</v>
      </c>
      <c r="X1405" s="212">
        <v>42</v>
      </c>
      <c r="Y1405" s="212" t="s">
        <v>144</v>
      </c>
      <c r="Z1405" s="212" t="s">
        <v>144</v>
      </c>
      <c r="AA1405" s="240" t="s">
        <v>9210</v>
      </c>
      <c r="AB1405" s="206" t="s">
        <v>140</v>
      </c>
      <c r="AC1405" s="847" t="s">
        <v>265</v>
      </c>
      <c r="AD1405" s="847" t="s">
        <v>8911</v>
      </c>
      <c r="AE1405" s="847" t="s">
        <v>144</v>
      </c>
      <c r="AF1405" s="848" t="s">
        <v>144</v>
      </c>
      <c r="AG1405" s="838"/>
      <c r="AH1405" s="866" t="s">
        <v>8975</v>
      </c>
      <c r="AI1405" s="273" t="s">
        <v>9211</v>
      </c>
      <c r="AJ1405" s="847">
        <v>6</v>
      </c>
      <c r="AK1405" s="848" t="s">
        <v>8977</v>
      </c>
      <c r="AL1405" s="867"/>
      <c r="AM1405" s="273"/>
      <c r="AN1405" s="847"/>
      <c r="AO1405" s="848"/>
      <c r="AP1405" s="284" t="s">
        <v>1107</v>
      </c>
      <c r="AQ1405" s="273" t="s">
        <v>1108</v>
      </c>
      <c r="AR1405" s="285">
        <v>7</v>
      </c>
      <c r="AS1405" s="286" t="s">
        <v>1109</v>
      </c>
      <c r="AT1405" s="867"/>
      <c r="AU1405" s="273"/>
      <c r="AV1405" s="847"/>
      <c r="AW1405" s="848"/>
      <c r="AX1405" s="867"/>
      <c r="AY1405" s="273"/>
      <c r="AZ1405" s="847"/>
      <c r="BA1405" s="848"/>
      <c r="BB1405" s="866"/>
      <c r="BC1405" s="273"/>
      <c r="BD1405" s="847"/>
      <c r="BE1405" s="848"/>
      <c r="BF1405" s="838"/>
    </row>
    <row r="1406" spans="1:58" s="87" customFormat="1" ht="54" hidden="1" customHeight="1" x14ac:dyDescent="0.25">
      <c r="A1406" s="267" t="s">
        <v>8525</v>
      </c>
      <c r="B1406" s="268">
        <v>110</v>
      </c>
      <c r="C1406" s="240" t="s">
        <v>2378</v>
      </c>
      <c r="D1406" s="211" t="s">
        <v>2379</v>
      </c>
      <c r="E1406" s="298" t="s">
        <v>9212</v>
      </c>
      <c r="F1406" s="861" t="s">
        <v>9213</v>
      </c>
      <c r="G1406" s="269" t="s">
        <v>9214</v>
      </c>
      <c r="H1406" s="845" t="s">
        <v>9215</v>
      </c>
      <c r="I1406" s="269" t="s">
        <v>9216</v>
      </c>
      <c r="J1406" s="296" t="s">
        <v>140</v>
      </c>
      <c r="K1406" s="297" t="s">
        <v>140</v>
      </c>
      <c r="L1406" s="862" t="s">
        <v>9217</v>
      </c>
      <c r="M1406" s="206" t="s">
        <v>973</v>
      </c>
      <c r="N1406" s="211" t="s">
        <v>974</v>
      </c>
      <c r="O1406" s="240" t="s">
        <v>814</v>
      </c>
      <c r="P1406" s="240" t="s">
        <v>815</v>
      </c>
      <c r="Q1406" s="845" t="s">
        <v>144</v>
      </c>
      <c r="R1406" s="269" t="s">
        <v>144</v>
      </c>
      <c r="S1406" s="864" t="s">
        <v>147</v>
      </c>
      <c r="T1406" s="212" t="s">
        <v>144</v>
      </c>
      <c r="U1406" s="213" t="s">
        <v>144</v>
      </c>
      <c r="V1406" s="847">
        <v>3</v>
      </c>
      <c r="W1406" s="415" t="s">
        <v>144</v>
      </c>
      <c r="X1406" s="212">
        <v>42</v>
      </c>
      <c r="Y1406" s="212" t="s">
        <v>144</v>
      </c>
      <c r="Z1406" s="212" t="s">
        <v>144</v>
      </c>
      <c r="AA1406" s="240" t="s">
        <v>9210</v>
      </c>
      <c r="AB1406" s="206" t="s">
        <v>140</v>
      </c>
      <c r="AC1406" s="847" t="s">
        <v>265</v>
      </c>
      <c r="AD1406" s="847" t="s">
        <v>8911</v>
      </c>
      <c r="AE1406" s="847" t="s">
        <v>144</v>
      </c>
      <c r="AF1406" s="848" t="s">
        <v>144</v>
      </c>
      <c r="AG1406" s="838"/>
      <c r="AH1406" s="866" t="s">
        <v>9218</v>
      </c>
      <c r="AI1406" s="273" t="s">
        <v>9219</v>
      </c>
      <c r="AJ1406" s="847">
        <v>7</v>
      </c>
      <c r="AK1406" s="848" t="s">
        <v>1280</v>
      </c>
      <c r="AL1406" s="875" t="s">
        <v>294</v>
      </c>
      <c r="AM1406" s="301" t="s">
        <v>295</v>
      </c>
      <c r="AN1406" s="847">
        <v>7</v>
      </c>
      <c r="AO1406" s="848" t="s">
        <v>966</v>
      </c>
      <c r="AP1406" s="867"/>
      <c r="AQ1406" s="273"/>
      <c r="AR1406" s="847"/>
      <c r="AS1406" s="848"/>
      <c r="AT1406" s="867"/>
      <c r="AU1406" s="273"/>
      <c r="AV1406" s="847"/>
      <c r="AW1406" s="848"/>
      <c r="AX1406" s="867"/>
      <c r="AY1406" s="273"/>
      <c r="AZ1406" s="847"/>
      <c r="BA1406" s="848"/>
      <c r="BB1406" s="866"/>
      <c r="BC1406" s="273"/>
      <c r="BD1406" s="847"/>
      <c r="BE1406" s="848"/>
      <c r="BF1406" s="838"/>
    </row>
    <row r="1407" spans="1:58" s="87" customFormat="1" ht="54" hidden="1" customHeight="1" x14ac:dyDescent="0.25">
      <c r="A1407" s="267" t="s">
        <v>8525</v>
      </c>
      <c r="B1407" s="268">
        <v>111</v>
      </c>
      <c r="C1407" s="240" t="s">
        <v>2378</v>
      </c>
      <c r="D1407" s="211" t="s">
        <v>2379</v>
      </c>
      <c r="E1407" s="298" t="s">
        <v>9220</v>
      </c>
      <c r="F1407" s="861" t="s">
        <v>9221</v>
      </c>
      <c r="G1407" s="269" t="s">
        <v>9222</v>
      </c>
      <c r="H1407" s="861" t="s">
        <v>9221</v>
      </c>
      <c r="I1407" s="269" t="s">
        <v>9222</v>
      </c>
      <c r="J1407" s="296" t="s">
        <v>140</v>
      </c>
      <c r="K1407" s="297" t="s">
        <v>140</v>
      </c>
      <c r="L1407" s="862" t="s">
        <v>9223</v>
      </c>
      <c r="M1407" s="206" t="s">
        <v>973</v>
      </c>
      <c r="N1407" s="211" t="s">
        <v>974</v>
      </c>
      <c r="O1407" s="240" t="s">
        <v>144</v>
      </c>
      <c r="P1407" s="240" t="s">
        <v>144</v>
      </c>
      <c r="Q1407" s="845" t="s">
        <v>144</v>
      </c>
      <c r="R1407" s="269" t="s">
        <v>144</v>
      </c>
      <c r="S1407" s="864" t="s">
        <v>746</v>
      </c>
      <c r="T1407" s="212" t="s">
        <v>1104</v>
      </c>
      <c r="U1407" s="213" t="s">
        <v>1105</v>
      </c>
      <c r="V1407" s="847">
        <v>19</v>
      </c>
      <c r="W1407" s="415" t="s">
        <v>144</v>
      </c>
      <c r="X1407" s="212">
        <v>42</v>
      </c>
      <c r="Y1407" s="212" t="s">
        <v>144</v>
      </c>
      <c r="Z1407" s="212" t="s">
        <v>144</v>
      </c>
      <c r="AA1407" s="240" t="s">
        <v>5211</v>
      </c>
      <c r="AB1407" s="206" t="s">
        <v>140</v>
      </c>
      <c r="AC1407" s="847" t="s">
        <v>265</v>
      </c>
      <c r="AD1407" s="847" t="s">
        <v>8911</v>
      </c>
      <c r="AE1407" s="847" t="s">
        <v>144</v>
      </c>
      <c r="AF1407" s="848" t="s">
        <v>144</v>
      </c>
      <c r="AG1407" s="838"/>
      <c r="AH1407" s="866" t="s">
        <v>8975</v>
      </c>
      <c r="AI1407" s="273" t="s">
        <v>9224</v>
      </c>
      <c r="AJ1407" s="847">
        <v>6</v>
      </c>
      <c r="AK1407" s="848" t="s">
        <v>8977</v>
      </c>
      <c r="AL1407" s="867"/>
      <c r="AM1407" s="273"/>
      <c r="AN1407" s="847"/>
      <c r="AO1407" s="848"/>
      <c r="AP1407" s="312"/>
      <c r="AQ1407" s="313"/>
      <c r="AR1407" s="289"/>
      <c r="AS1407" s="848"/>
      <c r="AT1407" s="312"/>
      <c r="AU1407" s="313"/>
      <c r="AV1407" s="289"/>
      <c r="AW1407" s="848"/>
      <c r="AX1407" s="867"/>
      <c r="AY1407" s="273"/>
      <c r="AZ1407" s="847"/>
      <c r="BA1407" s="848"/>
      <c r="BB1407" s="866"/>
      <c r="BC1407" s="273"/>
      <c r="BD1407" s="847"/>
      <c r="BE1407" s="848"/>
      <c r="BF1407" s="838"/>
    </row>
    <row r="1408" spans="1:58" s="87" customFormat="1" ht="54" hidden="1" customHeight="1" x14ac:dyDescent="0.25">
      <c r="A1408" s="267" t="s">
        <v>8525</v>
      </c>
      <c r="B1408" s="268">
        <v>112</v>
      </c>
      <c r="C1408" s="240" t="s">
        <v>2378</v>
      </c>
      <c r="D1408" s="211" t="s">
        <v>2379</v>
      </c>
      <c r="E1408" s="298" t="s">
        <v>9225</v>
      </c>
      <c r="F1408" s="861" t="s">
        <v>9226</v>
      </c>
      <c r="G1408" s="269" t="s">
        <v>9227</v>
      </c>
      <c r="H1408" s="845" t="s">
        <v>9228</v>
      </c>
      <c r="I1408" s="269" t="s">
        <v>9229</v>
      </c>
      <c r="J1408" s="296" t="s">
        <v>140</v>
      </c>
      <c r="K1408" s="297" t="s">
        <v>140</v>
      </c>
      <c r="L1408" s="862" t="s">
        <v>9230</v>
      </c>
      <c r="M1408" s="206" t="s">
        <v>973</v>
      </c>
      <c r="N1408" s="211" t="s">
        <v>974</v>
      </c>
      <c r="O1408" s="240" t="s">
        <v>814</v>
      </c>
      <c r="P1408" s="240" t="s">
        <v>815</v>
      </c>
      <c r="Q1408" s="845" t="s">
        <v>144</v>
      </c>
      <c r="R1408" s="269" t="s">
        <v>144</v>
      </c>
      <c r="S1408" s="864" t="s">
        <v>147</v>
      </c>
      <c r="T1408" s="212" t="s">
        <v>144</v>
      </c>
      <c r="U1408" s="213" t="s">
        <v>144</v>
      </c>
      <c r="V1408" s="847">
        <v>3</v>
      </c>
      <c r="W1408" s="415" t="s">
        <v>144</v>
      </c>
      <c r="X1408" s="212">
        <v>42</v>
      </c>
      <c r="Y1408" s="212" t="s">
        <v>144</v>
      </c>
      <c r="Z1408" s="212" t="s">
        <v>144</v>
      </c>
      <c r="AA1408" s="240" t="s">
        <v>5211</v>
      </c>
      <c r="AB1408" s="206" t="s">
        <v>140</v>
      </c>
      <c r="AC1408" s="847" t="s">
        <v>265</v>
      </c>
      <c r="AD1408" s="847" t="s">
        <v>8911</v>
      </c>
      <c r="AE1408" s="847" t="s">
        <v>144</v>
      </c>
      <c r="AF1408" s="848" t="s">
        <v>144</v>
      </c>
      <c r="AG1408" s="838"/>
      <c r="AH1408" s="866" t="s">
        <v>9231</v>
      </c>
      <c r="AI1408" s="273" t="s">
        <v>9232</v>
      </c>
      <c r="AJ1408" s="847">
        <v>7</v>
      </c>
      <c r="AK1408" s="848" t="s">
        <v>1280</v>
      </c>
      <c r="AL1408" s="875" t="s">
        <v>294</v>
      </c>
      <c r="AM1408" s="301" t="s">
        <v>295</v>
      </c>
      <c r="AN1408" s="847">
        <v>7</v>
      </c>
      <c r="AO1408" s="848" t="s">
        <v>966</v>
      </c>
      <c r="AP1408" s="867"/>
      <c r="AQ1408" s="273"/>
      <c r="AR1408" s="847"/>
      <c r="AS1408" s="848"/>
      <c r="AT1408" s="867"/>
      <c r="AU1408" s="273"/>
      <c r="AV1408" s="847"/>
      <c r="AW1408" s="848"/>
      <c r="AX1408" s="867"/>
      <c r="AY1408" s="273"/>
      <c r="AZ1408" s="847"/>
      <c r="BA1408" s="848"/>
      <c r="BB1408" s="866"/>
      <c r="BC1408" s="273"/>
      <c r="BD1408" s="847"/>
      <c r="BE1408" s="848"/>
      <c r="BF1408" s="838"/>
    </row>
    <row r="1409" spans="1:58" s="87" customFormat="1" ht="54" hidden="1" customHeight="1" x14ac:dyDescent="0.25">
      <c r="A1409" s="267" t="s">
        <v>8525</v>
      </c>
      <c r="B1409" s="268">
        <v>113</v>
      </c>
      <c r="C1409" s="240" t="s">
        <v>1744</v>
      </c>
      <c r="D1409" s="211" t="s">
        <v>1745</v>
      </c>
      <c r="E1409" s="298" t="s">
        <v>9233</v>
      </c>
      <c r="F1409" s="861" t="s">
        <v>9234</v>
      </c>
      <c r="G1409" s="269" t="s">
        <v>9235</v>
      </c>
      <c r="H1409" s="861" t="s">
        <v>9236</v>
      </c>
      <c r="I1409" s="269" t="s">
        <v>9237</v>
      </c>
      <c r="J1409" s="296" t="s">
        <v>140</v>
      </c>
      <c r="K1409" s="297" t="s">
        <v>140</v>
      </c>
      <c r="L1409" s="862" t="s">
        <v>9238</v>
      </c>
      <c r="M1409" s="206" t="s">
        <v>142</v>
      </c>
      <c r="N1409" s="211" t="s">
        <v>143</v>
      </c>
      <c r="O1409" s="240" t="s">
        <v>144</v>
      </c>
      <c r="P1409" s="240" t="s">
        <v>144</v>
      </c>
      <c r="Q1409" s="845" t="s">
        <v>144</v>
      </c>
      <c r="R1409" s="269" t="s">
        <v>144</v>
      </c>
      <c r="S1409" s="864" t="s">
        <v>746</v>
      </c>
      <c r="T1409" s="212" t="s">
        <v>1104</v>
      </c>
      <c r="U1409" s="213" t="s">
        <v>1105</v>
      </c>
      <c r="V1409" s="847">
        <v>19</v>
      </c>
      <c r="W1409" s="415" t="s">
        <v>144</v>
      </c>
      <c r="X1409" s="212">
        <v>43</v>
      </c>
      <c r="Y1409" s="212" t="s">
        <v>144</v>
      </c>
      <c r="Z1409" s="241" t="s">
        <v>144</v>
      </c>
      <c r="AA1409" s="240" t="s">
        <v>9239</v>
      </c>
      <c r="AB1409" s="206" t="s">
        <v>140</v>
      </c>
      <c r="AC1409" s="847" t="s">
        <v>265</v>
      </c>
      <c r="AD1409" s="847" t="s">
        <v>8527</v>
      </c>
      <c r="AE1409" s="847" t="s">
        <v>144</v>
      </c>
      <c r="AF1409" s="848" t="s">
        <v>144</v>
      </c>
      <c r="AG1409" s="838"/>
      <c r="AH1409" s="866" t="s">
        <v>266</v>
      </c>
      <c r="AI1409" s="273" t="s">
        <v>267</v>
      </c>
      <c r="AJ1409" s="847">
        <v>6</v>
      </c>
      <c r="AK1409" s="848" t="s">
        <v>1046</v>
      </c>
      <c r="AL1409" s="867"/>
      <c r="AM1409" s="273"/>
      <c r="AN1409" s="847"/>
      <c r="AO1409" s="848"/>
      <c r="AP1409" s="867" t="s">
        <v>6119</v>
      </c>
      <c r="AQ1409" s="273" t="s">
        <v>6120</v>
      </c>
      <c r="AR1409" s="847">
        <v>7</v>
      </c>
      <c r="AS1409" s="848" t="s">
        <v>6121</v>
      </c>
      <c r="AT1409" s="867"/>
      <c r="AU1409" s="273"/>
      <c r="AV1409" s="847"/>
      <c r="AW1409" s="848"/>
      <c r="AX1409" s="867"/>
      <c r="AY1409" s="273"/>
      <c r="AZ1409" s="847"/>
      <c r="BA1409" s="848"/>
      <c r="BB1409" s="866"/>
      <c r="BC1409" s="273"/>
      <c r="BD1409" s="847"/>
      <c r="BE1409" s="848"/>
      <c r="BF1409" s="838"/>
    </row>
    <row r="1410" spans="1:58" s="87" customFormat="1" ht="54" hidden="1" customHeight="1" x14ac:dyDescent="0.25">
      <c r="A1410" s="267" t="s">
        <v>8525</v>
      </c>
      <c r="B1410" s="268">
        <v>114</v>
      </c>
      <c r="C1410" s="240" t="s">
        <v>1744</v>
      </c>
      <c r="D1410" s="211" t="s">
        <v>1745</v>
      </c>
      <c r="E1410" s="298" t="s">
        <v>9240</v>
      </c>
      <c r="F1410" s="861" t="s">
        <v>9241</v>
      </c>
      <c r="G1410" s="269" t="s">
        <v>9242</v>
      </c>
      <c r="H1410" s="861" t="s">
        <v>9243</v>
      </c>
      <c r="I1410" s="269" t="s">
        <v>9244</v>
      </c>
      <c r="J1410" s="296" t="s">
        <v>140</v>
      </c>
      <c r="K1410" s="297" t="s">
        <v>140</v>
      </c>
      <c r="L1410" s="862" t="s">
        <v>9245</v>
      </c>
      <c r="M1410" s="206" t="s">
        <v>973</v>
      </c>
      <c r="N1410" s="211" t="s">
        <v>974</v>
      </c>
      <c r="O1410" s="240" t="s">
        <v>144</v>
      </c>
      <c r="P1410" s="240" t="s">
        <v>144</v>
      </c>
      <c r="Q1410" s="845" t="s">
        <v>144</v>
      </c>
      <c r="R1410" s="269" t="s">
        <v>144</v>
      </c>
      <c r="S1410" s="864" t="s">
        <v>746</v>
      </c>
      <c r="T1410" s="212" t="s">
        <v>1104</v>
      </c>
      <c r="U1410" s="213" t="s">
        <v>1105</v>
      </c>
      <c r="V1410" s="847">
        <v>19</v>
      </c>
      <c r="W1410" s="415" t="s">
        <v>144</v>
      </c>
      <c r="X1410" s="212">
        <v>43</v>
      </c>
      <c r="Y1410" s="212" t="s">
        <v>144</v>
      </c>
      <c r="Z1410" s="241" t="s">
        <v>144</v>
      </c>
      <c r="AA1410" s="240" t="s">
        <v>1212</v>
      </c>
      <c r="AB1410" s="206" t="s">
        <v>140</v>
      </c>
      <c r="AC1410" s="847" t="s">
        <v>265</v>
      </c>
      <c r="AD1410" s="847" t="s">
        <v>8527</v>
      </c>
      <c r="AE1410" s="847" t="s">
        <v>144</v>
      </c>
      <c r="AF1410" s="848" t="s">
        <v>144</v>
      </c>
      <c r="AG1410" s="838"/>
      <c r="AH1410" s="866" t="s">
        <v>9246</v>
      </c>
      <c r="AI1410" s="273" t="s">
        <v>9247</v>
      </c>
      <c r="AJ1410" s="847">
        <v>5</v>
      </c>
      <c r="AK1410" s="848" t="s">
        <v>9248</v>
      </c>
      <c r="AL1410" s="867"/>
      <c r="AM1410" s="273"/>
      <c r="AN1410" s="847"/>
      <c r="AO1410" s="848"/>
      <c r="AP1410" s="284" t="s">
        <v>1107</v>
      </c>
      <c r="AQ1410" s="273" t="s">
        <v>1108</v>
      </c>
      <c r="AR1410" s="285">
        <v>7</v>
      </c>
      <c r="AS1410" s="286" t="s">
        <v>1109</v>
      </c>
      <c r="AT1410" s="867"/>
      <c r="AU1410" s="273"/>
      <c r="AV1410" s="847"/>
      <c r="AW1410" s="848"/>
      <c r="AX1410" s="867"/>
      <c r="AY1410" s="273"/>
      <c r="AZ1410" s="847"/>
      <c r="BA1410" s="848"/>
      <c r="BB1410" s="866"/>
      <c r="BC1410" s="273"/>
      <c r="BD1410" s="847"/>
      <c r="BE1410" s="848"/>
      <c r="BF1410" s="838"/>
    </row>
    <row r="1411" spans="1:58" s="87" customFormat="1" ht="54" hidden="1" customHeight="1" x14ac:dyDescent="0.25">
      <c r="A1411" s="267" t="s">
        <v>8525</v>
      </c>
      <c r="B1411" s="268">
        <v>115</v>
      </c>
      <c r="C1411" s="240" t="s">
        <v>1744</v>
      </c>
      <c r="D1411" s="211" t="s">
        <v>1745</v>
      </c>
      <c r="E1411" s="298" t="s">
        <v>9249</v>
      </c>
      <c r="F1411" s="861" t="s">
        <v>9250</v>
      </c>
      <c r="G1411" s="269" t="s">
        <v>9251</v>
      </c>
      <c r="H1411" s="845" t="s">
        <v>9252</v>
      </c>
      <c r="I1411" s="269" t="s">
        <v>9253</v>
      </c>
      <c r="J1411" s="296" t="s">
        <v>140</v>
      </c>
      <c r="K1411" s="297" t="s">
        <v>140</v>
      </c>
      <c r="L1411" s="862" t="s">
        <v>9254</v>
      </c>
      <c r="M1411" s="206" t="s">
        <v>973</v>
      </c>
      <c r="N1411" s="211" t="s">
        <v>974</v>
      </c>
      <c r="O1411" s="240" t="s">
        <v>814</v>
      </c>
      <c r="P1411" s="240" t="s">
        <v>815</v>
      </c>
      <c r="Q1411" s="845" t="s">
        <v>144</v>
      </c>
      <c r="R1411" s="269" t="s">
        <v>144</v>
      </c>
      <c r="S1411" s="864" t="s">
        <v>147</v>
      </c>
      <c r="T1411" s="212" t="s">
        <v>144</v>
      </c>
      <c r="U1411" s="213" t="s">
        <v>144</v>
      </c>
      <c r="V1411" s="847">
        <v>3</v>
      </c>
      <c r="W1411" s="415" t="s">
        <v>144</v>
      </c>
      <c r="X1411" s="212">
        <v>43</v>
      </c>
      <c r="Y1411" s="212" t="s">
        <v>144</v>
      </c>
      <c r="Z1411" s="214" t="s">
        <v>144</v>
      </c>
      <c r="AA1411" s="240" t="s">
        <v>398</v>
      </c>
      <c r="AB1411" s="206" t="s">
        <v>140</v>
      </c>
      <c r="AC1411" s="847" t="s">
        <v>265</v>
      </c>
      <c r="AD1411" s="847" t="s">
        <v>8527</v>
      </c>
      <c r="AE1411" s="847" t="s">
        <v>144</v>
      </c>
      <c r="AF1411" s="848" t="s">
        <v>144</v>
      </c>
      <c r="AG1411" s="838"/>
      <c r="AH1411" s="866" t="s">
        <v>9255</v>
      </c>
      <c r="AI1411" s="273" t="s">
        <v>9256</v>
      </c>
      <c r="AJ1411" s="847">
        <v>7</v>
      </c>
      <c r="AK1411" s="848" t="s">
        <v>1280</v>
      </c>
      <c r="AL1411" s="875" t="s">
        <v>294</v>
      </c>
      <c r="AM1411" s="301" t="s">
        <v>295</v>
      </c>
      <c r="AN1411" s="847">
        <v>7</v>
      </c>
      <c r="AO1411" s="848" t="s">
        <v>966</v>
      </c>
      <c r="AP1411" s="867"/>
      <c r="AQ1411" s="273"/>
      <c r="AR1411" s="847"/>
      <c r="AS1411" s="848"/>
      <c r="AT1411" s="867"/>
      <c r="AU1411" s="273"/>
      <c r="AV1411" s="847"/>
      <c r="AW1411" s="848"/>
      <c r="AX1411" s="867"/>
      <c r="AY1411" s="273"/>
      <c r="AZ1411" s="847"/>
      <c r="BA1411" s="848"/>
      <c r="BB1411" s="866"/>
      <c r="BC1411" s="273"/>
      <c r="BD1411" s="847"/>
      <c r="BE1411" s="848"/>
      <c r="BF1411" s="838"/>
    </row>
    <row r="1412" spans="1:58" s="87" customFormat="1" ht="54" hidden="1" customHeight="1" x14ac:dyDescent="0.25">
      <c r="A1412" s="267" t="s">
        <v>8525</v>
      </c>
      <c r="B1412" s="268">
        <v>116</v>
      </c>
      <c r="C1412" s="240" t="s">
        <v>1022</v>
      </c>
      <c r="D1412" s="211" t="s">
        <v>1023</v>
      </c>
      <c r="E1412" s="298" t="s">
        <v>9257</v>
      </c>
      <c r="F1412" s="861" t="s">
        <v>4736</v>
      </c>
      <c r="G1412" s="269" t="s">
        <v>4737</v>
      </c>
      <c r="H1412" s="845" t="s">
        <v>9258</v>
      </c>
      <c r="I1412" s="269" t="s">
        <v>9259</v>
      </c>
      <c r="J1412" s="296" t="s">
        <v>140</v>
      </c>
      <c r="K1412" s="297" t="s">
        <v>140</v>
      </c>
      <c r="L1412" s="862" t="s">
        <v>1453</v>
      </c>
      <c r="M1412" s="206" t="s">
        <v>142</v>
      </c>
      <c r="N1412" s="211" t="s">
        <v>143</v>
      </c>
      <c r="O1412" s="240" t="s">
        <v>144</v>
      </c>
      <c r="P1412" s="240" t="s">
        <v>144</v>
      </c>
      <c r="Q1412" s="845" t="s">
        <v>9260</v>
      </c>
      <c r="R1412" s="269" t="s">
        <v>9261</v>
      </c>
      <c r="S1412" s="864" t="s">
        <v>147</v>
      </c>
      <c r="T1412" s="212" t="s">
        <v>144</v>
      </c>
      <c r="U1412" s="213" t="s">
        <v>144</v>
      </c>
      <c r="V1412" s="847">
        <v>20</v>
      </c>
      <c r="W1412" s="415" t="s">
        <v>144</v>
      </c>
      <c r="X1412" s="212">
        <v>43</v>
      </c>
      <c r="Y1412" s="212" t="s">
        <v>144</v>
      </c>
      <c r="Z1412" s="214" t="s">
        <v>144</v>
      </c>
      <c r="AA1412" s="240" t="s">
        <v>148</v>
      </c>
      <c r="AB1412" s="206" t="s">
        <v>140</v>
      </c>
      <c r="AC1412" s="847" t="s">
        <v>265</v>
      </c>
      <c r="AD1412" s="847" t="s">
        <v>8527</v>
      </c>
      <c r="AE1412" s="847" t="s">
        <v>144</v>
      </c>
      <c r="AF1412" s="848" t="s">
        <v>144</v>
      </c>
      <c r="AG1412" s="838"/>
      <c r="AH1412" s="866" t="s">
        <v>266</v>
      </c>
      <c r="AI1412" s="273" t="s">
        <v>267</v>
      </c>
      <c r="AJ1412" s="847">
        <v>7</v>
      </c>
      <c r="AK1412" s="848" t="s">
        <v>1046</v>
      </c>
      <c r="AL1412" s="867"/>
      <c r="AM1412" s="273"/>
      <c r="AN1412" s="847"/>
      <c r="AO1412" s="848"/>
      <c r="AP1412" s="867"/>
      <c r="AQ1412" s="273"/>
      <c r="AR1412" s="847"/>
      <c r="AS1412" s="848"/>
      <c r="AT1412" s="867"/>
      <c r="AU1412" s="273"/>
      <c r="AV1412" s="847"/>
      <c r="AW1412" s="848"/>
      <c r="AX1412" s="867"/>
      <c r="AY1412" s="273"/>
      <c r="AZ1412" s="847"/>
      <c r="BA1412" s="848"/>
      <c r="BB1412" s="866"/>
      <c r="BC1412" s="273"/>
      <c r="BD1412" s="847"/>
      <c r="BE1412" s="848"/>
      <c r="BF1412" s="838"/>
    </row>
    <row r="1413" spans="1:58" s="87" customFormat="1" ht="54" hidden="1" customHeight="1" x14ac:dyDescent="0.25">
      <c r="A1413" s="267" t="s">
        <v>8525</v>
      </c>
      <c r="B1413" s="268">
        <v>117</v>
      </c>
      <c r="C1413" s="240" t="s">
        <v>1022</v>
      </c>
      <c r="D1413" s="211" t="s">
        <v>1023</v>
      </c>
      <c r="E1413" s="268" t="s">
        <v>9262</v>
      </c>
      <c r="F1413" s="861" t="s">
        <v>1457</v>
      </c>
      <c r="G1413" s="269" t="s">
        <v>9263</v>
      </c>
      <c r="H1413" s="861" t="s">
        <v>9264</v>
      </c>
      <c r="I1413" s="269" t="s">
        <v>9265</v>
      </c>
      <c r="J1413" s="296" t="s">
        <v>140</v>
      </c>
      <c r="K1413" s="297" t="s">
        <v>140</v>
      </c>
      <c r="L1413" s="862" t="s">
        <v>5534</v>
      </c>
      <c r="M1413" s="206" t="s">
        <v>193</v>
      </c>
      <c r="N1413" s="211" t="s">
        <v>194</v>
      </c>
      <c r="O1413" s="240" t="s">
        <v>1462</v>
      </c>
      <c r="P1413" s="240" t="s">
        <v>1463</v>
      </c>
      <c r="Q1413" s="863" t="s">
        <v>1464</v>
      </c>
      <c r="R1413" s="271" t="s">
        <v>1465</v>
      </c>
      <c r="S1413" s="864" t="s">
        <v>965</v>
      </c>
      <c r="T1413" s="212" t="s">
        <v>144</v>
      </c>
      <c r="U1413" s="213" t="s">
        <v>144</v>
      </c>
      <c r="V1413" s="847">
        <v>5</v>
      </c>
      <c r="W1413" s="415" t="s">
        <v>144</v>
      </c>
      <c r="X1413" s="212">
        <v>43</v>
      </c>
      <c r="Y1413" s="212" t="s">
        <v>144</v>
      </c>
      <c r="Z1413" s="241" t="s">
        <v>144</v>
      </c>
      <c r="AA1413" s="240" t="s">
        <v>148</v>
      </c>
      <c r="AB1413" s="206" t="s">
        <v>140</v>
      </c>
      <c r="AC1413" s="847" t="s">
        <v>265</v>
      </c>
      <c r="AD1413" s="847" t="s">
        <v>8527</v>
      </c>
      <c r="AE1413" s="847" t="s">
        <v>144</v>
      </c>
      <c r="AF1413" s="848" t="s">
        <v>144</v>
      </c>
      <c r="AG1413" s="838"/>
      <c r="AH1413" s="866"/>
      <c r="AI1413" s="273"/>
      <c r="AJ1413" s="847"/>
      <c r="AK1413" s="848"/>
      <c r="AL1413" s="875" t="s">
        <v>294</v>
      </c>
      <c r="AM1413" s="301" t="s">
        <v>295</v>
      </c>
      <c r="AN1413" s="847">
        <v>7</v>
      </c>
      <c r="AO1413" s="848" t="s">
        <v>966</v>
      </c>
      <c r="AP1413" s="867"/>
      <c r="AQ1413" s="273"/>
      <c r="AR1413" s="847"/>
      <c r="AS1413" s="848"/>
      <c r="AT1413" s="867"/>
      <c r="AU1413" s="273"/>
      <c r="AV1413" s="847"/>
      <c r="AW1413" s="848"/>
      <c r="AX1413" s="867"/>
      <c r="AY1413" s="273"/>
      <c r="AZ1413" s="847"/>
      <c r="BA1413" s="848"/>
      <c r="BB1413" s="866"/>
      <c r="BC1413" s="273"/>
      <c r="BD1413" s="847"/>
      <c r="BE1413" s="848"/>
      <c r="BF1413" s="838"/>
    </row>
    <row r="1414" spans="1:58" s="87" customFormat="1" ht="54" hidden="1" customHeight="1" x14ac:dyDescent="0.25">
      <c r="A1414" s="267" t="s">
        <v>8525</v>
      </c>
      <c r="B1414" s="268">
        <v>118</v>
      </c>
      <c r="C1414" s="240" t="s">
        <v>256</v>
      </c>
      <c r="D1414" s="211" t="s">
        <v>257</v>
      </c>
      <c r="E1414" s="298" t="s">
        <v>9266</v>
      </c>
      <c r="F1414" s="299" t="s">
        <v>9267</v>
      </c>
      <c r="G1414" s="269" t="s">
        <v>9268</v>
      </c>
      <c r="H1414" s="845" t="s">
        <v>9269</v>
      </c>
      <c r="I1414" s="269" t="s">
        <v>9270</v>
      </c>
      <c r="J1414" s="296" t="s">
        <v>140</v>
      </c>
      <c r="K1414" s="297" t="s">
        <v>140</v>
      </c>
      <c r="L1414" s="862" t="s">
        <v>5541</v>
      </c>
      <c r="M1414" s="206" t="s">
        <v>193</v>
      </c>
      <c r="N1414" s="211" t="s">
        <v>194</v>
      </c>
      <c r="O1414" s="240" t="s">
        <v>144</v>
      </c>
      <c r="P1414" s="240" t="s">
        <v>144</v>
      </c>
      <c r="Q1414" s="845" t="s">
        <v>144</v>
      </c>
      <c r="R1414" s="269" t="s">
        <v>144</v>
      </c>
      <c r="S1414" s="864" t="s">
        <v>147</v>
      </c>
      <c r="T1414" s="212" t="s">
        <v>144</v>
      </c>
      <c r="U1414" s="213" t="s">
        <v>144</v>
      </c>
      <c r="V1414" s="240">
        <v>40</v>
      </c>
      <c r="W1414" s="206" t="s">
        <v>144</v>
      </c>
      <c r="X1414" s="212">
        <v>43</v>
      </c>
      <c r="Y1414" s="212" t="s">
        <v>144</v>
      </c>
      <c r="Z1414" s="214" t="s">
        <v>144</v>
      </c>
      <c r="AA1414" s="240" t="s">
        <v>398</v>
      </c>
      <c r="AB1414" s="206" t="s">
        <v>140</v>
      </c>
      <c r="AC1414" s="847" t="s">
        <v>265</v>
      </c>
      <c r="AD1414" s="847" t="s">
        <v>8527</v>
      </c>
      <c r="AE1414" s="847" t="s">
        <v>144</v>
      </c>
      <c r="AF1414" s="848" t="s">
        <v>144</v>
      </c>
      <c r="AG1414" s="838"/>
      <c r="AH1414" s="866"/>
      <c r="AI1414" s="273"/>
      <c r="AJ1414" s="847"/>
      <c r="AK1414" s="848"/>
      <c r="AL1414" s="867"/>
      <c r="AM1414" s="273"/>
      <c r="AN1414" s="847"/>
      <c r="AO1414" s="848"/>
      <c r="AP1414" s="867"/>
      <c r="AQ1414" s="273"/>
      <c r="AR1414" s="847"/>
      <c r="AS1414" s="848"/>
      <c r="AT1414" s="867"/>
      <c r="AU1414" s="273"/>
      <c r="AV1414" s="847"/>
      <c r="AW1414" s="848"/>
      <c r="AX1414" s="867"/>
      <c r="AY1414" s="273"/>
      <c r="AZ1414" s="847"/>
      <c r="BA1414" s="848"/>
      <c r="BB1414" s="866"/>
      <c r="BC1414" s="273"/>
      <c r="BD1414" s="847"/>
      <c r="BE1414" s="848"/>
      <c r="BF1414" s="838"/>
    </row>
    <row r="1415" spans="1:58" s="88" customFormat="1" ht="54" hidden="1" customHeight="1" x14ac:dyDescent="0.25">
      <c r="A1415" s="267" t="s">
        <v>8525</v>
      </c>
      <c r="B1415" s="268">
        <v>119</v>
      </c>
      <c r="C1415" s="240" t="s">
        <v>256</v>
      </c>
      <c r="D1415" s="211" t="s">
        <v>257</v>
      </c>
      <c r="E1415" s="298" t="s">
        <v>9271</v>
      </c>
      <c r="F1415" s="299" t="s">
        <v>5543</v>
      </c>
      <c r="G1415" s="269" t="s">
        <v>5544</v>
      </c>
      <c r="H1415" s="845" t="s">
        <v>9272</v>
      </c>
      <c r="I1415" s="269" t="s">
        <v>5546</v>
      </c>
      <c r="J1415" s="296" t="s">
        <v>140</v>
      </c>
      <c r="K1415" s="297" t="s">
        <v>140</v>
      </c>
      <c r="L1415" s="862" t="s">
        <v>8085</v>
      </c>
      <c r="M1415" s="206" t="s">
        <v>193</v>
      </c>
      <c r="N1415" s="211" t="s">
        <v>194</v>
      </c>
      <c r="O1415" s="240" t="s">
        <v>144</v>
      </c>
      <c r="P1415" s="240" t="s">
        <v>144</v>
      </c>
      <c r="Q1415" s="845" t="s">
        <v>144</v>
      </c>
      <c r="R1415" s="269" t="s">
        <v>144</v>
      </c>
      <c r="S1415" s="864" t="s">
        <v>147</v>
      </c>
      <c r="T1415" s="212" t="s">
        <v>144</v>
      </c>
      <c r="U1415" s="213" t="s">
        <v>144</v>
      </c>
      <c r="V1415" s="240">
        <v>40</v>
      </c>
      <c r="W1415" s="206" t="s">
        <v>144</v>
      </c>
      <c r="X1415" s="212">
        <v>43</v>
      </c>
      <c r="Y1415" s="212" t="s">
        <v>144</v>
      </c>
      <c r="Z1415" s="214" t="s">
        <v>144</v>
      </c>
      <c r="AA1415" s="240" t="s">
        <v>398</v>
      </c>
      <c r="AB1415" s="206" t="s">
        <v>140</v>
      </c>
      <c r="AC1415" s="847" t="s">
        <v>265</v>
      </c>
      <c r="AD1415" s="847" t="s">
        <v>8527</v>
      </c>
      <c r="AE1415" s="847" t="s">
        <v>144</v>
      </c>
      <c r="AF1415" s="848" t="s">
        <v>144</v>
      </c>
      <c r="AG1415" s="838"/>
      <c r="AH1415" s="866"/>
      <c r="AI1415" s="273"/>
      <c r="AJ1415" s="847"/>
      <c r="AK1415" s="848"/>
      <c r="AL1415" s="867"/>
      <c r="AM1415" s="273"/>
      <c r="AN1415" s="847"/>
      <c r="AO1415" s="848"/>
      <c r="AP1415" s="867"/>
      <c r="AQ1415" s="273"/>
      <c r="AR1415" s="847"/>
      <c r="AS1415" s="848"/>
      <c r="AT1415" s="867"/>
      <c r="AU1415" s="273"/>
      <c r="AV1415" s="847"/>
      <c r="AW1415" s="848"/>
      <c r="AX1415" s="867"/>
      <c r="AY1415" s="273"/>
      <c r="AZ1415" s="847"/>
      <c r="BA1415" s="848"/>
      <c r="BB1415" s="866"/>
      <c r="BC1415" s="273"/>
      <c r="BD1415" s="847"/>
      <c r="BE1415" s="848"/>
      <c r="BF1415" s="838"/>
    </row>
    <row r="1416" spans="1:58" s="88" customFormat="1" ht="54" hidden="1" customHeight="1" x14ac:dyDescent="0.25">
      <c r="A1416" s="267" t="s">
        <v>8525</v>
      </c>
      <c r="B1416" s="268">
        <v>120</v>
      </c>
      <c r="C1416" s="240" t="s">
        <v>1744</v>
      </c>
      <c r="D1416" s="211" t="s">
        <v>1745</v>
      </c>
      <c r="E1416" s="298" t="s">
        <v>9273</v>
      </c>
      <c r="F1416" s="861" t="s">
        <v>9274</v>
      </c>
      <c r="G1416" s="269" t="s">
        <v>9275</v>
      </c>
      <c r="H1416" s="845" t="s">
        <v>9276</v>
      </c>
      <c r="I1416" s="269" t="s">
        <v>9277</v>
      </c>
      <c r="J1416" s="296" t="s">
        <v>140</v>
      </c>
      <c r="K1416" s="297" t="s">
        <v>140</v>
      </c>
      <c r="L1416" s="862" t="s">
        <v>9278</v>
      </c>
      <c r="M1416" s="206" t="s">
        <v>193</v>
      </c>
      <c r="N1416" s="211" t="s">
        <v>194</v>
      </c>
      <c r="O1416" s="240" t="s">
        <v>144</v>
      </c>
      <c r="P1416" s="240" t="s">
        <v>144</v>
      </c>
      <c r="Q1416" s="845" t="s">
        <v>144</v>
      </c>
      <c r="R1416" s="269" t="s">
        <v>144</v>
      </c>
      <c r="S1416" s="864" t="s">
        <v>147</v>
      </c>
      <c r="T1416" s="212" t="s">
        <v>144</v>
      </c>
      <c r="U1416" s="213" t="s">
        <v>144</v>
      </c>
      <c r="V1416" s="847">
        <v>40</v>
      </c>
      <c r="W1416" s="415" t="s">
        <v>144</v>
      </c>
      <c r="X1416" s="212">
        <v>43</v>
      </c>
      <c r="Y1416" s="212" t="s">
        <v>144</v>
      </c>
      <c r="Z1416" s="214" t="s">
        <v>144</v>
      </c>
      <c r="AA1416" s="240" t="s">
        <v>398</v>
      </c>
      <c r="AB1416" s="206" t="s">
        <v>140</v>
      </c>
      <c r="AC1416" s="847" t="s">
        <v>265</v>
      </c>
      <c r="AD1416" s="847" t="s">
        <v>8527</v>
      </c>
      <c r="AE1416" s="847" t="s">
        <v>144</v>
      </c>
      <c r="AF1416" s="848" t="s">
        <v>144</v>
      </c>
      <c r="AG1416" s="838"/>
      <c r="AH1416" s="866"/>
      <c r="AI1416" s="273"/>
      <c r="AJ1416" s="847"/>
      <c r="AK1416" s="848"/>
      <c r="AL1416" s="867"/>
      <c r="AM1416" s="273"/>
      <c r="AN1416" s="847"/>
      <c r="AO1416" s="848"/>
      <c r="AP1416" s="867"/>
      <c r="AQ1416" s="273"/>
      <c r="AR1416" s="847"/>
      <c r="AS1416" s="848"/>
      <c r="AT1416" s="867"/>
      <c r="AU1416" s="273"/>
      <c r="AV1416" s="847"/>
      <c r="AW1416" s="848"/>
      <c r="AX1416" s="867"/>
      <c r="AY1416" s="273"/>
      <c r="AZ1416" s="847"/>
      <c r="BA1416" s="848"/>
      <c r="BB1416" s="866"/>
      <c r="BC1416" s="273"/>
      <c r="BD1416" s="847"/>
      <c r="BE1416" s="848"/>
      <c r="BF1416" s="838"/>
    </row>
    <row r="1417" spans="1:58" s="87" customFormat="1" ht="54" hidden="1" customHeight="1" x14ac:dyDescent="0.25">
      <c r="A1417" s="267" t="s">
        <v>8525</v>
      </c>
      <c r="B1417" s="268">
        <v>121</v>
      </c>
      <c r="C1417" s="240" t="s">
        <v>5602</v>
      </c>
      <c r="D1417" s="211" t="s">
        <v>5603</v>
      </c>
      <c r="E1417" s="268" t="s">
        <v>9279</v>
      </c>
      <c r="F1417" s="861" t="s">
        <v>9280</v>
      </c>
      <c r="G1417" s="269" t="s">
        <v>9281</v>
      </c>
      <c r="H1417" s="845" t="s">
        <v>9282</v>
      </c>
      <c r="I1417" s="269" t="s">
        <v>9283</v>
      </c>
      <c r="J1417" s="296" t="s">
        <v>140</v>
      </c>
      <c r="K1417" s="297" t="s">
        <v>140</v>
      </c>
      <c r="L1417" s="862" t="s">
        <v>9284</v>
      </c>
      <c r="M1417" s="206" t="s">
        <v>193</v>
      </c>
      <c r="N1417" s="211" t="s">
        <v>194</v>
      </c>
      <c r="O1417" s="240" t="s">
        <v>144</v>
      </c>
      <c r="P1417" s="240" t="s">
        <v>144</v>
      </c>
      <c r="Q1417" s="845" t="s">
        <v>9285</v>
      </c>
      <c r="R1417" s="269" t="s">
        <v>9286</v>
      </c>
      <c r="S1417" s="864" t="s">
        <v>147</v>
      </c>
      <c r="T1417" s="212" t="s">
        <v>144</v>
      </c>
      <c r="U1417" s="213" t="s">
        <v>144</v>
      </c>
      <c r="V1417" s="847">
        <v>40</v>
      </c>
      <c r="W1417" s="415" t="s">
        <v>144</v>
      </c>
      <c r="X1417" s="212">
        <v>43</v>
      </c>
      <c r="Y1417" s="212" t="s">
        <v>144</v>
      </c>
      <c r="Z1417" s="241" t="s">
        <v>144</v>
      </c>
      <c r="AA1417" s="240" t="s">
        <v>9124</v>
      </c>
      <c r="AB1417" s="206" t="s">
        <v>140</v>
      </c>
      <c r="AC1417" s="847" t="s">
        <v>265</v>
      </c>
      <c r="AD1417" s="847" t="s">
        <v>8715</v>
      </c>
      <c r="AE1417" s="847" t="s">
        <v>144</v>
      </c>
      <c r="AF1417" s="848" t="s">
        <v>144</v>
      </c>
      <c r="AG1417" s="838"/>
      <c r="AH1417" s="866"/>
      <c r="AI1417" s="273"/>
      <c r="AJ1417" s="847"/>
      <c r="AK1417" s="848"/>
      <c r="AL1417" s="867"/>
      <c r="AM1417" s="273"/>
      <c r="AN1417" s="847"/>
      <c r="AO1417" s="848"/>
      <c r="AP1417" s="867"/>
      <c r="AQ1417" s="273"/>
      <c r="AR1417" s="847"/>
      <c r="AS1417" s="848"/>
      <c r="AT1417" s="867"/>
      <c r="AU1417" s="273"/>
      <c r="AV1417" s="847"/>
      <c r="AW1417" s="848"/>
      <c r="AX1417" s="867"/>
      <c r="AY1417" s="273"/>
      <c r="AZ1417" s="847"/>
      <c r="BA1417" s="848"/>
      <c r="BB1417" s="866"/>
      <c r="BC1417" s="273"/>
      <c r="BD1417" s="847"/>
      <c r="BE1417" s="848"/>
      <c r="BF1417" s="838"/>
    </row>
    <row r="1418" spans="1:58" s="87" customFormat="1" ht="54" hidden="1" customHeight="1" x14ac:dyDescent="0.25">
      <c r="A1418" s="267" t="s">
        <v>8525</v>
      </c>
      <c r="B1418" s="268">
        <v>122</v>
      </c>
      <c r="C1418" s="240" t="s">
        <v>5602</v>
      </c>
      <c r="D1418" s="211" t="s">
        <v>5603</v>
      </c>
      <c r="E1418" s="268" t="s">
        <v>9287</v>
      </c>
      <c r="F1418" s="861" t="s">
        <v>9288</v>
      </c>
      <c r="G1418" s="269" t="s">
        <v>9289</v>
      </c>
      <c r="H1418" s="861" t="s">
        <v>9282</v>
      </c>
      <c r="I1418" s="269" t="s">
        <v>9290</v>
      </c>
      <c r="J1418" s="296" t="s">
        <v>140</v>
      </c>
      <c r="K1418" s="297" t="s">
        <v>140</v>
      </c>
      <c r="L1418" s="862" t="s">
        <v>9291</v>
      </c>
      <c r="M1418" s="206" t="s">
        <v>193</v>
      </c>
      <c r="N1418" s="211" t="s">
        <v>194</v>
      </c>
      <c r="O1418" s="240" t="s">
        <v>144</v>
      </c>
      <c r="P1418" s="240" t="s">
        <v>144</v>
      </c>
      <c r="Q1418" s="845" t="s">
        <v>144</v>
      </c>
      <c r="R1418" s="269" t="s">
        <v>144</v>
      </c>
      <c r="S1418" s="864" t="s">
        <v>147</v>
      </c>
      <c r="T1418" s="212" t="s">
        <v>144</v>
      </c>
      <c r="U1418" s="213" t="s">
        <v>144</v>
      </c>
      <c r="V1418" s="847">
        <v>40</v>
      </c>
      <c r="W1418" s="415" t="s">
        <v>144</v>
      </c>
      <c r="X1418" s="212">
        <v>43</v>
      </c>
      <c r="Y1418" s="212" t="s">
        <v>144</v>
      </c>
      <c r="Z1418" s="241" t="s">
        <v>144</v>
      </c>
      <c r="AA1418" s="240" t="s">
        <v>9124</v>
      </c>
      <c r="AB1418" s="206" t="s">
        <v>140</v>
      </c>
      <c r="AC1418" s="847" t="s">
        <v>265</v>
      </c>
      <c r="AD1418" s="847" t="s">
        <v>8715</v>
      </c>
      <c r="AE1418" s="847" t="s">
        <v>144</v>
      </c>
      <c r="AF1418" s="848" t="s">
        <v>144</v>
      </c>
      <c r="AG1418" s="838"/>
      <c r="AH1418" s="866"/>
      <c r="AI1418" s="273"/>
      <c r="AJ1418" s="847"/>
      <c r="AK1418" s="848"/>
      <c r="AL1418" s="867"/>
      <c r="AM1418" s="273"/>
      <c r="AN1418" s="847"/>
      <c r="AO1418" s="848"/>
      <c r="AP1418" s="867"/>
      <c r="AQ1418" s="273"/>
      <c r="AR1418" s="847"/>
      <c r="AS1418" s="848"/>
      <c r="AT1418" s="867"/>
      <c r="AU1418" s="273"/>
      <c r="AV1418" s="847"/>
      <c r="AW1418" s="848"/>
      <c r="AX1418" s="867"/>
      <c r="AY1418" s="273"/>
      <c r="AZ1418" s="847"/>
      <c r="BA1418" s="848"/>
      <c r="BB1418" s="866"/>
      <c r="BC1418" s="273"/>
      <c r="BD1418" s="847"/>
      <c r="BE1418" s="848"/>
      <c r="BF1418" s="838"/>
    </row>
    <row r="1419" spans="1:58" s="87" customFormat="1" ht="54" hidden="1" customHeight="1" x14ac:dyDescent="0.25">
      <c r="A1419" s="267" t="s">
        <v>8525</v>
      </c>
      <c r="B1419" s="268">
        <v>123</v>
      </c>
      <c r="C1419" s="240" t="s">
        <v>5602</v>
      </c>
      <c r="D1419" s="211" t="s">
        <v>5603</v>
      </c>
      <c r="E1419" s="268" t="s">
        <v>9292</v>
      </c>
      <c r="F1419" s="861" t="s">
        <v>9293</v>
      </c>
      <c r="G1419" s="269" t="s">
        <v>9294</v>
      </c>
      <c r="H1419" s="861" t="s">
        <v>9282</v>
      </c>
      <c r="I1419" s="269" t="s">
        <v>9290</v>
      </c>
      <c r="J1419" s="296" t="s">
        <v>140</v>
      </c>
      <c r="K1419" s="297" t="s">
        <v>140</v>
      </c>
      <c r="L1419" s="862" t="s">
        <v>9295</v>
      </c>
      <c r="M1419" s="206" t="s">
        <v>193</v>
      </c>
      <c r="N1419" s="211" t="s">
        <v>194</v>
      </c>
      <c r="O1419" s="240" t="s">
        <v>144</v>
      </c>
      <c r="P1419" s="240" t="s">
        <v>144</v>
      </c>
      <c r="Q1419" s="845" t="s">
        <v>144</v>
      </c>
      <c r="R1419" s="318" t="s">
        <v>144</v>
      </c>
      <c r="S1419" s="864" t="s">
        <v>147</v>
      </c>
      <c r="T1419" s="212" t="s">
        <v>144</v>
      </c>
      <c r="U1419" s="213" t="s">
        <v>144</v>
      </c>
      <c r="V1419" s="847">
        <v>40</v>
      </c>
      <c r="W1419" s="415" t="s">
        <v>144</v>
      </c>
      <c r="X1419" s="212">
        <v>43</v>
      </c>
      <c r="Y1419" s="212" t="s">
        <v>144</v>
      </c>
      <c r="Z1419" s="241" t="s">
        <v>144</v>
      </c>
      <c r="AA1419" s="240" t="s">
        <v>9124</v>
      </c>
      <c r="AB1419" s="206" t="s">
        <v>140</v>
      </c>
      <c r="AC1419" s="847" t="s">
        <v>265</v>
      </c>
      <c r="AD1419" s="847" t="s">
        <v>8715</v>
      </c>
      <c r="AE1419" s="847" t="s">
        <v>144</v>
      </c>
      <c r="AF1419" s="848" t="s">
        <v>144</v>
      </c>
      <c r="AG1419" s="838"/>
      <c r="AH1419" s="866"/>
      <c r="AI1419" s="273"/>
      <c r="AJ1419" s="847"/>
      <c r="AK1419" s="848"/>
      <c r="AL1419" s="867"/>
      <c r="AM1419" s="273"/>
      <c r="AN1419" s="847"/>
      <c r="AO1419" s="848"/>
      <c r="AP1419" s="867"/>
      <c r="AQ1419" s="273"/>
      <c r="AR1419" s="847"/>
      <c r="AS1419" s="848"/>
      <c r="AT1419" s="867"/>
      <c r="AU1419" s="273"/>
      <c r="AV1419" s="847"/>
      <c r="AW1419" s="848"/>
      <c r="AX1419" s="867"/>
      <c r="AY1419" s="273"/>
      <c r="AZ1419" s="847"/>
      <c r="BA1419" s="848"/>
      <c r="BB1419" s="866"/>
      <c r="BC1419" s="273"/>
      <c r="BD1419" s="847"/>
      <c r="BE1419" s="848"/>
      <c r="BF1419" s="838"/>
    </row>
    <row r="1420" spans="1:58" s="87" customFormat="1" ht="54" hidden="1" customHeight="1" x14ac:dyDescent="0.25">
      <c r="A1420" s="267" t="s">
        <v>8525</v>
      </c>
      <c r="B1420" s="268">
        <v>124</v>
      </c>
      <c r="C1420" s="240" t="s">
        <v>5602</v>
      </c>
      <c r="D1420" s="211" t="s">
        <v>5603</v>
      </c>
      <c r="E1420" s="268" t="s">
        <v>9296</v>
      </c>
      <c r="F1420" s="861" t="s">
        <v>9297</v>
      </c>
      <c r="G1420" s="269" t="s">
        <v>9298</v>
      </c>
      <c r="H1420" s="861" t="s">
        <v>9282</v>
      </c>
      <c r="I1420" s="269" t="s">
        <v>9290</v>
      </c>
      <c r="J1420" s="296" t="s">
        <v>140</v>
      </c>
      <c r="K1420" s="297" t="s">
        <v>140</v>
      </c>
      <c r="L1420" s="862" t="s">
        <v>9299</v>
      </c>
      <c r="M1420" s="206" t="s">
        <v>973</v>
      </c>
      <c r="N1420" s="211" t="s">
        <v>974</v>
      </c>
      <c r="O1420" s="240" t="s">
        <v>5610</v>
      </c>
      <c r="P1420" s="240" t="s">
        <v>5611</v>
      </c>
      <c r="Q1420" s="845" t="s">
        <v>144</v>
      </c>
      <c r="R1420" s="318" t="s">
        <v>144</v>
      </c>
      <c r="S1420" s="864" t="s">
        <v>147</v>
      </c>
      <c r="T1420" s="212" t="s">
        <v>144</v>
      </c>
      <c r="U1420" s="213" t="s">
        <v>144</v>
      </c>
      <c r="V1420" s="847">
        <v>15</v>
      </c>
      <c r="W1420" s="415" t="s">
        <v>144</v>
      </c>
      <c r="X1420" s="212">
        <v>43</v>
      </c>
      <c r="Y1420" s="212" t="s">
        <v>144</v>
      </c>
      <c r="Z1420" s="241" t="s">
        <v>144</v>
      </c>
      <c r="AA1420" s="240" t="s">
        <v>9124</v>
      </c>
      <c r="AB1420" s="206" t="s">
        <v>140</v>
      </c>
      <c r="AC1420" s="847" t="s">
        <v>265</v>
      </c>
      <c r="AD1420" s="847" t="s">
        <v>8715</v>
      </c>
      <c r="AE1420" s="847" t="s">
        <v>144</v>
      </c>
      <c r="AF1420" s="848" t="s">
        <v>144</v>
      </c>
      <c r="AG1420" s="838"/>
      <c r="AH1420" s="866" t="s">
        <v>9300</v>
      </c>
      <c r="AI1420" s="273" t="s">
        <v>9301</v>
      </c>
      <c r="AJ1420" s="847">
        <v>6</v>
      </c>
      <c r="AK1420" s="848" t="s">
        <v>9302</v>
      </c>
      <c r="AL1420" s="867" t="s">
        <v>9303</v>
      </c>
      <c r="AM1420" s="301" t="s">
        <v>9304</v>
      </c>
      <c r="AN1420" s="847">
        <v>7</v>
      </c>
      <c r="AO1420" s="848" t="s">
        <v>9305</v>
      </c>
      <c r="AP1420" s="867"/>
      <c r="AQ1420" s="273"/>
      <c r="AR1420" s="847"/>
      <c r="AS1420" s="848"/>
      <c r="AT1420" s="867"/>
      <c r="AU1420" s="273"/>
      <c r="AV1420" s="847"/>
      <c r="AW1420" s="848"/>
      <c r="AX1420" s="867"/>
      <c r="AY1420" s="273"/>
      <c r="AZ1420" s="847"/>
      <c r="BA1420" s="848"/>
      <c r="BB1420" s="866"/>
      <c r="BC1420" s="273"/>
      <c r="BD1420" s="847"/>
      <c r="BE1420" s="848"/>
      <c r="BF1420" s="838"/>
    </row>
    <row r="1421" spans="1:58" s="87" customFormat="1" ht="54" hidden="1" customHeight="1" x14ac:dyDescent="0.25">
      <c r="A1421" s="267" t="s">
        <v>8525</v>
      </c>
      <c r="B1421" s="268">
        <v>125</v>
      </c>
      <c r="C1421" s="240" t="s">
        <v>5602</v>
      </c>
      <c r="D1421" s="211" t="s">
        <v>5603</v>
      </c>
      <c r="E1421" s="268" t="s">
        <v>9306</v>
      </c>
      <c r="F1421" s="861" t="s">
        <v>9307</v>
      </c>
      <c r="G1421" s="269" t="s">
        <v>9308</v>
      </c>
      <c r="H1421" s="861" t="s">
        <v>9282</v>
      </c>
      <c r="I1421" s="269" t="s">
        <v>9290</v>
      </c>
      <c r="J1421" s="296" t="s">
        <v>140</v>
      </c>
      <c r="K1421" s="297" t="s">
        <v>140</v>
      </c>
      <c r="L1421" s="862" t="s">
        <v>9309</v>
      </c>
      <c r="M1421" s="206" t="s">
        <v>193</v>
      </c>
      <c r="N1421" s="211" t="s">
        <v>194</v>
      </c>
      <c r="O1421" s="240" t="s">
        <v>5610</v>
      </c>
      <c r="P1421" s="240" t="s">
        <v>5611</v>
      </c>
      <c r="Q1421" s="845" t="s">
        <v>144</v>
      </c>
      <c r="R1421" s="318" t="s">
        <v>144</v>
      </c>
      <c r="S1421" s="864" t="s">
        <v>147</v>
      </c>
      <c r="T1421" s="212" t="s">
        <v>144</v>
      </c>
      <c r="U1421" s="213" t="s">
        <v>144</v>
      </c>
      <c r="V1421" s="847">
        <v>40</v>
      </c>
      <c r="W1421" s="415" t="s">
        <v>144</v>
      </c>
      <c r="X1421" s="212">
        <v>43</v>
      </c>
      <c r="Y1421" s="212" t="s">
        <v>144</v>
      </c>
      <c r="Z1421" s="241" t="s">
        <v>144</v>
      </c>
      <c r="AA1421" s="240" t="s">
        <v>9124</v>
      </c>
      <c r="AB1421" s="206" t="s">
        <v>140</v>
      </c>
      <c r="AC1421" s="847" t="s">
        <v>265</v>
      </c>
      <c r="AD1421" s="847" t="s">
        <v>8715</v>
      </c>
      <c r="AE1421" s="847" t="s">
        <v>144</v>
      </c>
      <c r="AF1421" s="848" t="s">
        <v>144</v>
      </c>
      <c r="AG1421" s="838"/>
      <c r="AH1421" s="866"/>
      <c r="AI1421" s="273"/>
      <c r="AJ1421" s="847"/>
      <c r="AK1421" s="848"/>
      <c r="AL1421" s="867"/>
      <c r="AM1421" s="273"/>
      <c r="AN1421" s="847"/>
      <c r="AO1421" s="848"/>
      <c r="AP1421" s="867"/>
      <c r="AQ1421" s="273"/>
      <c r="AR1421" s="847"/>
      <c r="AS1421" s="848"/>
      <c r="AT1421" s="867"/>
      <c r="AU1421" s="273"/>
      <c r="AV1421" s="847"/>
      <c r="AW1421" s="848"/>
      <c r="AX1421" s="867"/>
      <c r="AY1421" s="273"/>
      <c r="AZ1421" s="847"/>
      <c r="BA1421" s="848"/>
      <c r="BB1421" s="866"/>
      <c r="BC1421" s="273"/>
      <c r="BD1421" s="847"/>
      <c r="BE1421" s="848"/>
      <c r="BF1421" s="838"/>
    </row>
    <row r="1422" spans="1:58" s="87" customFormat="1" ht="54" hidden="1" customHeight="1" x14ac:dyDescent="0.25">
      <c r="A1422" s="267" t="s">
        <v>8525</v>
      </c>
      <c r="B1422" s="268">
        <v>126</v>
      </c>
      <c r="C1422" s="240" t="s">
        <v>5602</v>
      </c>
      <c r="D1422" s="211" t="s">
        <v>5603</v>
      </c>
      <c r="E1422" s="268" t="s">
        <v>9310</v>
      </c>
      <c r="F1422" s="861" t="s">
        <v>9311</v>
      </c>
      <c r="G1422" s="269" t="s">
        <v>9312</v>
      </c>
      <c r="H1422" s="861" t="s">
        <v>9282</v>
      </c>
      <c r="I1422" s="269" t="s">
        <v>9290</v>
      </c>
      <c r="J1422" s="296" t="s">
        <v>140</v>
      </c>
      <c r="K1422" s="297" t="s">
        <v>140</v>
      </c>
      <c r="L1422" s="862" t="s">
        <v>9313</v>
      </c>
      <c r="M1422" s="206" t="s">
        <v>973</v>
      </c>
      <c r="N1422" s="211" t="s">
        <v>974</v>
      </c>
      <c r="O1422" s="240" t="s">
        <v>4634</v>
      </c>
      <c r="P1422" s="240" t="s">
        <v>4635</v>
      </c>
      <c r="Q1422" s="845" t="s">
        <v>144</v>
      </c>
      <c r="R1422" s="318" t="s">
        <v>144</v>
      </c>
      <c r="S1422" s="864" t="s">
        <v>147</v>
      </c>
      <c r="T1422" s="212" t="s">
        <v>144</v>
      </c>
      <c r="U1422" s="213" t="s">
        <v>144</v>
      </c>
      <c r="V1422" s="847">
        <v>2</v>
      </c>
      <c r="W1422" s="415" t="s">
        <v>144</v>
      </c>
      <c r="X1422" s="212">
        <v>43</v>
      </c>
      <c r="Y1422" s="212" t="s">
        <v>144</v>
      </c>
      <c r="Z1422" s="252" t="s">
        <v>144</v>
      </c>
      <c r="AA1422" s="240" t="s">
        <v>9314</v>
      </c>
      <c r="AB1422" s="206" t="s">
        <v>140</v>
      </c>
      <c r="AC1422" s="847" t="s">
        <v>265</v>
      </c>
      <c r="AD1422" s="847" t="s">
        <v>8715</v>
      </c>
      <c r="AE1422" s="847" t="s">
        <v>144</v>
      </c>
      <c r="AF1422" s="848" t="s">
        <v>144</v>
      </c>
      <c r="AG1422" s="838"/>
      <c r="AH1422" s="866" t="s">
        <v>9300</v>
      </c>
      <c r="AI1422" s="273" t="s">
        <v>9301</v>
      </c>
      <c r="AJ1422" s="847">
        <v>6</v>
      </c>
      <c r="AK1422" s="848" t="s">
        <v>9302</v>
      </c>
      <c r="AL1422" s="875" t="s">
        <v>294</v>
      </c>
      <c r="AM1422" s="301" t="s">
        <v>295</v>
      </c>
      <c r="AN1422" s="847">
        <v>7</v>
      </c>
      <c r="AO1422" s="848" t="s">
        <v>966</v>
      </c>
      <c r="AP1422" s="867"/>
      <c r="AQ1422" s="273"/>
      <c r="AR1422" s="847"/>
      <c r="AS1422" s="848"/>
      <c r="AT1422" s="867"/>
      <c r="AU1422" s="273"/>
      <c r="AV1422" s="847"/>
      <c r="AW1422" s="848"/>
      <c r="AX1422" s="867"/>
      <c r="AY1422" s="273"/>
      <c r="AZ1422" s="847"/>
      <c r="BA1422" s="848"/>
      <c r="BB1422" s="866"/>
      <c r="BC1422" s="273"/>
      <c r="BD1422" s="847"/>
      <c r="BE1422" s="848"/>
      <c r="BF1422" s="838"/>
    </row>
    <row r="1423" spans="1:58" s="87" customFormat="1" ht="54" hidden="1" customHeight="1" x14ac:dyDescent="0.25">
      <c r="A1423" s="267" t="s">
        <v>8525</v>
      </c>
      <c r="B1423" s="268">
        <v>127</v>
      </c>
      <c r="C1423" s="240" t="s">
        <v>1022</v>
      </c>
      <c r="D1423" s="211" t="s">
        <v>1023</v>
      </c>
      <c r="E1423" s="268" t="s">
        <v>9315</v>
      </c>
      <c r="F1423" s="861" t="s">
        <v>9316</v>
      </c>
      <c r="G1423" s="269" t="s">
        <v>9317</v>
      </c>
      <c r="H1423" s="861" t="s">
        <v>6807</v>
      </c>
      <c r="I1423" s="269" t="s">
        <v>6808</v>
      </c>
      <c r="J1423" s="296" t="s">
        <v>140</v>
      </c>
      <c r="K1423" s="297" t="s">
        <v>140</v>
      </c>
      <c r="L1423" s="862" t="s">
        <v>9318</v>
      </c>
      <c r="M1423" s="206" t="s">
        <v>193</v>
      </c>
      <c r="N1423" s="211" t="s">
        <v>194</v>
      </c>
      <c r="O1423" s="240" t="s">
        <v>144</v>
      </c>
      <c r="P1423" s="240" t="s">
        <v>144</v>
      </c>
      <c r="Q1423" s="845" t="s">
        <v>6810</v>
      </c>
      <c r="R1423" s="208" t="s">
        <v>6811</v>
      </c>
      <c r="S1423" s="864" t="s">
        <v>746</v>
      </c>
      <c r="T1423" s="212" t="s">
        <v>6812</v>
      </c>
      <c r="U1423" s="213" t="s">
        <v>6813</v>
      </c>
      <c r="V1423" s="847">
        <v>11</v>
      </c>
      <c r="W1423" s="415" t="s">
        <v>144</v>
      </c>
      <c r="X1423" s="212">
        <v>43</v>
      </c>
      <c r="Y1423" s="212" t="s">
        <v>144</v>
      </c>
      <c r="Z1423" s="241" t="s">
        <v>144</v>
      </c>
      <c r="AA1423" s="240" t="s">
        <v>9124</v>
      </c>
      <c r="AB1423" s="206" t="s">
        <v>140</v>
      </c>
      <c r="AC1423" s="847" t="s">
        <v>265</v>
      </c>
      <c r="AD1423" s="847" t="s">
        <v>8715</v>
      </c>
      <c r="AE1423" s="847" t="s">
        <v>144</v>
      </c>
      <c r="AF1423" s="848" t="s">
        <v>144</v>
      </c>
      <c r="AG1423" s="838"/>
      <c r="AH1423" s="866"/>
      <c r="AI1423" s="273"/>
      <c r="AJ1423" s="847"/>
      <c r="AK1423" s="848"/>
      <c r="AL1423" s="867"/>
      <c r="AM1423" s="273"/>
      <c r="AN1423" s="847"/>
      <c r="AO1423" s="848"/>
      <c r="AP1423" s="867"/>
      <c r="AQ1423" s="273"/>
      <c r="AR1423" s="847"/>
      <c r="AS1423" s="286"/>
      <c r="AT1423" s="867"/>
      <c r="AU1423" s="273"/>
      <c r="AV1423" s="847"/>
      <c r="AW1423" s="848"/>
      <c r="AX1423" s="867"/>
      <c r="AY1423" s="273"/>
      <c r="AZ1423" s="847"/>
      <c r="BA1423" s="848"/>
      <c r="BB1423" s="866"/>
      <c r="BC1423" s="273"/>
      <c r="BD1423" s="847"/>
      <c r="BE1423" s="848"/>
      <c r="BF1423" s="838"/>
    </row>
    <row r="1424" spans="1:58" s="87" customFormat="1" ht="54" hidden="1" customHeight="1" x14ac:dyDescent="0.25">
      <c r="A1424" s="267" t="s">
        <v>8525</v>
      </c>
      <c r="B1424" s="268">
        <v>128</v>
      </c>
      <c r="C1424" s="240" t="s">
        <v>1022</v>
      </c>
      <c r="D1424" s="211" t="s">
        <v>1023</v>
      </c>
      <c r="E1424" s="268" t="s">
        <v>9319</v>
      </c>
      <c r="F1424" s="861" t="s">
        <v>9320</v>
      </c>
      <c r="G1424" s="269" t="s">
        <v>9321</v>
      </c>
      <c r="H1424" s="861" t="s">
        <v>6817</v>
      </c>
      <c r="I1424" s="269" t="s">
        <v>6818</v>
      </c>
      <c r="J1424" s="296" t="s">
        <v>140</v>
      </c>
      <c r="K1424" s="297" t="s">
        <v>140</v>
      </c>
      <c r="L1424" s="862" t="s">
        <v>9322</v>
      </c>
      <c r="M1424" s="206" t="s">
        <v>193</v>
      </c>
      <c r="N1424" s="211" t="s">
        <v>194</v>
      </c>
      <c r="O1424" s="240" t="s">
        <v>144</v>
      </c>
      <c r="P1424" s="240" t="s">
        <v>144</v>
      </c>
      <c r="Q1424" s="845" t="s">
        <v>6820</v>
      </c>
      <c r="R1424" s="208" t="s">
        <v>6821</v>
      </c>
      <c r="S1424" s="864" t="s">
        <v>746</v>
      </c>
      <c r="T1424" s="212" t="s">
        <v>9323</v>
      </c>
      <c r="U1424" s="213" t="s">
        <v>6823</v>
      </c>
      <c r="V1424" s="847">
        <v>12</v>
      </c>
      <c r="W1424" s="415" t="s">
        <v>144</v>
      </c>
      <c r="X1424" s="212">
        <v>43</v>
      </c>
      <c r="Y1424" s="212" t="s">
        <v>144</v>
      </c>
      <c r="Z1424" s="241" t="s">
        <v>144</v>
      </c>
      <c r="AA1424" s="240" t="s">
        <v>9124</v>
      </c>
      <c r="AB1424" s="206" t="s">
        <v>140</v>
      </c>
      <c r="AC1424" s="847" t="s">
        <v>265</v>
      </c>
      <c r="AD1424" s="847" t="s">
        <v>8715</v>
      </c>
      <c r="AE1424" s="847" t="s">
        <v>144</v>
      </c>
      <c r="AF1424" s="848" t="s">
        <v>144</v>
      </c>
      <c r="AG1424" s="838"/>
      <c r="AH1424" s="866"/>
      <c r="AI1424" s="273"/>
      <c r="AJ1424" s="847"/>
      <c r="AK1424" s="848"/>
      <c r="AL1424" s="867"/>
      <c r="AM1424" s="273"/>
      <c r="AN1424" s="847"/>
      <c r="AO1424" s="848"/>
      <c r="AP1424" s="867"/>
      <c r="AQ1424" s="273"/>
      <c r="AR1424" s="847"/>
      <c r="AS1424" s="286"/>
      <c r="AT1424" s="867"/>
      <c r="AU1424" s="273"/>
      <c r="AV1424" s="847"/>
      <c r="AW1424" s="848"/>
      <c r="AX1424" s="867"/>
      <c r="AY1424" s="273"/>
      <c r="AZ1424" s="847"/>
      <c r="BA1424" s="848"/>
      <c r="BB1424" s="866"/>
      <c r="BC1424" s="273"/>
      <c r="BD1424" s="847"/>
      <c r="BE1424" s="848"/>
      <c r="BF1424" s="838"/>
    </row>
    <row r="1425" spans="1:58" s="87" customFormat="1" ht="54" hidden="1" customHeight="1" x14ac:dyDescent="0.25">
      <c r="A1425" s="267" t="s">
        <v>8525</v>
      </c>
      <c r="B1425" s="268">
        <v>129</v>
      </c>
      <c r="C1425" s="240" t="s">
        <v>1022</v>
      </c>
      <c r="D1425" s="211" t="s">
        <v>1023</v>
      </c>
      <c r="E1425" s="298" t="s">
        <v>9324</v>
      </c>
      <c r="F1425" s="861" t="s">
        <v>9325</v>
      </c>
      <c r="G1425" s="269" t="s">
        <v>9326</v>
      </c>
      <c r="H1425" s="845" t="s">
        <v>9327</v>
      </c>
      <c r="I1425" s="269" t="s">
        <v>9328</v>
      </c>
      <c r="J1425" s="296" t="s">
        <v>140</v>
      </c>
      <c r="K1425" s="297" t="s">
        <v>140</v>
      </c>
      <c r="L1425" s="862" t="s">
        <v>9329</v>
      </c>
      <c r="M1425" s="206" t="s">
        <v>973</v>
      </c>
      <c r="N1425" s="211" t="s">
        <v>974</v>
      </c>
      <c r="O1425" s="240" t="s">
        <v>5642</v>
      </c>
      <c r="P1425" s="240" t="s">
        <v>5643</v>
      </c>
      <c r="Q1425" s="845" t="s">
        <v>144</v>
      </c>
      <c r="R1425" s="269" t="s">
        <v>144</v>
      </c>
      <c r="S1425" s="864" t="s">
        <v>147</v>
      </c>
      <c r="T1425" s="212" t="s">
        <v>144</v>
      </c>
      <c r="U1425" s="213" t="s">
        <v>144</v>
      </c>
      <c r="V1425" s="847">
        <v>1</v>
      </c>
      <c r="W1425" s="415" t="s">
        <v>144</v>
      </c>
      <c r="X1425" s="212">
        <v>43</v>
      </c>
      <c r="Y1425" s="212" t="s">
        <v>144</v>
      </c>
      <c r="Z1425" s="214" t="s">
        <v>144</v>
      </c>
      <c r="AA1425" s="240" t="s">
        <v>1224</v>
      </c>
      <c r="AB1425" s="206" t="s">
        <v>140</v>
      </c>
      <c r="AC1425" s="847" t="s">
        <v>265</v>
      </c>
      <c r="AD1425" s="847" t="s">
        <v>8715</v>
      </c>
      <c r="AE1425" s="847" t="s">
        <v>144</v>
      </c>
      <c r="AF1425" s="848" t="s">
        <v>144</v>
      </c>
      <c r="AG1425" s="838"/>
      <c r="AH1425" s="866" t="s">
        <v>9330</v>
      </c>
      <c r="AI1425" s="273" t="s">
        <v>9331</v>
      </c>
      <c r="AJ1425" s="847">
        <v>5</v>
      </c>
      <c r="AK1425" s="286" t="s">
        <v>9332</v>
      </c>
      <c r="AL1425" s="875" t="s">
        <v>294</v>
      </c>
      <c r="AM1425" s="301" t="s">
        <v>295</v>
      </c>
      <c r="AN1425" s="847">
        <v>7</v>
      </c>
      <c r="AO1425" s="848" t="s">
        <v>966</v>
      </c>
      <c r="AP1425" s="867"/>
      <c r="AQ1425" s="273"/>
      <c r="AR1425" s="847"/>
      <c r="AS1425" s="848"/>
      <c r="AT1425" s="867"/>
      <c r="AU1425" s="273"/>
      <c r="AV1425" s="847"/>
      <c r="AW1425" s="848"/>
      <c r="AX1425" s="867"/>
      <c r="AY1425" s="273"/>
      <c r="AZ1425" s="847"/>
      <c r="BA1425" s="848"/>
      <c r="BB1425" s="866"/>
      <c r="BC1425" s="273"/>
      <c r="BD1425" s="847"/>
      <c r="BE1425" s="848"/>
      <c r="BF1425" s="838"/>
    </row>
    <row r="1426" spans="1:58" s="87" customFormat="1" ht="54" hidden="1" customHeight="1" x14ac:dyDescent="0.25">
      <c r="A1426" s="267" t="s">
        <v>8525</v>
      </c>
      <c r="B1426" s="268">
        <v>130</v>
      </c>
      <c r="C1426" s="240" t="s">
        <v>1022</v>
      </c>
      <c r="D1426" s="211" t="s">
        <v>1023</v>
      </c>
      <c r="E1426" s="298" t="s">
        <v>9333</v>
      </c>
      <c r="F1426" s="861" t="s">
        <v>9334</v>
      </c>
      <c r="G1426" s="269" t="s">
        <v>9335</v>
      </c>
      <c r="H1426" s="845" t="s">
        <v>9336</v>
      </c>
      <c r="I1426" s="269" t="s">
        <v>9337</v>
      </c>
      <c r="J1426" s="296" t="s">
        <v>140</v>
      </c>
      <c r="K1426" s="297" t="s">
        <v>140</v>
      </c>
      <c r="L1426" s="862" t="s">
        <v>9338</v>
      </c>
      <c r="M1426" s="206" t="s">
        <v>193</v>
      </c>
      <c r="N1426" s="211" t="s">
        <v>194</v>
      </c>
      <c r="O1426" s="240" t="s">
        <v>5648</v>
      </c>
      <c r="P1426" s="240" t="s">
        <v>5649</v>
      </c>
      <c r="Q1426" s="845" t="s">
        <v>144</v>
      </c>
      <c r="R1426" s="269" t="s">
        <v>144</v>
      </c>
      <c r="S1426" s="864" t="s">
        <v>147</v>
      </c>
      <c r="T1426" s="212" t="s">
        <v>144</v>
      </c>
      <c r="U1426" s="213" t="s">
        <v>144</v>
      </c>
      <c r="V1426" s="847">
        <v>1</v>
      </c>
      <c r="W1426" s="415" t="s">
        <v>144</v>
      </c>
      <c r="X1426" s="212">
        <v>43</v>
      </c>
      <c r="Y1426" s="212" t="s">
        <v>144</v>
      </c>
      <c r="Z1426" s="241" t="s">
        <v>144</v>
      </c>
      <c r="AA1426" s="240" t="s">
        <v>9339</v>
      </c>
      <c r="AB1426" s="206" t="s">
        <v>140</v>
      </c>
      <c r="AC1426" s="847" t="s">
        <v>265</v>
      </c>
      <c r="AD1426" s="847" t="s">
        <v>8715</v>
      </c>
      <c r="AE1426" s="847" t="s">
        <v>144</v>
      </c>
      <c r="AF1426" s="848" t="s">
        <v>144</v>
      </c>
      <c r="AG1426" s="838"/>
      <c r="AH1426" s="866"/>
      <c r="AI1426" s="273"/>
      <c r="AJ1426" s="847"/>
      <c r="AK1426" s="848"/>
      <c r="AL1426" s="875" t="s">
        <v>294</v>
      </c>
      <c r="AM1426" s="301" t="s">
        <v>295</v>
      </c>
      <c r="AN1426" s="847">
        <v>7</v>
      </c>
      <c r="AO1426" s="848" t="s">
        <v>966</v>
      </c>
      <c r="AP1426" s="867" t="s">
        <v>5651</v>
      </c>
      <c r="AQ1426" s="273" t="s">
        <v>5652</v>
      </c>
      <c r="AR1426" s="847">
        <v>7</v>
      </c>
      <c r="AS1426" s="848" t="s">
        <v>5653</v>
      </c>
      <c r="AT1426" s="867"/>
      <c r="AU1426" s="273"/>
      <c r="AV1426" s="847"/>
      <c r="AW1426" s="848"/>
      <c r="AX1426" s="867"/>
      <c r="AY1426" s="273"/>
      <c r="AZ1426" s="847"/>
      <c r="BA1426" s="848"/>
      <c r="BB1426" s="866"/>
      <c r="BC1426" s="273"/>
      <c r="BD1426" s="847"/>
      <c r="BE1426" s="848"/>
      <c r="BF1426" s="838"/>
    </row>
    <row r="1427" spans="1:58" s="87" customFormat="1" ht="54" hidden="1" customHeight="1" x14ac:dyDescent="0.25">
      <c r="A1427" s="267" t="s">
        <v>8525</v>
      </c>
      <c r="B1427" s="268">
        <v>131</v>
      </c>
      <c r="C1427" s="240" t="s">
        <v>1022</v>
      </c>
      <c r="D1427" s="211" t="s">
        <v>1023</v>
      </c>
      <c r="E1427" s="298" t="s">
        <v>9340</v>
      </c>
      <c r="F1427" s="861" t="s">
        <v>9341</v>
      </c>
      <c r="G1427" s="269" t="s">
        <v>9342</v>
      </c>
      <c r="H1427" s="845" t="s">
        <v>9343</v>
      </c>
      <c r="I1427" s="269" t="s">
        <v>9344</v>
      </c>
      <c r="J1427" s="296" t="s">
        <v>140</v>
      </c>
      <c r="K1427" s="297" t="s">
        <v>140</v>
      </c>
      <c r="L1427" s="862" t="s">
        <v>5632</v>
      </c>
      <c r="M1427" s="206" t="s">
        <v>973</v>
      </c>
      <c r="N1427" s="211" t="s">
        <v>974</v>
      </c>
      <c r="O1427" s="240" t="s">
        <v>5633</v>
      </c>
      <c r="P1427" s="240" t="s">
        <v>5634</v>
      </c>
      <c r="Q1427" s="845" t="s">
        <v>144</v>
      </c>
      <c r="R1427" s="269" t="s">
        <v>144</v>
      </c>
      <c r="S1427" s="864" t="s">
        <v>147</v>
      </c>
      <c r="T1427" s="212" t="s">
        <v>144</v>
      </c>
      <c r="U1427" s="213" t="s">
        <v>144</v>
      </c>
      <c r="V1427" s="847">
        <v>1</v>
      </c>
      <c r="W1427" s="415" t="s">
        <v>144</v>
      </c>
      <c r="X1427" s="212">
        <v>43</v>
      </c>
      <c r="Y1427" s="212" t="s">
        <v>144</v>
      </c>
      <c r="Z1427" s="214" t="s">
        <v>144</v>
      </c>
      <c r="AA1427" s="240" t="s">
        <v>1224</v>
      </c>
      <c r="AB1427" s="206" t="s">
        <v>140</v>
      </c>
      <c r="AC1427" s="847" t="s">
        <v>265</v>
      </c>
      <c r="AD1427" s="847" t="s">
        <v>8715</v>
      </c>
      <c r="AE1427" s="847" t="s">
        <v>144</v>
      </c>
      <c r="AF1427" s="848" t="s">
        <v>144</v>
      </c>
      <c r="AG1427" s="838"/>
      <c r="AH1427" s="866" t="s">
        <v>9345</v>
      </c>
      <c r="AI1427" s="273" t="s">
        <v>9346</v>
      </c>
      <c r="AJ1427" s="847">
        <v>6</v>
      </c>
      <c r="AK1427" s="286" t="s">
        <v>9347</v>
      </c>
      <c r="AL1427" s="875" t="s">
        <v>294</v>
      </c>
      <c r="AM1427" s="301" t="s">
        <v>295</v>
      </c>
      <c r="AN1427" s="847">
        <v>7</v>
      </c>
      <c r="AO1427" s="848" t="s">
        <v>966</v>
      </c>
      <c r="AP1427" s="867"/>
      <c r="AQ1427" s="273"/>
      <c r="AR1427" s="847"/>
      <c r="AS1427" s="848"/>
      <c r="AT1427" s="867"/>
      <c r="AU1427" s="273"/>
      <c r="AV1427" s="847"/>
      <c r="AW1427" s="848"/>
      <c r="AX1427" s="867"/>
      <c r="AY1427" s="273"/>
      <c r="AZ1427" s="847"/>
      <c r="BA1427" s="848"/>
      <c r="BB1427" s="866"/>
      <c r="BC1427" s="273"/>
      <c r="BD1427" s="847"/>
      <c r="BE1427" s="848"/>
      <c r="BF1427" s="838"/>
    </row>
    <row r="1428" spans="1:58" s="55" customFormat="1" ht="54" hidden="1" customHeight="1" x14ac:dyDescent="0.25">
      <c r="A1428" s="275" t="s">
        <v>8525</v>
      </c>
      <c r="B1428" s="276">
        <v>132</v>
      </c>
      <c r="C1428" s="253" t="s">
        <v>1022</v>
      </c>
      <c r="D1428" s="217" t="s">
        <v>1023</v>
      </c>
      <c r="E1428" s="282" t="s">
        <v>9348</v>
      </c>
      <c r="F1428" s="277" t="s">
        <v>9349</v>
      </c>
      <c r="G1428" s="277" t="s">
        <v>9350</v>
      </c>
      <c r="H1428" s="218" t="s">
        <v>336</v>
      </c>
      <c r="I1428" s="218" t="s">
        <v>337</v>
      </c>
      <c r="J1428" s="253" t="s">
        <v>144</v>
      </c>
      <c r="K1428" s="253" t="s">
        <v>144</v>
      </c>
      <c r="L1428" s="718" t="s">
        <v>9351</v>
      </c>
      <c r="M1428" s="253" t="s">
        <v>144</v>
      </c>
      <c r="N1428" s="217" t="s">
        <v>144</v>
      </c>
      <c r="O1428" s="253" t="s">
        <v>144</v>
      </c>
      <c r="P1428" s="253" t="s">
        <v>144</v>
      </c>
      <c r="Q1428" s="311" t="s">
        <v>338</v>
      </c>
      <c r="R1428" s="218" t="s">
        <v>339</v>
      </c>
      <c r="S1428" s="276" t="s">
        <v>147</v>
      </c>
      <c r="T1428" s="221" t="s">
        <v>144</v>
      </c>
      <c r="U1428" s="221" t="s">
        <v>144</v>
      </c>
      <c r="V1428" s="253">
        <v>1</v>
      </c>
      <c r="W1428" s="217" t="s">
        <v>144</v>
      </c>
      <c r="X1428" s="221">
        <v>43</v>
      </c>
      <c r="Y1428" s="221">
        <v>43</v>
      </c>
      <c r="Z1428" s="222" t="s">
        <v>144</v>
      </c>
      <c r="AA1428" s="253" t="s">
        <v>144</v>
      </c>
      <c r="AB1428" s="217" t="s">
        <v>144</v>
      </c>
      <c r="AC1428" s="253" t="s">
        <v>265</v>
      </c>
      <c r="AD1428" s="253" t="s">
        <v>144</v>
      </c>
      <c r="AE1428" s="253" t="s">
        <v>144</v>
      </c>
      <c r="AF1428" s="254" t="s">
        <v>144</v>
      </c>
      <c r="AG1428" s="838"/>
      <c r="AH1428" s="280"/>
      <c r="AI1428" s="281"/>
      <c r="AJ1428" s="253"/>
      <c r="AK1428" s="254"/>
      <c r="AL1428" s="281"/>
      <c r="AM1428" s="281"/>
      <c r="AN1428" s="253"/>
      <c r="AO1428" s="254"/>
      <c r="AP1428" s="281"/>
      <c r="AQ1428" s="281"/>
      <c r="AR1428" s="253"/>
      <c r="AS1428" s="254"/>
      <c r="AT1428" s="281"/>
      <c r="AU1428" s="281"/>
      <c r="AV1428" s="253"/>
      <c r="AW1428" s="254"/>
      <c r="AX1428" s="281"/>
      <c r="AY1428" s="281"/>
      <c r="AZ1428" s="253"/>
      <c r="BA1428" s="254"/>
      <c r="BB1428" s="280"/>
      <c r="BC1428" s="281"/>
      <c r="BD1428" s="253"/>
      <c r="BE1428" s="254"/>
      <c r="BF1428" s="838"/>
    </row>
    <row r="1429" spans="1:58" s="87" customFormat="1" ht="54" hidden="1" customHeight="1" x14ac:dyDescent="0.25">
      <c r="A1429" s="267" t="s">
        <v>8525</v>
      </c>
      <c r="B1429" s="268">
        <v>133</v>
      </c>
      <c r="C1429" s="240" t="s">
        <v>1022</v>
      </c>
      <c r="D1429" s="211" t="s">
        <v>1023</v>
      </c>
      <c r="E1429" s="298" t="s">
        <v>9352</v>
      </c>
      <c r="F1429" s="861" t="s">
        <v>9353</v>
      </c>
      <c r="G1429" s="269" t="s">
        <v>9354</v>
      </c>
      <c r="H1429" s="845" t="s">
        <v>9355</v>
      </c>
      <c r="I1429" s="269" t="s">
        <v>9356</v>
      </c>
      <c r="J1429" s="296" t="s">
        <v>140</v>
      </c>
      <c r="K1429" s="297" t="s">
        <v>140</v>
      </c>
      <c r="L1429" s="862" t="s">
        <v>9357</v>
      </c>
      <c r="M1429" s="206" t="s">
        <v>973</v>
      </c>
      <c r="N1429" s="211" t="s">
        <v>974</v>
      </c>
      <c r="O1429" s="240" t="s">
        <v>144</v>
      </c>
      <c r="P1429" s="240" t="s">
        <v>144</v>
      </c>
      <c r="Q1429" s="845" t="s">
        <v>144</v>
      </c>
      <c r="R1429" s="269" t="s">
        <v>144</v>
      </c>
      <c r="S1429" s="864" t="s">
        <v>147</v>
      </c>
      <c r="T1429" s="212" t="s">
        <v>144</v>
      </c>
      <c r="U1429" s="213" t="s">
        <v>144</v>
      </c>
      <c r="V1429" s="847">
        <v>100</v>
      </c>
      <c r="W1429" s="415" t="s">
        <v>144</v>
      </c>
      <c r="X1429" s="212">
        <v>43</v>
      </c>
      <c r="Y1429" s="212" t="s">
        <v>144</v>
      </c>
      <c r="Z1429" s="214" t="s">
        <v>144</v>
      </c>
      <c r="AA1429" s="240" t="s">
        <v>4543</v>
      </c>
      <c r="AB1429" s="206" t="s">
        <v>140</v>
      </c>
      <c r="AC1429" s="847" t="s">
        <v>265</v>
      </c>
      <c r="AD1429" s="847" t="s">
        <v>8527</v>
      </c>
      <c r="AE1429" s="847" t="s">
        <v>144</v>
      </c>
      <c r="AF1429" s="848" t="s">
        <v>144</v>
      </c>
      <c r="AG1429" s="838"/>
      <c r="AH1429" s="215" t="s">
        <v>9358</v>
      </c>
      <c r="AI1429" s="273" t="s">
        <v>9359</v>
      </c>
      <c r="AJ1429" s="847">
        <v>5</v>
      </c>
      <c r="AK1429" s="848" t="s">
        <v>9360</v>
      </c>
      <c r="AL1429" s="867"/>
      <c r="AM1429" s="273"/>
      <c r="AN1429" s="847"/>
      <c r="AO1429" s="848"/>
      <c r="AP1429" s="867"/>
      <c r="AQ1429" s="273"/>
      <c r="AR1429" s="847"/>
      <c r="AS1429" s="848"/>
      <c r="AT1429" s="867"/>
      <c r="AU1429" s="273"/>
      <c r="AV1429" s="847"/>
      <c r="AW1429" s="848"/>
      <c r="AX1429" s="867"/>
      <c r="AY1429" s="273"/>
      <c r="AZ1429" s="847"/>
      <c r="BA1429" s="848"/>
      <c r="BB1429" s="866"/>
      <c r="BC1429" s="273"/>
      <c r="BD1429" s="847"/>
      <c r="BE1429" s="848"/>
      <c r="BF1429" s="838"/>
    </row>
    <row r="1430" spans="1:58" s="87" customFormat="1" ht="54" hidden="1" customHeight="1" x14ac:dyDescent="0.25">
      <c r="A1430" s="267" t="s">
        <v>8525</v>
      </c>
      <c r="B1430" s="268">
        <v>134</v>
      </c>
      <c r="C1430" s="240" t="s">
        <v>1022</v>
      </c>
      <c r="D1430" s="211" t="s">
        <v>1023</v>
      </c>
      <c r="E1430" s="298" t="s">
        <v>9361</v>
      </c>
      <c r="F1430" s="861" t="s">
        <v>9362</v>
      </c>
      <c r="G1430" s="269" t="s">
        <v>9363</v>
      </c>
      <c r="H1430" s="845" t="s">
        <v>9364</v>
      </c>
      <c r="I1430" s="269" t="s">
        <v>9365</v>
      </c>
      <c r="J1430" s="296" t="s">
        <v>140</v>
      </c>
      <c r="K1430" s="297" t="s">
        <v>140</v>
      </c>
      <c r="L1430" s="862" t="s">
        <v>9366</v>
      </c>
      <c r="M1430" s="206" t="s">
        <v>973</v>
      </c>
      <c r="N1430" s="211" t="s">
        <v>974</v>
      </c>
      <c r="O1430" s="240" t="s">
        <v>9367</v>
      </c>
      <c r="P1430" s="240" t="s">
        <v>9368</v>
      </c>
      <c r="Q1430" s="845" t="s">
        <v>144</v>
      </c>
      <c r="R1430" s="269" t="s">
        <v>144</v>
      </c>
      <c r="S1430" s="864" t="s">
        <v>147</v>
      </c>
      <c r="T1430" s="212" t="s">
        <v>144</v>
      </c>
      <c r="U1430" s="213" t="s">
        <v>144</v>
      </c>
      <c r="V1430" s="847">
        <v>1</v>
      </c>
      <c r="W1430" s="415" t="s">
        <v>144</v>
      </c>
      <c r="X1430" s="212">
        <v>43</v>
      </c>
      <c r="Y1430" s="212" t="s">
        <v>144</v>
      </c>
      <c r="Z1430" s="433" t="s">
        <v>144</v>
      </c>
      <c r="AA1430" s="437" t="s">
        <v>8837</v>
      </c>
      <c r="AB1430" s="206" t="s">
        <v>140</v>
      </c>
      <c r="AC1430" s="847" t="s">
        <v>265</v>
      </c>
      <c r="AD1430" s="847" t="s">
        <v>8911</v>
      </c>
      <c r="AE1430" s="847" t="s">
        <v>144</v>
      </c>
      <c r="AF1430" s="848" t="s">
        <v>144</v>
      </c>
      <c r="AG1430" s="838"/>
      <c r="AH1430" s="866" t="s">
        <v>9369</v>
      </c>
      <c r="AI1430" s="273" t="s">
        <v>9370</v>
      </c>
      <c r="AJ1430" s="847">
        <v>6</v>
      </c>
      <c r="AK1430" s="286" t="s">
        <v>9371</v>
      </c>
      <c r="AL1430" s="875" t="s">
        <v>294</v>
      </c>
      <c r="AM1430" s="301" t="s">
        <v>295</v>
      </c>
      <c r="AN1430" s="847">
        <v>7</v>
      </c>
      <c r="AO1430" s="848" t="s">
        <v>966</v>
      </c>
      <c r="AP1430" s="867"/>
      <c r="AQ1430" s="273"/>
      <c r="AR1430" s="847"/>
      <c r="AS1430" s="848"/>
      <c r="AT1430" s="867"/>
      <c r="AU1430" s="273"/>
      <c r="AV1430" s="847"/>
      <c r="AW1430" s="848"/>
      <c r="AX1430" s="867"/>
      <c r="AY1430" s="273"/>
      <c r="AZ1430" s="847"/>
      <c r="BA1430" s="848"/>
      <c r="BB1430" s="866"/>
      <c r="BC1430" s="273"/>
      <c r="BD1430" s="847"/>
      <c r="BE1430" s="848"/>
      <c r="BF1430" s="838"/>
    </row>
    <row r="1431" spans="1:58" s="55" customFormat="1" ht="54" customHeight="1" x14ac:dyDescent="0.25">
      <c r="A1431" s="275" t="s">
        <v>8525</v>
      </c>
      <c r="B1431" s="276">
        <v>135</v>
      </c>
      <c r="C1431" s="253" t="s">
        <v>144</v>
      </c>
      <c r="D1431" s="217" t="s">
        <v>144</v>
      </c>
      <c r="E1431" s="282" t="s">
        <v>9372</v>
      </c>
      <c r="F1431" s="277" t="s">
        <v>251</v>
      </c>
      <c r="G1431" s="277" t="s">
        <v>251</v>
      </c>
      <c r="H1431" s="220" t="s">
        <v>336</v>
      </c>
      <c r="I1431" s="277" t="s">
        <v>337</v>
      </c>
      <c r="J1431" s="302" t="s">
        <v>144</v>
      </c>
      <c r="K1431" s="302" t="s">
        <v>144</v>
      </c>
      <c r="L1431" s="718" t="s">
        <v>9373</v>
      </c>
      <c r="M1431" s="253" t="s">
        <v>144</v>
      </c>
      <c r="N1431" s="302" t="s">
        <v>144</v>
      </c>
      <c r="O1431" s="253" t="s">
        <v>144</v>
      </c>
      <c r="P1431" s="253" t="s">
        <v>144</v>
      </c>
      <c r="Q1431" s="220" t="s">
        <v>338</v>
      </c>
      <c r="R1431" s="220" t="s">
        <v>339</v>
      </c>
      <c r="S1431" s="276" t="s">
        <v>147</v>
      </c>
      <c r="T1431" s="221" t="s">
        <v>144</v>
      </c>
      <c r="U1431" s="221" t="s">
        <v>144</v>
      </c>
      <c r="V1431" s="253">
        <v>50</v>
      </c>
      <c r="W1431" s="217" t="s">
        <v>144</v>
      </c>
      <c r="X1431" s="221">
        <v>43</v>
      </c>
      <c r="Y1431" s="221" t="s">
        <v>144</v>
      </c>
      <c r="Z1431" s="222" t="s">
        <v>144</v>
      </c>
      <c r="AA1431" s="253" t="s">
        <v>144</v>
      </c>
      <c r="AB1431" s="217" t="s">
        <v>144</v>
      </c>
      <c r="AC1431" s="253" t="s">
        <v>265</v>
      </c>
      <c r="AD1431" s="253" t="s">
        <v>144</v>
      </c>
      <c r="AE1431" s="253" t="s">
        <v>144</v>
      </c>
      <c r="AF1431" s="254" t="s">
        <v>144</v>
      </c>
      <c r="AG1431" s="838"/>
      <c r="AH1431" s="280"/>
      <c r="AI1431" s="281"/>
      <c r="AJ1431" s="253"/>
      <c r="AK1431" s="254"/>
      <c r="AL1431" s="281"/>
      <c r="AM1431" s="281"/>
      <c r="AN1431" s="253"/>
      <c r="AO1431" s="254"/>
      <c r="AP1431" s="281"/>
      <c r="AQ1431" s="281"/>
      <c r="AR1431" s="253"/>
      <c r="AS1431" s="254"/>
      <c r="AT1431" s="281"/>
      <c r="AU1431" s="281"/>
      <c r="AV1431" s="253"/>
      <c r="AW1431" s="254"/>
      <c r="AX1431" s="281"/>
      <c r="AY1431" s="281"/>
      <c r="AZ1431" s="253"/>
      <c r="BA1431" s="254"/>
      <c r="BB1431" s="280"/>
      <c r="BC1431" s="281"/>
      <c r="BD1431" s="253"/>
      <c r="BE1431" s="254"/>
      <c r="BF1431" s="838"/>
    </row>
    <row r="1432" spans="1:58" s="87" customFormat="1" ht="54" hidden="1" customHeight="1" x14ac:dyDescent="0.25">
      <c r="A1432" s="267" t="s">
        <v>8525</v>
      </c>
      <c r="B1432" s="268">
        <v>136</v>
      </c>
      <c r="C1432" s="240" t="s">
        <v>2135</v>
      </c>
      <c r="D1432" s="211" t="s">
        <v>2136</v>
      </c>
      <c r="E1432" s="268" t="s">
        <v>9374</v>
      </c>
      <c r="F1432" s="861" t="s">
        <v>6156</v>
      </c>
      <c r="G1432" s="269" t="s">
        <v>9375</v>
      </c>
      <c r="H1432" s="861" t="s">
        <v>9376</v>
      </c>
      <c r="I1432" s="269" t="s">
        <v>6159</v>
      </c>
      <c r="J1432" s="296" t="s">
        <v>140</v>
      </c>
      <c r="K1432" s="297" t="s">
        <v>140</v>
      </c>
      <c r="L1432" s="862" t="s">
        <v>6160</v>
      </c>
      <c r="M1432" s="206" t="s">
        <v>142</v>
      </c>
      <c r="N1432" s="211" t="s">
        <v>143</v>
      </c>
      <c r="O1432" s="240" t="s">
        <v>814</v>
      </c>
      <c r="P1432" s="240" t="s">
        <v>815</v>
      </c>
      <c r="Q1432" s="845" t="s">
        <v>144</v>
      </c>
      <c r="R1432" s="269" t="s">
        <v>144</v>
      </c>
      <c r="S1432" s="864" t="s">
        <v>147</v>
      </c>
      <c r="T1432" s="212" t="s">
        <v>144</v>
      </c>
      <c r="U1432" s="213" t="s">
        <v>144</v>
      </c>
      <c r="V1432" s="847">
        <v>3</v>
      </c>
      <c r="W1432" s="415" t="s">
        <v>144</v>
      </c>
      <c r="X1432" s="212">
        <v>43</v>
      </c>
      <c r="Y1432" s="212" t="s">
        <v>144</v>
      </c>
      <c r="Z1432" s="214" t="s">
        <v>144</v>
      </c>
      <c r="AA1432" s="240" t="s">
        <v>148</v>
      </c>
      <c r="AB1432" s="206" t="s">
        <v>140</v>
      </c>
      <c r="AC1432" s="847" t="s">
        <v>265</v>
      </c>
      <c r="AD1432" s="847" t="s">
        <v>8527</v>
      </c>
      <c r="AE1432" s="847" t="s">
        <v>144</v>
      </c>
      <c r="AF1432" s="848" t="s">
        <v>144</v>
      </c>
      <c r="AG1432" s="838"/>
      <c r="AH1432" s="866" t="s">
        <v>266</v>
      </c>
      <c r="AI1432" s="273" t="s">
        <v>267</v>
      </c>
      <c r="AJ1432" s="847">
        <v>7</v>
      </c>
      <c r="AK1432" s="848" t="s">
        <v>1046</v>
      </c>
      <c r="AL1432" s="875" t="s">
        <v>294</v>
      </c>
      <c r="AM1432" s="301" t="s">
        <v>295</v>
      </c>
      <c r="AN1432" s="847">
        <v>7</v>
      </c>
      <c r="AO1432" s="848" t="s">
        <v>966</v>
      </c>
      <c r="AP1432" s="867"/>
      <c r="AQ1432" s="273"/>
      <c r="AR1432" s="847"/>
      <c r="AS1432" s="848"/>
      <c r="AT1432" s="867"/>
      <c r="AU1432" s="273"/>
      <c r="AV1432" s="847"/>
      <c r="AW1432" s="848"/>
      <c r="AX1432" s="867"/>
      <c r="AY1432" s="273"/>
      <c r="AZ1432" s="847"/>
      <c r="BA1432" s="848"/>
      <c r="BB1432" s="866"/>
      <c r="BC1432" s="273"/>
      <c r="BD1432" s="847"/>
      <c r="BE1432" s="848"/>
      <c r="BF1432" s="838"/>
    </row>
    <row r="1433" spans="1:58" s="87" customFormat="1" ht="54" hidden="1" customHeight="1" x14ac:dyDescent="0.25">
      <c r="A1433" s="267" t="s">
        <v>8525</v>
      </c>
      <c r="B1433" s="268">
        <v>137</v>
      </c>
      <c r="C1433" s="240" t="s">
        <v>2135</v>
      </c>
      <c r="D1433" s="211" t="s">
        <v>2136</v>
      </c>
      <c r="E1433" s="268" t="s">
        <v>9377</v>
      </c>
      <c r="F1433" s="861" t="s">
        <v>6162</v>
      </c>
      <c r="G1433" s="269" t="s">
        <v>6163</v>
      </c>
      <c r="H1433" s="845" t="s">
        <v>6164</v>
      </c>
      <c r="I1433" s="269" t="s">
        <v>6165</v>
      </c>
      <c r="J1433" s="296" t="s">
        <v>140</v>
      </c>
      <c r="K1433" s="297" t="s">
        <v>140</v>
      </c>
      <c r="L1433" s="862" t="s">
        <v>9378</v>
      </c>
      <c r="M1433" s="206" t="s">
        <v>142</v>
      </c>
      <c r="N1433" s="211" t="s">
        <v>143</v>
      </c>
      <c r="O1433" s="240" t="s">
        <v>6167</v>
      </c>
      <c r="P1433" s="240" t="s">
        <v>6168</v>
      </c>
      <c r="Q1433" s="845" t="s">
        <v>144</v>
      </c>
      <c r="R1433" s="269" t="s">
        <v>144</v>
      </c>
      <c r="S1433" s="864" t="s">
        <v>147</v>
      </c>
      <c r="T1433" s="212" t="s">
        <v>144</v>
      </c>
      <c r="U1433" s="213" t="s">
        <v>144</v>
      </c>
      <c r="V1433" s="847">
        <v>12</v>
      </c>
      <c r="W1433" s="415" t="s">
        <v>144</v>
      </c>
      <c r="X1433" s="212">
        <v>43</v>
      </c>
      <c r="Y1433" s="212" t="s">
        <v>144</v>
      </c>
      <c r="Z1433" s="214" t="s">
        <v>25</v>
      </c>
      <c r="AA1433" s="407" t="s">
        <v>6179</v>
      </c>
      <c r="AB1433" s="206" t="s">
        <v>140</v>
      </c>
      <c r="AC1433" s="847" t="s">
        <v>265</v>
      </c>
      <c r="AD1433" s="847" t="s">
        <v>8527</v>
      </c>
      <c r="AE1433" s="847" t="s">
        <v>144</v>
      </c>
      <c r="AF1433" s="848" t="s">
        <v>144</v>
      </c>
      <c r="AG1433" s="838"/>
      <c r="AH1433" s="935" t="s">
        <v>266</v>
      </c>
      <c r="AI1433" s="274" t="s">
        <v>267</v>
      </c>
      <c r="AJ1433" s="864">
        <v>7</v>
      </c>
      <c r="AK1433" s="848" t="s">
        <v>1046</v>
      </c>
      <c r="AL1433" s="875" t="s">
        <v>294</v>
      </c>
      <c r="AM1433" s="301" t="s">
        <v>295</v>
      </c>
      <c r="AN1433" s="847">
        <v>7</v>
      </c>
      <c r="AO1433" s="848" t="s">
        <v>966</v>
      </c>
      <c r="AP1433" s="867"/>
      <c r="AQ1433" s="273"/>
      <c r="AR1433" s="847"/>
      <c r="AS1433" s="848"/>
      <c r="AT1433" s="867"/>
      <c r="AU1433" s="273"/>
      <c r="AV1433" s="847"/>
      <c r="AW1433" s="848"/>
      <c r="AX1433" s="867"/>
      <c r="AY1433" s="273"/>
      <c r="AZ1433" s="847"/>
      <c r="BA1433" s="848"/>
      <c r="BB1433" s="866"/>
      <c r="BC1433" s="273"/>
      <c r="BD1433" s="847"/>
      <c r="BE1433" s="848"/>
      <c r="BF1433" s="838"/>
    </row>
    <row r="1434" spans="1:58" s="87" customFormat="1" ht="54" hidden="1" customHeight="1" x14ac:dyDescent="0.25">
      <c r="A1434" s="267" t="s">
        <v>8525</v>
      </c>
      <c r="B1434" s="268">
        <v>138</v>
      </c>
      <c r="C1434" s="240" t="s">
        <v>2135</v>
      </c>
      <c r="D1434" s="211" t="s">
        <v>2136</v>
      </c>
      <c r="E1434" s="268" t="s">
        <v>9379</v>
      </c>
      <c r="F1434" s="861" t="s">
        <v>6174</v>
      </c>
      <c r="G1434" s="269" t="s">
        <v>6175</v>
      </c>
      <c r="H1434" s="861" t="s">
        <v>6176</v>
      </c>
      <c r="I1434" s="269" t="s">
        <v>6177</v>
      </c>
      <c r="J1434" s="296" t="s">
        <v>140</v>
      </c>
      <c r="K1434" s="297" t="s">
        <v>140</v>
      </c>
      <c r="L1434" s="862" t="s">
        <v>6178</v>
      </c>
      <c r="M1434" s="206" t="s">
        <v>973</v>
      </c>
      <c r="N1434" s="211" t="s">
        <v>974</v>
      </c>
      <c r="O1434" s="240" t="s">
        <v>144</v>
      </c>
      <c r="P1434" s="240" t="s">
        <v>144</v>
      </c>
      <c r="Q1434" s="845" t="s">
        <v>144</v>
      </c>
      <c r="R1434" s="269" t="s">
        <v>144</v>
      </c>
      <c r="S1434" s="864" t="s">
        <v>746</v>
      </c>
      <c r="T1434" s="212" t="s">
        <v>1104</v>
      </c>
      <c r="U1434" s="213" t="s">
        <v>1105</v>
      </c>
      <c r="V1434" s="847">
        <v>19</v>
      </c>
      <c r="W1434" s="415" t="s">
        <v>144</v>
      </c>
      <c r="X1434" s="212">
        <v>43</v>
      </c>
      <c r="Y1434" s="212" t="s">
        <v>144</v>
      </c>
      <c r="Z1434" s="214" t="s">
        <v>25</v>
      </c>
      <c r="AA1434" s="407" t="s">
        <v>6179</v>
      </c>
      <c r="AB1434" s="206" t="s">
        <v>140</v>
      </c>
      <c r="AC1434" s="847" t="s">
        <v>265</v>
      </c>
      <c r="AD1434" s="847" t="s">
        <v>8527</v>
      </c>
      <c r="AE1434" s="847" t="s">
        <v>144</v>
      </c>
      <c r="AF1434" s="848" t="s">
        <v>144</v>
      </c>
      <c r="AG1434" s="838"/>
      <c r="AH1434" s="866" t="s">
        <v>9380</v>
      </c>
      <c r="AI1434" s="273" t="s">
        <v>9381</v>
      </c>
      <c r="AJ1434" s="847">
        <v>7</v>
      </c>
      <c r="AK1434" s="286" t="s">
        <v>9382</v>
      </c>
      <c r="AL1434" s="867"/>
      <c r="AM1434" s="273"/>
      <c r="AN1434" s="847"/>
      <c r="AO1434" s="848"/>
      <c r="AP1434" s="867"/>
      <c r="AQ1434" s="273"/>
      <c r="AR1434" s="847"/>
      <c r="AS1434" s="848"/>
      <c r="AT1434" s="867"/>
      <c r="AU1434" s="273"/>
      <c r="AV1434" s="847"/>
      <c r="AW1434" s="848"/>
      <c r="AX1434" s="867"/>
      <c r="AY1434" s="273"/>
      <c r="AZ1434" s="847"/>
      <c r="BA1434" s="848"/>
      <c r="BB1434" s="866"/>
      <c r="BC1434" s="273"/>
      <c r="BD1434" s="847"/>
      <c r="BE1434" s="848"/>
      <c r="BF1434" s="838"/>
    </row>
    <row r="1435" spans="1:58" s="87" customFormat="1" ht="54" hidden="1" customHeight="1" x14ac:dyDescent="0.25">
      <c r="A1435" s="267" t="s">
        <v>8525</v>
      </c>
      <c r="B1435" s="268">
        <v>139</v>
      </c>
      <c r="C1435" s="240" t="s">
        <v>684</v>
      </c>
      <c r="D1435" s="211" t="s">
        <v>685</v>
      </c>
      <c r="E1435" s="268" t="s">
        <v>9383</v>
      </c>
      <c r="F1435" s="861" t="s">
        <v>9384</v>
      </c>
      <c r="G1435" s="269" t="s">
        <v>9385</v>
      </c>
      <c r="H1435" s="861" t="s">
        <v>9386</v>
      </c>
      <c r="I1435" s="269" t="s">
        <v>9387</v>
      </c>
      <c r="J1435" s="296" t="s">
        <v>140</v>
      </c>
      <c r="K1435" s="297" t="s">
        <v>140</v>
      </c>
      <c r="L1435" s="862" t="s">
        <v>9388</v>
      </c>
      <c r="M1435" s="847" t="s">
        <v>973</v>
      </c>
      <c r="N1435" s="211" t="s">
        <v>974</v>
      </c>
      <c r="O1435" s="240" t="s">
        <v>144</v>
      </c>
      <c r="P1435" s="240" t="s">
        <v>144</v>
      </c>
      <c r="Q1435" s="845" t="s">
        <v>9389</v>
      </c>
      <c r="R1435" s="210" t="s">
        <v>9390</v>
      </c>
      <c r="S1435" s="864" t="s">
        <v>746</v>
      </c>
      <c r="T1435" s="212" t="s">
        <v>1307</v>
      </c>
      <c r="U1435" s="213" t="s">
        <v>1308</v>
      </c>
      <c r="V1435" s="847">
        <v>10</v>
      </c>
      <c r="W1435" s="437" t="s">
        <v>144</v>
      </c>
      <c r="X1435" s="212">
        <v>44</v>
      </c>
      <c r="Y1435" s="212" t="s">
        <v>144</v>
      </c>
      <c r="Z1435" s="241" t="s">
        <v>144</v>
      </c>
      <c r="AA1435" s="615" t="s">
        <v>733</v>
      </c>
      <c r="AB1435" s="206" t="s">
        <v>140</v>
      </c>
      <c r="AC1435" s="847" t="s">
        <v>265</v>
      </c>
      <c r="AD1435" s="847" t="s">
        <v>144</v>
      </c>
      <c r="AE1435" s="847" t="s">
        <v>144</v>
      </c>
      <c r="AF1435" s="848" t="s">
        <v>144</v>
      </c>
      <c r="AG1435" s="838"/>
      <c r="AH1435" s="884" t="s">
        <v>9391</v>
      </c>
      <c r="AI1435" s="315" t="s">
        <v>9392</v>
      </c>
      <c r="AJ1435" s="903">
        <v>6</v>
      </c>
      <c r="AK1435" s="286" t="s">
        <v>9393</v>
      </c>
      <c r="AL1435" s="915"/>
      <c r="AM1435" s="315"/>
      <c r="AN1435" s="903"/>
      <c r="AO1435" s="916"/>
      <c r="AP1435" s="915"/>
      <c r="AQ1435" s="315"/>
      <c r="AR1435" s="903"/>
      <c r="AS1435" s="916"/>
      <c r="AT1435" s="915"/>
      <c r="AU1435" s="315"/>
      <c r="AV1435" s="903"/>
      <c r="AW1435" s="916"/>
      <c r="AX1435" s="915"/>
      <c r="AY1435" s="315"/>
      <c r="AZ1435" s="903"/>
      <c r="BA1435" s="916"/>
      <c r="BB1435" s="915"/>
      <c r="BC1435" s="315"/>
      <c r="BD1435" s="903"/>
      <c r="BE1435" s="916"/>
      <c r="BF1435" s="838"/>
    </row>
    <row r="1436" spans="1:58" s="87" customFormat="1" ht="54" hidden="1" customHeight="1" x14ac:dyDescent="0.25">
      <c r="A1436" s="267" t="s">
        <v>8525</v>
      </c>
      <c r="B1436" s="268">
        <v>140</v>
      </c>
      <c r="C1436" s="240" t="s">
        <v>684</v>
      </c>
      <c r="D1436" s="211" t="s">
        <v>685</v>
      </c>
      <c r="E1436" s="268" t="s">
        <v>9394</v>
      </c>
      <c r="F1436" s="861" t="s">
        <v>9395</v>
      </c>
      <c r="G1436" s="269" t="s">
        <v>9396</v>
      </c>
      <c r="H1436" s="861" t="s">
        <v>9397</v>
      </c>
      <c r="I1436" s="269" t="s">
        <v>9398</v>
      </c>
      <c r="J1436" s="296" t="s">
        <v>140</v>
      </c>
      <c r="K1436" s="297" t="s">
        <v>140</v>
      </c>
      <c r="L1436" s="862" t="s">
        <v>9399</v>
      </c>
      <c r="M1436" s="206" t="s">
        <v>973</v>
      </c>
      <c r="N1436" s="211" t="s">
        <v>974</v>
      </c>
      <c r="O1436" s="240" t="s">
        <v>9400</v>
      </c>
      <c r="P1436" s="240" t="s">
        <v>9401</v>
      </c>
      <c r="Q1436" s="845" t="s">
        <v>9402</v>
      </c>
      <c r="R1436" s="210" t="s">
        <v>9403</v>
      </c>
      <c r="S1436" s="864" t="s">
        <v>147</v>
      </c>
      <c r="T1436" s="212" t="s">
        <v>144</v>
      </c>
      <c r="U1436" s="213" t="s">
        <v>144</v>
      </c>
      <c r="V1436" s="847">
        <v>1</v>
      </c>
      <c r="W1436" s="437" t="s">
        <v>144</v>
      </c>
      <c r="X1436" s="212">
        <v>44</v>
      </c>
      <c r="Y1436" s="212" t="s">
        <v>144</v>
      </c>
      <c r="Z1436" s="241" t="s">
        <v>144</v>
      </c>
      <c r="AA1436" s="615" t="s">
        <v>733</v>
      </c>
      <c r="AB1436" s="206" t="s">
        <v>140</v>
      </c>
      <c r="AC1436" s="847" t="s">
        <v>265</v>
      </c>
      <c r="AD1436" s="847" t="s">
        <v>9404</v>
      </c>
      <c r="AE1436" s="847" t="s">
        <v>144</v>
      </c>
      <c r="AF1436" s="848" t="s">
        <v>144</v>
      </c>
      <c r="AG1436" s="838"/>
      <c r="AH1436" s="884" t="s">
        <v>9405</v>
      </c>
      <c r="AI1436" s="371" t="s">
        <v>9406</v>
      </c>
      <c r="AJ1436" s="903">
        <v>6</v>
      </c>
      <c r="AK1436" s="848" t="s">
        <v>9407</v>
      </c>
      <c r="AL1436" s="915" t="s">
        <v>294</v>
      </c>
      <c r="AM1436" s="315" t="s">
        <v>295</v>
      </c>
      <c r="AN1436" s="903">
        <v>7</v>
      </c>
      <c r="AO1436" s="916" t="s">
        <v>966</v>
      </c>
      <c r="AP1436" s="915"/>
      <c r="AQ1436" s="315"/>
      <c r="AR1436" s="903"/>
      <c r="AS1436" s="916"/>
      <c r="AT1436" s="915"/>
      <c r="AU1436" s="315"/>
      <c r="AV1436" s="903"/>
      <c r="AW1436" s="916"/>
      <c r="AX1436" s="915"/>
      <c r="AY1436" s="315"/>
      <c r="AZ1436" s="903"/>
      <c r="BA1436" s="916"/>
      <c r="BB1436" s="915"/>
      <c r="BC1436" s="315"/>
      <c r="BD1436" s="903"/>
      <c r="BE1436" s="916"/>
      <c r="BF1436" s="838"/>
    </row>
    <row r="1437" spans="1:58" s="87" customFormat="1" ht="54" hidden="1" customHeight="1" x14ac:dyDescent="0.25">
      <c r="A1437" s="267" t="s">
        <v>8525</v>
      </c>
      <c r="B1437" s="268">
        <v>141</v>
      </c>
      <c r="C1437" s="240" t="s">
        <v>684</v>
      </c>
      <c r="D1437" s="211" t="s">
        <v>685</v>
      </c>
      <c r="E1437" s="268" t="s">
        <v>9408</v>
      </c>
      <c r="F1437" s="861" t="s">
        <v>9409</v>
      </c>
      <c r="G1437" s="269" t="s">
        <v>9410</v>
      </c>
      <c r="H1437" s="861" t="s">
        <v>9411</v>
      </c>
      <c r="I1437" s="269" t="s">
        <v>9412</v>
      </c>
      <c r="J1437" s="296" t="s">
        <v>140</v>
      </c>
      <c r="K1437" s="297" t="s">
        <v>140</v>
      </c>
      <c r="L1437" s="862" t="s">
        <v>9413</v>
      </c>
      <c r="M1437" s="206" t="s">
        <v>973</v>
      </c>
      <c r="N1437" s="211" t="s">
        <v>974</v>
      </c>
      <c r="O1437" s="240" t="s">
        <v>9414</v>
      </c>
      <c r="P1437" s="240" t="s">
        <v>9415</v>
      </c>
      <c r="Q1437" s="845" t="s">
        <v>9416</v>
      </c>
      <c r="R1437" s="210" t="s">
        <v>9417</v>
      </c>
      <c r="S1437" s="864" t="s">
        <v>147</v>
      </c>
      <c r="T1437" s="212" t="s">
        <v>144</v>
      </c>
      <c r="U1437" s="213" t="s">
        <v>144</v>
      </c>
      <c r="V1437" s="847">
        <v>1</v>
      </c>
      <c r="W1437" s="437" t="s">
        <v>144</v>
      </c>
      <c r="X1437" s="212">
        <v>44</v>
      </c>
      <c r="Y1437" s="212" t="s">
        <v>144</v>
      </c>
      <c r="Z1437" s="241" t="s">
        <v>144</v>
      </c>
      <c r="AA1437" s="615" t="s">
        <v>733</v>
      </c>
      <c r="AB1437" s="206" t="s">
        <v>140</v>
      </c>
      <c r="AC1437" s="847" t="s">
        <v>265</v>
      </c>
      <c r="AD1437" s="847" t="s">
        <v>9418</v>
      </c>
      <c r="AE1437" s="847" t="s">
        <v>144</v>
      </c>
      <c r="AF1437" s="848" t="s">
        <v>144</v>
      </c>
      <c r="AG1437" s="838"/>
      <c r="AH1437" s="884" t="s">
        <v>9419</v>
      </c>
      <c r="AI1437" s="315" t="s">
        <v>9420</v>
      </c>
      <c r="AJ1437" s="903">
        <v>6</v>
      </c>
      <c r="AK1437" s="848" t="s">
        <v>9421</v>
      </c>
      <c r="AL1437" s="915" t="s">
        <v>294</v>
      </c>
      <c r="AM1437" s="315" t="s">
        <v>295</v>
      </c>
      <c r="AN1437" s="903">
        <v>7</v>
      </c>
      <c r="AO1437" s="916" t="s">
        <v>966</v>
      </c>
      <c r="AP1437" s="915"/>
      <c r="AQ1437" s="315"/>
      <c r="AR1437" s="903"/>
      <c r="AS1437" s="916"/>
      <c r="AT1437" s="915"/>
      <c r="AU1437" s="315"/>
      <c r="AV1437" s="903"/>
      <c r="AW1437" s="916"/>
      <c r="AX1437" s="915"/>
      <c r="AY1437" s="315"/>
      <c r="AZ1437" s="903"/>
      <c r="BA1437" s="916"/>
      <c r="BB1437" s="915"/>
      <c r="BC1437" s="315"/>
      <c r="BD1437" s="903"/>
      <c r="BE1437" s="916"/>
      <c r="BF1437" s="838"/>
    </row>
    <row r="1438" spans="1:58" s="87" customFormat="1" ht="54" hidden="1" customHeight="1" x14ac:dyDescent="0.25">
      <c r="A1438" s="267" t="s">
        <v>8525</v>
      </c>
      <c r="B1438" s="268">
        <v>142</v>
      </c>
      <c r="C1438" s="240" t="s">
        <v>684</v>
      </c>
      <c r="D1438" s="211" t="s">
        <v>685</v>
      </c>
      <c r="E1438" s="268" t="s">
        <v>9422</v>
      </c>
      <c r="F1438" s="861" t="s">
        <v>9423</v>
      </c>
      <c r="G1438" s="269" t="s">
        <v>9424</v>
      </c>
      <c r="H1438" s="861" t="s">
        <v>9425</v>
      </c>
      <c r="I1438" s="269" t="s">
        <v>9426</v>
      </c>
      <c r="J1438" s="296" t="s">
        <v>140</v>
      </c>
      <c r="K1438" s="297" t="s">
        <v>140</v>
      </c>
      <c r="L1438" s="862" t="s">
        <v>9427</v>
      </c>
      <c r="M1438" s="206" t="s">
        <v>973</v>
      </c>
      <c r="N1438" s="211" t="s">
        <v>974</v>
      </c>
      <c r="O1438" s="240" t="s">
        <v>1573</v>
      </c>
      <c r="P1438" s="240" t="s">
        <v>1574</v>
      </c>
      <c r="Q1438" s="845" t="s">
        <v>9428</v>
      </c>
      <c r="R1438" s="210" t="s">
        <v>9429</v>
      </c>
      <c r="S1438" s="864" t="s">
        <v>147</v>
      </c>
      <c r="T1438" s="212" t="s">
        <v>144</v>
      </c>
      <c r="U1438" s="213" t="s">
        <v>144</v>
      </c>
      <c r="V1438" s="847">
        <v>7</v>
      </c>
      <c r="W1438" s="437" t="s">
        <v>144</v>
      </c>
      <c r="X1438" s="212">
        <v>44</v>
      </c>
      <c r="Y1438" s="212" t="s">
        <v>144</v>
      </c>
      <c r="Z1438" s="241" t="s">
        <v>144</v>
      </c>
      <c r="AA1438" s="615" t="s">
        <v>733</v>
      </c>
      <c r="AB1438" s="206" t="s">
        <v>140</v>
      </c>
      <c r="AC1438" s="847" t="s">
        <v>265</v>
      </c>
      <c r="AD1438" s="847" t="s">
        <v>9430</v>
      </c>
      <c r="AE1438" s="847" t="s">
        <v>144</v>
      </c>
      <c r="AF1438" s="848" t="s">
        <v>144</v>
      </c>
      <c r="AG1438" s="838"/>
      <c r="AH1438" s="361" t="s">
        <v>9431</v>
      </c>
      <c r="AI1438" s="371" t="s">
        <v>9432</v>
      </c>
      <c r="AJ1438" s="903">
        <v>7</v>
      </c>
      <c r="AK1438" s="848" t="s">
        <v>9433</v>
      </c>
      <c r="AL1438" s="915" t="s">
        <v>294</v>
      </c>
      <c r="AM1438" s="315" t="s">
        <v>295</v>
      </c>
      <c r="AN1438" s="903">
        <v>7</v>
      </c>
      <c r="AO1438" s="916" t="s">
        <v>966</v>
      </c>
      <c r="AP1438" s="915"/>
      <c r="AQ1438" s="315"/>
      <c r="AR1438" s="903"/>
      <c r="AS1438" s="916"/>
      <c r="AT1438" s="915"/>
      <c r="AU1438" s="315"/>
      <c r="AV1438" s="903"/>
      <c r="AW1438" s="916"/>
      <c r="AX1438" s="915"/>
      <c r="AY1438" s="315"/>
      <c r="AZ1438" s="903"/>
      <c r="BA1438" s="916"/>
      <c r="BB1438" s="915"/>
      <c r="BC1438" s="315"/>
      <c r="BD1438" s="903"/>
      <c r="BE1438" s="916"/>
      <c r="BF1438" s="838"/>
    </row>
    <row r="1439" spans="1:58" s="87" customFormat="1" ht="54" hidden="1" customHeight="1" x14ac:dyDescent="0.25">
      <c r="A1439" s="267" t="s">
        <v>8525</v>
      </c>
      <c r="B1439" s="268">
        <v>143</v>
      </c>
      <c r="C1439" s="240" t="s">
        <v>684</v>
      </c>
      <c r="D1439" s="211" t="s">
        <v>685</v>
      </c>
      <c r="E1439" s="268" t="s">
        <v>9434</v>
      </c>
      <c r="F1439" s="861" t="s">
        <v>9435</v>
      </c>
      <c r="G1439" s="269" t="s">
        <v>9436</v>
      </c>
      <c r="H1439" s="861" t="s">
        <v>9437</v>
      </c>
      <c r="I1439" s="269" t="s">
        <v>9438</v>
      </c>
      <c r="J1439" s="296" t="s">
        <v>140</v>
      </c>
      <c r="K1439" s="297" t="s">
        <v>140</v>
      </c>
      <c r="L1439" s="862" t="s">
        <v>9439</v>
      </c>
      <c r="M1439" s="847" t="s">
        <v>193</v>
      </c>
      <c r="N1439" s="211" t="s">
        <v>194</v>
      </c>
      <c r="O1439" s="240" t="s">
        <v>1573</v>
      </c>
      <c r="P1439" s="240" t="s">
        <v>1574</v>
      </c>
      <c r="Q1439" s="845" t="s">
        <v>9440</v>
      </c>
      <c r="R1439" s="210" t="s">
        <v>9441</v>
      </c>
      <c r="S1439" s="864" t="s">
        <v>147</v>
      </c>
      <c r="T1439" s="212" t="s">
        <v>144</v>
      </c>
      <c r="U1439" s="213" t="s">
        <v>144</v>
      </c>
      <c r="V1439" s="847">
        <v>7</v>
      </c>
      <c r="W1439" s="437" t="s">
        <v>144</v>
      </c>
      <c r="X1439" s="212">
        <v>44</v>
      </c>
      <c r="Y1439" s="212" t="s">
        <v>144</v>
      </c>
      <c r="Z1439" s="241" t="s">
        <v>144</v>
      </c>
      <c r="AA1439" s="615" t="s">
        <v>733</v>
      </c>
      <c r="AB1439" s="206" t="s">
        <v>140</v>
      </c>
      <c r="AC1439" s="847" t="s">
        <v>265</v>
      </c>
      <c r="AD1439" s="847" t="s">
        <v>9418</v>
      </c>
      <c r="AE1439" s="847" t="s">
        <v>144</v>
      </c>
      <c r="AF1439" s="848" t="s">
        <v>144</v>
      </c>
      <c r="AG1439" s="838"/>
      <c r="AH1439" s="361"/>
      <c r="AI1439" s="371"/>
      <c r="AJ1439" s="903"/>
      <c r="AK1439" s="916"/>
      <c r="AL1439" s="915" t="s">
        <v>294</v>
      </c>
      <c r="AM1439" s="315" t="s">
        <v>295</v>
      </c>
      <c r="AN1439" s="903">
        <v>7</v>
      </c>
      <c r="AO1439" s="916" t="s">
        <v>966</v>
      </c>
      <c r="AP1439" s="915"/>
      <c r="AQ1439" s="315"/>
      <c r="AR1439" s="903"/>
      <c r="AS1439" s="916"/>
      <c r="AT1439" s="915"/>
      <c r="AU1439" s="315"/>
      <c r="AV1439" s="903"/>
      <c r="AW1439" s="916"/>
      <c r="AX1439" s="915"/>
      <c r="AY1439" s="315"/>
      <c r="AZ1439" s="903"/>
      <c r="BA1439" s="916"/>
      <c r="BB1439" s="915"/>
      <c r="BC1439" s="315"/>
      <c r="BD1439" s="903"/>
      <c r="BE1439" s="916"/>
      <c r="BF1439" s="838"/>
    </row>
    <row r="1440" spans="1:58" s="87" customFormat="1" ht="54" hidden="1" customHeight="1" x14ac:dyDescent="0.25">
      <c r="A1440" s="275" t="s">
        <v>8525</v>
      </c>
      <c r="B1440" s="276">
        <v>144</v>
      </c>
      <c r="C1440" s="253" t="s">
        <v>5602</v>
      </c>
      <c r="D1440" s="217" t="s">
        <v>5603</v>
      </c>
      <c r="E1440" s="276" t="s">
        <v>9442</v>
      </c>
      <c r="F1440" s="277" t="s">
        <v>9443</v>
      </c>
      <c r="G1440" s="277" t="s">
        <v>9444</v>
      </c>
      <c r="H1440" s="277" t="s">
        <v>9445</v>
      </c>
      <c r="I1440" s="277" t="s">
        <v>9444</v>
      </c>
      <c r="J1440" s="302" t="s">
        <v>144</v>
      </c>
      <c r="K1440" s="302" t="s">
        <v>144</v>
      </c>
      <c r="L1440" s="718" t="s">
        <v>9446</v>
      </c>
      <c r="M1440" s="217" t="s">
        <v>144</v>
      </c>
      <c r="N1440" s="217" t="s">
        <v>144</v>
      </c>
      <c r="O1440" s="253" t="s">
        <v>144</v>
      </c>
      <c r="P1440" s="253" t="s">
        <v>144</v>
      </c>
      <c r="Q1440" s="218" t="s">
        <v>144</v>
      </c>
      <c r="R1440" s="277" t="s">
        <v>144</v>
      </c>
      <c r="S1440" s="276" t="s">
        <v>147</v>
      </c>
      <c r="T1440" s="221" t="s">
        <v>144</v>
      </c>
      <c r="U1440" s="221" t="s">
        <v>144</v>
      </c>
      <c r="V1440" s="253">
        <v>40</v>
      </c>
      <c r="W1440" s="253" t="s">
        <v>144</v>
      </c>
      <c r="X1440" s="221">
        <v>44</v>
      </c>
      <c r="Y1440" s="221">
        <v>44</v>
      </c>
      <c r="Z1440" s="374" t="s">
        <v>144</v>
      </c>
      <c r="AA1440" s="253" t="s">
        <v>6785</v>
      </c>
      <c r="AB1440" s="217" t="s">
        <v>144</v>
      </c>
      <c r="AC1440" s="253" t="s">
        <v>265</v>
      </c>
      <c r="AD1440" s="253" t="s">
        <v>9447</v>
      </c>
      <c r="AE1440" s="253" t="s">
        <v>144</v>
      </c>
      <c r="AF1440" s="254" t="s">
        <v>144</v>
      </c>
      <c r="AG1440" s="838"/>
      <c r="AH1440" s="884"/>
      <c r="AI1440" s="315"/>
      <c r="AJ1440" s="903"/>
      <c r="AK1440" s="916"/>
      <c r="AL1440" s="915"/>
      <c r="AM1440" s="315"/>
      <c r="AN1440" s="903"/>
      <c r="AO1440" s="916"/>
      <c r="AP1440" s="915"/>
      <c r="AQ1440" s="315"/>
      <c r="AR1440" s="903"/>
      <c r="AS1440" s="916"/>
      <c r="AT1440" s="915"/>
      <c r="AU1440" s="315"/>
      <c r="AV1440" s="903"/>
      <c r="AW1440" s="916"/>
      <c r="AX1440" s="915"/>
      <c r="AY1440" s="315"/>
      <c r="AZ1440" s="903"/>
      <c r="BA1440" s="916"/>
      <c r="BB1440" s="915"/>
      <c r="BC1440" s="315"/>
      <c r="BD1440" s="903"/>
      <c r="BE1440" s="916"/>
      <c r="BF1440" s="838"/>
    </row>
    <row r="1441" spans="1:58" s="87" customFormat="1" ht="54" hidden="1" customHeight="1" x14ac:dyDescent="0.25">
      <c r="A1441" s="275" t="s">
        <v>8525</v>
      </c>
      <c r="B1441" s="276">
        <v>145</v>
      </c>
      <c r="C1441" s="253" t="s">
        <v>5602</v>
      </c>
      <c r="D1441" s="217" t="s">
        <v>5603</v>
      </c>
      <c r="E1441" s="276" t="s">
        <v>9448</v>
      </c>
      <c r="F1441" s="277" t="s">
        <v>9449</v>
      </c>
      <c r="G1441" s="277" t="s">
        <v>9450</v>
      </c>
      <c r="H1441" s="277" t="s">
        <v>9449</v>
      </c>
      <c r="I1441" s="277" t="s">
        <v>9450</v>
      </c>
      <c r="J1441" s="302" t="s">
        <v>144</v>
      </c>
      <c r="K1441" s="302" t="s">
        <v>144</v>
      </c>
      <c r="L1441" s="718" t="s">
        <v>9451</v>
      </c>
      <c r="M1441" s="217" t="s">
        <v>144</v>
      </c>
      <c r="N1441" s="217" t="s">
        <v>144</v>
      </c>
      <c r="O1441" s="253" t="s">
        <v>144</v>
      </c>
      <c r="P1441" s="253" t="s">
        <v>144</v>
      </c>
      <c r="Q1441" s="218" t="s">
        <v>144</v>
      </c>
      <c r="R1441" s="277" t="s">
        <v>144</v>
      </c>
      <c r="S1441" s="276" t="s">
        <v>147</v>
      </c>
      <c r="T1441" s="221" t="s">
        <v>144</v>
      </c>
      <c r="U1441" s="221" t="s">
        <v>144</v>
      </c>
      <c r="V1441" s="253">
        <v>40</v>
      </c>
      <c r="W1441" s="253" t="s">
        <v>144</v>
      </c>
      <c r="X1441" s="221">
        <v>44</v>
      </c>
      <c r="Y1441" s="221">
        <v>44</v>
      </c>
      <c r="Z1441" s="374" t="s">
        <v>144</v>
      </c>
      <c r="AA1441" s="253" t="s">
        <v>6785</v>
      </c>
      <c r="AB1441" s="217" t="s">
        <v>144</v>
      </c>
      <c r="AC1441" s="253" t="s">
        <v>265</v>
      </c>
      <c r="AD1441" s="253" t="s">
        <v>9447</v>
      </c>
      <c r="AE1441" s="253" t="s">
        <v>144</v>
      </c>
      <c r="AF1441" s="254" t="s">
        <v>144</v>
      </c>
      <c r="AG1441" s="838"/>
      <c r="AH1441" s="884"/>
      <c r="AI1441" s="315"/>
      <c r="AJ1441" s="903"/>
      <c r="AK1441" s="916"/>
      <c r="AL1441" s="915"/>
      <c r="AM1441" s="315"/>
      <c r="AN1441" s="903"/>
      <c r="AO1441" s="916"/>
      <c r="AP1441" s="915"/>
      <c r="AQ1441" s="315"/>
      <c r="AR1441" s="903"/>
      <c r="AS1441" s="916"/>
      <c r="AT1441" s="915"/>
      <c r="AU1441" s="315"/>
      <c r="AV1441" s="903"/>
      <c r="AW1441" s="916"/>
      <c r="AX1441" s="915"/>
      <c r="AY1441" s="315"/>
      <c r="AZ1441" s="903"/>
      <c r="BA1441" s="916"/>
      <c r="BB1441" s="915"/>
      <c r="BC1441" s="315"/>
      <c r="BD1441" s="903"/>
      <c r="BE1441" s="916"/>
      <c r="BF1441" s="838"/>
    </row>
    <row r="1442" spans="1:58" s="87" customFormat="1" ht="54" hidden="1" customHeight="1" x14ac:dyDescent="0.25">
      <c r="A1442" s="936" t="s">
        <v>8525</v>
      </c>
      <c r="B1442" s="632">
        <v>146</v>
      </c>
      <c r="C1442" s="937" t="s">
        <v>1022</v>
      </c>
      <c r="D1442" s="703" t="s">
        <v>1023</v>
      </c>
      <c r="E1442" s="632" t="s">
        <v>9452</v>
      </c>
      <c r="F1442" s="682" t="s">
        <v>9453</v>
      </c>
      <c r="G1442" s="683" t="s">
        <v>9454</v>
      </c>
      <c r="H1442" s="684" t="s">
        <v>9455</v>
      </c>
      <c r="I1442" s="683" t="s">
        <v>9456</v>
      </c>
      <c r="J1442" s="938" t="s">
        <v>140</v>
      </c>
      <c r="K1442" s="685" t="s">
        <v>140</v>
      </c>
      <c r="L1442" s="722" t="s">
        <v>9457</v>
      </c>
      <c r="M1442" s="632" t="s">
        <v>193</v>
      </c>
      <c r="N1442" s="638" t="s">
        <v>194</v>
      </c>
      <c r="O1442" s="686" t="s">
        <v>144</v>
      </c>
      <c r="P1442" s="686" t="s">
        <v>144</v>
      </c>
      <c r="Q1442" s="636" t="s">
        <v>1669</v>
      </c>
      <c r="R1442" s="631" t="s">
        <v>1670</v>
      </c>
      <c r="S1442" s="686" t="s">
        <v>147</v>
      </c>
      <c r="T1442" s="687" t="s">
        <v>144</v>
      </c>
      <c r="U1442" s="688" t="s">
        <v>144</v>
      </c>
      <c r="V1442" s="686">
        <v>50</v>
      </c>
      <c r="W1442" s="689" t="s">
        <v>144</v>
      </c>
      <c r="X1442" s="687" t="s">
        <v>2285</v>
      </c>
      <c r="Y1442" s="939" t="s">
        <v>144</v>
      </c>
      <c r="Z1442" s="940" t="s">
        <v>144</v>
      </c>
      <c r="AA1442" s="937" t="s">
        <v>6179</v>
      </c>
      <c r="AB1442" s="938" t="s">
        <v>140</v>
      </c>
      <c r="AC1442" s="927" t="s">
        <v>265</v>
      </c>
      <c r="AD1442" s="927" t="s">
        <v>144</v>
      </c>
      <c r="AE1442" s="938" t="s">
        <v>9458</v>
      </c>
      <c r="AF1442" s="941" t="s">
        <v>9458</v>
      </c>
      <c r="AG1442" s="690"/>
      <c r="AH1442" s="691"/>
      <c r="AI1442" s="692"/>
      <c r="AJ1442" s="942"/>
      <c r="AK1442" s="645"/>
      <c r="AL1442" s="650"/>
      <c r="AM1442" s="651"/>
      <c r="AN1442" s="652"/>
      <c r="AO1442" s="653"/>
      <c r="AP1442" s="693"/>
      <c r="AQ1442" s="694"/>
      <c r="AR1442" s="695"/>
      <c r="AS1442" s="696"/>
      <c r="AT1442" s="697"/>
      <c r="AU1442" s="631"/>
      <c r="AV1442" s="695"/>
      <c r="AW1442" s="696"/>
      <c r="AX1442" s="697"/>
      <c r="AY1442" s="631"/>
      <c r="AZ1442" s="698"/>
      <c r="BA1442" s="699"/>
      <c r="BB1442" s="700"/>
      <c r="BC1442" s="631"/>
      <c r="BD1442" s="695"/>
      <c r="BE1442" s="696"/>
      <c r="BF1442" s="838"/>
    </row>
    <row r="1443" spans="1:58" s="87" customFormat="1" ht="54" hidden="1" customHeight="1" x14ac:dyDescent="0.25">
      <c r="A1443" s="936" t="s">
        <v>8525</v>
      </c>
      <c r="B1443" s="632">
        <v>147</v>
      </c>
      <c r="C1443" s="937" t="s">
        <v>1022</v>
      </c>
      <c r="D1443" s="703" t="s">
        <v>1023</v>
      </c>
      <c r="E1443" s="632" t="s">
        <v>9459</v>
      </c>
      <c r="F1443" s="682" t="s">
        <v>9460</v>
      </c>
      <c r="G1443" s="683" t="s">
        <v>9461</v>
      </c>
      <c r="H1443" s="684" t="s">
        <v>9462</v>
      </c>
      <c r="I1443" s="683" t="s">
        <v>9463</v>
      </c>
      <c r="J1443" s="938" t="s">
        <v>140</v>
      </c>
      <c r="K1443" s="685" t="s">
        <v>140</v>
      </c>
      <c r="L1443" s="805" t="s">
        <v>9464</v>
      </c>
      <c r="M1443" s="632" t="s">
        <v>142</v>
      </c>
      <c r="N1443" s="638" t="s">
        <v>143</v>
      </c>
      <c r="O1443" s="686" t="s">
        <v>9465</v>
      </c>
      <c r="P1443" s="686" t="s">
        <v>9466</v>
      </c>
      <c r="Q1443" s="636" t="s">
        <v>144</v>
      </c>
      <c r="R1443" s="631" t="s">
        <v>144</v>
      </c>
      <c r="S1443" s="686" t="s">
        <v>147</v>
      </c>
      <c r="T1443" s="687" t="s">
        <v>144</v>
      </c>
      <c r="U1443" s="688" t="s">
        <v>144</v>
      </c>
      <c r="V1443" s="686">
        <v>12</v>
      </c>
      <c r="W1443" s="689" t="s">
        <v>144</v>
      </c>
      <c r="X1443" s="687" t="s">
        <v>2285</v>
      </c>
      <c r="Y1443" s="939" t="s">
        <v>144</v>
      </c>
      <c r="Z1443" s="940" t="s">
        <v>144</v>
      </c>
      <c r="AA1443" s="937" t="s">
        <v>9467</v>
      </c>
      <c r="AB1443" s="938" t="s">
        <v>140</v>
      </c>
      <c r="AC1443" s="927" t="s">
        <v>265</v>
      </c>
      <c r="AD1443" s="938" t="s">
        <v>144</v>
      </c>
      <c r="AE1443" s="938" t="s">
        <v>144</v>
      </c>
      <c r="AF1443" s="941" t="s">
        <v>144</v>
      </c>
      <c r="AG1443" s="690"/>
      <c r="AH1443" s="701" t="s">
        <v>266</v>
      </c>
      <c r="AI1443" s="702" t="s">
        <v>267</v>
      </c>
      <c r="AJ1443" s="942">
        <v>7</v>
      </c>
      <c r="AK1443" s="645" t="s">
        <v>1046</v>
      </c>
      <c r="AL1443" s="650" t="s">
        <v>294</v>
      </c>
      <c r="AM1443" s="651" t="s">
        <v>295</v>
      </c>
      <c r="AN1443" s="652">
        <v>7</v>
      </c>
      <c r="AO1443" s="653" t="s">
        <v>966</v>
      </c>
      <c r="AP1443" s="693"/>
      <c r="AQ1443" s="694"/>
      <c r="AR1443" s="695"/>
      <c r="AS1443" s="696"/>
      <c r="AT1443" s="697"/>
      <c r="AU1443" s="631"/>
      <c r="AV1443" s="695"/>
      <c r="AW1443" s="696"/>
      <c r="AX1443" s="697"/>
      <c r="AY1443" s="631"/>
      <c r="AZ1443" s="698"/>
      <c r="BA1443" s="699"/>
      <c r="BB1443" s="700"/>
      <c r="BC1443" s="631"/>
      <c r="BD1443" s="695"/>
      <c r="BE1443" s="696"/>
      <c r="BF1443" s="838"/>
    </row>
    <row r="1444" spans="1:58" s="87" customFormat="1" ht="54" hidden="1" customHeight="1" x14ac:dyDescent="0.25">
      <c r="A1444" s="936" t="s">
        <v>8525</v>
      </c>
      <c r="B1444" s="632">
        <v>148</v>
      </c>
      <c r="C1444" s="937" t="s">
        <v>1022</v>
      </c>
      <c r="D1444" s="703" t="s">
        <v>1023</v>
      </c>
      <c r="E1444" s="632" t="s">
        <v>9468</v>
      </c>
      <c r="F1444" s="682" t="s">
        <v>9469</v>
      </c>
      <c r="G1444" s="683" t="s">
        <v>9470</v>
      </c>
      <c r="H1444" s="684" t="s">
        <v>9471</v>
      </c>
      <c r="I1444" s="683" t="s">
        <v>9472</v>
      </c>
      <c r="J1444" s="938" t="s">
        <v>140</v>
      </c>
      <c r="K1444" s="685" t="s">
        <v>140</v>
      </c>
      <c r="L1444" s="722" t="s">
        <v>3220</v>
      </c>
      <c r="M1444" s="632" t="s">
        <v>1821</v>
      </c>
      <c r="N1444" s="638" t="s">
        <v>1822</v>
      </c>
      <c r="O1444" s="686" t="s">
        <v>144</v>
      </c>
      <c r="P1444" s="686" t="s">
        <v>144</v>
      </c>
      <c r="Q1444" s="636" t="s">
        <v>3221</v>
      </c>
      <c r="R1444" s="631" t="s">
        <v>3222</v>
      </c>
      <c r="S1444" s="686" t="s">
        <v>147</v>
      </c>
      <c r="T1444" s="687" t="s">
        <v>144</v>
      </c>
      <c r="U1444" s="688" t="s">
        <v>144</v>
      </c>
      <c r="V1444" s="686">
        <v>5</v>
      </c>
      <c r="W1444" s="689" t="s">
        <v>144</v>
      </c>
      <c r="X1444" s="687" t="s">
        <v>2285</v>
      </c>
      <c r="Y1444" s="939" t="s">
        <v>144</v>
      </c>
      <c r="Z1444" s="661" t="s">
        <v>29</v>
      </c>
      <c r="AA1444" s="937" t="s">
        <v>9467</v>
      </c>
      <c r="AB1444" s="938" t="s">
        <v>140</v>
      </c>
      <c r="AC1444" s="927" t="s">
        <v>265</v>
      </c>
      <c r="AD1444" s="938" t="s">
        <v>144</v>
      </c>
      <c r="AE1444" s="938" t="s">
        <v>144</v>
      </c>
      <c r="AF1444" s="941" t="s">
        <v>144</v>
      </c>
      <c r="AG1444" s="690"/>
      <c r="AH1444" s="701"/>
      <c r="AI1444" s="702"/>
      <c r="AJ1444" s="942"/>
      <c r="AK1444" s="645"/>
      <c r="AL1444" s="749"/>
      <c r="AM1444" s="749"/>
      <c r="AN1444" s="749"/>
      <c r="AO1444" s="749"/>
      <c r="AP1444" s="693"/>
      <c r="AQ1444" s="694"/>
      <c r="AR1444" s="695"/>
      <c r="AS1444" s="696"/>
      <c r="AT1444" s="697"/>
      <c r="AU1444" s="631"/>
      <c r="AV1444" s="695"/>
      <c r="AW1444" s="696"/>
      <c r="AX1444" s="697"/>
      <c r="AY1444" s="631"/>
      <c r="AZ1444" s="698"/>
      <c r="BA1444" s="699"/>
      <c r="BB1444" s="700"/>
      <c r="BC1444" s="631"/>
      <c r="BD1444" s="695"/>
      <c r="BE1444" s="696"/>
      <c r="BF1444" s="838"/>
    </row>
    <row r="1445" spans="1:58" s="87" customFormat="1" ht="54" hidden="1" customHeight="1" x14ac:dyDescent="0.25">
      <c r="A1445" s="735" t="s">
        <v>8525</v>
      </c>
      <c r="B1445" s="736">
        <v>149</v>
      </c>
      <c r="C1445" s="737" t="s">
        <v>1022</v>
      </c>
      <c r="D1445" s="738" t="s">
        <v>1023</v>
      </c>
      <c r="E1445" s="736" t="s">
        <v>9473</v>
      </c>
      <c r="F1445" s="739" t="s">
        <v>9474</v>
      </c>
      <c r="G1445" s="739" t="s">
        <v>9475</v>
      </c>
      <c r="H1445" s="739" t="s">
        <v>9476</v>
      </c>
      <c r="I1445" s="739" t="s">
        <v>9476</v>
      </c>
      <c r="J1445" s="740" t="s">
        <v>140</v>
      </c>
      <c r="K1445" s="740" t="s">
        <v>140</v>
      </c>
      <c r="L1445" s="805" t="s">
        <v>9477</v>
      </c>
      <c r="M1445" s="738" t="s">
        <v>142</v>
      </c>
      <c r="N1445" s="738" t="s">
        <v>143</v>
      </c>
      <c r="O1445" s="737" t="s">
        <v>9478</v>
      </c>
      <c r="P1445" s="737" t="s">
        <v>9479</v>
      </c>
      <c r="Q1445" s="741" t="s">
        <v>144</v>
      </c>
      <c r="R1445" s="739" t="s">
        <v>144</v>
      </c>
      <c r="S1445" s="736" t="s">
        <v>147</v>
      </c>
      <c r="T1445" s="742" t="s">
        <v>144</v>
      </c>
      <c r="U1445" s="742" t="s">
        <v>144</v>
      </c>
      <c r="V1445" s="737">
        <v>3</v>
      </c>
      <c r="W1445" s="737" t="s">
        <v>144</v>
      </c>
      <c r="X1445" s="742" t="s">
        <v>2285</v>
      </c>
      <c r="Y1445" s="742" t="s">
        <v>2285</v>
      </c>
      <c r="Z1445" s="743" t="s">
        <v>29</v>
      </c>
      <c r="AA1445" s="737" t="s">
        <v>9467</v>
      </c>
      <c r="AB1445" s="738" t="s">
        <v>140</v>
      </c>
      <c r="AC1445" s="737" t="s">
        <v>265</v>
      </c>
      <c r="AD1445" s="737" t="s">
        <v>144</v>
      </c>
      <c r="AE1445" s="737" t="s">
        <v>144</v>
      </c>
      <c r="AF1445" s="744" t="s">
        <v>144</v>
      </c>
      <c r="AG1445" s="838"/>
      <c r="AH1445" s="943"/>
      <c r="AI1445" s="745"/>
      <c r="AJ1445" s="944"/>
      <c r="AK1445" s="945"/>
      <c r="AL1445" s="946"/>
      <c r="AM1445" s="745"/>
      <c r="AN1445" s="944"/>
      <c r="AO1445" s="945"/>
      <c r="AP1445" s="946"/>
      <c r="AQ1445" s="745"/>
      <c r="AR1445" s="944"/>
      <c r="AS1445" s="945"/>
      <c r="AT1445" s="946"/>
      <c r="AU1445" s="745"/>
      <c r="AV1445" s="944"/>
      <c r="AW1445" s="945"/>
      <c r="AX1445" s="946"/>
      <c r="AY1445" s="745"/>
      <c r="AZ1445" s="944"/>
      <c r="BA1445" s="945"/>
      <c r="BB1445" s="946"/>
      <c r="BC1445" s="745"/>
      <c r="BD1445" s="944"/>
      <c r="BE1445" s="945"/>
      <c r="BF1445" s="838"/>
    </row>
    <row r="1446" spans="1:58" s="87" customFormat="1" ht="54" hidden="1" customHeight="1" x14ac:dyDescent="0.25">
      <c r="A1446" s="936" t="s">
        <v>8525</v>
      </c>
      <c r="B1446" s="632">
        <v>150</v>
      </c>
      <c r="C1446" s="937" t="s">
        <v>1022</v>
      </c>
      <c r="D1446" s="703" t="s">
        <v>1023</v>
      </c>
      <c r="E1446" s="632" t="s">
        <v>9480</v>
      </c>
      <c r="F1446" s="682" t="s">
        <v>9481</v>
      </c>
      <c r="G1446" s="683" t="s">
        <v>9482</v>
      </c>
      <c r="H1446" s="684" t="s">
        <v>9483</v>
      </c>
      <c r="I1446" s="683" t="s">
        <v>9484</v>
      </c>
      <c r="J1446" s="938" t="s">
        <v>140</v>
      </c>
      <c r="K1446" s="685" t="s">
        <v>140</v>
      </c>
      <c r="L1446" s="722" t="s">
        <v>9485</v>
      </c>
      <c r="M1446" s="632" t="s">
        <v>193</v>
      </c>
      <c r="N1446" s="638" t="s">
        <v>194</v>
      </c>
      <c r="O1446" s="686" t="s">
        <v>9486</v>
      </c>
      <c r="P1446" s="686" t="s">
        <v>9487</v>
      </c>
      <c r="Q1446" s="636" t="s">
        <v>144</v>
      </c>
      <c r="R1446" s="631" t="s">
        <v>144</v>
      </c>
      <c r="S1446" s="686" t="s">
        <v>147</v>
      </c>
      <c r="T1446" s="687">
        <v>5</v>
      </c>
      <c r="U1446" s="688">
        <v>5</v>
      </c>
      <c r="V1446" s="686">
        <v>5</v>
      </c>
      <c r="W1446" s="689" t="s">
        <v>144</v>
      </c>
      <c r="X1446" s="687" t="s">
        <v>2285</v>
      </c>
      <c r="Y1446" s="939" t="s">
        <v>144</v>
      </c>
      <c r="Z1446" s="940" t="s">
        <v>144</v>
      </c>
      <c r="AA1446" s="937" t="s">
        <v>9488</v>
      </c>
      <c r="AB1446" s="938" t="s">
        <v>140</v>
      </c>
      <c r="AC1446" s="927" t="s">
        <v>265</v>
      </c>
      <c r="AD1446" s="938" t="s">
        <v>144</v>
      </c>
      <c r="AE1446" s="938" t="s">
        <v>144</v>
      </c>
      <c r="AF1446" s="941" t="s">
        <v>144</v>
      </c>
      <c r="AG1446" s="690"/>
      <c r="AH1446" s="691"/>
      <c r="AI1446" s="692"/>
      <c r="AJ1446" s="942"/>
      <c r="AK1446" s="645"/>
      <c r="AL1446" s="650" t="s">
        <v>294</v>
      </c>
      <c r="AM1446" s="651" t="s">
        <v>295</v>
      </c>
      <c r="AN1446" s="652">
        <v>7</v>
      </c>
      <c r="AO1446" s="653" t="s">
        <v>966</v>
      </c>
      <c r="AP1446" s="693"/>
      <c r="AQ1446" s="694"/>
      <c r="AR1446" s="695"/>
      <c r="AS1446" s="696"/>
      <c r="AT1446" s="697"/>
      <c r="AU1446" s="631"/>
      <c r="AV1446" s="695"/>
      <c r="AW1446" s="696"/>
      <c r="AX1446" s="697"/>
      <c r="AY1446" s="631"/>
      <c r="AZ1446" s="698"/>
      <c r="BA1446" s="699"/>
      <c r="BB1446" s="700"/>
      <c r="BC1446" s="631"/>
      <c r="BD1446" s="695"/>
      <c r="BE1446" s="696"/>
      <c r="BF1446" s="838"/>
    </row>
    <row r="1447" spans="1:58" s="87" customFormat="1" ht="54" hidden="1" customHeight="1" x14ac:dyDescent="0.25">
      <c r="A1447" s="936" t="s">
        <v>8525</v>
      </c>
      <c r="B1447" s="632">
        <v>151</v>
      </c>
      <c r="C1447" s="937" t="s">
        <v>1022</v>
      </c>
      <c r="D1447" s="703" t="s">
        <v>1023</v>
      </c>
      <c r="E1447" s="632" t="s">
        <v>9489</v>
      </c>
      <c r="F1447" s="682" t="s">
        <v>9490</v>
      </c>
      <c r="G1447" s="683" t="s">
        <v>9491</v>
      </c>
      <c r="H1447" s="781" t="s">
        <v>9492</v>
      </c>
      <c r="I1447" s="782" t="s">
        <v>9493</v>
      </c>
      <c r="J1447" s="938" t="s">
        <v>140</v>
      </c>
      <c r="K1447" s="685" t="s">
        <v>140</v>
      </c>
      <c r="L1447" s="805" t="s">
        <v>7002</v>
      </c>
      <c r="M1447" s="632" t="s">
        <v>193</v>
      </c>
      <c r="N1447" s="638" t="s">
        <v>194</v>
      </c>
      <c r="O1447" s="686" t="s">
        <v>9494</v>
      </c>
      <c r="P1447" s="686" t="s">
        <v>9495</v>
      </c>
      <c r="Q1447" s="636" t="s">
        <v>144</v>
      </c>
      <c r="R1447" s="631" t="s">
        <v>144</v>
      </c>
      <c r="S1447" s="686" t="s">
        <v>147</v>
      </c>
      <c r="T1447" s="687" t="s">
        <v>144</v>
      </c>
      <c r="U1447" s="688" t="s">
        <v>144</v>
      </c>
      <c r="V1447" s="686">
        <v>1</v>
      </c>
      <c r="W1447" s="689" t="s">
        <v>144</v>
      </c>
      <c r="X1447" s="687" t="s">
        <v>2285</v>
      </c>
      <c r="Y1447" s="939" t="s">
        <v>144</v>
      </c>
      <c r="Z1447" s="940" t="s">
        <v>29</v>
      </c>
      <c r="AA1447" s="937" t="s">
        <v>9467</v>
      </c>
      <c r="AB1447" s="938" t="s">
        <v>140</v>
      </c>
      <c r="AC1447" s="927" t="s">
        <v>265</v>
      </c>
      <c r="AD1447" s="937" t="s">
        <v>9496</v>
      </c>
      <c r="AE1447" s="938" t="s">
        <v>144</v>
      </c>
      <c r="AF1447" s="941" t="s">
        <v>144</v>
      </c>
      <c r="AG1447" s="690"/>
      <c r="AH1447" s="691"/>
      <c r="AI1447" s="692"/>
      <c r="AJ1447" s="942"/>
      <c r="AK1447" s="645"/>
      <c r="AL1447" s="650" t="s">
        <v>294</v>
      </c>
      <c r="AM1447" s="651" t="s">
        <v>295</v>
      </c>
      <c r="AN1447" s="652">
        <v>7</v>
      </c>
      <c r="AO1447" s="653" t="s">
        <v>966</v>
      </c>
      <c r="AP1447" s="693"/>
      <c r="AQ1447" s="694"/>
      <c r="AR1447" s="695"/>
      <c r="AS1447" s="696"/>
      <c r="AT1447" s="697"/>
      <c r="AU1447" s="631"/>
      <c r="AV1447" s="695"/>
      <c r="AW1447" s="696"/>
      <c r="AX1447" s="697"/>
      <c r="AY1447" s="631"/>
      <c r="AZ1447" s="698"/>
      <c r="BA1447" s="699"/>
      <c r="BB1447" s="700"/>
      <c r="BC1447" s="631"/>
      <c r="BD1447" s="695"/>
      <c r="BE1447" s="696"/>
      <c r="BF1447" s="838"/>
    </row>
    <row r="1448" spans="1:58" s="87" customFormat="1" ht="54" hidden="1" customHeight="1" x14ac:dyDescent="0.25">
      <c r="A1448" s="923" t="s">
        <v>8525</v>
      </c>
      <c r="B1448" s="632">
        <v>152</v>
      </c>
      <c r="C1448" s="924" t="s">
        <v>1744</v>
      </c>
      <c r="D1448" s="657" t="s">
        <v>1745</v>
      </c>
      <c r="E1448" s="658" t="s">
        <v>9497</v>
      </c>
      <c r="F1448" s="659" t="s">
        <v>9498</v>
      </c>
      <c r="G1448" s="660" t="s">
        <v>9499</v>
      </c>
      <c r="H1448" s="659" t="s">
        <v>9500</v>
      </c>
      <c r="I1448" s="660" t="s">
        <v>9501</v>
      </c>
      <c r="J1448" s="661" t="s">
        <v>140</v>
      </c>
      <c r="K1448" s="657" t="s">
        <v>140</v>
      </c>
      <c r="L1448" s="805" t="s">
        <v>9502</v>
      </c>
      <c r="M1448" s="620" t="s">
        <v>973</v>
      </c>
      <c r="N1448" s="621" t="s">
        <v>974</v>
      </c>
      <c r="O1448" s="661" t="s">
        <v>144</v>
      </c>
      <c r="P1448" s="661" t="s">
        <v>144</v>
      </c>
      <c r="Q1448" s="675" t="s">
        <v>144</v>
      </c>
      <c r="R1448" s="660" t="s">
        <v>144</v>
      </c>
      <c r="S1448" s="663" t="s">
        <v>746</v>
      </c>
      <c r="T1448" s="658" t="s">
        <v>1104</v>
      </c>
      <c r="U1448" s="676" t="s">
        <v>1105</v>
      </c>
      <c r="V1448" s="663">
        <v>19</v>
      </c>
      <c r="W1448" s="663" t="s">
        <v>144</v>
      </c>
      <c r="X1448" s="665">
        <v>45</v>
      </c>
      <c r="Y1448" s="661" t="s">
        <v>144</v>
      </c>
      <c r="Z1448" s="661" t="s">
        <v>29</v>
      </c>
      <c r="AA1448" s="658" t="s">
        <v>733</v>
      </c>
      <c r="AB1448" s="661" t="s">
        <v>140</v>
      </c>
      <c r="AC1448" s="661" t="s">
        <v>265</v>
      </c>
      <c r="AD1448" s="661" t="s">
        <v>9447</v>
      </c>
      <c r="AE1448" s="661" t="s">
        <v>144</v>
      </c>
      <c r="AF1448" s="666" t="s">
        <v>144</v>
      </c>
      <c r="AG1448" s="947"/>
      <c r="AH1448" s="667" t="s">
        <v>9503</v>
      </c>
      <c r="AI1448" s="668" t="s">
        <v>9504</v>
      </c>
      <c r="AJ1448" s="669">
        <v>6</v>
      </c>
      <c r="AK1448" s="748" t="s">
        <v>9302</v>
      </c>
      <c r="AL1448" s="650"/>
      <c r="AM1448" s="668"/>
      <c r="AN1448" s="669"/>
      <c r="AO1448" s="648"/>
      <c r="AP1448" s="650"/>
      <c r="AQ1448" s="668"/>
      <c r="AR1448" s="649"/>
      <c r="AS1448" s="653"/>
      <c r="AT1448" s="650"/>
      <c r="AU1448" s="668"/>
      <c r="AV1448" s="649"/>
      <c r="AW1448" s="653"/>
      <c r="AX1448" s="650"/>
      <c r="AY1448" s="672"/>
      <c r="AZ1448" s="669"/>
      <c r="BA1448" s="653"/>
      <c r="BB1448" s="650"/>
      <c r="BC1448" s="673"/>
      <c r="BD1448" s="669"/>
      <c r="BE1448" s="653"/>
      <c r="BF1448" s="838"/>
    </row>
    <row r="1449" spans="1:58" s="87" customFormat="1" ht="54" hidden="1" customHeight="1" x14ac:dyDescent="0.25">
      <c r="A1449" s="923" t="s">
        <v>8525</v>
      </c>
      <c r="B1449" s="632">
        <v>153</v>
      </c>
      <c r="C1449" s="924" t="s">
        <v>1744</v>
      </c>
      <c r="D1449" s="657" t="s">
        <v>1745</v>
      </c>
      <c r="E1449" s="658" t="s">
        <v>9505</v>
      </c>
      <c r="F1449" s="659" t="s">
        <v>9506</v>
      </c>
      <c r="G1449" s="660" t="s">
        <v>9507</v>
      </c>
      <c r="H1449" s="659" t="s">
        <v>9506</v>
      </c>
      <c r="I1449" s="660" t="s">
        <v>9507</v>
      </c>
      <c r="J1449" s="661" t="s">
        <v>140</v>
      </c>
      <c r="K1449" s="657" t="s">
        <v>140</v>
      </c>
      <c r="L1449" s="805" t="s">
        <v>9508</v>
      </c>
      <c r="M1449" s="620" t="s">
        <v>973</v>
      </c>
      <c r="N1449" s="621" t="s">
        <v>974</v>
      </c>
      <c r="O1449" s="661" t="s">
        <v>814</v>
      </c>
      <c r="P1449" s="661" t="s">
        <v>815</v>
      </c>
      <c r="Q1449" s="675" t="s">
        <v>144</v>
      </c>
      <c r="R1449" s="660" t="s">
        <v>144</v>
      </c>
      <c r="S1449" s="663" t="s">
        <v>147</v>
      </c>
      <c r="T1449" s="663" t="s">
        <v>144</v>
      </c>
      <c r="U1449" s="664" t="s">
        <v>144</v>
      </c>
      <c r="V1449" s="663">
        <v>3</v>
      </c>
      <c r="W1449" s="663" t="s">
        <v>144</v>
      </c>
      <c r="X1449" s="665">
        <v>45</v>
      </c>
      <c r="Y1449" s="661" t="s">
        <v>144</v>
      </c>
      <c r="Z1449" s="661" t="s">
        <v>144</v>
      </c>
      <c r="AA1449" s="658" t="s">
        <v>733</v>
      </c>
      <c r="AB1449" s="661" t="s">
        <v>140</v>
      </c>
      <c r="AC1449" s="661" t="s">
        <v>265</v>
      </c>
      <c r="AD1449" s="661" t="s">
        <v>9447</v>
      </c>
      <c r="AE1449" s="661" t="s">
        <v>144</v>
      </c>
      <c r="AF1449" s="666" t="s">
        <v>144</v>
      </c>
      <c r="AG1449" s="947"/>
      <c r="AH1449" s="667" t="s">
        <v>9509</v>
      </c>
      <c r="AI1449" s="668" t="s">
        <v>9510</v>
      </c>
      <c r="AJ1449" s="669">
        <v>7</v>
      </c>
      <c r="AK1449" s="670" t="s">
        <v>1280</v>
      </c>
      <c r="AL1449" s="650" t="s">
        <v>294</v>
      </c>
      <c r="AM1449" s="668" t="s">
        <v>295</v>
      </c>
      <c r="AN1449" s="669">
        <v>7</v>
      </c>
      <c r="AO1449" s="648" t="s">
        <v>966</v>
      </c>
      <c r="AP1449" s="650"/>
      <c r="AQ1449" s="668"/>
      <c r="AR1449" s="649"/>
      <c r="AS1449" s="653"/>
      <c r="AT1449" s="650"/>
      <c r="AU1449" s="668"/>
      <c r="AV1449" s="649"/>
      <c r="AW1449" s="653"/>
      <c r="AX1449" s="650"/>
      <c r="AY1449" s="672"/>
      <c r="AZ1449" s="669"/>
      <c r="BA1449" s="653"/>
      <c r="BB1449" s="650"/>
      <c r="BC1449" s="673"/>
      <c r="BD1449" s="669"/>
      <c r="BE1449" s="653"/>
      <c r="BF1449" s="838"/>
    </row>
    <row r="1450" spans="1:58" s="87" customFormat="1" ht="54" hidden="1" customHeight="1" x14ac:dyDescent="0.25">
      <c r="A1450" s="923" t="s">
        <v>8525</v>
      </c>
      <c r="B1450" s="632">
        <v>154</v>
      </c>
      <c r="C1450" s="924" t="s">
        <v>1744</v>
      </c>
      <c r="D1450" s="657" t="s">
        <v>1745</v>
      </c>
      <c r="E1450" s="658" t="s">
        <v>9511</v>
      </c>
      <c r="F1450" s="659" t="s">
        <v>9512</v>
      </c>
      <c r="G1450" s="660" t="s">
        <v>9513</v>
      </c>
      <c r="H1450" s="659" t="s">
        <v>9514</v>
      </c>
      <c r="I1450" s="660" t="s">
        <v>9515</v>
      </c>
      <c r="J1450" s="661" t="s">
        <v>140</v>
      </c>
      <c r="K1450" s="657" t="s">
        <v>140</v>
      </c>
      <c r="L1450" s="805" t="s">
        <v>9516</v>
      </c>
      <c r="M1450" s="620" t="s">
        <v>973</v>
      </c>
      <c r="N1450" s="621" t="s">
        <v>974</v>
      </c>
      <c r="O1450" s="661" t="s">
        <v>144</v>
      </c>
      <c r="P1450" s="661" t="s">
        <v>144</v>
      </c>
      <c r="Q1450" s="675" t="s">
        <v>144</v>
      </c>
      <c r="R1450" s="660" t="s">
        <v>144</v>
      </c>
      <c r="S1450" s="663" t="s">
        <v>746</v>
      </c>
      <c r="T1450" s="658" t="s">
        <v>1104</v>
      </c>
      <c r="U1450" s="676" t="s">
        <v>1105</v>
      </c>
      <c r="V1450" s="663">
        <v>19</v>
      </c>
      <c r="W1450" s="663" t="s">
        <v>144</v>
      </c>
      <c r="X1450" s="665">
        <v>45</v>
      </c>
      <c r="Y1450" s="661" t="s">
        <v>144</v>
      </c>
      <c r="Z1450" s="661" t="s">
        <v>29</v>
      </c>
      <c r="AA1450" s="658" t="s">
        <v>733</v>
      </c>
      <c r="AB1450" s="661" t="s">
        <v>140</v>
      </c>
      <c r="AC1450" s="661" t="s">
        <v>265</v>
      </c>
      <c r="AD1450" s="661" t="s">
        <v>9447</v>
      </c>
      <c r="AE1450" s="661" t="s">
        <v>144</v>
      </c>
      <c r="AF1450" s="666" t="s">
        <v>144</v>
      </c>
      <c r="AG1450" s="947"/>
      <c r="AH1450" s="667" t="s">
        <v>9503</v>
      </c>
      <c r="AI1450" s="668" t="s">
        <v>9504</v>
      </c>
      <c r="AJ1450" s="669">
        <v>6</v>
      </c>
      <c r="AK1450" s="748" t="s">
        <v>9302</v>
      </c>
      <c r="AL1450" s="650"/>
      <c r="AM1450" s="668"/>
      <c r="AN1450" s="669"/>
      <c r="AO1450" s="648"/>
      <c r="AP1450" s="650"/>
      <c r="AQ1450" s="668"/>
      <c r="AR1450" s="649"/>
      <c r="AS1450" s="653"/>
      <c r="AT1450" s="650"/>
      <c r="AU1450" s="668"/>
      <c r="AV1450" s="649"/>
      <c r="AW1450" s="653"/>
      <c r="AX1450" s="650"/>
      <c r="AY1450" s="672"/>
      <c r="AZ1450" s="669"/>
      <c r="BA1450" s="653"/>
      <c r="BB1450" s="650"/>
      <c r="BC1450" s="673"/>
      <c r="BD1450" s="669"/>
      <c r="BE1450" s="653"/>
      <c r="BF1450" s="838"/>
    </row>
    <row r="1451" spans="1:58" s="87" customFormat="1" ht="54" hidden="1" customHeight="1" x14ac:dyDescent="0.25">
      <c r="A1451" s="923" t="s">
        <v>8525</v>
      </c>
      <c r="B1451" s="632">
        <v>155</v>
      </c>
      <c r="C1451" s="924" t="s">
        <v>1744</v>
      </c>
      <c r="D1451" s="657" t="s">
        <v>1745</v>
      </c>
      <c r="E1451" s="658" t="s">
        <v>9517</v>
      </c>
      <c r="F1451" s="659" t="s">
        <v>9518</v>
      </c>
      <c r="G1451" s="660" t="s">
        <v>9519</v>
      </c>
      <c r="H1451" s="659" t="s">
        <v>9518</v>
      </c>
      <c r="I1451" s="660" t="s">
        <v>9519</v>
      </c>
      <c r="J1451" s="661" t="s">
        <v>140</v>
      </c>
      <c r="K1451" s="657" t="s">
        <v>140</v>
      </c>
      <c r="L1451" s="805" t="s">
        <v>9520</v>
      </c>
      <c r="M1451" s="620" t="s">
        <v>973</v>
      </c>
      <c r="N1451" s="621" t="s">
        <v>974</v>
      </c>
      <c r="O1451" s="661" t="s">
        <v>814</v>
      </c>
      <c r="P1451" s="661" t="s">
        <v>815</v>
      </c>
      <c r="Q1451" s="675" t="s">
        <v>144</v>
      </c>
      <c r="R1451" s="660" t="s">
        <v>144</v>
      </c>
      <c r="S1451" s="663" t="s">
        <v>147</v>
      </c>
      <c r="T1451" s="663" t="s">
        <v>144</v>
      </c>
      <c r="U1451" s="664" t="s">
        <v>144</v>
      </c>
      <c r="V1451" s="663">
        <v>3</v>
      </c>
      <c r="W1451" s="663" t="s">
        <v>144</v>
      </c>
      <c r="X1451" s="665">
        <v>45</v>
      </c>
      <c r="Y1451" s="661" t="s">
        <v>144</v>
      </c>
      <c r="Z1451" s="661" t="s">
        <v>144</v>
      </c>
      <c r="AA1451" s="658" t="s">
        <v>733</v>
      </c>
      <c r="AB1451" s="661" t="s">
        <v>140</v>
      </c>
      <c r="AC1451" s="661" t="s">
        <v>265</v>
      </c>
      <c r="AD1451" s="661" t="s">
        <v>9447</v>
      </c>
      <c r="AE1451" s="661" t="s">
        <v>144</v>
      </c>
      <c r="AF1451" s="666" t="s">
        <v>144</v>
      </c>
      <c r="AG1451" s="947"/>
      <c r="AH1451" s="667" t="s">
        <v>9521</v>
      </c>
      <c r="AI1451" s="668" t="s">
        <v>9522</v>
      </c>
      <c r="AJ1451" s="669">
        <v>7</v>
      </c>
      <c r="AK1451" s="670" t="s">
        <v>1280</v>
      </c>
      <c r="AL1451" s="650" t="s">
        <v>294</v>
      </c>
      <c r="AM1451" s="668" t="s">
        <v>295</v>
      </c>
      <c r="AN1451" s="669">
        <v>7</v>
      </c>
      <c r="AO1451" s="648" t="s">
        <v>966</v>
      </c>
      <c r="AP1451" s="650"/>
      <c r="AQ1451" s="668"/>
      <c r="AR1451" s="649"/>
      <c r="AS1451" s="653"/>
      <c r="AT1451" s="650"/>
      <c r="AU1451" s="668"/>
      <c r="AV1451" s="649"/>
      <c r="AW1451" s="653"/>
      <c r="AX1451" s="650"/>
      <c r="AY1451" s="672"/>
      <c r="AZ1451" s="669"/>
      <c r="BA1451" s="653"/>
      <c r="BB1451" s="650"/>
      <c r="BC1451" s="673"/>
      <c r="BD1451" s="669"/>
      <c r="BE1451" s="653"/>
      <c r="BF1451" s="838"/>
    </row>
    <row r="1452" spans="1:58" s="87" customFormat="1" ht="54" hidden="1" customHeight="1" x14ac:dyDescent="0.25">
      <c r="A1452" s="923" t="s">
        <v>8525</v>
      </c>
      <c r="B1452" s="632">
        <v>156</v>
      </c>
      <c r="C1452" s="924" t="s">
        <v>1744</v>
      </c>
      <c r="D1452" s="657" t="s">
        <v>1745</v>
      </c>
      <c r="E1452" s="658" t="s">
        <v>9523</v>
      </c>
      <c r="F1452" s="659" t="s">
        <v>9524</v>
      </c>
      <c r="G1452" s="660" t="s">
        <v>9525</v>
      </c>
      <c r="H1452" s="659" t="s">
        <v>9526</v>
      </c>
      <c r="I1452" s="660" t="s">
        <v>9527</v>
      </c>
      <c r="J1452" s="661" t="s">
        <v>140</v>
      </c>
      <c r="K1452" s="657" t="s">
        <v>140</v>
      </c>
      <c r="L1452" s="805" t="s">
        <v>9528</v>
      </c>
      <c r="M1452" s="620" t="s">
        <v>973</v>
      </c>
      <c r="N1452" s="621" t="s">
        <v>974</v>
      </c>
      <c r="O1452" s="661" t="s">
        <v>144</v>
      </c>
      <c r="P1452" s="661" t="s">
        <v>144</v>
      </c>
      <c r="Q1452" s="675" t="s">
        <v>144</v>
      </c>
      <c r="R1452" s="660" t="s">
        <v>144</v>
      </c>
      <c r="S1452" s="663" t="s">
        <v>746</v>
      </c>
      <c r="T1452" s="658" t="s">
        <v>1104</v>
      </c>
      <c r="U1452" s="676" t="s">
        <v>1105</v>
      </c>
      <c r="V1452" s="663">
        <v>19</v>
      </c>
      <c r="W1452" s="663" t="s">
        <v>144</v>
      </c>
      <c r="X1452" s="665">
        <v>45</v>
      </c>
      <c r="Y1452" s="661" t="s">
        <v>144</v>
      </c>
      <c r="Z1452" s="661" t="s">
        <v>29</v>
      </c>
      <c r="AA1452" s="658" t="s">
        <v>733</v>
      </c>
      <c r="AB1452" s="661" t="s">
        <v>140</v>
      </c>
      <c r="AC1452" s="661" t="s">
        <v>265</v>
      </c>
      <c r="AD1452" s="661" t="s">
        <v>9447</v>
      </c>
      <c r="AE1452" s="661" t="s">
        <v>144</v>
      </c>
      <c r="AF1452" s="666" t="s">
        <v>144</v>
      </c>
      <c r="AG1452" s="947"/>
      <c r="AH1452" s="667" t="s">
        <v>9503</v>
      </c>
      <c r="AI1452" s="668" t="s">
        <v>9504</v>
      </c>
      <c r="AJ1452" s="669">
        <v>6</v>
      </c>
      <c r="AK1452" s="748" t="s">
        <v>9302</v>
      </c>
      <c r="AL1452" s="650"/>
      <c r="AM1452" s="668"/>
      <c r="AN1452" s="669"/>
      <c r="AO1452" s="648"/>
      <c r="AP1452" s="650"/>
      <c r="AQ1452" s="668"/>
      <c r="AR1452" s="649"/>
      <c r="AS1452" s="653"/>
      <c r="AT1452" s="650"/>
      <c r="AU1452" s="668"/>
      <c r="AV1452" s="649"/>
      <c r="AW1452" s="653"/>
      <c r="AX1452" s="650"/>
      <c r="AY1452" s="672"/>
      <c r="AZ1452" s="669"/>
      <c r="BA1452" s="653"/>
      <c r="BB1452" s="650"/>
      <c r="BC1452" s="673"/>
      <c r="BD1452" s="669"/>
      <c r="BE1452" s="653"/>
      <c r="BF1452" s="838"/>
    </row>
    <row r="1453" spans="1:58" s="87" customFormat="1" ht="54" hidden="1" customHeight="1" x14ac:dyDescent="0.25">
      <c r="A1453" s="923" t="s">
        <v>8525</v>
      </c>
      <c r="B1453" s="632">
        <v>157</v>
      </c>
      <c r="C1453" s="924" t="s">
        <v>1744</v>
      </c>
      <c r="D1453" s="657" t="s">
        <v>1745</v>
      </c>
      <c r="E1453" s="658" t="s">
        <v>9529</v>
      </c>
      <c r="F1453" s="659" t="s">
        <v>9530</v>
      </c>
      <c r="G1453" s="660" t="s">
        <v>9531</v>
      </c>
      <c r="H1453" s="659" t="s">
        <v>9530</v>
      </c>
      <c r="I1453" s="660" t="s">
        <v>9531</v>
      </c>
      <c r="J1453" s="661" t="s">
        <v>140</v>
      </c>
      <c r="K1453" s="657" t="s">
        <v>140</v>
      </c>
      <c r="L1453" s="805" t="s">
        <v>9532</v>
      </c>
      <c r="M1453" s="620" t="s">
        <v>973</v>
      </c>
      <c r="N1453" s="621" t="s">
        <v>974</v>
      </c>
      <c r="O1453" s="661" t="s">
        <v>814</v>
      </c>
      <c r="P1453" s="661" t="s">
        <v>815</v>
      </c>
      <c r="Q1453" s="675" t="s">
        <v>144</v>
      </c>
      <c r="R1453" s="660" t="s">
        <v>144</v>
      </c>
      <c r="S1453" s="663" t="s">
        <v>147</v>
      </c>
      <c r="T1453" s="663" t="s">
        <v>144</v>
      </c>
      <c r="U1453" s="664" t="s">
        <v>144</v>
      </c>
      <c r="V1453" s="663">
        <v>3</v>
      </c>
      <c r="W1453" s="663" t="s">
        <v>144</v>
      </c>
      <c r="X1453" s="665">
        <v>45</v>
      </c>
      <c r="Y1453" s="661" t="s">
        <v>144</v>
      </c>
      <c r="Z1453" s="661" t="s">
        <v>144</v>
      </c>
      <c r="AA1453" s="658" t="s">
        <v>733</v>
      </c>
      <c r="AB1453" s="661" t="s">
        <v>140</v>
      </c>
      <c r="AC1453" s="661" t="s">
        <v>265</v>
      </c>
      <c r="AD1453" s="661" t="s">
        <v>9447</v>
      </c>
      <c r="AE1453" s="661" t="s">
        <v>144</v>
      </c>
      <c r="AF1453" s="666" t="s">
        <v>144</v>
      </c>
      <c r="AG1453" s="947"/>
      <c r="AH1453" s="667" t="s">
        <v>9533</v>
      </c>
      <c r="AI1453" s="668" t="s">
        <v>9534</v>
      </c>
      <c r="AJ1453" s="669">
        <v>7</v>
      </c>
      <c r="AK1453" s="670" t="s">
        <v>1280</v>
      </c>
      <c r="AL1453" s="650" t="s">
        <v>294</v>
      </c>
      <c r="AM1453" s="668" t="s">
        <v>295</v>
      </c>
      <c r="AN1453" s="669">
        <v>7</v>
      </c>
      <c r="AO1453" s="648" t="s">
        <v>966</v>
      </c>
      <c r="AP1453" s="650"/>
      <c r="AQ1453" s="668"/>
      <c r="AR1453" s="649"/>
      <c r="AS1453" s="653"/>
      <c r="AT1453" s="650"/>
      <c r="AU1453" s="668"/>
      <c r="AV1453" s="649"/>
      <c r="AW1453" s="653"/>
      <c r="AX1453" s="650"/>
      <c r="AY1453" s="672"/>
      <c r="AZ1453" s="669"/>
      <c r="BA1453" s="653"/>
      <c r="BB1453" s="650"/>
      <c r="BC1453" s="673"/>
      <c r="BD1453" s="669"/>
      <c r="BE1453" s="653"/>
      <c r="BF1453" s="838"/>
    </row>
    <row r="1454" spans="1:58" s="60" customFormat="1" ht="54" customHeight="1" thickBot="1" x14ac:dyDescent="0.3">
      <c r="A1454" s="587" t="s">
        <v>8525</v>
      </c>
      <c r="B1454" s="588">
        <v>158</v>
      </c>
      <c r="C1454" s="576" t="s">
        <v>144</v>
      </c>
      <c r="D1454" s="576" t="s">
        <v>144</v>
      </c>
      <c r="E1454" s="588" t="s">
        <v>9535</v>
      </c>
      <c r="F1454" s="589" t="s">
        <v>251</v>
      </c>
      <c r="G1454" s="589" t="s">
        <v>251</v>
      </c>
      <c r="H1454" s="577" t="s">
        <v>336</v>
      </c>
      <c r="I1454" s="589" t="s">
        <v>337</v>
      </c>
      <c r="J1454" s="590" t="s">
        <v>144</v>
      </c>
      <c r="K1454" s="590" t="s">
        <v>144</v>
      </c>
      <c r="L1454" s="719" t="s">
        <v>1467</v>
      </c>
      <c r="M1454" s="592" t="s">
        <v>144</v>
      </c>
      <c r="N1454" s="590" t="s">
        <v>144</v>
      </c>
      <c r="O1454" s="592" t="s">
        <v>144</v>
      </c>
      <c r="P1454" s="592" t="s">
        <v>144</v>
      </c>
      <c r="Q1454" s="577" t="s">
        <v>338</v>
      </c>
      <c r="R1454" s="577" t="s">
        <v>339</v>
      </c>
      <c r="S1454" s="588" t="s">
        <v>147</v>
      </c>
      <c r="T1454" s="579" t="s">
        <v>144</v>
      </c>
      <c r="U1454" s="579" t="s">
        <v>144</v>
      </c>
      <c r="V1454" s="607">
        <f>8000-(SUM(V1297:V1453)+COUNT(V1297:V1453))</f>
        <v>6037</v>
      </c>
      <c r="W1454" s="576" t="s">
        <v>144</v>
      </c>
      <c r="X1454" s="579">
        <v>43</v>
      </c>
      <c r="Y1454" s="579" t="s">
        <v>144</v>
      </c>
      <c r="Z1454" s="581" t="s">
        <v>25</v>
      </c>
      <c r="AA1454" s="592" t="s">
        <v>144</v>
      </c>
      <c r="AB1454" s="576" t="s">
        <v>144</v>
      </c>
      <c r="AC1454" s="592" t="s">
        <v>265</v>
      </c>
      <c r="AD1454" s="592" t="s">
        <v>144</v>
      </c>
      <c r="AE1454" s="592" t="s">
        <v>144</v>
      </c>
      <c r="AF1454" s="594" t="s">
        <v>144</v>
      </c>
      <c r="AG1454" s="680"/>
      <c r="AH1454" s="595"/>
      <c r="AI1454" s="596"/>
      <c r="AJ1454" s="592"/>
      <c r="AK1454" s="594"/>
      <c r="AL1454" s="596"/>
      <c r="AM1454" s="596"/>
      <c r="AN1454" s="592"/>
      <c r="AO1454" s="594"/>
      <c r="AP1454" s="596"/>
      <c r="AQ1454" s="596"/>
      <c r="AR1454" s="592"/>
      <c r="AS1454" s="594"/>
      <c r="AT1454" s="596"/>
      <c r="AU1454" s="596"/>
      <c r="AV1454" s="592"/>
      <c r="AW1454" s="594"/>
      <c r="AX1454" s="596"/>
      <c r="AY1454" s="596"/>
      <c r="AZ1454" s="592"/>
      <c r="BA1454" s="594"/>
      <c r="BB1454" s="595"/>
      <c r="BC1454" s="596"/>
      <c r="BD1454" s="592"/>
      <c r="BE1454" s="594"/>
      <c r="BF1454" s="680"/>
    </row>
    <row r="1455" spans="1:58" s="87" customFormat="1" ht="54" hidden="1" customHeight="1" x14ac:dyDescent="0.25">
      <c r="A1455" s="255" t="s">
        <v>9536</v>
      </c>
      <c r="B1455" s="256">
        <v>1</v>
      </c>
      <c r="C1455" s="260" t="s">
        <v>256</v>
      </c>
      <c r="D1455" s="261" t="s">
        <v>257</v>
      </c>
      <c r="E1455" s="256" t="s">
        <v>9537</v>
      </c>
      <c r="F1455" s="850" t="s">
        <v>259</v>
      </c>
      <c r="G1455" s="257" t="s">
        <v>229</v>
      </c>
      <c r="H1455" s="258" t="s">
        <v>260</v>
      </c>
      <c r="I1455" s="259" t="s">
        <v>261</v>
      </c>
      <c r="J1455" s="308" t="s">
        <v>140</v>
      </c>
      <c r="K1455" s="309" t="s">
        <v>140</v>
      </c>
      <c r="L1455" s="851" t="s">
        <v>924</v>
      </c>
      <c r="M1455" s="262" t="s">
        <v>142</v>
      </c>
      <c r="N1455" s="263" t="s">
        <v>143</v>
      </c>
      <c r="O1455" s="260" t="s">
        <v>144</v>
      </c>
      <c r="P1455" s="260" t="s">
        <v>144</v>
      </c>
      <c r="Q1455" s="258" t="s">
        <v>262</v>
      </c>
      <c r="R1455" s="259" t="s">
        <v>263</v>
      </c>
      <c r="S1455" s="170" t="s">
        <v>233</v>
      </c>
      <c r="T1455" s="264" t="s">
        <v>234</v>
      </c>
      <c r="U1455" s="265" t="s">
        <v>235</v>
      </c>
      <c r="V1455" s="852">
        <v>8</v>
      </c>
      <c r="W1455" s="853" t="s">
        <v>144</v>
      </c>
      <c r="X1455" s="264" t="s">
        <v>925</v>
      </c>
      <c r="Y1455" s="264" t="s">
        <v>144</v>
      </c>
      <c r="Z1455" s="241" t="s">
        <v>144</v>
      </c>
      <c r="AA1455" s="615" t="s">
        <v>733</v>
      </c>
      <c r="AB1455" s="262" t="s">
        <v>140</v>
      </c>
      <c r="AC1455" s="852" t="s">
        <v>265</v>
      </c>
      <c r="AD1455" s="852" t="s">
        <v>144</v>
      </c>
      <c r="AE1455" s="852" t="s">
        <v>144</v>
      </c>
      <c r="AF1455" s="855" t="s">
        <v>144</v>
      </c>
      <c r="AG1455" s="838"/>
      <c r="AH1455" s="856" t="s">
        <v>266</v>
      </c>
      <c r="AI1455" s="266" t="s">
        <v>267</v>
      </c>
      <c r="AJ1455" s="857"/>
      <c r="AK1455" s="858" t="s">
        <v>268</v>
      </c>
      <c r="AL1455" s="859"/>
      <c r="AM1455" s="266"/>
      <c r="AN1455" s="857"/>
      <c r="AO1455" s="858"/>
      <c r="AP1455" s="859" t="s">
        <v>926</v>
      </c>
      <c r="AQ1455" s="266" t="s">
        <v>270</v>
      </c>
      <c r="AR1455" s="857"/>
      <c r="AS1455" s="858" t="s">
        <v>271</v>
      </c>
      <c r="AT1455" s="859" t="s">
        <v>272</v>
      </c>
      <c r="AU1455" s="266" t="s">
        <v>273</v>
      </c>
      <c r="AV1455" s="857"/>
      <c r="AW1455" s="858" t="s">
        <v>274</v>
      </c>
      <c r="AX1455" s="859"/>
      <c r="AY1455" s="266"/>
      <c r="AZ1455" s="857"/>
      <c r="BA1455" s="858"/>
      <c r="BB1455" s="856"/>
      <c r="BC1455" s="266"/>
      <c r="BD1455" s="857"/>
      <c r="BE1455" s="858"/>
      <c r="BF1455" s="838"/>
    </row>
    <row r="1456" spans="1:58" s="87" customFormat="1" ht="54" hidden="1" customHeight="1" x14ac:dyDescent="0.25">
      <c r="A1456" s="267" t="s">
        <v>9536</v>
      </c>
      <c r="B1456" s="268">
        <v>2</v>
      </c>
      <c r="C1456" s="240" t="s">
        <v>256</v>
      </c>
      <c r="D1456" s="270" t="s">
        <v>257</v>
      </c>
      <c r="E1456" s="268" t="s">
        <v>9538</v>
      </c>
      <c r="F1456" s="861" t="s">
        <v>276</v>
      </c>
      <c r="G1456" s="269" t="s">
        <v>277</v>
      </c>
      <c r="H1456" s="845" t="s">
        <v>928</v>
      </c>
      <c r="I1456" s="269" t="s">
        <v>279</v>
      </c>
      <c r="J1456" s="296" t="s">
        <v>140</v>
      </c>
      <c r="K1456" s="297" t="s">
        <v>140</v>
      </c>
      <c r="L1456" s="862" t="s">
        <v>929</v>
      </c>
      <c r="M1456" s="206" t="s">
        <v>142</v>
      </c>
      <c r="N1456" s="211" t="s">
        <v>143</v>
      </c>
      <c r="O1456" s="240" t="s">
        <v>179</v>
      </c>
      <c r="P1456" s="240" t="s">
        <v>280</v>
      </c>
      <c r="Q1456" s="845" t="s">
        <v>144</v>
      </c>
      <c r="R1456" s="208" t="s">
        <v>144</v>
      </c>
      <c r="S1456" s="864" t="s">
        <v>147</v>
      </c>
      <c r="T1456" s="212" t="s">
        <v>144</v>
      </c>
      <c r="U1456" s="213" t="s">
        <v>144</v>
      </c>
      <c r="V1456" s="847">
        <v>5</v>
      </c>
      <c r="W1456" s="415" t="s">
        <v>144</v>
      </c>
      <c r="X1456" s="212" t="s">
        <v>925</v>
      </c>
      <c r="Y1456" s="212" t="s">
        <v>144</v>
      </c>
      <c r="Z1456" s="241" t="s">
        <v>144</v>
      </c>
      <c r="AA1456" s="615" t="s">
        <v>733</v>
      </c>
      <c r="AB1456" s="206" t="s">
        <v>140</v>
      </c>
      <c r="AC1456" s="847" t="s">
        <v>265</v>
      </c>
      <c r="AD1456" s="847" t="s">
        <v>144</v>
      </c>
      <c r="AE1456" s="847" t="s">
        <v>144</v>
      </c>
      <c r="AF1456" s="848" t="s">
        <v>144</v>
      </c>
      <c r="AG1456" s="838"/>
      <c r="AH1456" s="866" t="s">
        <v>266</v>
      </c>
      <c r="AI1456" s="273" t="s">
        <v>267</v>
      </c>
      <c r="AJ1456" s="847"/>
      <c r="AK1456" s="848" t="s">
        <v>281</v>
      </c>
      <c r="AL1456" s="867" t="s">
        <v>282</v>
      </c>
      <c r="AM1456" s="273" t="s">
        <v>283</v>
      </c>
      <c r="AN1456" s="864"/>
      <c r="AO1456" s="868" t="s">
        <v>284</v>
      </c>
      <c r="AP1456" s="867"/>
      <c r="AQ1456" s="273"/>
      <c r="AR1456" s="847"/>
      <c r="AS1456" s="848"/>
      <c r="AT1456" s="867"/>
      <c r="AU1456" s="273"/>
      <c r="AV1456" s="847"/>
      <c r="AW1456" s="848"/>
      <c r="AX1456" s="134" t="s">
        <v>930</v>
      </c>
      <c r="AY1456" s="135" t="s">
        <v>931</v>
      </c>
      <c r="AZ1456" s="847">
        <v>7</v>
      </c>
      <c r="BA1456" s="848" t="s">
        <v>932</v>
      </c>
      <c r="BB1456" s="866"/>
      <c r="BC1456" s="273"/>
      <c r="BD1456" s="847"/>
      <c r="BE1456" s="848"/>
      <c r="BF1456" s="838"/>
    </row>
    <row r="1457" spans="1:58" s="87" customFormat="1" ht="54" hidden="1" customHeight="1" x14ac:dyDescent="0.25">
      <c r="A1457" s="267" t="s">
        <v>9536</v>
      </c>
      <c r="B1457" s="268">
        <v>3</v>
      </c>
      <c r="C1457" s="240" t="s">
        <v>256</v>
      </c>
      <c r="D1457" s="270" t="s">
        <v>257</v>
      </c>
      <c r="E1457" s="268" t="s">
        <v>9539</v>
      </c>
      <c r="F1457" s="861" t="s">
        <v>286</v>
      </c>
      <c r="G1457" s="269" t="s">
        <v>287</v>
      </c>
      <c r="H1457" s="845" t="s">
        <v>288</v>
      </c>
      <c r="I1457" s="208" t="s">
        <v>289</v>
      </c>
      <c r="J1457" s="296" t="s">
        <v>140</v>
      </c>
      <c r="K1457" s="297" t="s">
        <v>140</v>
      </c>
      <c r="L1457" s="862" t="s">
        <v>934</v>
      </c>
      <c r="M1457" s="206" t="s">
        <v>142</v>
      </c>
      <c r="N1457" s="211" t="s">
        <v>143</v>
      </c>
      <c r="O1457" s="437" t="s">
        <v>144</v>
      </c>
      <c r="P1457" s="181" t="s">
        <v>290</v>
      </c>
      <c r="Q1457" s="209" t="s">
        <v>291</v>
      </c>
      <c r="R1457" s="210" t="s">
        <v>292</v>
      </c>
      <c r="S1457" s="864" t="s">
        <v>147</v>
      </c>
      <c r="T1457" s="212" t="s">
        <v>144</v>
      </c>
      <c r="U1457" s="213" t="s">
        <v>144</v>
      </c>
      <c r="V1457" s="847">
        <v>12</v>
      </c>
      <c r="W1457" s="415" t="s">
        <v>144</v>
      </c>
      <c r="X1457" s="212" t="s">
        <v>925</v>
      </c>
      <c r="Y1457" s="212" t="s">
        <v>144</v>
      </c>
      <c r="Z1457" s="212" t="s">
        <v>144</v>
      </c>
      <c r="AA1457" s="240" t="s">
        <v>148</v>
      </c>
      <c r="AB1457" s="206" t="s">
        <v>140</v>
      </c>
      <c r="AC1457" s="847" t="s">
        <v>265</v>
      </c>
      <c r="AD1457" s="847" t="s">
        <v>144</v>
      </c>
      <c r="AE1457" s="847" t="s">
        <v>144</v>
      </c>
      <c r="AF1457" s="848" t="s">
        <v>144</v>
      </c>
      <c r="AG1457" s="838"/>
      <c r="AH1457" s="866" t="s">
        <v>266</v>
      </c>
      <c r="AI1457" s="274" t="s">
        <v>267</v>
      </c>
      <c r="AJ1457" s="864"/>
      <c r="AK1457" s="868" t="s">
        <v>293</v>
      </c>
      <c r="AL1457" s="185" t="s">
        <v>294</v>
      </c>
      <c r="AM1457" s="186" t="s">
        <v>295</v>
      </c>
      <c r="AN1457" s="864"/>
      <c r="AO1457" s="848" t="s">
        <v>296</v>
      </c>
      <c r="AP1457" s="867"/>
      <c r="AQ1457" s="273"/>
      <c r="AR1457" s="847"/>
      <c r="AS1457" s="848"/>
      <c r="AT1457" s="867"/>
      <c r="AU1457" s="273"/>
      <c r="AV1457" s="847"/>
      <c r="AW1457" s="848"/>
      <c r="AX1457" s="867"/>
      <c r="AY1457" s="273"/>
      <c r="AZ1457" s="847"/>
      <c r="BA1457" s="848"/>
      <c r="BB1457" s="866"/>
      <c r="BC1457" s="273"/>
      <c r="BD1457" s="847"/>
      <c r="BE1457" s="848"/>
      <c r="BF1457" s="838"/>
    </row>
    <row r="1458" spans="1:58" s="87" customFormat="1" ht="54" hidden="1" customHeight="1" x14ac:dyDescent="0.25">
      <c r="A1458" s="267" t="s">
        <v>9536</v>
      </c>
      <c r="B1458" s="268">
        <v>4</v>
      </c>
      <c r="C1458" s="240" t="s">
        <v>297</v>
      </c>
      <c r="D1458" s="270" t="s">
        <v>298</v>
      </c>
      <c r="E1458" s="268" t="s">
        <v>9540</v>
      </c>
      <c r="F1458" s="861" t="s">
        <v>300</v>
      </c>
      <c r="G1458" s="269" t="s">
        <v>301</v>
      </c>
      <c r="H1458" s="209" t="s">
        <v>302</v>
      </c>
      <c r="I1458" s="210" t="s">
        <v>303</v>
      </c>
      <c r="J1458" s="296" t="s">
        <v>140</v>
      </c>
      <c r="K1458" s="297" t="s">
        <v>140</v>
      </c>
      <c r="L1458" s="862" t="s">
        <v>936</v>
      </c>
      <c r="M1458" s="206" t="s">
        <v>142</v>
      </c>
      <c r="N1458" s="211" t="s">
        <v>143</v>
      </c>
      <c r="O1458" s="240" t="s">
        <v>144</v>
      </c>
      <c r="P1458" s="240" t="s">
        <v>144</v>
      </c>
      <c r="Q1458" s="209" t="s">
        <v>304</v>
      </c>
      <c r="R1458" s="210" t="s">
        <v>305</v>
      </c>
      <c r="S1458" s="864" t="s">
        <v>147</v>
      </c>
      <c r="T1458" s="212" t="s">
        <v>144</v>
      </c>
      <c r="U1458" s="213" t="s">
        <v>144</v>
      </c>
      <c r="V1458" s="847">
        <v>1</v>
      </c>
      <c r="W1458" s="415" t="s">
        <v>144</v>
      </c>
      <c r="X1458" s="212" t="s">
        <v>925</v>
      </c>
      <c r="Y1458" s="212" t="s">
        <v>144</v>
      </c>
      <c r="Z1458" s="212" t="s">
        <v>144</v>
      </c>
      <c r="AA1458" s="240" t="s">
        <v>148</v>
      </c>
      <c r="AB1458" s="206" t="s">
        <v>140</v>
      </c>
      <c r="AC1458" s="847" t="s">
        <v>265</v>
      </c>
      <c r="AD1458" s="847" t="s">
        <v>144</v>
      </c>
      <c r="AE1458" s="847" t="s">
        <v>144</v>
      </c>
      <c r="AF1458" s="848" t="s">
        <v>144</v>
      </c>
      <c r="AG1458" s="838"/>
      <c r="AH1458" s="866" t="s">
        <v>266</v>
      </c>
      <c r="AI1458" s="273" t="s">
        <v>267</v>
      </c>
      <c r="AJ1458" s="847"/>
      <c r="AK1458" s="848" t="s">
        <v>306</v>
      </c>
      <c r="AL1458" s="867"/>
      <c r="AM1458" s="273"/>
      <c r="AN1458" s="847"/>
      <c r="AO1458" s="848"/>
      <c r="AP1458" s="867" t="s">
        <v>307</v>
      </c>
      <c r="AQ1458" s="273" t="s">
        <v>937</v>
      </c>
      <c r="AR1458" s="847"/>
      <c r="AS1458" s="848" t="s">
        <v>309</v>
      </c>
      <c r="AT1458" s="867"/>
      <c r="AU1458" s="273"/>
      <c r="AV1458" s="847"/>
      <c r="AW1458" s="848"/>
      <c r="AX1458" s="867"/>
      <c r="AY1458" s="273"/>
      <c r="AZ1458" s="847"/>
      <c r="BA1458" s="848"/>
      <c r="BB1458" s="866"/>
      <c r="BC1458" s="273"/>
      <c r="BD1458" s="847"/>
      <c r="BE1458" s="848"/>
      <c r="BF1458" s="838"/>
    </row>
    <row r="1459" spans="1:58" s="87" customFormat="1" ht="54" hidden="1" customHeight="1" x14ac:dyDescent="0.25">
      <c r="A1459" s="267" t="s">
        <v>9536</v>
      </c>
      <c r="B1459" s="268">
        <v>5</v>
      </c>
      <c r="C1459" s="240" t="s">
        <v>297</v>
      </c>
      <c r="D1459" s="270" t="s">
        <v>298</v>
      </c>
      <c r="E1459" s="268" t="s">
        <v>9541</v>
      </c>
      <c r="F1459" s="861" t="s">
        <v>311</v>
      </c>
      <c r="G1459" s="269" t="s">
        <v>312</v>
      </c>
      <c r="H1459" s="209" t="s">
        <v>313</v>
      </c>
      <c r="I1459" s="210" t="s">
        <v>314</v>
      </c>
      <c r="J1459" s="296" t="s">
        <v>140</v>
      </c>
      <c r="K1459" s="297" t="s">
        <v>140</v>
      </c>
      <c r="L1459" s="862" t="s">
        <v>939</v>
      </c>
      <c r="M1459" s="206" t="s">
        <v>142</v>
      </c>
      <c r="N1459" s="211" t="s">
        <v>143</v>
      </c>
      <c r="O1459" s="240" t="s">
        <v>144</v>
      </c>
      <c r="P1459" s="240" t="s">
        <v>144</v>
      </c>
      <c r="Q1459" s="209" t="s">
        <v>315</v>
      </c>
      <c r="R1459" s="210" t="s">
        <v>316</v>
      </c>
      <c r="S1459" s="864" t="s">
        <v>147</v>
      </c>
      <c r="T1459" s="212" t="s">
        <v>144</v>
      </c>
      <c r="U1459" s="213" t="s">
        <v>144</v>
      </c>
      <c r="V1459" s="847">
        <v>12</v>
      </c>
      <c r="W1459" s="415" t="s">
        <v>144</v>
      </c>
      <c r="X1459" s="212" t="s">
        <v>925</v>
      </c>
      <c r="Y1459" s="212" t="s">
        <v>144</v>
      </c>
      <c r="Z1459" s="212" t="s">
        <v>144</v>
      </c>
      <c r="AA1459" s="240" t="s">
        <v>148</v>
      </c>
      <c r="AB1459" s="206" t="s">
        <v>140</v>
      </c>
      <c r="AC1459" s="847" t="s">
        <v>265</v>
      </c>
      <c r="AD1459" s="847" t="s">
        <v>144</v>
      </c>
      <c r="AE1459" s="847" t="s">
        <v>144</v>
      </c>
      <c r="AF1459" s="848" t="s">
        <v>144</v>
      </c>
      <c r="AG1459" s="838"/>
      <c r="AH1459" s="866" t="s">
        <v>266</v>
      </c>
      <c r="AI1459" s="273" t="s">
        <v>267</v>
      </c>
      <c r="AJ1459" s="847"/>
      <c r="AK1459" s="848" t="s">
        <v>317</v>
      </c>
      <c r="AL1459" s="867"/>
      <c r="AM1459" s="273"/>
      <c r="AN1459" s="847"/>
      <c r="AO1459" s="848"/>
      <c r="AP1459" s="867"/>
      <c r="AQ1459" s="273"/>
      <c r="AR1459" s="847"/>
      <c r="AS1459" s="848"/>
      <c r="AT1459" s="867" t="s">
        <v>318</v>
      </c>
      <c r="AU1459" s="273" t="s">
        <v>319</v>
      </c>
      <c r="AV1459" s="847"/>
      <c r="AW1459" s="848" t="s">
        <v>320</v>
      </c>
      <c r="AX1459" s="867"/>
      <c r="AY1459" s="273"/>
      <c r="AZ1459" s="847"/>
      <c r="BA1459" s="848"/>
      <c r="BB1459" s="866"/>
      <c r="BC1459" s="273"/>
      <c r="BD1459" s="847"/>
      <c r="BE1459" s="848"/>
      <c r="BF1459" s="838"/>
    </row>
    <row r="1460" spans="1:58" s="87" customFormat="1" ht="54" hidden="1" customHeight="1" x14ac:dyDescent="0.25">
      <c r="A1460" s="267" t="s">
        <v>9536</v>
      </c>
      <c r="B1460" s="268">
        <v>6</v>
      </c>
      <c r="C1460" s="240" t="s">
        <v>297</v>
      </c>
      <c r="D1460" s="270" t="s">
        <v>298</v>
      </c>
      <c r="E1460" s="268" t="s">
        <v>9542</v>
      </c>
      <c r="F1460" s="861" t="s">
        <v>136</v>
      </c>
      <c r="G1460" s="269" t="s">
        <v>322</v>
      </c>
      <c r="H1460" s="846" t="s">
        <v>323</v>
      </c>
      <c r="I1460" s="210" t="s">
        <v>324</v>
      </c>
      <c r="J1460" s="296" t="s">
        <v>140</v>
      </c>
      <c r="K1460" s="297" t="s">
        <v>140</v>
      </c>
      <c r="L1460" s="862" t="s">
        <v>941</v>
      </c>
      <c r="M1460" s="206" t="s">
        <v>142</v>
      </c>
      <c r="N1460" s="211" t="s">
        <v>143</v>
      </c>
      <c r="O1460" s="240" t="s">
        <v>144</v>
      </c>
      <c r="P1460" s="240" t="s">
        <v>144</v>
      </c>
      <c r="Q1460" s="845" t="s">
        <v>9543</v>
      </c>
      <c r="R1460" s="208" t="s">
        <v>9544</v>
      </c>
      <c r="S1460" s="864" t="s">
        <v>147</v>
      </c>
      <c r="T1460" s="212" t="s">
        <v>144</v>
      </c>
      <c r="U1460" s="213" t="s">
        <v>144</v>
      </c>
      <c r="V1460" s="847">
        <v>2</v>
      </c>
      <c r="W1460" s="415" t="s">
        <v>144</v>
      </c>
      <c r="X1460" s="212" t="s">
        <v>925</v>
      </c>
      <c r="Y1460" s="212" t="s">
        <v>144</v>
      </c>
      <c r="Z1460" s="212" t="s">
        <v>144</v>
      </c>
      <c r="AA1460" s="240" t="s">
        <v>148</v>
      </c>
      <c r="AB1460" s="206" t="s">
        <v>140</v>
      </c>
      <c r="AC1460" s="847" t="s">
        <v>265</v>
      </c>
      <c r="AD1460" s="847" t="s">
        <v>144</v>
      </c>
      <c r="AE1460" s="847" t="s">
        <v>144</v>
      </c>
      <c r="AF1460" s="848" t="s">
        <v>144</v>
      </c>
      <c r="AG1460" s="838"/>
      <c r="AH1460" s="866" t="s">
        <v>266</v>
      </c>
      <c r="AI1460" s="273" t="s">
        <v>267</v>
      </c>
      <c r="AJ1460" s="847"/>
      <c r="AK1460" s="848" t="s">
        <v>327</v>
      </c>
      <c r="AL1460" s="867"/>
      <c r="AM1460" s="273"/>
      <c r="AN1460" s="847"/>
      <c r="AO1460" s="848"/>
      <c r="AP1460" s="867" t="s">
        <v>9545</v>
      </c>
      <c r="AQ1460" s="273" t="s">
        <v>9546</v>
      </c>
      <c r="AR1460" s="847"/>
      <c r="AS1460" s="848" t="s">
        <v>327</v>
      </c>
      <c r="AT1460" s="867"/>
      <c r="AU1460" s="273"/>
      <c r="AV1460" s="847"/>
      <c r="AW1460" s="848"/>
      <c r="AX1460" s="867"/>
      <c r="AY1460" s="273"/>
      <c r="AZ1460" s="847"/>
      <c r="BA1460" s="848"/>
      <c r="BB1460" s="866"/>
      <c r="BC1460" s="273"/>
      <c r="BD1460" s="847"/>
      <c r="BE1460" s="848"/>
      <c r="BF1460" s="838"/>
    </row>
    <row r="1461" spans="1:58" s="87" customFormat="1" ht="54" hidden="1" customHeight="1" x14ac:dyDescent="0.25">
      <c r="A1461" s="267" t="s">
        <v>9536</v>
      </c>
      <c r="B1461" s="268">
        <v>7</v>
      </c>
      <c r="C1461" s="240" t="s">
        <v>256</v>
      </c>
      <c r="D1461" s="270" t="s">
        <v>257</v>
      </c>
      <c r="E1461" s="268" t="s">
        <v>9547</v>
      </c>
      <c r="F1461" s="861" t="s">
        <v>331</v>
      </c>
      <c r="G1461" s="269" t="s">
        <v>332</v>
      </c>
      <c r="H1461" s="845" t="s">
        <v>331</v>
      </c>
      <c r="I1461" s="269" t="s">
        <v>332</v>
      </c>
      <c r="J1461" s="296" t="s">
        <v>140</v>
      </c>
      <c r="K1461" s="297" t="s">
        <v>140</v>
      </c>
      <c r="L1461" s="862" t="s">
        <v>947</v>
      </c>
      <c r="M1461" s="206" t="s">
        <v>193</v>
      </c>
      <c r="N1461" s="211" t="s">
        <v>194</v>
      </c>
      <c r="O1461" s="240" t="s">
        <v>144</v>
      </c>
      <c r="P1461" s="240" t="s">
        <v>144</v>
      </c>
      <c r="Q1461" s="863" t="s">
        <v>948</v>
      </c>
      <c r="R1461" s="271" t="s">
        <v>949</v>
      </c>
      <c r="S1461" s="864" t="s">
        <v>147</v>
      </c>
      <c r="T1461" s="212" t="s">
        <v>144</v>
      </c>
      <c r="U1461" s="213" t="s">
        <v>144</v>
      </c>
      <c r="V1461" s="847">
        <v>1</v>
      </c>
      <c r="W1461" s="415" t="s">
        <v>144</v>
      </c>
      <c r="X1461" s="212" t="s">
        <v>925</v>
      </c>
      <c r="Y1461" s="212" t="s">
        <v>144</v>
      </c>
      <c r="Z1461" s="212" t="s">
        <v>144</v>
      </c>
      <c r="AA1461" s="343" t="s">
        <v>148</v>
      </c>
      <c r="AB1461" s="206" t="s">
        <v>140</v>
      </c>
      <c r="AC1461" s="847" t="s">
        <v>265</v>
      </c>
      <c r="AD1461" s="847" t="s">
        <v>144</v>
      </c>
      <c r="AE1461" s="847" t="s">
        <v>144</v>
      </c>
      <c r="AF1461" s="848" t="s">
        <v>144</v>
      </c>
      <c r="AG1461" s="838"/>
      <c r="AH1461" s="866"/>
      <c r="AI1461" s="273"/>
      <c r="AJ1461" s="847"/>
      <c r="AK1461" s="848"/>
      <c r="AL1461" s="867"/>
      <c r="AM1461" s="273"/>
      <c r="AN1461" s="847"/>
      <c r="AO1461" s="848"/>
      <c r="AP1461" s="867" t="s">
        <v>950</v>
      </c>
      <c r="AQ1461" s="273" t="s">
        <v>951</v>
      </c>
      <c r="AR1461" s="847"/>
      <c r="AS1461" s="848" t="s">
        <v>952</v>
      </c>
      <c r="AT1461" s="867" t="s">
        <v>953</v>
      </c>
      <c r="AU1461" s="273" t="s">
        <v>954</v>
      </c>
      <c r="AV1461" s="847"/>
      <c r="AW1461" s="848" t="s">
        <v>952</v>
      </c>
      <c r="AX1461" s="867"/>
      <c r="AY1461" s="273"/>
      <c r="AZ1461" s="847"/>
      <c r="BA1461" s="848"/>
      <c r="BB1461" s="866"/>
      <c r="BC1461" s="273"/>
      <c r="BD1461" s="847"/>
      <c r="BE1461" s="848"/>
      <c r="BF1461" s="838"/>
    </row>
    <row r="1462" spans="1:58" s="87" customFormat="1" ht="54" hidden="1" customHeight="1" x14ac:dyDescent="0.25">
      <c r="A1462" s="267" t="s">
        <v>9536</v>
      </c>
      <c r="B1462" s="268">
        <v>8</v>
      </c>
      <c r="C1462" s="240" t="s">
        <v>256</v>
      </c>
      <c r="D1462" s="270" t="s">
        <v>257</v>
      </c>
      <c r="E1462" s="268" t="s">
        <v>9548</v>
      </c>
      <c r="F1462" s="861" t="s">
        <v>956</v>
      </c>
      <c r="G1462" s="269" t="s">
        <v>957</v>
      </c>
      <c r="H1462" s="845" t="s">
        <v>958</v>
      </c>
      <c r="I1462" s="269" t="s">
        <v>959</v>
      </c>
      <c r="J1462" s="296" t="s">
        <v>140</v>
      </c>
      <c r="K1462" s="297" t="s">
        <v>140</v>
      </c>
      <c r="L1462" s="862" t="s">
        <v>960</v>
      </c>
      <c r="M1462" s="206" t="s">
        <v>193</v>
      </c>
      <c r="N1462" s="211" t="s">
        <v>194</v>
      </c>
      <c r="O1462" s="240" t="s">
        <v>961</v>
      </c>
      <c r="P1462" s="240" t="s">
        <v>962</v>
      </c>
      <c r="Q1462" s="845" t="s">
        <v>963</v>
      </c>
      <c r="R1462" s="208" t="s">
        <v>964</v>
      </c>
      <c r="S1462" s="864" t="s">
        <v>147</v>
      </c>
      <c r="T1462" s="212" t="s">
        <v>144</v>
      </c>
      <c r="U1462" s="213" t="s">
        <v>144</v>
      </c>
      <c r="V1462" s="847">
        <v>2</v>
      </c>
      <c r="W1462" s="415" t="s">
        <v>144</v>
      </c>
      <c r="X1462" s="212" t="s">
        <v>925</v>
      </c>
      <c r="Y1462" s="212" t="s">
        <v>144</v>
      </c>
      <c r="Z1462" s="212" t="s">
        <v>144</v>
      </c>
      <c r="AA1462" s="343" t="s">
        <v>148</v>
      </c>
      <c r="AB1462" s="206" t="s">
        <v>140</v>
      </c>
      <c r="AC1462" s="847" t="s">
        <v>265</v>
      </c>
      <c r="AD1462" s="847" t="s">
        <v>144</v>
      </c>
      <c r="AE1462" s="847" t="s">
        <v>144</v>
      </c>
      <c r="AF1462" s="848" t="s">
        <v>144</v>
      </c>
      <c r="AG1462" s="838"/>
      <c r="AH1462" s="866"/>
      <c r="AI1462" s="273"/>
      <c r="AJ1462" s="847"/>
      <c r="AK1462" s="848"/>
      <c r="AL1462" s="867" t="s">
        <v>294</v>
      </c>
      <c r="AM1462" s="273" t="s">
        <v>295</v>
      </c>
      <c r="AN1462" s="847">
        <v>7</v>
      </c>
      <c r="AO1462" s="848" t="s">
        <v>966</v>
      </c>
      <c r="AP1462" s="867"/>
      <c r="AQ1462" s="273"/>
      <c r="AR1462" s="847"/>
      <c r="AS1462" s="848"/>
      <c r="AT1462" s="867"/>
      <c r="AU1462" s="273"/>
      <c r="AV1462" s="847"/>
      <c r="AW1462" s="848"/>
      <c r="AX1462" s="867"/>
      <c r="AY1462" s="273"/>
      <c r="AZ1462" s="847"/>
      <c r="BA1462" s="848"/>
      <c r="BB1462" s="866"/>
      <c r="BC1462" s="273"/>
      <c r="BD1462" s="847"/>
      <c r="BE1462" s="848"/>
      <c r="BF1462" s="838"/>
    </row>
    <row r="1463" spans="1:58" s="87" customFormat="1" ht="54" hidden="1" customHeight="1" x14ac:dyDescent="0.25">
      <c r="A1463" s="267" t="s">
        <v>9536</v>
      </c>
      <c r="B1463" s="268">
        <v>9</v>
      </c>
      <c r="C1463" s="240" t="s">
        <v>256</v>
      </c>
      <c r="D1463" s="270" t="s">
        <v>257</v>
      </c>
      <c r="E1463" s="268" t="s">
        <v>9549</v>
      </c>
      <c r="F1463" s="861" t="s">
        <v>968</v>
      </c>
      <c r="G1463" s="269" t="s">
        <v>969</v>
      </c>
      <c r="H1463" s="845" t="s">
        <v>970</v>
      </c>
      <c r="I1463" s="269" t="s">
        <v>971</v>
      </c>
      <c r="J1463" s="296" t="s">
        <v>140</v>
      </c>
      <c r="K1463" s="297" t="s">
        <v>140</v>
      </c>
      <c r="L1463" s="862" t="s">
        <v>972</v>
      </c>
      <c r="M1463" s="206" t="s">
        <v>973</v>
      </c>
      <c r="N1463" s="211" t="s">
        <v>974</v>
      </c>
      <c r="O1463" s="437" t="s">
        <v>144</v>
      </c>
      <c r="P1463" s="240" t="s">
        <v>144</v>
      </c>
      <c r="Q1463" s="845" t="s">
        <v>975</v>
      </c>
      <c r="R1463" s="208" t="s">
        <v>523</v>
      </c>
      <c r="S1463" s="864" t="s">
        <v>965</v>
      </c>
      <c r="T1463" s="212" t="s">
        <v>144</v>
      </c>
      <c r="U1463" s="213" t="s">
        <v>144</v>
      </c>
      <c r="V1463" s="847">
        <v>4</v>
      </c>
      <c r="W1463" s="415" t="s">
        <v>144</v>
      </c>
      <c r="X1463" s="212" t="s">
        <v>925</v>
      </c>
      <c r="Y1463" s="212" t="s">
        <v>144</v>
      </c>
      <c r="Z1463" s="212" t="s">
        <v>144</v>
      </c>
      <c r="AA1463" s="343" t="s">
        <v>148</v>
      </c>
      <c r="AB1463" s="206" t="s">
        <v>140</v>
      </c>
      <c r="AC1463" s="847" t="s">
        <v>265</v>
      </c>
      <c r="AD1463" s="847" t="s">
        <v>144</v>
      </c>
      <c r="AE1463" s="847" t="s">
        <v>144</v>
      </c>
      <c r="AF1463" s="848" t="s">
        <v>144</v>
      </c>
      <c r="AG1463" s="838"/>
      <c r="AH1463" s="866" t="s">
        <v>9550</v>
      </c>
      <c r="AI1463" s="273" t="s">
        <v>9551</v>
      </c>
      <c r="AJ1463" s="847"/>
      <c r="AK1463" s="848" t="s">
        <v>978</v>
      </c>
      <c r="AL1463" s="867" t="s">
        <v>9552</v>
      </c>
      <c r="AM1463" s="273" t="s">
        <v>9553</v>
      </c>
      <c r="AN1463" s="847"/>
      <c r="AO1463" s="848" t="s">
        <v>981</v>
      </c>
      <c r="AP1463" s="867"/>
      <c r="AQ1463" s="273"/>
      <c r="AR1463" s="847"/>
      <c r="AS1463" s="848"/>
      <c r="AT1463" s="867"/>
      <c r="AU1463" s="273"/>
      <c r="AV1463" s="847"/>
      <c r="AW1463" s="848"/>
      <c r="AX1463" s="867"/>
      <c r="AY1463" s="273"/>
      <c r="AZ1463" s="847"/>
      <c r="BA1463" s="848"/>
      <c r="BB1463" s="866"/>
      <c r="BC1463" s="273"/>
      <c r="BD1463" s="847"/>
      <c r="BE1463" s="848"/>
      <c r="BF1463" s="838"/>
    </row>
    <row r="1464" spans="1:58" s="55" customFormat="1" ht="54" customHeight="1" x14ac:dyDescent="0.25">
      <c r="A1464" s="275" t="s">
        <v>9536</v>
      </c>
      <c r="B1464" s="276">
        <v>10</v>
      </c>
      <c r="C1464" s="253" t="s">
        <v>144</v>
      </c>
      <c r="D1464" s="253" t="s">
        <v>144</v>
      </c>
      <c r="E1464" s="276" t="s">
        <v>9554</v>
      </c>
      <c r="F1464" s="277" t="s">
        <v>251</v>
      </c>
      <c r="G1464" s="277" t="s">
        <v>251</v>
      </c>
      <c r="H1464" s="220" t="s">
        <v>336</v>
      </c>
      <c r="I1464" s="218" t="s">
        <v>337</v>
      </c>
      <c r="J1464" s="253" t="s">
        <v>144</v>
      </c>
      <c r="K1464" s="253" t="s">
        <v>144</v>
      </c>
      <c r="L1464" s="718" t="s">
        <v>983</v>
      </c>
      <c r="M1464" s="253" t="s">
        <v>144</v>
      </c>
      <c r="N1464" s="253" t="s">
        <v>144</v>
      </c>
      <c r="O1464" s="253" t="s">
        <v>144</v>
      </c>
      <c r="P1464" s="253" t="s">
        <v>144</v>
      </c>
      <c r="Q1464" s="220" t="s">
        <v>338</v>
      </c>
      <c r="R1464" s="220" t="s">
        <v>339</v>
      </c>
      <c r="S1464" s="276" t="s">
        <v>147</v>
      </c>
      <c r="T1464" s="221" t="s">
        <v>144</v>
      </c>
      <c r="U1464" s="221" t="s">
        <v>144</v>
      </c>
      <c r="V1464" s="253">
        <v>3</v>
      </c>
      <c r="W1464" s="217" t="s">
        <v>144</v>
      </c>
      <c r="X1464" s="221" t="s">
        <v>144</v>
      </c>
      <c r="Y1464" s="221" t="s">
        <v>144</v>
      </c>
      <c r="Z1464" s="221" t="s">
        <v>144</v>
      </c>
      <c r="AA1464" s="253" t="s">
        <v>144</v>
      </c>
      <c r="AB1464" s="217" t="s">
        <v>144</v>
      </c>
      <c r="AC1464" s="253" t="s">
        <v>265</v>
      </c>
      <c r="AD1464" s="253" t="s">
        <v>144</v>
      </c>
      <c r="AE1464" s="253" t="s">
        <v>144</v>
      </c>
      <c r="AF1464" s="254" t="s">
        <v>144</v>
      </c>
      <c r="AG1464" s="838"/>
      <c r="AH1464" s="280"/>
      <c r="AI1464" s="281"/>
      <c r="AJ1464" s="253"/>
      <c r="AK1464" s="254"/>
      <c r="AL1464" s="281"/>
      <c r="AM1464" s="281"/>
      <c r="AN1464" s="253"/>
      <c r="AO1464" s="254"/>
      <c r="AP1464" s="281"/>
      <c r="AQ1464" s="281"/>
      <c r="AR1464" s="253"/>
      <c r="AS1464" s="254"/>
      <c r="AT1464" s="281"/>
      <c r="AU1464" s="281"/>
      <c r="AV1464" s="253"/>
      <c r="AW1464" s="254"/>
      <c r="AX1464" s="281"/>
      <c r="AY1464" s="281"/>
      <c r="AZ1464" s="253"/>
      <c r="BA1464" s="254"/>
      <c r="BB1464" s="280"/>
      <c r="BC1464" s="281"/>
      <c r="BD1464" s="253"/>
      <c r="BE1464" s="254"/>
      <c r="BF1464" s="838"/>
    </row>
    <row r="1465" spans="1:58" s="87" customFormat="1" ht="54" hidden="1" customHeight="1" x14ac:dyDescent="0.25">
      <c r="A1465" s="267" t="s">
        <v>9536</v>
      </c>
      <c r="B1465" s="268">
        <v>11</v>
      </c>
      <c r="C1465" s="240" t="s">
        <v>340</v>
      </c>
      <c r="D1465" s="211" t="s">
        <v>341</v>
      </c>
      <c r="E1465" s="268" t="s">
        <v>9555</v>
      </c>
      <c r="F1465" s="861" t="s">
        <v>985</v>
      </c>
      <c r="G1465" s="269" t="s">
        <v>344</v>
      </c>
      <c r="H1465" s="861" t="s">
        <v>345</v>
      </c>
      <c r="I1465" s="269" t="s">
        <v>346</v>
      </c>
      <c r="J1465" s="296" t="s">
        <v>140</v>
      </c>
      <c r="K1465" s="297" t="s">
        <v>140</v>
      </c>
      <c r="L1465" s="862" t="s">
        <v>988</v>
      </c>
      <c r="M1465" s="206" t="s">
        <v>973</v>
      </c>
      <c r="N1465" s="211" t="s">
        <v>974</v>
      </c>
      <c r="O1465" s="240" t="s">
        <v>144</v>
      </c>
      <c r="P1465" s="240" t="s">
        <v>144</v>
      </c>
      <c r="Q1465" s="845" t="s">
        <v>8550</v>
      </c>
      <c r="R1465" s="208" t="s">
        <v>9556</v>
      </c>
      <c r="S1465" s="864" t="s">
        <v>147</v>
      </c>
      <c r="T1465" s="212" t="s">
        <v>144</v>
      </c>
      <c r="U1465" s="213" t="s">
        <v>144</v>
      </c>
      <c r="V1465" s="847">
        <v>20</v>
      </c>
      <c r="W1465" s="415" t="s">
        <v>144</v>
      </c>
      <c r="X1465" s="212" t="s">
        <v>925</v>
      </c>
      <c r="Y1465" s="212" t="s">
        <v>144</v>
      </c>
      <c r="Z1465" s="212" t="s">
        <v>144</v>
      </c>
      <c r="AA1465" s="240" t="s">
        <v>148</v>
      </c>
      <c r="AB1465" s="206" t="s">
        <v>140</v>
      </c>
      <c r="AC1465" s="847" t="s">
        <v>265</v>
      </c>
      <c r="AD1465" s="847" t="s">
        <v>144</v>
      </c>
      <c r="AE1465" s="847" t="s">
        <v>144</v>
      </c>
      <c r="AF1465" s="848" t="s">
        <v>144</v>
      </c>
      <c r="AG1465" s="838"/>
      <c r="AH1465" s="866" t="s">
        <v>9557</v>
      </c>
      <c r="AI1465" s="273" t="s">
        <v>9558</v>
      </c>
      <c r="AJ1465" s="847">
        <v>7</v>
      </c>
      <c r="AK1465" s="286" t="s">
        <v>9559</v>
      </c>
      <c r="AL1465" s="867"/>
      <c r="AM1465" s="273"/>
      <c r="AN1465" s="847"/>
      <c r="AO1465" s="848"/>
      <c r="AP1465" s="867"/>
      <c r="AQ1465" s="273"/>
      <c r="AR1465" s="847"/>
      <c r="AS1465" s="848"/>
      <c r="AT1465" s="867"/>
      <c r="AU1465" s="273"/>
      <c r="AV1465" s="847"/>
      <c r="AW1465" s="848"/>
      <c r="AX1465" s="867" t="s">
        <v>1047</v>
      </c>
      <c r="AY1465" s="273" t="s">
        <v>1048</v>
      </c>
      <c r="AZ1465" s="847">
        <v>7</v>
      </c>
      <c r="BA1465" s="848" t="s">
        <v>1049</v>
      </c>
      <c r="BB1465" s="866"/>
      <c r="BC1465" s="273"/>
      <c r="BD1465" s="847"/>
      <c r="BE1465" s="848"/>
      <c r="BF1465" s="838"/>
    </row>
    <row r="1466" spans="1:58" s="87" customFormat="1" ht="54" hidden="1" customHeight="1" x14ac:dyDescent="0.25">
      <c r="A1466" s="267" t="s">
        <v>9536</v>
      </c>
      <c r="B1466" s="268">
        <v>12</v>
      </c>
      <c r="C1466" s="240" t="s">
        <v>340</v>
      </c>
      <c r="D1466" s="211" t="s">
        <v>341</v>
      </c>
      <c r="E1466" s="268" t="s">
        <v>9560</v>
      </c>
      <c r="F1466" s="861" t="s">
        <v>990</v>
      </c>
      <c r="G1466" s="269" t="s">
        <v>351</v>
      </c>
      <c r="H1466" s="845" t="s">
        <v>991</v>
      </c>
      <c r="I1466" s="269" t="s">
        <v>992</v>
      </c>
      <c r="J1466" s="296" t="s">
        <v>140</v>
      </c>
      <c r="K1466" s="297" t="s">
        <v>140</v>
      </c>
      <c r="L1466" s="862" t="s">
        <v>993</v>
      </c>
      <c r="M1466" s="206" t="s">
        <v>193</v>
      </c>
      <c r="N1466" s="211" t="s">
        <v>194</v>
      </c>
      <c r="O1466" s="240" t="s">
        <v>144</v>
      </c>
      <c r="P1466" s="240" t="s">
        <v>144</v>
      </c>
      <c r="Q1466" s="845" t="s">
        <v>9561</v>
      </c>
      <c r="R1466" s="208" t="s">
        <v>9562</v>
      </c>
      <c r="S1466" s="864" t="s">
        <v>147</v>
      </c>
      <c r="T1466" s="212" t="s">
        <v>144</v>
      </c>
      <c r="U1466" s="213" t="s">
        <v>144</v>
      </c>
      <c r="V1466" s="847">
        <v>10</v>
      </c>
      <c r="W1466" s="415" t="s">
        <v>144</v>
      </c>
      <c r="X1466" s="212" t="s">
        <v>925</v>
      </c>
      <c r="Y1466" s="212" t="s">
        <v>144</v>
      </c>
      <c r="Z1466" s="241" t="s">
        <v>144</v>
      </c>
      <c r="AA1466" s="615" t="s">
        <v>733</v>
      </c>
      <c r="AB1466" s="206" t="s">
        <v>140</v>
      </c>
      <c r="AC1466" s="847" t="s">
        <v>265</v>
      </c>
      <c r="AD1466" s="847" t="s">
        <v>144</v>
      </c>
      <c r="AE1466" s="847" t="s">
        <v>144</v>
      </c>
      <c r="AF1466" s="848" t="s">
        <v>144</v>
      </c>
      <c r="AG1466" s="838"/>
      <c r="AH1466" s="866"/>
      <c r="AI1466" s="273"/>
      <c r="AJ1466" s="847"/>
      <c r="AK1466" s="848"/>
      <c r="AL1466" s="867"/>
      <c r="AM1466" s="273"/>
      <c r="AN1466" s="847"/>
      <c r="AO1466" s="848"/>
      <c r="AP1466" s="867"/>
      <c r="AQ1466" s="273"/>
      <c r="AR1466" s="847"/>
      <c r="AS1466" s="848"/>
      <c r="AT1466" s="867"/>
      <c r="AU1466" s="273"/>
      <c r="AV1466" s="847"/>
      <c r="AW1466" s="848"/>
      <c r="AX1466" s="867" t="s">
        <v>9563</v>
      </c>
      <c r="AY1466" s="273" t="s">
        <v>9564</v>
      </c>
      <c r="AZ1466" s="847">
        <v>6</v>
      </c>
      <c r="BA1466" s="848" t="s">
        <v>9565</v>
      </c>
      <c r="BB1466" s="866"/>
      <c r="BC1466" s="273"/>
      <c r="BD1466" s="847"/>
      <c r="BE1466" s="848"/>
      <c r="BF1466" s="838"/>
    </row>
    <row r="1467" spans="1:58" s="55" customFormat="1" ht="54" hidden="1" customHeight="1" x14ac:dyDescent="0.25">
      <c r="A1467" s="275" t="s">
        <v>9536</v>
      </c>
      <c r="B1467" s="276">
        <v>13</v>
      </c>
      <c r="C1467" s="253" t="s">
        <v>144</v>
      </c>
      <c r="D1467" s="217" t="s">
        <v>144</v>
      </c>
      <c r="E1467" s="276" t="s">
        <v>9566</v>
      </c>
      <c r="F1467" s="277" t="s">
        <v>357</v>
      </c>
      <c r="G1467" s="277" t="s">
        <v>358</v>
      </c>
      <c r="H1467" s="218" t="s">
        <v>9567</v>
      </c>
      <c r="I1467" s="277" t="s">
        <v>997</v>
      </c>
      <c r="J1467" s="302" t="s">
        <v>144</v>
      </c>
      <c r="K1467" s="302" t="s">
        <v>144</v>
      </c>
      <c r="L1467" s="718" t="s">
        <v>998</v>
      </c>
      <c r="M1467" s="217" t="s">
        <v>144</v>
      </c>
      <c r="N1467" s="217" t="s">
        <v>144</v>
      </c>
      <c r="O1467" s="253" t="s">
        <v>144</v>
      </c>
      <c r="P1467" s="253" t="s">
        <v>144</v>
      </c>
      <c r="Q1467" s="220" t="s">
        <v>338</v>
      </c>
      <c r="R1467" s="220" t="s">
        <v>339</v>
      </c>
      <c r="S1467" s="276" t="s">
        <v>147</v>
      </c>
      <c r="T1467" s="221" t="s">
        <v>144</v>
      </c>
      <c r="U1467" s="221" t="s">
        <v>144</v>
      </c>
      <c r="V1467" s="253">
        <v>30</v>
      </c>
      <c r="W1467" s="217" t="s">
        <v>144</v>
      </c>
      <c r="X1467" s="221" t="s">
        <v>144</v>
      </c>
      <c r="Y1467" s="221">
        <v>43</v>
      </c>
      <c r="Z1467" s="221" t="s">
        <v>144</v>
      </c>
      <c r="AA1467" s="253" t="s">
        <v>144</v>
      </c>
      <c r="AB1467" s="217" t="s">
        <v>144</v>
      </c>
      <c r="AC1467" s="253" t="s">
        <v>265</v>
      </c>
      <c r="AD1467" s="253" t="s">
        <v>144</v>
      </c>
      <c r="AE1467" s="253" t="s">
        <v>144</v>
      </c>
      <c r="AF1467" s="254" t="s">
        <v>144</v>
      </c>
      <c r="AG1467" s="838"/>
      <c r="AH1467" s="280"/>
      <c r="AI1467" s="281"/>
      <c r="AJ1467" s="253"/>
      <c r="AK1467" s="254"/>
      <c r="AL1467" s="281"/>
      <c r="AM1467" s="281"/>
      <c r="AN1467" s="253"/>
      <c r="AO1467" s="254"/>
      <c r="AP1467" s="281"/>
      <c r="AQ1467" s="281"/>
      <c r="AR1467" s="253"/>
      <c r="AS1467" s="254"/>
      <c r="AT1467" s="281"/>
      <c r="AU1467" s="281"/>
      <c r="AV1467" s="253"/>
      <c r="AW1467" s="254"/>
      <c r="AX1467" s="281"/>
      <c r="AY1467" s="281"/>
      <c r="AZ1467" s="253"/>
      <c r="BA1467" s="254"/>
      <c r="BB1467" s="280"/>
      <c r="BC1467" s="281"/>
      <c r="BD1467" s="253"/>
      <c r="BE1467" s="254"/>
      <c r="BF1467" s="838"/>
    </row>
    <row r="1468" spans="1:58" s="55" customFormat="1" ht="54" hidden="1" customHeight="1" x14ac:dyDescent="0.25">
      <c r="A1468" s="275" t="s">
        <v>9536</v>
      </c>
      <c r="B1468" s="276">
        <v>14</v>
      </c>
      <c r="C1468" s="253" t="s">
        <v>256</v>
      </c>
      <c r="D1468" s="217" t="s">
        <v>257</v>
      </c>
      <c r="E1468" s="276" t="s">
        <v>9568</v>
      </c>
      <c r="F1468" s="277" t="s">
        <v>361</v>
      </c>
      <c r="G1468" s="277" t="s">
        <v>362</v>
      </c>
      <c r="H1468" s="218" t="s">
        <v>9569</v>
      </c>
      <c r="I1468" s="277" t="s">
        <v>1007</v>
      </c>
      <c r="J1468" s="302" t="s">
        <v>144</v>
      </c>
      <c r="K1468" s="302" t="s">
        <v>144</v>
      </c>
      <c r="L1468" s="718" t="s">
        <v>1008</v>
      </c>
      <c r="M1468" s="217" t="s">
        <v>144</v>
      </c>
      <c r="N1468" s="217" t="s">
        <v>144</v>
      </c>
      <c r="O1468" s="253" t="s">
        <v>144</v>
      </c>
      <c r="P1468" s="253" t="s">
        <v>144</v>
      </c>
      <c r="Q1468" s="218" t="s">
        <v>9570</v>
      </c>
      <c r="R1468" s="218" t="s">
        <v>9571</v>
      </c>
      <c r="S1468" s="276" t="s">
        <v>147</v>
      </c>
      <c r="T1468" s="221" t="s">
        <v>144</v>
      </c>
      <c r="U1468" s="221" t="s">
        <v>144</v>
      </c>
      <c r="V1468" s="253">
        <v>30</v>
      </c>
      <c r="W1468" s="217" t="s">
        <v>144</v>
      </c>
      <c r="X1468" s="221">
        <v>40</v>
      </c>
      <c r="Y1468" s="374" t="s">
        <v>6955</v>
      </c>
      <c r="Z1468" s="374" t="s">
        <v>144</v>
      </c>
      <c r="AA1468" s="253" t="s">
        <v>148</v>
      </c>
      <c r="AB1468" s="217" t="s">
        <v>144</v>
      </c>
      <c r="AC1468" s="253" t="s">
        <v>265</v>
      </c>
      <c r="AD1468" s="253" t="s">
        <v>144</v>
      </c>
      <c r="AE1468" s="253" t="s">
        <v>144</v>
      </c>
      <c r="AF1468" s="254" t="s">
        <v>144</v>
      </c>
      <c r="AG1468" s="681"/>
      <c r="AH1468" s="280"/>
      <c r="AI1468" s="281"/>
      <c r="AJ1468" s="253"/>
      <c r="AK1468" s="254"/>
      <c r="AL1468" s="281"/>
      <c r="AM1468" s="281"/>
      <c r="AN1468" s="253"/>
      <c r="AO1468" s="254"/>
      <c r="AP1468" s="281"/>
      <c r="AQ1468" s="281"/>
      <c r="AR1468" s="253"/>
      <c r="AS1468" s="254"/>
      <c r="AT1468" s="281"/>
      <c r="AU1468" s="281"/>
      <c r="AV1468" s="253"/>
      <c r="AW1468" s="254"/>
      <c r="AX1468" s="281"/>
      <c r="AY1468" s="281"/>
      <c r="AZ1468" s="253"/>
      <c r="BA1468" s="254"/>
      <c r="BB1468" s="280"/>
      <c r="BC1468" s="281"/>
      <c r="BD1468" s="253"/>
      <c r="BE1468" s="254"/>
      <c r="BF1468" s="838"/>
    </row>
    <row r="1469" spans="1:58" s="55" customFormat="1" ht="54" hidden="1" customHeight="1" x14ac:dyDescent="0.25">
      <c r="A1469" s="275" t="s">
        <v>9536</v>
      </c>
      <c r="B1469" s="276">
        <v>15</v>
      </c>
      <c r="C1469" s="253" t="s">
        <v>144</v>
      </c>
      <c r="D1469" s="217" t="s">
        <v>144</v>
      </c>
      <c r="E1469" s="276" t="s">
        <v>9572</v>
      </c>
      <c r="F1469" s="277" t="s">
        <v>365</v>
      </c>
      <c r="G1469" s="277" t="s">
        <v>366</v>
      </c>
      <c r="H1469" s="218" t="s">
        <v>365</v>
      </c>
      <c r="I1469" s="277" t="s">
        <v>1747</v>
      </c>
      <c r="J1469" s="253" t="s">
        <v>144</v>
      </c>
      <c r="K1469" s="253" t="s">
        <v>144</v>
      </c>
      <c r="L1469" s="718" t="s">
        <v>1010</v>
      </c>
      <c r="M1469" s="253" t="s">
        <v>144</v>
      </c>
      <c r="N1469" s="253" t="s">
        <v>144</v>
      </c>
      <c r="O1469" s="253" t="s">
        <v>144</v>
      </c>
      <c r="P1469" s="253" t="s">
        <v>144</v>
      </c>
      <c r="Q1469" s="218" t="s">
        <v>144</v>
      </c>
      <c r="R1469" s="218" t="s">
        <v>144</v>
      </c>
      <c r="S1469" s="276" t="s">
        <v>147</v>
      </c>
      <c r="T1469" s="221" t="s">
        <v>144</v>
      </c>
      <c r="U1469" s="221" t="s">
        <v>144</v>
      </c>
      <c r="V1469" s="253">
        <v>40</v>
      </c>
      <c r="W1469" s="217" t="s">
        <v>144</v>
      </c>
      <c r="X1469" s="221" t="s">
        <v>144</v>
      </c>
      <c r="Y1469" s="221">
        <v>43</v>
      </c>
      <c r="Z1469" s="221" t="s">
        <v>144</v>
      </c>
      <c r="AA1469" s="278" t="s">
        <v>144</v>
      </c>
      <c r="AB1469" s="217" t="s">
        <v>144</v>
      </c>
      <c r="AC1469" s="253" t="s">
        <v>265</v>
      </c>
      <c r="AD1469" s="253" t="s">
        <v>144</v>
      </c>
      <c r="AE1469" s="253" t="s">
        <v>144</v>
      </c>
      <c r="AF1469" s="254" t="s">
        <v>144</v>
      </c>
      <c r="AG1469" s="838"/>
      <c r="AH1469" s="280"/>
      <c r="AI1469" s="281"/>
      <c r="AJ1469" s="253"/>
      <c r="AK1469" s="254"/>
      <c r="AL1469" s="281"/>
      <c r="AM1469" s="281"/>
      <c r="AN1469" s="253"/>
      <c r="AO1469" s="254"/>
      <c r="AP1469" s="281"/>
      <c r="AQ1469" s="281"/>
      <c r="AR1469" s="253"/>
      <c r="AS1469" s="254"/>
      <c r="AT1469" s="281"/>
      <c r="AU1469" s="281"/>
      <c r="AV1469" s="253"/>
      <c r="AW1469" s="254"/>
      <c r="AX1469" s="281"/>
      <c r="AY1469" s="281"/>
      <c r="AZ1469" s="253"/>
      <c r="BA1469" s="254"/>
      <c r="BB1469" s="280"/>
      <c r="BC1469" s="281"/>
      <c r="BD1469" s="253"/>
      <c r="BE1469" s="254"/>
      <c r="BF1469" s="838"/>
    </row>
    <row r="1470" spans="1:58" s="87" customFormat="1" ht="54" hidden="1" customHeight="1" x14ac:dyDescent="0.25">
      <c r="A1470" s="267" t="s">
        <v>9536</v>
      </c>
      <c r="B1470" s="268">
        <v>16</v>
      </c>
      <c r="C1470" s="240" t="s">
        <v>994</v>
      </c>
      <c r="D1470" s="211" t="s">
        <v>995</v>
      </c>
      <c r="E1470" s="268" t="s">
        <v>9573</v>
      </c>
      <c r="F1470" s="861" t="s">
        <v>369</v>
      </c>
      <c r="G1470" s="269" t="s">
        <v>1750</v>
      </c>
      <c r="H1470" s="845" t="s">
        <v>9574</v>
      </c>
      <c r="I1470" s="269" t="s">
        <v>9575</v>
      </c>
      <c r="J1470" s="296" t="s">
        <v>140</v>
      </c>
      <c r="K1470" s="297" t="s">
        <v>140</v>
      </c>
      <c r="L1470" s="862" t="s">
        <v>1014</v>
      </c>
      <c r="M1470" s="206" t="s">
        <v>973</v>
      </c>
      <c r="N1470" s="211" t="s">
        <v>974</v>
      </c>
      <c r="O1470" s="240" t="s">
        <v>144</v>
      </c>
      <c r="P1470" s="240" t="s">
        <v>144</v>
      </c>
      <c r="Q1470" s="845" t="s">
        <v>9576</v>
      </c>
      <c r="R1470" s="208" t="s">
        <v>9577</v>
      </c>
      <c r="S1470" s="864" t="s">
        <v>147</v>
      </c>
      <c r="T1470" s="212" t="s">
        <v>144</v>
      </c>
      <c r="U1470" s="213" t="s">
        <v>144</v>
      </c>
      <c r="V1470" s="847">
        <v>40</v>
      </c>
      <c r="W1470" s="415" t="s">
        <v>144</v>
      </c>
      <c r="X1470" s="212" t="s">
        <v>925</v>
      </c>
      <c r="Y1470" s="212" t="s">
        <v>144</v>
      </c>
      <c r="Z1470" s="241" t="s">
        <v>144</v>
      </c>
      <c r="AA1470" s="615" t="s">
        <v>733</v>
      </c>
      <c r="AB1470" s="206" t="s">
        <v>140</v>
      </c>
      <c r="AC1470" s="847" t="s">
        <v>265</v>
      </c>
      <c r="AD1470" s="847" t="s">
        <v>144</v>
      </c>
      <c r="AE1470" s="847" t="s">
        <v>144</v>
      </c>
      <c r="AF1470" s="848" t="s">
        <v>144</v>
      </c>
      <c r="AG1470" s="838"/>
      <c r="AH1470" s="866" t="s">
        <v>9578</v>
      </c>
      <c r="AI1470" s="273" t="s">
        <v>9579</v>
      </c>
      <c r="AJ1470" s="847">
        <v>7</v>
      </c>
      <c r="AK1470" s="848" t="s">
        <v>1002</v>
      </c>
      <c r="AL1470" s="867"/>
      <c r="AM1470" s="273"/>
      <c r="AN1470" s="847"/>
      <c r="AO1470" s="848"/>
      <c r="AP1470" s="867"/>
      <c r="AQ1470" s="273"/>
      <c r="AR1470" s="847"/>
      <c r="AS1470" s="848"/>
      <c r="AT1470" s="867" t="s">
        <v>9580</v>
      </c>
      <c r="AU1470" s="273" t="s">
        <v>9581</v>
      </c>
      <c r="AV1470" s="847">
        <v>6</v>
      </c>
      <c r="AW1470" s="286" t="s">
        <v>9582</v>
      </c>
      <c r="AX1470" s="867" t="s">
        <v>9583</v>
      </c>
      <c r="AY1470" s="273" t="s">
        <v>9584</v>
      </c>
      <c r="AZ1470" s="847">
        <v>7</v>
      </c>
      <c r="BA1470" s="848" t="s">
        <v>9585</v>
      </c>
      <c r="BB1470" s="866"/>
      <c r="BC1470" s="273"/>
      <c r="BD1470" s="847"/>
      <c r="BE1470" s="848"/>
      <c r="BF1470" s="838"/>
    </row>
    <row r="1471" spans="1:58" s="87" customFormat="1" ht="54" hidden="1" customHeight="1" x14ac:dyDescent="0.25">
      <c r="A1471" s="267" t="s">
        <v>9536</v>
      </c>
      <c r="B1471" s="268">
        <v>17</v>
      </c>
      <c r="C1471" s="240" t="s">
        <v>994</v>
      </c>
      <c r="D1471" s="211" t="s">
        <v>995</v>
      </c>
      <c r="E1471" s="268" t="s">
        <v>9586</v>
      </c>
      <c r="F1471" s="861" t="s">
        <v>373</v>
      </c>
      <c r="G1471" s="269" t="s">
        <v>1016</v>
      </c>
      <c r="H1471" s="845" t="s">
        <v>9587</v>
      </c>
      <c r="I1471" s="269" t="s">
        <v>9588</v>
      </c>
      <c r="J1471" s="296" t="s">
        <v>140</v>
      </c>
      <c r="K1471" s="297" t="s">
        <v>140</v>
      </c>
      <c r="L1471" s="862" t="s">
        <v>1017</v>
      </c>
      <c r="M1471" s="206" t="s">
        <v>973</v>
      </c>
      <c r="N1471" s="211" t="s">
        <v>974</v>
      </c>
      <c r="O1471" s="240" t="s">
        <v>144</v>
      </c>
      <c r="P1471" s="240" t="s">
        <v>144</v>
      </c>
      <c r="Q1471" s="845" t="s">
        <v>9589</v>
      </c>
      <c r="R1471" s="208" t="s">
        <v>9590</v>
      </c>
      <c r="S1471" s="864" t="s">
        <v>147</v>
      </c>
      <c r="T1471" s="212" t="s">
        <v>144</v>
      </c>
      <c r="U1471" s="213" t="s">
        <v>144</v>
      </c>
      <c r="V1471" s="847">
        <v>40</v>
      </c>
      <c r="W1471" s="415" t="s">
        <v>144</v>
      </c>
      <c r="X1471" s="212" t="s">
        <v>925</v>
      </c>
      <c r="Y1471" s="212" t="s">
        <v>144</v>
      </c>
      <c r="Z1471" s="241" t="s">
        <v>144</v>
      </c>
      <c r="AA1471" s="615" t="s">
        <v>733</v>
      </c>
      <c r="AB1471" s="206" t="s">
        <v>140</v>
      </c>
      <c r="AC1471" s="847" t="s">
        <v>265</v>
      </c>
      <c r="AD1471" s="847" t="s">
        <v>144</v>
      </c>
      <c r="AE1471" s="847" t="s">
        <v>144</v>
      </c>
      <c r="AF1471" s="848" t="s">
        <v>144</v>
      </c>
      <c r="AG1471" s="838"/>
      <c r="AH1471" s="866" t="s">
        <v>9591</v>
      </c>
      <c r="AI1471" s="273" t="s">
        <v>9592</v>
      </c>
      <c r="AJ1471" s="847">
        <v>7</v>
      </c>
      <c r="AK1471" s="848" t="s">
        <v>1002</v>
      </c>
      <c r="AL1471" s="867"/>
      <c r="AM1471" s="273"/>
      <c r="AN1471" s="847"/>
      <c r="AO1471" s="848"/>
      <c r="AP1471" s="867"/>
      <c r="AQ1471" s="273"/>
      <c r="AR1471" s="847"/>
      <c r="AS1471" s="848"/>
      <c r="AT1471" s="867"/>
      <c r="AU1471" s="273"/>
      <c r="AV1471" s="847"/>
      <c r="AW1471" s="286"/>
      <c r="AX1471" s="867" t="s">
        <v>9593</v>
      </c>
      <c r="AY1471" s="273" t="s">
        <v>9594</v>
      </c>
      <c r="AZ1471" s="847">
        <v>7</v>
      </c>
      <c r="BA1471" s="848" t="s">
        <v>9595</v>
      </c>
      <c r="BB1471" s="866"/>
      <c r="BC1471" s="273"/>
      <c r="BD1471" s="847"/>
      <c r="BE1471" s="848"/>
      <c r="BF1471" s="838"/>
    </row>
    <row r="1472" spans="1:58" s="56" customFormat="1" ht="54" customHeight="1" x14ac:dyDescent="0.25">
      <c r="A1472" s="275" t="s">
        <v>9536</v>
      </c>
      <c r="B1472" s="276">
        <v>18</v>
      </c>
      <c r="C1472" s="253" t="s">
        <v>144</v>
      </c>
      <c r="D1472" s="217" t="s">
        <v>144</v>
      </c>
      <c r="E1472" s="282" t="s">
        <v>9596</v>
      </c>
      <c r="F1472" s="279" t="s">
        <v>251</v>
      </c>
      <c r="G1472" s="279" t="s">
        <v>251</v>
      </c>
      <c r="H1472" s="220" t="s">
        <v>336</v>
      </c>
      <c r="I1472" s="279" t="s">
        <v>337</v>
      </c>
      <c r="J1472" s="278" t="s">
        <v>144</v>
      </c>
      <c r="K1472" s="278" t="s">
        <v>144</v>
      </c>
      <c r="L1472" s="718" t="s">
        <v>1019</v>
      </c>
      <c r="M1472" s="253" t="s">
        <v>144</v>
      </c>
      <c r="N1472" s="278" t="s">
        <v>144</v>
      </c>
      <c r="O1472" s="253" t="s">
        <v>144</v>
      </c>
      <c r="P1472" s="253" t="s">
        <v>144</v>
      </c>
      <c r="Q1472" s="220" t="s">
        <v>338</v>
      </c>
      <c r="R1472" s="220" t="s">
        <v>339</v>
      </c>
      <c r="S1472" s="282" t="s">
        <v>147</v>
      </c>
      <c r="T1472" s="229" t="s">
        <v>144</v>
      </c>
      <c r="U1472" s="229" t="s">
        <v>144</v>
      </c>
      <c r="V1472" s="278">
        <v>11</v>
      </c>
      <c r="W1472" s="217" t="s">
        <v>144</v>
      </c>
      <c r="X1472" s="221" t="s">
        <v>144</v>
      </c>
      <c r="Y1472" s="229" t="s">
        <v>144</v>
      </c>
      <c r="Z1472" s="229" t="s">
        <v>144</v>
      </c>
      <c r="AA1472" s="253" t="s">
        <v>144</v>
      </c>
      <c r="AB1472" s="217" t="s">
        <v>144</v>
      </c>
      <c r="AC1472" s="253" t="s">
        <v>265</v>
      </c>
      <c r="AD1472" s="278" t="s">
        <v>144</v>
      </c>
      <c r="AE1472" s="278" t="s">
        <v>144</v>
      </c>
      <c r="AF1472" s="283" t="s">
        <v>144</v>
      </c>
      <c r="AG1472" s="838"/>
      <c r="AH1472" s="280"/>
      <c r="AI1472" s="281"/>
      <c r="AJ1472" s="253"/>
      <c r="AK1472" s="254"/>
      <c r="AL1472" s="281"/>
      <c r="AM1472" s="281"/>
      <c r="AN1472" s="253"/>
      <c r="AO1472" s="254"/>
      <c r="AP1472" s="281"/>
      <c r="AQ1472" s="281"/>
      <c r="AR1472" s="253"/>
      <c r="AS1472" s="254"/>
      <c r="AT1472" s="281"/>
      <c r="AU1472" s="281"/>
      <c r="AV1472" s="253"/>
      <c r="AW1472" s="254"/>
      <c r="AX1472" s="281"/>
      <c r="AY1472" s="281"/>
      <c r="AZ1472" s="253"/>
      <c r="BA1472" s="254"/>
      <c r="BB1472" s="280"/>
      <c r="BC1472" s="281"/>
      <c r="BD1472" s="253"/>
      <c r="BE1472" s="254"/>
      <c r="BF1472" s="838"/>
    </row>
    <row r="1473" spans="1:58" s="56" customFormat="1" ht="54" customHeight="1" x14ac:dyDescent="0.25">
      <c r="A1473" s="275" t="s">
        <v>9536</v>
      </c>
      <c r="B1473" s="276">
        <v>19</v>
      </c>
      <c r="C1473" s="253" t="s">
        <v>144</v>
      </c>
      <c r="D1473" s="217" t="s">
        <v>144</v>
      </c>
      <c r="E1473" s="282" t="s">
        <v>9597</v>
      </c>
      <c r="F1473" s="279" t="s">
        <v>251</v>
      </c>
      <c r="G1473" s="279" t="s">
        <v>251</v>
      </c>
      <c r="H1473" s="220" t="s">
        <v>336</v>
      </c>
      <c r="I1473" s="279" t="s">
        <v>337</v>
      </c>
      <c r="J1473" s="278" t="s">
        <v>144</v>
      </c>
      <c r="K1473" s="278" t="s">
        <v>144</v>
      </c>
      <c r="L1473" s="718" t="s">
        <v>144</v>
      </c>
      <c r="M1473" s="253" t="s">
        <v>144</v>
      </c>
      <c r="N1473" s="278" t="s">
        <v>144</v>
      </c>
      <c r="O1473" s="253" t="s">
        <v>144</v>
      </c>
      <c r="P1473" s="253" t="s">
        <v>144</v>
      </c>
      <c r="Q1473" s="220" t="s">
        <v>338</v>
      </c>
      <c r="R1473" s="220" t="s">
        <v>339</v>
      </c>
      <c r="S1473" s="282" t="s">
        <v>147</v>
      </c>
      <c r="T1473" s="229" t="s">
        <v>144</v>
      </c>
      <c r="U1473" s="229" t="s">
        <v>144</v>
      </c>
      <c r="V1473" s="278">
        <v>7</v>
      </c>
      <c r="W1473" s="217" t="s">
        <v>144</v>
      </c>
      <c r="X1473" s="221" t="s">
        <v>144</v>
      </c>
      <c r="Y1473" s="229" t="s">
        <v>144</v>
      </c>
      <c r="Z1473" s="229" t="s">
        <v>144</v>
      </c>
      <c r="AA1473" s="253" t="s">
        <v>144</v>
      </c>
      <c r="AB1473" s="217" t="s">
        <v>144</v>
      </c>
      <c r="AC1473" s="253" t="s">
        <v>265</v>
      </c>
      <c r="AD1473" s="278" t="s">
        <v>144</v>
      </c>
      <c r="AE1473" s="278" t="s">
        <v>144</v>
      </c>
      <c r="AF1473" s="283" t="s">
        <v>144</v>
      </c>
      <c r="AG1473" s="838"/>
      <c r="AH1473" s="280"/>
      <c r="AI1473" s="281"/>
      <c r="AJ1473" s="253"/>
      <c r="AK1473" s="254"/>
      <c r="AL1473" s="281"/>
      <c r="AM1473" s="281"/>
      <c r="AN1473" s="253"/>
      <c r="AO1473" s="254"/>
      <c r="AP1473" s="281"/>
      <c r="AQ1473" s="281"/>
      <c r="AR1473" s="253"/>
      <c r="AS1473" s="254"/>
      <c r="AT1473" s="281"/>
      <c r="AU1473" s="281"/>
      <c r="AV1473" s="253"/>
      <c r="AW1473" s="254"/>
      <c r="AX1473" s="281"/>
      <c r="AY1473" s="281"/>
      <c r="AZ1473" s="253"/>
      <c r="BA1473" s="254"/>
      <c r="BB1473" s="280"/>
      <c r="BC1473" s="281"/>
      <c r="BD1473" s="253"/>
      <c r="BE1473" s="254"/>
      <c r="BF1473" s="838"/>
    </row>
    <row r="1474" spans="1:58" s="56" customFormat="1" ht="54" customHeight="1" x14ac:dyDescent="0.25">
      <c r="A1474" s="275" t="s">
        <v>9536</v>
      </c>
      <c r="B1474" s="276">
        <v>20</v>
      </c>
      <c r="C1474" s="253" t="s">
        <v>144</v>
      </c>
      <c r="D1474" s="217" t="s">
        <v>144</v>
      </c>
      <c r="E1474" s="282" t="s">
        <v>9598</v>
      </c>
      <c r="F1474" s="279" t="s">
        <v>251</v>
      </c>
      <c r="G1474" s="279" t="s">
        <v>251</v>
      </c>
      <c r="H1474" s="220" t="s">
        <v>336</v>
      </c>
      <c r="I1474" s="279" t="s">
        <v>337</v>
      </c>
      <c r="J1474" s="278" t="s">
        <v>144</v>
      </c>
      <c r="K1474" s="278" t="s">
        <v>144</v>
      </c>
      <c r="L1474" s="718" t="s">
        <v>144</v>
      </c>
      <c r="M1474" s="253" t="s">
        <v>144</v>
      </c>
      <c r="N1474" s="278" t="s">
        <v>144</v>
      </c>
      <c r="O1474" s="253" t="s">
        <v>144</v>
      </c>
      <c r="P1474" s="253" t="s">
        <v>144</v>
      </c>
      <c r="Q1474" s="220" t="s">
        <v>338</v>
      </c>
      <c r="R1474" s="220" t="s">
        <v>339</v>
      </c>
      <c r="S1474" s="282" t="s">
        <v>147</v>
      </c>
      <c r="T1474" s="229" t="s">
        <v>144</v>
      </c>
      <c r="U1474" s="229" t="s">
        <v>144</v>
      </c>
      <c r="V1474" s="278">
        <v>2</v>
      </c>
      <c r="W1474" s="217" t="s">
        <v>144</v>
      </c>
      <c r="X1474" s="221" t="s">
        <v>144</v>
      </c>
      <c r="Y1474" s="229" t="s">
        <v>144</v>
      </c>
      <c r="Z1474" s="229" t="s">
        <v>144</v>
      </c>
      <c r="AA1474" s="253" t="s">
        <v>144</v>
      </c>
      <c r="AB1474" s="217" t="s">
        <v>144</v>
      </c>
      <c r="AC1474" s="253" t="s">
        <v>265</v>
      </c>
      <c r="AD1474" s="278" t="s">
        <v>144</v>
      </c>
      <c r="AE1474" s="278" t="s">
        <v>144</v>
      </c>
      <c r="AF1474" s="283" t="s">
        <v>144</v>
      </c>
      <c r="AG1474" s="838"/>
      <c r="AH1474" s="280"/>
      <c r="AI1474" s="281"/>
      <c r="AJ1474" s="253"/>
      <c r="AK1474" s="254"/>
      <c r="AL1474" s="281"/>
      <c r="AM1474" s="281"/>
      <c r="AN1474" s="253"/>
      <c r="AO1474" s="254"/>
      <c r="AP1474" s="281"/>
      <c r="AQ1474" s="281"/>
      <c r="AR1474" s="253"/>
      <c r="AS1474" s="254"/>
      <c r="AT1474" s="281"/>
      <c r="AU1474" s="281"/>
      <c r="AV1474" s="253"/>
      <c r="AW1474" s="254"/>
      <c r="AX1474" s="281"/>
      <c r="AY1474" s="281"/>
      <c r="AZ1474" s="253"/>
      <c r="BA1474" s="254"/>
      <c r="BB1474" s="280"/>
      <c r="BC1474" s="281"/>
      <c r="BD1474" s="253"/>
      <c r="BE1474" s="254"/>
      <c r="BF1474" s="838"/>
    </row>
    <row r="1475" spans="1:58" s="87" customFormat="1" ht="54" hidden="1" customHeight="1" x14ac:dyDescent="0.25">
      <c r="A1475" s="267" t="s">
        <v>9536</v>
      </c>
      <c r="B1475" s="268">
        <v>21</v>
      </c>
      <c r="C1475" s="240" t="s">
        <v>1022</v>
      </c>
      <c r="D1475" s="211" t="s">
        <v>1023</v>
      </c>
      <c r="E1475" s="268" t="s">
        <v>9599</v>
      </c>
      <c r="F1475" s="861" t="s">
        <v>9600</v>
      </c>
      <c r="G1475" s="269" t="s">
        <v>9601</v>
      </c>
      <c r="H1475" s="845" t="s">
        <v>9602</v>
      </c>
      <c r="I1475" s="269" t="s">
        <v>9603</v>
      </c>
      <c r="J1475" s="296" t="s">
        <v>140</v>
      </c>
      <c r="K1475" s="297" t="s">
        <v>140</v>
      </c>
      <c r="L1475" s="862" t="s">
        <v>9604</v>
      </c>
      <c r="M1475" s="206" t="s">
        <v>142</v>
      </c>
      <c r="N1475" s="211" t="s">
        <v>143</v>
      </c>
      <c r="O1475" s="240" t="s">
        <v>9605</v>
      </c>
      <c r="P1475" s="240" t="s">
        <v>9606</v>
      </c>
      <c r="Q1475" s="845" t="s">
        <v>9607</v>
      </c>
      <c r="R1475" s="208" t="s">
        <v>9608</v>
      </c>
      <c r="S1475" s="864" t="s">
        <v>147</v>
      </c>
      <c r="T1475" s="212" t="s">
        <v>144</v>
      </c>
      <c r="U1475" s="213" t="s">
        <v>144</v>
      </c>
      <c r="V1475" s="847">
        <v>1</v>
      </c>
      <c r="W1475" s="415" t="s">
        <v>144</v>
      </c>
      <c r="X1475" s="212">
        <v>40</v>
      </c>
      <c r="Y1475" s="212" t="s">
        <v>144</v>
      </c>
      <c r="Z1475" s="433" t="s">
        <v>144</v>
      </c>
      <c r="AA1475" s="437" t="s">
        <v>9609</v>
      </c>
      <c r="AB1475" s="206" t="s">
        <v>140</v>
      </c>
      <c r="AC1475" s="847" t="s">
        <v>265</v>
      </c>
      <c r="AD1475" s="847" t="s">
        <v>144</v>
      </c>
      <c r="AE1475" s="847" t="s">
        <v>144</v>
      </c>
      <c r="AF1475" s="848" t="s">
        <v>144</v>
      </c>
      <c r="AG1475" s="838"/>
      <c r="AH1475" s="866" t="s">
        <v>266</v>
      </c>
      <c r="AI1475" s="273" t="s">
        <v>267</v>
      </c>
      <c r="AJ1475" s="847">
        <v>7</v>
      </c>
      <c r="AK1475" s="848" t="s">
        <v>8560</v>
      </c>
      <c r="AL1475" s="185" t="s">
        <v>294</v>
      </c>
      <c r="AM1475" s="186" t="s">
        <v>295</v>
      </c>
      <c r="AN1475" s="847">
        <v>7</v>
      </c>
      <c r="AO1475" s="187" t="s">
        <v>966</v>
      </c>
      <c r="AP1475" s="875"/>
      <c r="AQ1475" s="301"/>
      <c r="AR1475" s="847"/>
      <c r="AS1475" s="848"/>
      <c r="AT1475" s="867"/>
      <c r="AU1475" s="273"/>
      <c r="AV1475" s="847"/>
      <c r="AW1475" s="848"/>
      <c r="AX1475" s="134" t="s">
        <v>9610</v>
      </c>
      <c r="AY1475" s="135" t="s">
        <v>9611</v>
      </c>
      <c r="AZ1475" s="847" t="s">
        <v>1724</v>
      </c>
      <c r="BA1475" s="848" t="s">
        <v>9612</v>
      </c>
      <c r="BB1475" s="866" t="s">
        <v>9613</v>
      </c>
      <c r="BC1475" s="273" t="s">
        <v>9614</v>
      </c>
      <c r="BD1475" s="847">
        <v>6</v>
      </c>
      <c r="BE1475" s="848" t="s">
        <v>9615</v>
      </c>
      <c r="BF1475" s="838"/>
    </row>
    <row r="1476" spans="1:58" s="87" customFormat="1" ht="54" hidden="1" customHeight="1" x14ac:dyDescent="0.25">
      <c r="A1476" s="267" t="s">
        <v>9536</v>
      </c>
      <c r="B1476" s="268">
        <v>22</v>
      </c>
      <c r="C1476" s="240" t="s">
        <v>1022</v>
      </c>
      <c r="D1476" s="211" t="s">
        <v>1023</v>
      </c>
      <c r="E1476" s="268" t="s">
        <v>9616</v>
      </c>
      <c r="F1476" s="861" t="s">
        <v>9617</v>
      </c>
      <c r="G1476" s="269" t="s">
        <v>9618</v>
      </c>
      <c r="H1476" s="845" t="s">
        <v>9617</v>
      </c>
      <c r="I1476" s="269" t="s">
        <v>9618</v>
      </c>
      <c r="J1476" s="296" t="s">
        <v>140</v>
      </c>
      <c r="K1476" s="297" t="s">
        <v>140</v>
      </c>
      <c r="L1476" s="862" t="s">
        <v>9619</v>
      </c>
      <c r="M1476" s="206" t="s">
        <v>142</v>
      </c>
      <c r="N1476" s="211" t="s">
        <v>143</v>
      </c>
      <c r="O1476" s="240" t="s">
        <v>9620</v>
      </c>
      <c r="P1476" s="240" t="s">
        <v>9621</v>
      </c>
      <c r="Q1476" s="845" t="s">
        <v>144</v>
      </c>
      <c r="R1476" s="208" t="s">
        <v>144</v>
      </c>
      <c r="S1476" s="864" t="s">
        <v>147</v>
      </c>
      <c r="T1476" s="212" t="s">
        <v>144</v>
      </c>
      <c r="U1476" s="213" t="s">
        <v>144</v>
      </c>
      <c r="V1476" s="847">
        <v>1</v>
      </c>
      <c r="W1476" s="415" t="s">
        <v>144</v>
      </c>
      <c r="X1476" s="212">
        <v>40</v>
      </c>
      <c r="Y1476" s="212" t="s">
        <v>144</v>
      </c>
      <c r="Z1476" s="241" t="s">
        <v>144</v>
      </c>
      <c r="AA1476" s="437" t="s">
        <v>9622</v>
      </c>
      <c r="AB1476" s="206" t="s">
        <v>140</v>
      </c>
      <c r="AC1476" s="847" t="s">
        <v>265</v>
      </c>
      <c r="AD1476" s="847" t="s">
        <v>144</v>
      </c>
      <c r="AE1476" s="847" t="s">
        <v>144</v>
      </c>
      <c r="AF1476" s="848" t="s">
        <v>144</v>
      </c>
      <c r="AG1476" s="838"/>
      <c r="AH1476" s="866" t="s">
        <v>266</v>
      </c>
      <c r="AI1476" s="273" t="s">
        <v>267</v>
      </c>
      <c r="AJ1476" s="847">
        <v>7</v>
      </c>
      <c r="AK1476" s="848" t="s">
        <v>1046</v>
      </c>
      <c r="AL1476" s="185" t="s">
        <v>294</v>
      </c>
      <c r="AM1476" s="186" t="s">
        <v>295</v>
      </c>
      <c r="AN1476" s="847">
        <v>7</v>
      </c>
      <c r="AO1476" s="187" t="s">
        <v>966</v>
      </c>
      <c r="AP1476" s="867" t="s">
        <v>9623</v>
      </c>
      <c r="AQ1476" s="273" t="s">
        <v>9624</v>
      </c>
      <c r="AR1476" s="847">
        <v>7</v>
      </c>
      <c r="AS1476" s="286" t="s">
        <v>9625</v>
      </c>
      <c r="AT1476" s="867"/>
      <c r="AU1476" s="273"/>
      <c r="AV1476" s="847"/>
      <c r="AW1476" s="848"/>
      <c r="AX1476" s="867"/>
      <c r="AY1476" s="273"/>
      <c r="AZ1476" s="847"/>
      <c r="BA1476" s="848"/>
      <c r="BB1476" s="866"/>
      <c r="BC1476" s="273"/>
      <c r="BD1476" s="847"/>
      <c r="BE1476" s="848"/>
      <c r="BF1476" s="838"/>
    </row>
    <row r="1477" spans="1:58" s="55" customFormat="1" ht="54" customHeight="1" x14ac:dyDescent="0.25">
      <c r="A1477" s="275" t="s">
        <v>9536</v>
      </c>
      <c r="B1477" s="276">
        <v>23</v>
      </c>
      <c r="C1477" s="253" t="s">
        <v>144</v>
      </c>
      <c r="D1477" s="217" t="s">
        <v>144</v>
      </c>
      <c r="E1477" s="276" t="s">
        <v>9626</v>
      </c>
      <c r="F1477" s="279" t="s">
        <v>251</v>
      </c>
      <c r="G1477" s="279" t="s">
        <v>251</v>
      </c>
      <c r="H1477" s="220" t="s">
        <v>336</v>
      </c>
      <c r="I1477" s="277" t="s">
        <v>337</v>
      </c>
      <c r="J1477" s="302" t="s">
        <v>144</v>
      </c>
      <c r="K1477" s="302" t="s">
        <v>144</v>
      </c>
      <c r="L1477" s="718" t="s">
        <v>9627</v>
      </c>
      <c r="M1477" s="253" t="s">
        <v>144</v>
      </c>
      <c r="N1477" s="302" t="s">
        <v>144</v>
      </c>
      <c r="O1477" s="253" t="s">
        <v>144</v>
      </c>
      <c r="P1477" s="253" t="s">
        <v>144</v>
      </c>
      <c r="Q1477" s="220" t="s">
        <v>338</v>
      </c>
      <c r="R1477" s="220" t="s">
        <v>339</v>
      </c>
      <c r="S1477" s="276" t="s">
        <v>147</v>
      </c>
      <c r="T1477" s="221" t="s">
        <v>144</v>
      </c>
      <c r="U1477" s="221" t="s">
        <v>144</v>
      </c>
      <c r="V1477" s="253">
        <v>12</v>
      </c>
      <c r="W1477" s="217" t="s">
        <v>144</v>
      </c>
      <c r="X1477" s="221" t="s">
        <v>144</v>
      </c>
      <c r="Y1477" s="221" t="s">
        <v>144</v>
      </c>
      <c r="Z1477" s="221" t="s">
        <v>144</v>
      </c>
      <c r="AA1477" s="253" t="s">
        <v>144</v>
      </c>
      <c r="AB1477" s="217" t="s">
        <v>144</v>
      </c>
      <c r="AC1477" s="253" t="s">
        <v>265</v>
      </c>
      <c r="AD1477" s="253" t="s">
        <v>144</v>
      </c>
      <c r="AE1477" s="253" t="s">
        <v>144</v>
      </c>
      <c r="AF1477" s="254" t="s">
        <v>144</v>
      </c>
      <c r="AG1477" s="838"/>
      <c r="AH1477" s="280"/>
      <c r="AI1477" s="281"/>
      <c r="AJ1477" s="253"/>
      <c r="AK1477" s="254"/>
      <c r="AL1477" s="281"/>
      <c r="AM1477" s="281"/>
      <c r="AN1477" s="253"/>
      <c r="AO1477" s="254"/>
      <c r="AP1477" s="281"/>
      <c r="AQ1477" s="281"/>
      <c r="AR1477" s="253"/>
      <c r="AS1477" s="254"/>
      <c r="AT1477" s="281"/>
      <c r="AU1477" s="281"/>
      <c r="AV1477" s="253"/>
      <c r="AW1477" s="254"/>
      <c r="AX1477" s="281"/>
      <c r="AY1477" s="281"/>
      <c r="AZ1477" s="253"/>
      <c r="BA1477" s="254"/>
      <c r="BB1477" s="280"/>
      <c r="BC1477" s="281"/>
      <c r="BD1477" s="253"/>
      <c r="BE1477" s="254"/>
      <c r="BF1477" s="838"/>
    </row>
    <row r="1478" spans="1:58" s="87" customFormat="1" ht="54" hidden="1" customHeight="1" x14ac:dyDescent="0.25">
      <c r="A1478" s="267" t="s">
        <v>9536</v>
      </c>
      <c r="B1478" s="268">
        <v>24</v>
      </c>
      <c r="C1478" s="240" t="s">
        <v>1022</v>
      </c>
      <c r="D1478" s="211" t="s">
        <v>1023</v>
      </c>
      <c r="E1478" s="298" t="s">
        <v>9628</v>
      </c>
      <c r="F1478" s="861" t="s">
        <v>9629</v>
      </c>
      <c r="G1478" s="269" t="s">
        <v>9630</v>
      </c>
      <c r="H1478" s="845" t="s">
        <v>9631</v>
      </c>
      <c r="I1478" s="269" t="s">
        <v>9632</v>
      </c>
      <c r="J1478" s="296" t="s">
        <v>140</v>
      </c>
      <c r="K1478" s="297" t="s">
        <v>140</v>
      </c>
      <c r="L1478" s="862" t="s">
        <v>9633</v>
      </c>
      <c r="M1478" s="206" t="s">
        <v>142</v>
      </c>
      <c r="N1478" s="211" t="s">
        <v>143</v>
      </c>
      <c r="O1478" s="240" t="s">
        <v>9634</v>
      </c>
      <c r="P1478" s="240" t="s">
        <v>9635</v>
      </c>
      <c r="Q1478" s="845" t="s">
        <v>144</v>
      </c>
      <c r="R1478" s="208" t="s">
        <v>144</v>
      </c>
      <c r="S1478" s="864" t="s">
        <v>147</v>
      </c>
      <c r="T1478" s="212" t="s">
        <v>144</v>
      </c>
      <c r="U1478" s="213" t="s">
        <v>144</v>
      </c>
      <c r="V1478" s="847">
        <v>1</v>
      </c>
      <c r="W1478" s="415" t="s">
        <v>144</v>
      </c>
      <c r="X1478" s="212">
        <v>42</v>
      </c>
      <c r="Y1478" s="212" t="s">
        <v>144</v>
      </c>
      <c r="Z1478" s="212" t="s">
        <v>144</v>
      </c>
      <c r="AA1478" s="240" t="s">
        <v>3015</v>
      </c>
      <c r="AB1478" s="206" t="s">
        <v>140</v>
      </c>
      <c r="AC1478" s="847" t="s">
        <v>265</v>
      </c>
      <c r="AD1478" s="847" t="s">
        <v>144</v>
      </c>
      <c r="AE1478" s="847" t="s">
        <v>144</v>
      </c>
      <c r="AF1478" s="848" t="s">
        <v>144</v>
      </c>
      <c r="AG1478" s="838"/>
      <c r="AH1478" s="866" t="s">
        <v>266</v>
      </c>
      <c r="AI1478" s="273" t="s">
        <v>267</v>
      </c>
      <c r="AJ1478" s="847">
        <v>6</v>
      </c>
      <c r="AK1478" s="848" t="s">
        <v>1046</v>
      </c>
      <c r="AL1478" s="185" t="s">
        <v>294</v>
      </c>
      <c r="AM1478" s="186" t="s">
        <v>295</v>
      </c>
      <c r="AN1478" s="847">
        <v>7</v>
      </c>
      <c r="AO1478" s="187" t="s">
        <v>966</v>
      </c>
      <c r="AP1478" s="867"/>
      <c r="AQ1478" s="273"/>
      <c r="AR1478" s="847"/>
      <c r="AS1478" s="848"/>
      <c r="AT1478" s="867"/>
      <c r="AU1478" s="273"/>
      <c r="AV1478" s="847"/>
      <c r="AW1478" s="848"/>
      <c r="AX1478" s="867"/>
      <c r="AY1478" s="273"/>
      <c r="AZ1478" s="847"/>
      <c r="BA1478" s="848"/>
      <c r="BB1478" s="866"/>
      <c r="BC1478" s="273"/>
      <c r="BD1478" s="847"/>
      <c r="BE1478" s="848"/>
      <c r="BF1478" s="838"/>
    </row>
    <row r="1479" spans="1:58" s="87" customFormat="1" ht="54" hidden="1" customHeight="1" x14ac:dyDescent="0.25">
      <c r="A1479" s="267" t="s">
        <v>9536</v>
      </c>
      <c r="B1479" s="268">
        <v>25</v>
      </c>
      <c r="C1479" s="240" t="s">
        <v>1022</v>
      </c>
      <c r="D1479" s="211" t="s">
        <v>1023</v>
      </c>
      <c r="E1479" s="268" t="s">
        <v>9636</v>
      </c>
      <c r="F1479" s="272" t="s">
        <v>1141</v>
      </c>
      <c r="G1479" s="269" t="s">
        <v>1142</v>
      </c>
      <c r="H1479" s="272" t="s">
        <v>1143</v>
      </c>
      <c r="I1479" s="208" t="s">
        <v>1144</v>
      </c>
      <c r="J1479" s="240" t="s">
        <v>140</v>
      </c>
      <c r="K1479" s="270" t="s">
        <v>140</v>
      </c>
      <c r="L1479" s="862" t="s">
        <v>1145</v>
      </c>
      <c r="M1479" s="206" t="s">
        <v>142</v>
      </c>
      <c r="N1479" s="211" t="s">
        <v>143</v>
      </c>
      <c r="O1479" s="240" t="s">
        <v>1146</v>
      </c>
      <c r="P1479" s="240" t="s">
        <v>1147</v>
      </c>
      <c r="Q1479" s="845" t="s">
        <v>144</v>
      </c>
      <c r="R1479" s="271" t="s">
        <v>144</v>
      </c>
      <c r="S1479" s="864" t="s">
        <v>147</v>
      </c>
      <c r="T1479" s="212" t="s">
        <v>144</v>
      </c>
      <c r="U1479" s="213" t="s">
        <v>144</v>
      </c>
      <c r="V1479" s="847">
        <v>6</v>
      </c>
      <c r="W1479" s="415" t="s">
        <v>144</v>
      </c>
      <c r="X1479" s="212">
        <v>43</v>
      </c>
      <c r="Y1479" s="212" t="s">
        <v>144</v>
      </c>
      <c r="Z1479" s="214" t="s">
        <v>144</v>
      </c>
      <c r="AA1479" s="240" t="s">
        <v>148</v>
      </c>
      <c r="AB1479" s="206" t="s">
        <v>140</v>
      </c>
      <c r="AC1479" s="847" t="s">
        <v>265</v>
      </c>
      <c r="AD1479" s="847" t="s">
        <v>144</v>
      </c>
      <c r="AE1479" s="847" t="s">
        <v>144</v>
      </c>
      <c r="AF1479" s="848" t="s">
        <v>144</v>
      </c>
      <c r="AG1479" s="838"/>
      <c r="AH1479" s="291" t="s">
        <v>266</v>
      </c>
      <c r="AI1479" s="273" t="s">
        <v>267</v>
      </c>
      <c r="AJ1479" s="240">
        <v>7</v>
      </c>
      <c r="AK1479" s="848" t="s">
        <v>1046</v>
      </c>
      <c r="AL1479" s="185" t="s">
        <v>294</v>
      </c>
      <c r="AM1479" s="186" t="s">
        <v>295</v>
      </c>
      <c r="AN1479" s="240">
        <v>7</v>
      </c>
      <c r="AO1479" s="187" t="s">
        <v>966</v>
      </c>
      <c r="AP1479" s="867"/>
      <c r="AQ1479" s="273"/>
      <c r="AR1479" s="847"/>
      <c r="AS1479" s="848"/>
      <c r="AT1479" s="292" t="s">
        <v>1148</v>
      </c>
      <c r="AU1479" s="273" t="s">
        <v>1149</v>
      </c>
      <c r="AV1479" s="240">
        <v>7</v>
      </c>
      <c r="AW1479" s="848" t="s">
        <v>1150</v>
      </c>
      <c r="AX1479" s="867"/>
      <c r="AY1479" s="273"/>
      <c r="AZ1479" s="847"/>
      <c r="BA1479" s="848"/>
      <c r="BB1479" s="866"/>
      <c r="BC1479" s="273"/>
      <c r="BD1479" s="847"/>
      <c r="BE1479" s="848"/>
      <c r="BF1479" s="838"/>
    </row>
    <row r="1480" spans="1:58" s="55" customFormat="1" ht="54" customHeight="1" x14ac:dyDescent="0.25">
      <c r="A1480" s="275" t="s">
        <v>9536</v>
      </c>
      <c r="B1480" s="276">
        <v>26</v>
      </c>
      <c r="C1480" s="253" t="s">
        <v>144</v>
      </c>
      <c r="D1480" s="217" t="s">
        <v>144</v>
      </c>
      <c r="E1480" s="276" t="s">
        <v>9637</v>
      </c>
      <c r="F1480" s="277" t="s">
        <v>251</v>
      </c>
      <c r="G1480" s="277" t="s">
        <v>251</v>
      </c>
      <c r="H1480" s="220" t="s">
        <v>336</v>
      </c>
      <c r="I1480" s="277" t="s">
        <v>337</v>
      </c>
      <c r="J1480" s="302" t="s">
        <v>144</v>
      </c>
      <c r="K1480" s="302" t="s">
        <v>144</v>
      </c>
      <c r="L1480" s="718" t="s">
        <v>1152</v>
      </c>
      <c r="M1480" s="253" t="s">
        <v>144</v>
      </c>
      <c r="N1480" s="302" t="s">
        <v>144</v>
      </c>
      <c r="O1480" s="253" t="s">
        <v>144</v>
      </c>
      <c r="P1480" s="253" t="s">
        <v>144</v>
      </c>
      <c r="Q1480" s="220" t="s">
        <v>338</v>
      </c>
      <c r="R1480" s="220" t="s">
        <v>339</v>
      </c>
      <c r="S1480" s="276" t="s">
        <v>147</v>
      </c>
      <c r="T1480" s="221" t="s">
        <v>144</v>
      </c>
      <c r="U1480" s="221" t="s">
        <v>144</v>
      </c>
      <c r="V1480" s="253">
        <v>13</v>
      </c>
      <c r="W1480" s="217" t="s">
        <v>144</v>
      </c>
      <c r="X1480" s="221" t="s">
        <v>144</v>
      </c>
      <c r="Y1480" s="221" t="s">
        <v>144</v>
      </c>
      <c r="Z1480" s="222" t="s">
        <v>144</v>
      </c>
      <c r="AA1480" s="253" t="s">
        <v>144</v>
      </c>
      <c r="AB1480" s="217" t="s">
        <v>144</v>
      </c>
      <c r="AC1480" s="253" t="s">
        <v>265</v>
      </c>
      <c r="AD1480" s="253" t="s">
        <v>144</v>
      </c>
      <c r="AE1480" s="253" t="s">
        <v>144</v>
      </c>
      <c r="AF1480" s="254" t="s">
        <v>144</v>
      </c>
      <c r="AG1480" s="838"/>
      <c r="AH1480" s="280"/>
      <c r="AI1480" s="281"/>
      <c r="AJ1480" s="253"/>
      <c r="AK1480" s="254"/>
      <c r="AL1480" s="281"/>
      <c r="AM1480" s="281"/>
      <c r="AN1480" s="253"/>
      <c r="AO1480" s="254"/>
      <c r="AP1480" s="281"/>
      <c r="AQ1480" s="281"/>
      <c r="AR1480" s="253"/>
      <c r="AS1480" s="254"/>
      <c r="AT1480" s="281"/>
      <c r="AU1480" s="281"/>
      <c r="AV1480" s="253"/>
      <c r="AW1480" s="254"/>
      <c r="AX1480" s="281"/>
      <c r="AY1480" s="281"/>
      <c r="AZ1480" s="253"/>
      <c r="BA1480" s="254"/>
      <c r="BB1480" s="280"/>
      <c r="BC1480" s="281"/>
      <c r="BD1480" s="253"/>
      <c r="BE1480" s="254"/>
      <c r="BF1480" s="838"/>
    </row>
    <row r="1481" spans="1:58" s="87" customFormat="1" ht="54" hidden="1" customHeight="1" x14ac:dyDescent="0.25">
      <c r="A1481" s="267" t="s">
        <v>9536</v>
      </c>
      <c r="B1481" s="268">
        <v>27</v>
      </c>
      <c r="C1481" s="240" t="s">
        <v>4718</v>
      </c>
      <c r="D1481" s="211" t="s">
        <v>4719</v>
      </c>
      <c r="E1481" s="268" t="s">
        <v>9638</v>
      </c>
      <c r="F1481" s="861" t="s">
        <v>9639</v>
      </c>
      <c r="G1481" s="269" t="s">
        <v>9640</v>
      </c>
      <c r="H1481" s="861" t="s">
        <v>9639</v>
      </c>
      <c r="I1481" s="269" t="s">
        <v>9640</v>
      </c>
      <c r="J1481" s="296" t="s">
        <v>140</v>
      </c>
      <c r="K1481" s="297" t="s">
        <v>140</v>
      </c>
      <c r="L1481" s="862" t="s">
        <v>9641</v>
      </c>
      <c r="M1481" s="206" t="s">
        <v>142</v>
      </c>
      <c r="N1481" s="211" t="s">
        <v>143</v>
      </c>
      <c r="O1481" s="240" t="s">
        <v>144</v>
      </c>
      <c r="P1481" s="240" t="s">
        <v>144</v>
      </c>
      <c r="Q1481" s="846" t="s">
        <v>9642</v>
      </c>
      <c r="R1481" s="342" t="s">
        <v>9643</v>
      </c>
      <c r="S1481" s="864" t="s">
        <v>746</v>
      </c>
      <c r="T1481" s="212" t="s">
        <v>1104</v>
      </c>
      <c r="U1481" s="213" t="s">
        <v>1105</v>
      </c>
      <c r="V1481" s="847">
        <v>19</v>
      </c>
      <c r="W1481" s="415" t="s">
        <v>144</v>
      </c>
      <c r="X1481" s="212">
        <v>40</v>
      </c>
      <c r="Y1481" s="212" t="s">
        <v>144</v>
      </c>
      <c r="Z1481" s="241" t="s">
        <v>144</v>
      </c>
      <c r="AA1481" s="437" t="s">
        <v>9644</v>
      </c>
      <c r="AB1481" s="206" t="s">
        <v>140</v>
      </c>
      <c r="AC1481" s="847" t="s">
        <v>265</v>
      </c>
      <c r="AD1481" s="847" t="s">
        <v>144</v>
      </c>
      <c r="AE1481" s="847" t="s">
        <v>144</v>
      </c>
      <c r="AF1481" s="848" t="s">
        <v>144</v>
      </c>
      <c r="AG1481" s="838"/>
      <c r="AH1481" s="866" t="s">
        <v>266</v>
      </c>
      <c r="AI1481" s="273" t="s">
        <v>267</v>
      </c>
      <c r="AJ1481" s="847">
        <v>7</v>
      </c>
      <c r="AK1481" s="848" t="s">
        <v>1046</v>
      </c>
      <c r="AL1481" s="867"/>
      <c r="AM1481" s="273"/>
      <c r="AN1481" s="847"/>
      <c r="AO1481" s="848"/>
      <c r="AP1481" s="284" t="s">
        <v>1107</v>
      </c>
      <c r="AQ1481" s="273" t="s">
        <v>1108</v>
      </c>
      <c r="AR1481" s="285">
        <v>7</v>
      </c>
      <c r="AS1481" s="286" t="s">
        <v>1109</v>
      </c>
      <c r="AT1481" s="867"/>
      <c r="AU1481" s="273"/>
      <c r="AV1481" s="847"/>
      <c r="AW1481" s="848"/>
      <c r="AX1481" s="867"/>
      <c r="AY1481" s="273"/>
      <c r="AZ1481" s="847"/>
      <c r="BA1481" s="848"/>
      <c r="BB1481" s="866"/>
      <c r="BC1481" s="273"/>
      <c r="BD1481" s="847"/>
      <c r="BE1481" s="848"/>
      <c r="BF1481" s="838"/>
    </row>
    <row r="1482" spans="1:58" s="55" customFormat="1" ht="54" hidden="1" customHeight="1" x14ac:dyDescent="0.25">
      <c r="A1482" s="275" t="s">
        <v>9536</v>
      </c>
      <c r="B1482" s="276">
        <v>28</v>
      </c>
      <c r="C1482" s="253" t="s">
        <v>4718</v>
      </c>
      <c r="D1482" s="217" t="s">
        <v>4719</v>
      </c>
      <c r="E1482" s="276" t="s">
        <v>9645</v>
      </c>
      <c r="F1482" s="277" t="s">
        <v>9646</v>
      </c>
      <c r="G1482" s="277" t="s">
        <v>9647</v>
      </c>
      <c r="H1482" s="277" t="s">
        <v>9646</v>
      </c>
      <c r="I1482" s="277" t="s">
        <v>9647</v>
      </c>
      <c r="J1482" s="302" t="s">
        <v>144</v>
      </c>
      <c r="K1482" s="302" t="s">
        <v>144</v>
      </c>
      <c r="L1482" s="718" t="s">
        <v>9648</v>
      </c>
      <c r="M1482" s="217" t="s">
        <v>144</v>
      </c>
      <c r="N1482" s="217" t="s">
        <v>144</v>
      </c>
      <c r="O1482" s="253" t="s">
        <v>144</v>
      </c>
      <c r="P1482" s="253" t="s">
        <v>144</v>
      </c>
      <c r="Q1482" s="218" t="s">
        <v>9649</v>
      </c>
      <c r="R1482" s="218" t="s">
        <v>9650</v>
      </c>
      <c r="S1482" s="276" t="s">
        <v>746</v>
      </c>
      <c r="T1482" s="221" t="s">
        <v>1104</v>
      </c>
      <c r="U1482" s="221" t="s">
        <v>1105</v>
      </c>
      <c r="V1482" s="253">
        <v>19</v>
      </c>
      <c r="W1482" s="217" t="s">
        <v>144</v>
      </c>
      <c r="X1482" s="221">
        <v>40</v>
      </c>
      <c r="Y1482" s="221" t="s">
        <v>2285</v>
      </c>
      <c r="Z1482" s="250" t="s">
        <v>25</v>
      </c>
      <c r="AA1482" s="432" t="s">
        <v>148</v>
      </c>
      <c r="AB1482" s="217" t="s">
        <v>144</v>
      </c>
      <c r="AC1482" s="253" t="s">
        <v>265</v>
      </c>
      <c r="AD1482" s="253" t="s">
        <v>144</v>
      </c>
      <c r="AE1482" s="253" t="s">
        <v>144</v>
      </c>
      <c r="AF1482" s="254" t="s">
        <v>144</v>
      </c>
      <c r="AG1482" s="681"/>
      <c r="AH1482" s="280"/>
      <c r="AI1482" s="281"/>
      <c r="AJ1482" s="253"/>
      <c r="AK1482" s="254"/>
      <c r="AL1482" s="281"/>
      <c r="AM1482" s="281"/>
      <c r="AN1482" s="253"/>
      <c r="AO1482" s="254"/>
      <c r="AP1482" s="421"/>
      <c r="AQ1482" s="421"/>
      <c r="AR1482" s="422"/>
      <c r="AS1482" s="423"/>
      <c r="AT1482" s="281"/>
      <c r="AU1482" s="281"/>
      <c r="AV1482" s="253"/>
      <c r="AW1482" s="254"/>
      <c r="AX1482" s="281"/>
      <c r="AY1482" s="281"/>
      <c r="AZ1482" s="253"/>
      <c r="BA1482" s="254"/>
      <c r="BB1482" s="280"/>
      <c r="BC1482" s="281"/>
      <c r="BD1482" s="253"/>
      <c r="BE1482" s="254"/>
      <c r="BF1482" s="838"/>
    </row>
    <row r="1483" spans="1:58" s="87" customFormat="1" ht="54" hidden="1" customHeight="1" x14ac:dyDescent="0.25">
      <c r="A1483" s="267" t="s">
        <v>9536</v>
      </c>
      <c r="B1483" s="268">
        <v>29</v>
      </c>
      <c r="C1483" s="240" t="s">
        <v>4718</v>
      </c>
      <c r="D1483" s="211" t="s">
        <v>4719</v>
      </c>
      <c r="E1483" s="268" t="s">
        <v>9651</v>
      </c>
      <c r="F1483" s="861" t="s">
        <v>9652</v>
      </c>
      <c r="G1483" s="269" t="s">
        <v>9653</v>
      </c>
      <c r="H1483" s="861" t="s">
        <v>9652</v>
      </c>
      <c r="I1483" s="269" t="s">
        <v>9653</v>
      </c>
      <c r="J1483" s="296" t="s">
        <v>140</v>
      </c>
      <c r="K1483" s="297" t="s">
        <v>140</v>
      </c>
      <c r="L1483" s="862" t="s">
        <v>9654</v>
      </c>
      <c r="M1483" s="206" t="s">
        <v>142</v>
      </c>
      <c r="N1483" s="211" t="s">
        <v>143</v>
      </c>
      <c r="O1483" s="240" t="s">
        <v>814</v>
      </c>
      <c r="P1483" s="240" t="s">
        <v>815</v>
      </c>
      <c r="Q1483" s="845" t="s">
        <v>9655</v>
      </c>
      <c r="R1483" s="208" t="s">
        <v>9656</v>
      </c>
      <c r="S1483" s="864" t="s">
        <v>147</v>
      </c>
      <c r="T1483" s="212" t="s">
        <v>144</v>
      </c>
      <c r="U1483" s="213" t="s">
        <v>144</v>
      </c>
      <c r="V1483" s="847">
        <v>3</v>
      </c>
      <c r="W1483" s="415" t="s">
        <v>144</v>
      </c>
      <c r="X1483" s="212">
        <v>40</v>
      </c>
      <c r="Y1483" s="212" t="s">
        <v>144</v>
      </c>
      <c r="Z1483" s="241" t="s">
        <v>144</v>
      </c>
      <c r="AA1483" s="437" t="s">
        <v>9657</v>
      </c>
      <c r="AB1483" s="206" t="s">
        <v>140</v>
      </c>
      <c r="AC1483" s="847" t="s">
        <v>265</v>
      </c>
      <c r="AD1483" s="847" t="s">
        <v>144</v>
      </c>
      <c r="AE1483" s="847" t="s">
        <v>144</v>
      </c>
      <c r="AF1483" s="848" t="s">
        <v>144</v>
      </c>
      <c r="AG1483" s="838"/>
      <c r="AH1483" s="866" t="s">
        <v>266</v>
      </c>
      <c r="AI1483" s="273" t="s">
        <v>267</v>
      </c>
      <c r="AJ1483" s="847">
        <v>7</v>
      </c>
      <c r="AK1483" s="848" t="s">
        <v>1046</v>
      </c>
      <c r="AL1483" s="185" t="s">
        <v>294</v>
      </c>
      <c r="AM1483" s="186" t="s">
        <v>295</v>
      </c>
      <c r="AN1483" s="847">
        <v>7</v>
      </c>
      <c r="AO1483" s="187" t="s">
        <v>966</v>
      </c>
      <c r="AP1483" s="867"/>
      <c r="AQ1483" s="273"/>
      <c r="AR1483" s="847"/>
      <c r="AS1483" s="848"/>
      <c r="AT1483" s="867"/>
      <c r="AU1483" s="273"/>
      <c r="AV1483" s="847"/>
      <c r="AW1483" s="848"/>
      <c r="AX1483" s="867"/>
      <c r="AY1483" s="273"/>
      <c r="AZ1483" s="847"/>
      <c r="BA1483" s="848"/>
      <c r="BB1483" s="866"/>
      <c r="BC1483" s="273"/>
      <c r="BD1483" s="847"/>
      <c r="BE1483" s="848"/>
      <c r="BF1483" s="838"/>
    </row>
    <row r="1484" spans="1:58" s="55" customFormat="1" ht="54" hidden="1" customHeight="1" x14ac:dyDescent="0.25">
      <c r="A1484" s="275" t="s">
        <v>9536</v>
      </c>
      <c r="B1484" s="276">
        <v>30</v>
      </c>
      <c r="C1484" s="253" t="s">
        <v>2135</v>
      </c>
      <c r="D1484" s="217" t="s">
        <v>2136</v>
      </c>
      <c r="E1484" s="276" t="s">
        <v>9658</v>
      </c>
      <c r="F1484" s="277" t="s">
        <v>9659</v>
      </c>
      <c r="G1484" s="277" t="s">
        <v>9660</v>
      </c>
      <c r="H1484" s="277" t="s">
        <v>2167</v>
      </c>
      <c r="I1484" s="277" t="s">
        <v>337</v>
      </c>
      <c r="J1484" s="278" t="s">
        <v>144</v>
      </c>
      <c r="K1484" s="278" t="s">
        <v>144</v>
      </c>
      <c r="L1484" s="718" t="s">
        <v>1199</v>
      </c>
      <c r="M1484" s="253" t="s">
        <v>144</v>
      </c>
      <c r="N1484" s="217" t="s">
        <v>144</v>
      </c>
      <c r="O1484" s="253" t="s">
        <v>6167</v>
      </c>
      <c r="P1484" s="253" t="s">
        <v>6168</v>
      </c>
      <c r="Q1484" s="311" t="s">
        <v>338</v>
      </c>
      <c r="R1484" s="218" t="s">
        <v>339</v>
      </c>
      <c r="S1484" s="276" t="s">
        <v>147</v>
      </c>
      <c r="T1484" s="221" t="s">
        <v>144</v>
      </c>
      <c r="U1484" s="221" t="s">
        <v>144</v>
      </c>
      <c r="V1484" s="253">
        <v>12</v>
      </c>
      <c r="W1484" s="217" t="s">
        <v>144</v>
      </c>
      <c r="X1484" s="221" t="s">
        <v>144</v>
      </c>
      <c r="Y1484" s="221" t="s">
        <v>144</v>
      </c>
      <c r="Z1484" s="222" t="s">
        <v>144</v>
      </c>
      <c r="AA1484" s="253" t="s">
        <v>144</v>
      </c>
      <c r="AB1484" s="217" t="s">
        <v>144</v>
      </c>
      <c r="AC1484" s="253" t="s">
        <v>265</v>
      </c>
      <c r="AD1484" s="253" t="s">
        <v>144</v>
      </c>
      <c r="AE1484" s="253" t="s">
        <v>144</v>
      </c>
      <c r="AF1484" s="254" t="s">
        <v>144</v>
      </c>
      <c r="AG1484" s="838"/>
      <c r="AH1484" s="280"/>
      <c r="AI1484" s="281"/>
      <c r="AJ1484" s="253"/>
      <c r="AK1484" s="254"/>
      <c r="AL1484" s="281"/>
      <c r="AM1484" s="281"/>
      <c r="AN1484" s="253"/>
      <c r="AO1484" s="254"/>
      <c r="AP1484" s="281"/>
      <c r="AQ1484" s="281"/>
      <c r="AR1484" s="253"/>
      <c r="AS1484" s="254"/>
      <c r="AT1484" s="281"/>
      <c r="AU1484" s="281"/>
      <c r="AV1484" s="253"/>
      <c r="AW1484" s="254"/>
      <c r="AX1484" s="281"/>
      <c r="AY1484" s="281"/>
      <c r="AZ1484" s="253"/>
      <c r="BA1484" s="254"/>
      <c r="BB1484" s="280"/>
      <c r="BC1484" s="281"/>
      <c r="BD1484" s="253"/>
      <c r="BE1484" s="254"/>
      <c r="BF1484" s="838"/>
    </row>
    <row r="1485" spans="1:58" s="87" customFormat="1" ht="54" hidden="1" customHeight="1" x14ac:dyDescent="0.25">
      <c r="A1485" s="267" t="s">
        <v>9536</v>
      </c>
      <c r="B1485" s="268">
        <v>31</v>
      </c>
      <c r="C1485" s="240" t="s">
        <v>256</v>
      </c>
      <c r="D1485" s="211" t="s">
        <v>257</v>
      </c>
      <c r="E1485" s="268" t="s">
        <v>9661</v>
      </c>
      <c r="F1485" s="861" t="s">
        <v>4736</v>
      </c>
      <c r="G1485" s="269" t="s">
        <v>4737</v>
      </c>
      <c r="H1485" s="272" t="s">
        <v>9662</v>
      </c>
      <c r="I1485" s="269" t="s">
        <v>9663</v>
      </c>
      <c r="J1485" s="296" t="s">
        <v>140</v>
      </c>
      <c r="K1485" s="297" t="s">
        <v>140</v>
      </c>
      <c r="L1485" s="862" t="s">
        <v>9664</v>
      </c>
      <c r="M1485" s="206" t="s">
        <v>142</v>
      </c>
      <c r="N1485" s="211" t="s">
        <v>143</v>
      </c>
      <c r="O1485" s="240" t="s">
        <v>144</v>
      </c>
      <c r="P1485" s="240" t="s">
        <v>144</v>
      </c>
      <c r="Q1485" s="845" t="s">
        <v>9665</v>
      </c>
      <c r="R1485" s="208" t="s">
        <v>9666</v>
      </c>
      <c r="S1485" s="864" t="s">
        <v>147</v>
      </c>
      <c r="T1485" s="212" t="s">
        <v>144</v>
      </c>
      <c r="U1485" s="213" t="s">
        <v>144</v>
      </c>
      <c r="V1485" s="847">
        <v>20</v>
      </c>
      <c r="W1485" s="415" t="s">
        <v>144</v>
      </c>
      <c r="X1485" s="212">
        <v>43</v>
      </c>
      <c r="Y1485" s="212" t="s">
        <v>144</v>
      </c>
      <c r="Z1485" s="214" t="s">
        <v>144</v>
      </c>
      <c r="AA1485" s="240" t="s">
        <v>9667</v>
      </c>
      <c r="AB1485" s="206" t="s">
        <v>140</v>
      </c>
      <c r="AC1485" s="847" t="s">
        <v>265</v>
      </c>
      <c r="AD1485" s="847" t="s">
        <v>144</v>
      </c>
      <c r="AE1485" s="847" t="s">
        <v>144</v>
      </c>
      <c r="AF1485" s="848" t="s">
        <v>144</v>
      </c>
      <c r="AG1485" s="838"/>
      <c r="AH1485" s="866" t="s">
        <v>266</v>
      </c>
      <c r="AI1485" s="273" t="s">
        <v>267</v>
      </c>
      <c r="AJ1485" s="847">
        <v>7</v>
      </c>
      <c r="AK1485" s="848" t="s">
        <v>1046</v>
      </c>
      <c r="AL1485" s="867"/>
      <c r="AM1485" s="273"/>
      <c r="AN1485" s="847"/>
      <c r="AO1485" s="848"/>
      <c r="AP1485" s="867"/>
      <c r="AQ1485" s="273"/>
      <c r="AR1485" s="847"/>
      <c r="AS1485" s="848"/>
      <c r="AT1485" s="867"/>
      <c r="AU1485" s="273"/>
      <c r="AV1485" s="847"/>
      <c r="AW1485" s="848"/>
      <c r="AX1485" s="867"/>
      <c r="AY1485" s="273"/>
      <c r="AZ1485" s="847"/>
      <c r="BA1485" s="848"/>
      <c r="BB1485" s="866"/>
      <c r="BC1485" s="273"/>
      <c r="BD1485" s="847"/>
      <c r="BE1485" s="848"/>
      <c r="BF1485" s="838"/>
    </row>
    <row r="1486" spans="1:58" s="87" customFormat="1" ht="54" hidden="1" customHeight="1" x14ac:dyDescent="0.25">
      <c r="A1486" s="267" t="s">
        <v>9536</v>
      </c>
      <c r="B1486" s="268">
        <v>32</v>
      </c>
      <c r="C1486" s="240" t="s">
        <v>1022</v>
      </c>
      <c r="D1486" s="211" t="s">
        <v>1023</v>
      </c>
      <c r="E1486" s="268" t="s">
        <v>9668</v>
      </c>
      <c r="F1486" s="861" t="s">
        <v>1457</v>
      </c>
      <c r="G1486" s="269" t="s">
        <v>1458</v>
      </c>
      <c r="H1486" s="861" t="s">
        <v>9669</v>
      </c>
      <c r="I1486" s="269" t="s">
        <v>9670</v>
      </c>
      <c r="J1486" s="296" t="s">
        <v>140</v>
      </c>
      <c r="K1486" s="297" t="s">
        <v>140</v>
      </c>
      <c r="L1486" s="862" t="s">
        <v>5534</v>
      </c>
      <c r="M1486" s="206" t="s">
        <v>193</v>
      </c>
      <c r="N1486" s="211" t="s">
        <v>194</v>
      </c>
      <c r="O1486" s="240" t="s">
        <v>1462</v>
      </c>
      <c r="P1486" s="240" t="s">
        <v>1463</v>
      </c>
      <c r="Q1486" s="863" t="s">
        <v>1464</v>
      </c>
      <c r="R1486" s="271" t="s">
        <v>1465</v>
      </c>
      <c r="S1486" s="864" t="s">
        <v>965</v>
      </c>
      <c r="T1486" s="212" t="s">
        <v>144</v>
      </c>
      <c r="U1486" s="213" t="s">
        <v>144</v>
      </c>
      <c r="V1486" s="847">
        <v>5</v>
      </c>
      <c r="W1486" s="415" t="s">
        <v>144</v>
      </c>
      <c r="X1486" s="212">
        <v>43</v>
      </c>
      <c r="Y1486" s="212" t="s">
        <v>144</v>
      </c>
      <c r="Z1486" s="241" t="s">
        <v>144</v>
      </c>
      <c r="AA1486" s="240" t="s">
        <v>148</v>
      </c>
      <c r="AB1486" s="206" t="s">
        <v>140</v>
      </c>
      <c r="AC1486" s="847" t="s">
        <v>265</v>
      </c>
      <c r="AD1486" s="847" t="s">
        <v>144</v>
      </c>
      <c r="AE1486" s="847" t="s">
        <v>144</v>
      </c>
      <c r="AF1486" s="848" t="s">
        <v>144</v>
      </c>
      <c r="AG1486" s="838"/>
      <c r="AH1486" s="866"/>
      <c r="AI1486" s="273"/>
      <c r="AJ1486" s="847"/>
      <c r="AK1486" s="848"/>
      <c r="AL1486" s="185" t="s">
        <v>294</v>
      </c>
      <c r="AM1486" s="186" t="s">
        <v>295</v>
      </c>
      <c r="AN1486" s="847">
        <v>7</v>
      </c>
      <c r="AO1486" s="187" t="s">
        <v>966</v>
      </c>
      <c r="AP1486" s="867"/>
      <c r="AQ1486" s="273"/>
      <c r="AR1486" s="847"/>
      <c r="AS1486" s="848"/>
      <c r="AT1486" s="867"/>
      <c r="AU1486" s="273"/>
      <c r="AV1486" s="847"/>
      <c r="AW1486" s="848"/>
      <c r="AX1486" s="867"/>
      <c r="AY1486" s="273"/>
      <c r="AZ1486" s="847"/>
      <c r="BA1486" s="848"/>
      <c r="BB1486" s="866"/>
      <c r="BC1486" s="273"/>
      <c r="BD1486" s="847"/>
      <c r="BE1486" s="848"/>
      <c r="BF1486" s="838"/>
    </row>
    <row r="1487" spans="1:58" s="55" customFormat="1" ht="54" customHeight="1" x14ac:dyDescent="0.25">
      <c r="A1487" s="275" t="s">
        <v>9536</v>
      </c>
      <c r="B1487" s="276">
        <v>33</v>
      </c>
      <c r="C1487" s="253" t="s">
        <v>144</v>
      </c>
      <c r="D1487" s="217" t="s">
        <v>144</v>
      </c>
      <c r="E1487" s="276" t="s">
        <v>9671</v>
      </c>
      <c r="F1487" s="279" t="s">
        <v>4829</v>
      </c>
      <c r="G1487" s="279" t="s">
        <v>4829</v>
      </c>
      <c r="H1487" s="220" t="s">
        <v>336</v>
      </c>
      <c r="I1487" s="279" t="s">
        <v>337</v>
      </c>
      <c r="J1487" s="278" t="s">
        <v>144</v>
      </c>
      <c r="K1487" s="278" t="s">
        <v>144</v>
      </c>
      <c r="L1487" s="718" t="s">
        <v>1371</v>
      </c>
      <c r="M1487" s="253" t="s">
        <v>144</v>
      </c>
      <c r="N1487" s="278" t="s">
        <v>144</v>
      </c>
      <c r="O1487" s="253" t="s">
        <v>144</v>
      </c>
      <c r="P1487" s="253" t="s">
        <v>144</v>
      </c>
      <c r="Q1487" s="220" t="s">
        <v>338</v>
      </c>
      <c r="R1487" s="220" t="s">
        <v>339</v>
      </c>
      <c r="S1487" s="276" t="s">
        <v>147</v>
      </c>
      <c r="T1487" s="221" t="s">
        <v>144</v>
      </c>
      <c r="U1487" s="221" t="s">
        <v>144</v>
      </c>
      <c r="V1487" s="253">
        <v>30</v>
      </c>
      <c r="W1487" s="217" t="s">
        <v>144</v>
      </c>
      <c r="X1487" s="221">
        <v>43</v>
      </c>
      <c r="Y1487" s="221" t="s">
        <v>144</v>
      </c>
      <c r="Z1487" s="222" t="s">
        <v>144</v>
      </c>
      <c r="AA1487" s="253" t="s">
        <v>144</v>
      </c>
      <c r="AB1487" s="217" t="s">
        <v>144</v>
      </c>
      <c r="AC1487" s="253" t="s">
        <v>265</v>
      </c>
      <c r="AD1487" s="253" t="s">
        <v>144</v>
      </c>
      <c r="AE1487" s="253" t="s">
        <v>144</v>
      </c>
      <c r="AF1487" s="254" t="s">
        <v>144</v>
      </c>
      <c r="AG1487" s="838"/>
      <c r="AH1487" s="280"/>
      <c r="AI1487" s="281"/>
      <c r="AJ1487" s="253"/>
      <c r="AK1487" s="254"/>
      <c r="AL1487" s="281"/>
      <c r="AM1487" s="281"/>
      <c r="AN1487" s="253"/>
      <c r="AO1487" s="254"/>
      <c r="AP1487" s="281"/>
      <c r="AQ1487" s="281"/>
      <c r="AR1487" s="253"/>
      <c r="AS1487" s="254"/>
      <c r="AT1487" s="281"/>
      <c r="AU1487" s="281"/>
      <c r="AV1487" s="253"/>
      <c r="AW1487" s="254"/>
      <c r="AX1487" s="281"/>
      <c r="AY1487" s="281"/>
      <c r="AZ1487" s="253"/>
      <c r="BA1487" s="254"/>
      <c r="BB1487" s="280"/>
      <c r="BC1487" s="281"/>
      <c r="BD1487" s="253"/>
      <c r="BE1487" s="254"/>
      <c r="BF1487" s="838"/>
    </row>
    <row r="1488" spans="1:58" s="87" customFormat="1" ht="54" hidden="1" customHeight="1" x14ac:dyDescent="0.25">
      <c r="A1488" s="267" t="s">
        <v>9536</v>
      </c>
      <c r="B1488" s="268">
        <v>34</v>
      </c>
      <c r="C1488" s="240" t="s">
        <v>2135</v>
      </c>
      <c r="D1488" s="211" t="s">
        <v>2136</v>
      </c>
      <c r="E1488" s="268" t="s">
        <v>9672</v>
      </c>
      <c r="F1488" s="861" t="s">
        <v>6156</v>
      </c>
      <c r="G1488" s="269" t="s">
        <v>6157</v>
      </c>
      <c r="H1488" s="861" t="s">
        <v>9376</v>
      </c>
      <c r="I1488" s="269" t="s">
        <v>6159</v>
      </c>
      <c r="J1488" s="296" t="s">
        <v>140</v>
      </c>
      <c r="K1488" s="297" t="s">
        <v>140</v>
      </c>
      <c r="L1488" s="862" t="s">
        <v>6160</v>
      </c>
      <c r="M1488" s="206" t="s">
        <v>142</v>
      </c>
      <c r="N1488" s="211" t="s">
        <v>143</v>
      </c>
      <c r="O1488" s="240" t="s">
        <v>814</v>
      </c>
      <c r="P1488" s="240" t="s">
        <v>815</v>
      </c>
      <c r="Q1488" s="845" t="s">
        <v>144</v>
      </c>
      <c r="R1488" s="208" t="s">
        <v>144</v>
      </c>
      <c r="S1488" s="864" t="s">
        <v>147</v>
      </c>
      <c r="T1488" s="212" t="s">
        <v>144</v>
      </c>
      <c r="U1488" s="213" t="s">
        <v>144</v>
      </c>
      <c r="V1488" s="847">
        <v>3</v>
      </c>
      <c r="W1488" s="415" t="s">
        <v>144</v>
      </c>
      <c r="X1488" s="212">
        <v>43</v>
      </c>
      <c r="Y1488" s="212" t="s">
        <v>144</v>
      </c>
      <c r="Z1488" s="214" t="s">
        <v>144</v>
      </c>
      <c r="AA1488" s="240" t="s">
        <v>148</v>
      </c>
      <c r="AB1488" s="206" t="s">
        <v>140</v>
      </c>
      <c r="AC1488" s="847" t="s">
        <v>265</v>
      </c>
      <c r="AD1488" s="847" t="s">
        <v>144</v>
      </c>
      <c r="AE1488" s="847" t="s">
        <v>144</v>
      </c>
      <c r="AF1488" s="848" t="s">
        <v>144</v>
      </c>
      <c r="AG1488" s="838"/>
      <c r="AH1488" s="866" t="s">
        <v>266</v>
      </c>
      <c r="AI1488" s="273" t="s">
        <v>267</v>
      </c>
      <c r="AJ1488" s="847">
        <v>7</v>
      </c>
      <c r="AK1488" s="848" t="s">
        <v>1046</v>
      </c>
      <c r="AL1488" s="185" t="s">
        <v>294</v>
      </c>
      <c r="AM1488" s="186" t="s">
        <v>295</v>
      </c>
      <c r="AN1488" s="847">
        <v>7</v>
      </c>
      <c r="AO1488" s="187" t="s">
        <v>966</v>
      </c>
      <c r="AP1488" s="867"/>
      <c r="AQ1488" s="273"/>
      <c r="AR1488" s="847"/>
      <c r="AS1488" s="848"/>
      <c r="AT1488" s="867"/>
      <c r="AU1488" s="273"/>
      <c r="AV1488" s="847"/>
      <c r="AW1488" s="848"/>
      <c r="AX1488" s="867"/>
      <c r="AY1488" s="273"/>
      <c r="AZ1488" s="847"/>
      <c r="BA1488" s="848"/>
      <c r="BB1488" s="866"/>
      <c r="BC1488" s="273"/>
      <c r="BD1488" s="847"/>
      <c r="BE1488" s="848"/>
      <c r="BF1488" s="838"/>
    </row>
    <row r="1489" spans="1:58" s="60" customFormat="1" ht="54" hidden="1" customHeight="1" x14ac:dyDescent="0.25">
      <c r="A1489" s="267" t="s">
        <v>9536</v>
      </c>
      <c r="B1489" s="268">
        <v>35</v>
      </c>
      <c r="C1489" s="240" t="s">
        <v>2135</v>
      </c>
      <c r="D1489" s="211" t="s">
        <v>2136</v>
      </c>
      <c r="E1489" s="268" t="s">
        <v>9673</v>
      </c>
      <c r="F1489" s="299" t="s">
        <v>9674</v>
      </c>
      <c r="G1489" s="269" t="s">
        <v>9675</v>
      </c>
      <c r="H1489" s="207" t="s">
        <v>9676</v>
      </c>
      <c r="I1489" s="208" t="s">
        <v>9677</v>
      </c>
      <c r="J1489" s="240" t="s">
        <v>140</v>
      </c>
      <c r="K1489" s="270" t="s">
        <v>140</v>
      </c>
      <c r="L1489" s="862" t="s">
        <v>9678</v>
      </c>
      <c r="M1489" s="206" t="s">
        <v>142</v>
      </c>
      <c r="N1489" s="211" t="s">
        <v>143</v>
      </c>
      <c r="O1489" s="240" t="s">
        <v>6167</v>
      </c>
      <c r="P1489" s="240" t="s">
        <v>6168</v>
      </c>
      <c r="Q1489" s="845" t="s">
        <v>144</v>
      </c>
      <c r="R1489" s="208" t="s">
        <v>144</v>
      </c>
      <c r="S1489" s="268" t="s">
        <v>147</v>
      </c>
      <c r="T1489" s="212" t="s">
        <v>144</v>
      </c>
      <c r="U1489" s="213" t="s">
        <v>144</v>
      </c>
      <c r="V1489" s="240">
        <v>12</v>
      </c>
      <c r="W1489" s="206" t="s">
        <v>144</v>
      </c>
      <c r="X1489" s="212">
        <v>43</v>
      </c>
      <c r="Y1489" s="212" t="s">
        <v>144</v>
      </c>
      <c r="Z1489" s="214" t="s">
        <v>144</v>
      </c>
      <c r="AA1489" s="240" t="s">
        <v>148</v>
      </c>
      <c r="AB1489" s="206" t="s">
        <v>140</v>
      </c>
      <c r="AC1489" s="847" t="s">
        <v>265</v>
      </c>
      <c r="AD1489" s="240" t="s">
        <v>144</v>
      </c>
      <c r="AE1489" s="240" t="s">
        <v>144</v>
      </c>
      <c r="AF1489" s="295" t="s">
        <v>144</v>
      </c>
      <c r="AG1489" s="838"/>
      <c r="AH1489" s="866" t="s">
        <v>266</v>
      </c>
      <c r="AI1489" s="273" t="s">
        <v>267</v>
      </c>
      <c r="AJ1489" s="847">
        <v>7</v>
      </c>
      <c r="AK1489" s="848" t="s">
        <v>1046</v>
      </c>
      <c r="AL1489" s="185" t="s">
        <v>294</v>
      </c>
      <c r="AM1489" s="186" t="s">
        <v>295</v>
      </c>
      <c r="AN1489" s="847">
        <v>7</v>
      </c>
      <c r="AO1489" s="187" t="s">
        <v>966</v>
      </c>
      <c r="AP1489" s="867"/>
      <c r="AQ1489" s="273"/>
      <c r="AR1489" s="847"/>
      <c r="AS1489" s="848"/>
      <c r="AT1489" s="867"/>
      <c r="AU1489" s="273"/>
      <c r="AV1489" s="847"/>
      <c r="AW1489" s="848"/>
      <c r="AX1489" s="867"/>
      <c r="AY1489" s="273"/>
      <c r="AZ1489" s="847"/>
      <c r="BA1489" s="848"/>
      <c r="BB1489" s="866"/>
      <c r="BC1489" s="273"/>
      <c r="BD1489" s="847"/>
      <c r="BE1489" s="848"/>
      <c r="BF1489" s="838"/>
    </row>
    <row r="1490" spans="1:58" s="60" customFormat="1" ht="54" hidden="1" customHeight="1" x14ac:dyDescent="0.25">
      <c r="A1490" s="267" t="s">
        <v>9536</v>
      </c>
      <c r="B1490" s="268">
        <v>36</v>
      </c>
      <c r="C1490" s="240" t="s">
        <v>2135</v>
      </c>
      <c r="D1490" s="211" t="s">
        <v>2136</v>
      </c>
      <c r="E1490" s="268" t="s">
        <v>9679</v>
      </c>
      <c r="F1490" s="299" t="s">
        <v>9680</v>
      </c>
      <c r="G1490" s="269" t="s">
        <v>9681</v>
      </c>
      <c r="H1490" s="207" t="s">
        <v>9682</v>
      </c>
      <c r="I1490" s="208" t="s">
        <v>9683</v>
      </c>
      <c r="J1490" s="240" t="s">
        <v>140</v>
      </c>
      <c r="K1490" s="270" t="s">
        <v>140</v>
      </c>
      <c r="L1490" s="862" t="s">
        <v>9684</v>
      </c>
      <c r="M1490" s="206" t="s">
        <v>193</v>
      </c>
      <c r="N1490" s="211" t="s">
        <v>194</v>
      </c>
      <c r="O1490" s="240" t="s">
        <v>144</v>
      </c>
      <c r="P1490" s="240" t="s">
        <v>144</v>
      </c>
      <c r="Q1490" s="845" t="s">
        <v>144</v>
      </c>
      <c r="R1490" s="208" t="s">
        <v>144</v>
      </c>
      <c r="S1490" s="268" t="s">
        <v>746</v>
      </c>
      <c r="T1490" s="212" t="s">
        <v>1104</v>
      </c>
      <c r="U1490" s="213" t="s">
        <v>1105</v>
      </c>
      <c r="V1490" s="240">
        <v>19</v>
      </c>
      <c r="W1490" s="206" t="s">
        <v>144</v>
      </c>
      <c r="X1490" s="212">
        <v>43</v>
      </c>
      <c r="Y1490" s="212" t="s">
        <v>144</v>
      </c>
      <c r="Z1490" s="214" t="s">
        <v>144</v>
      </c>
      <c r="AA1490" s="240" t="s">
        <v>148</v>
      </c>
      <c r="AB1490" s="206" t="s">
        <v>140</v>
      </c>
      <c r="AC1490" s="847" t="s">
        <v>265</v>
      </c>
      <c r="AD1490" s="240" t="s">
        <v>144</v>
      </c>
      <c r="AE1490" s="240" t="s">
        <v>144</v>
      </c>
      <c r="AF1490" s="295" t="s">
        <v>144</v>
      </c>
      <c r="AG1490" s="838"/>
      <c r="AH1490" s="866"/>
      <c r="AI1490" s="273"/>
      <c r="AJ1490" s="847"/>
      <c r="AK1490" s="848"/>
      <c r="AL1490" s="867"/>
      <c r="AM1490" s="273"/>
      <c r="AN1490" s="847"/>
      <c r="AO1490" s="848"/>
      <c r="AP1490" s="867"/>
      <c r="AQ1490" s="273"/>
      <c r="AR1490" s="847"/>
      <c r="AS1490" s="848"/>
      <c r="AT1490" s="867"/>
      <c r="AU1490" s="273"/>
      <c r="AV1490" s="847"/>
      <c r="AW1490" s="848"/>
      <c r="AX1490" s="867"/>
      <c r="AY1490" s="273"/>
      <c r="AZ1490" s="847"/>
      <c r="BA1490" s="848"/>
      <c r="BB1490" s="866"/>
      <c r="BC1490" s="273"/>
      <c r="BD1490" s="847"/>
      <c r="BE1490" s="848"/>
      <c r="BF1490" s="838"/>
    </row>
    <row r="1491" spans="1:58" s="60" customFormat="1" ht="54" hidden="1" customHeight="1" x14ac:dyDescent="0.25">
      <c r="A1491" s="267" t="s">
        <v>9536</v>
      </c>
      <c r="B1491" s="268">
        <v>37</v>
      </c>
      <c r="C1491" s="240" t="s">
        <v>2135</v>
      </c>
      <c r="D1491" s="211" t="s">
        <v>2136</v>
      </c>
      <c r="E1491" s="268" t="s">
        <v>9685</v>
      </c>
      <c r="F1491" s="299" t="s">
        <v>9686</v>
      </c>
      <c r="G1491" s="269" t="s">
        <v>9687</v>
      </c>
      <c r="H1491" s="207" t="s">
        <v>9688</v>
      </c>
      <c r="I1491" s="208" t="s">
        <v>9689</v>
      </c>
      <c r="J1491" s="240" t="s">
        <v>140</v>
      </c>
      <c r="K1491" s="270" t="s">
        <v>140</v>
      </c>
      <c r="L1491" s="862" t="s">
        <v>9690</v>
      </c>
      <c r="M1491" s="206" t="s">
        <v>193</v>
      </c>
      <c r="N1491" s="211" t="s">
        <v>194</v>
      </c>
      <c r="O1491" s="240" t="s">
        <v>6167</v>
      </c>
      <c r="P1491" s="240" t="s">
        <v>6168</v>
      </c>
      <c r="Q1491" s="845" t="s">
        <v>144</v>
      </c>
      <c r="R1491" s="208" t="s">
        <v>144</v>
      </c>
      <c r="S1491" s="268" t="s">
        <v>147</v>
      </c>
      <c r="T1491" s="212" t="s">
        <v>144</v>
      </c>
      <c r="U1491" s="213" t="s">
        <v>144</v>
      </c>
      <c r="V1491" s="240">
        <v>12</v>
      </c>
      <c r="W1491" s="206" t="s">
        <v>144</v>
      </c>
      <c r="X1491" s="212">
        <v>43</v>
      </c>
      <c r="Y1491" s="212" t="s">
        <v>144</v>
      </c>
      <c r="Z1491" s="214" t="s">
        <v>144</v>
      </c>
      <c r="AA1491" s="240" t="s">
        <v>148</v>
      </c>
      <c r="AB1491" s="206" t="s">
        <v>140</v>
      </c>
      <c r="AC1491" s="847" t="s">
        <v>265</v>
      </c>
      <c r="AD1491" s="240" t="s">
        <v>144</v>
      </c>
      <c r="AE1491" s="240" t="s">
        <v>144</v>
      </c>
      <c r="AF1491" s="295" t="s">
        <v>144</v>
      </c>
      <c r="AG1491" s="838"/>
      <c r="AH1491" s="866"/>
      <c r="AI1491" s="273"/>
      <c r="AJ1491" s="847"/>
      <c r="AK1491" s="848"/>
      <c r="AL1491" s="185" t="s">
        <v>294</v>
      </c>
      <c r="AM1491" s="186" t="s">
        <v>295</v>
      </c>
      <c r="AN1491" s="847">
        <v>7</v>
      </c>
      <c r="AO1491" s="187" t="s">
        <v>966</v>
      </c>
      <c r="AP1491" s="867"/>
      <c r="AQ1491" s="273"/>
      <c r="AR1491" s="847"/>
      <c r="AS1491" s="848"/>
      <c r="AT1491" s="867"/>
      <c r="AU1491" s="273"/>
      <c r="AV1491" s="847"/>
      <c r="AW1491" s="848"/>
      <c r="AX1491" s="867"/>
      <c r="AY1491" s="273"/>
      <c r="AZ1491" s="847"/>
      <c r="BA1491" s="848"/>
      <c r="BB1491" s="866"/>
      <c r="BC1491" s="273"/>
      <c r="BD1491" s="847"/>
      <c r="BE1491" s="848"/>
      <c r="BF1491" s="838"/>
    </row>
    <row r="1492" spans="1:58" s="60" customFormat="1" ht="54" hidden="1" customHeight="1" x14ac:dyDescent="0.25">
      <c r="A1492" s="267" t="s">
        <v>9536</v>
      </c>
      <c r="B1492" s="268">
        <v>38</v>
      </c>
      <c r="C1492" s="240" t="s">
        <v>2135</v>
      </c>
      <c r="D1492" s="211" t="s">
        <v>2136</v>
      </c>
      <c r="E1492" s="268" t="s">
        <v>9691</v>
      </c>
      <c r="F1492" s="299" t="s">
        <v>9692</v>
      </c>
      <c r="G1492" s="269" t="s">
        <v>9693</v>
      </c>
      <c r="H1492" s="207" t="s">
        <v>9694</v>
      </c>
      <c r="I1492" s="208" t="s">
        <v>9695</v>
      </c>
      <c r="J1492" s="240" t="s">
        <v>140</v>
      </c>
      <c r="K1492" s="270" t="s">
        <v>140</v>
      </c>
      <c r="L1492" s="862" t="s">
        <v>9696</v>
      </c>
      <c r="M1492" s="206" t="s">
        <v>193</v>
      </c>
      <c r="N1492" s="211" t="s">
        <v>194</v>
      </c>
      <c r="O1492" s="240" t="s">
        <v>144</v>
      </c>
      <c r="P1492" s="240" t="s">
        <v>144</v>
      </c>
      <c r="Q1492" s="845" t="s">
        <v>144</v>
      </c>
      <c r="R1492" s="208" t="s">
        <v>144</v>
      </c>
      <c r="S1492" s="268" t="s">
        <v>746</v>
      </c>
      <c r="T1492" s="212" t="s">
        <v>1104</v>
      </c>
      <c r="U1492" s="213" t="s">
        <v>1105</v>
      </c>
      <c r="V1492" s="240">
        <v>19</v>
      </c>
      <c r="W1492" s="206" t="s">
        <v>144</v>
      </c>
      <c r="X1492" s="212">
        <v>43</v>
      </c>
      <c r="Y1492" s="212" t="s">
        <v>144</v>
      </c>
      <c r="Z1492" s="214" t="s">
        <v>144</v>
      </c>
      <c r="AA1492" s="240" t="s">
        <v>148</v>
      </c>
      <c r="AB1492" s="206" t="s">
        <v>140</v>
      </c>
      <c r="AC1492" s="847" t="s">
        <v>265</v>
      </c>
      <c r="AD1492" s="240" t="s">
        <v>144</v>
      </c>
      <c r="AE1492" s="240" t="s">
        <v>144</v>
      </c>
      <c r="AF1492" s="295" t="s">
        <v>144</v>
      </c>
      <c r="AG1492" s="838"/>
      <c r="AH1492" s="866"/>
      <c r="AI1492" s="273"/>
      <c r="AJ1492" s="847"/>
      <c r="AK1492" s="848"/>
      <c r="AL1492" s="867"/>
      <c r="AM1492" s="273"/>
      <c r="AN1492" s="847"/>
      <c r="AO1492" s="848"/>
      <c r="AP1492" s="867"/>
      <c r="AQ1492" s="273"/>
      <c r="AR1492" s="847"/>
      <c r="AS1492" s="848"/>
      <c r="AT1492" s="867"/>
      <c r="AU1492" s="273"/>
      <c r="AV1492" s="847"/>
      <c r="AW1492" s="848"/>
      <c r="AX1492" s="867"/>
      <c r="AY1492" s="273"/>
      <c r="AZ1492" s="847"/>
      <c r="BA1492" s="848"/>
      <c r="BB1492" s="866"/>
      <c r="BC1492" s="273"/>
      <c r="BD1492" s="847"/>
      <c r="BE1492" s="848"/>
      <c r="BF1492" s="838"/>
    </row>
    <row r="1493" spans="1:58" s="60" customFormat="1" ht="54" customHeight="1" thickBot="1" x14ac:dyDescent="0.3">
      <c r="A1493" s="587" t="s">
        <v>9536</v>
      </c>
      <c r="B1493" s="588">
        <v>39</v>
      </c>
      <c r="C1493" s="576" t="s">
        <v>144</v>
      </c>
      <c r="D1493" s="576" t="s">
        <v>144</v>
      </c>
      <c r="E1493" s="588" t="s">
        <v>9697</v>
      </c>
      <c r="F1493" s="589" t="s">
        <v>251</v>
      </c>
      <c r="G1493" s="589" t="s">
        <v>251</v>
      </c>
      <c r="H1493" s="577" t="s">
        <v>336</v>
      </c>
      <c r="I1493" s="589" t="s">
        <v>337</v>
      </c>
      <c r="J1493" s="590" t="s">
        <v>144</v>
      </c>
      <c r="K1493" s="590" t="s">
        <v>144</v>
      </c>
      <c r="L1493" s="719" t="s">
        <v>1467</v>
      </c>
      <c r="M1493" s="592" t="s">
        <v>144</v>
      </c>
      <c r="N1493" s="590" t="s">
        <v>144</v>
      </c>
      <c r="O1493" s="592" t="s">
        <v>144</v>
      </c>
      <c r="P1493" s="592" t="s">
        <v>144</v>
      </c>
      <c r="Q1493" s="577" t="s">
        <v>338</v>
      </c>
      <c r="R1493" s="577" t="s">
        <v>339</v>
      </c>
      <c r="S1493" s="588" t="s">
        <v>147</v>
      </c>
      <c r="T1493" s="579" t="s">
        <v>144</v>
      </c>
      <c r="U1493" s="579" t="s">
        <v>144</v>
      </c>
      <c r="V1493" s="607">
        <f>8000-(SUM(V1455:V1492)+COUNT(V1455:V1492))</f>
        <v>7475</v>
      </c>
      <c r="W1493" s="592" t="s">
        <v>144</v>
      </c>
      <c r="X1493" s="579">
        <v>43</v>
      </c>
      <c r="Y1493" s="579" t="s">
        <v>144</v>
      </c>
      <c r="Z1493" s="581" t="s">
        <v>25</v>
      </c>
      <c r="AA1493" s="592" t="s">
        <v>144</v>
      </c>
      <c r="AB1493" s="576" t="s">
        <v>144</v>
      </c>
      <c r="AC1493" s="592" t="s">
        <v>265</v>
      </c>
      <c r="AD1493" s="592" t="s">
        <v>144</v>
      </c>
      <c r="AE1493" s="592" t="s">
        <v>144</v>
      </c>
      <c r="AF1493" s="594" t="s">
        <v>144</v>
      </c>
      <c r="AG1493" s="680"/>
      <c r="AH1493" s="598"/>
      <c r="AI1493" s="599"/>
      <c r="AJ1493" s="600"/>
      <c r="AK1493" s="601"/>
      <c r="AL1493" s="599"/>
      <c r="AM1493" s="599"/>
      <c r="AN1493" s="600"/>
      <c r="AO1493" s="601"/>
      <c r="AP1493" s="599"/>
      <c r="AQ1493" s="599"/>
      <c r="AR1493" s="600"/>
      <c r="AS1493" s="601"/>
      <c r="AT1493" s="599"/>
      <c r="AU1493" s="599"/>
      <c r="AV1493" s="600"/>
      <c r="AW1493" s="601"/>
      <c r="AX1493" s="599"/>
      <c r="AY1493" s="599"/>
      <c r="AZ1493" s="600"/>
      <c r="BA1493" s="601"/>
      <c r="BB1493" s="598"/>
      <c r="BC1493" s="599"/>
      <c r="BD1493" s="600"/>
      <c r="BE1493" s="601"/>
      <c r="BF1493" s="680"/>
    </row>
    <row r="1494" spans="1:58" s="88" customFormat="1" ht="54" hidden="1" customHeight="1" x14ac:dyDescent="0.25">
      <c r="A1494" s="255" t="s">
        <v>9698</v>
      </c>
      <c r="B1494" s="256">
        <v>1</v>
      </c>
      <c r="C1494" s="260" t="s">
        <v>256</v>
      </c>
      <c r="D1494" s="261" t="s">
        <v>257</v>
      </c>
      <c r="E1494" s="256" t="s">
        <v>9699</v>
      </c>
      <c r="F1494" s="850" t="s">
        <v>259</v>
      </c>
      <c r="G1494" s="257" t="s">
        <v>229</v>
      </c>
      <c r="H1494" s="258" t="s">
        <v>260</v>
      </c>
      <c r="I1494" s="259" t="s">
        <v>261</v>
      </c>
      <c r="J1494" s="308" t="s">
        <v>140</v>
      </c>
      <c r="K1494" s="309" t="s">
        <v>140</v>
      </c>
      <c r="L1494" s="851" t="s">
        <v>144</v>
      </c>
      <c r="M1494" s="852" t="s">
        <v>142</v>
      </c>
      <c r="N1494" s="261" t="s">
        <v>143</v>
      </c>
      <c r="O1494" s="308" t="s">
        <v>144</v>
      </c>
      <c r="P1494" s="308" t="s">
        <v>144</v>
      </c>
      <c r="Q1494" s="258" t="s">
        <v>262</v>
      </c>
      <c r="R1494" s="259" t="s">
        <v>263</v>
      </c>
      <c r="S1494" s="170" t="s">
        <v>233</v>
      </c>
      <c r="T1494" s="264" t="s">
        <v>234</v>
      </c>
      <c r="U1494" s="265" t="s">
        <v>235</v>
      </c>
      <c r="V1494" s="852">
        <v>8</v>
      </c>
      <c r="W1494" s="853" t="s">
        <v>144</v>
      </c>
      <c r="X1494" s="264" t="s">
        <v>925</v>
      </c>
      <c r="Y1494" s="264" t="s">
        <v>144</v>
      </c>
      <c r="Z1494" s="264" t="s">
        <v>144</v>
      </c>
      <c r="AA1494" s="260" t="s">
        <v>148</v>
      </c>
      <c r="AB1494" s="262" t="s">
        <v>140</v>
      </c>
      <c r="AC1494" s="852" t="s">
        <v>265</v>
      </c>
      <c r="AD1494" s="852" t="s">
        <v>144</v>
      </c>
      <c r="AE1494" s="852" t="s">
        <v>144</v>
      </c>
      <c r="AF1494" s="855" t="s">
        <v>144</v>
      </c>
      <c r="AG1494" s="838"/>
      <c r="AH1494" s="856" t="s">
        <v>266</v>
      </c>
      <c r="AI1494" s="384" t="s">
        <v>267</v>
      </c>
      <c r="AJ1494" s="948"/>
      <c r="AK1494" s="949" t="s">
        <v>268</v>
      </c>
      <c r="AL1494" s="950"/>
      <c r="AM1494" s="384"/>
      <c r="AN1494" s="948"/>
      <c r="AO1494" s="949"/>
      <c r="AP1494" s="859" t="s">
        <v>269</v>
      </c>
      <c r="AQ1494" s="191" t="s">
        <v>270</v>
      </c>
      <c r="AR1494" s="948"/>
      <c r="AS1494" s="858" t="s">
        <v>271</v>
      </c>
      <c r="AT1494" s="859" t="s">
        <v>272</v>
      </c>
      <c r="AU1494" s="191" t="s">
        <v>273</v>
      </c>
      <c r="AV1494" s="948"/>
      <c r="AW1494" s="949" t="s">
        <v>274</v>
      </c>
      <c r="AX1494" s="950"/>
      <c r="AY1494" s="384"/>
      <c r="AZ1494" s="948"/>
      <c r="BA1494" s="949"/>
      <c r="BB1494" s="951"/>
      <c r="BC1494" s="384"/>
      <c r="BD1494" s="948"/>
      <c r="BE1494" s="949"/>
      <c r="BF1494" s="838"/>
    </row>
    <row r="1495" spans="1:58" s="88" customFormat="1" ht="54" hidden="1" customHeight="1" x14ac:dyDescent="0.25">
      <c r="A1495" s="267" t="s">
        <v>9698</v>
      </c>
      <c r="B1495" s="268">
        <v>2</v>
      </c>
      <c r="C1495" s="240" t="s">
        <v>256</v>
      </c>
      <c r="D1495" s="270" t="s">
        <v>257</v>
      </c>
      <c r="E1495" s="268" t="s">
        <v>9700</v>
      </c>
      <c r="F1495" s="861" t="s">
        <v>276</v>
      </c>
      <c r="G1495" s="269" t="s">
        <v>277</v>
      </c>
      <c r="H1495" s="845" t="s">
        <v>928</v>
      </c>
      <c r="I1495" s="269" t="s">
        <v>279</v>
      </c>
      <c r="J1495" s="296" t="s">
        <v>140</v>
      </c>
      <c r="K1495" s="297" t="s">
        <v>140</v>
      </c>
      <c r="L1495" s="862" t="s">
        <v>144</v>
      </c>
      <c r="M1495" s="847" t="s">
        <v>142</v>
      </c>
      <c r="N1495" s="270" t="s">
        <v>143</v>
      </c>
      <c r="O1495" s="296" t="s">
        <v>179</v>
      </c>
      <c r="P1495" s="296" t="s">
        <v>280</v>
      </c>
      <c r="Q1495" s="845" t="s">
        <v>144</v>
      </c>
      <c r="R1495" s="208" t="s">
        <v>144</v>
      </c>
      <c r="S1495" s="864" t="s">
        <v>147</v>
      </c>
      <c r="T1495" s="212" t="s">
        <v>144</v>
      </c>
      <c r="U1495" s="213" t="s">
        <v>144</v>
      </c>
      <c r="V1495" s="847">
        <v>5</v>
      </c>
      <c r="W1495" s="415" t="s">
        <v>144</v>
      </c>
      <c r="X1495" s="212" t="s">
        <v>925</v>
      </c>
      <c r="Y1495" s="212" t="s">
        <v>144</v>
      </c>
      <c r="Z1495" s="212" t="s">
        <v>144</v>
      </c>
      <c r="AA1495" s="240" t="s">
        <v>148</v>
      </c>
      <c r="AB1495" s="206" t="s">
        <v>140</v>
      </c>
      <c r="AC1495" s="847" t="s">
        <v>265</v>
      </c>
      <c r="AD1495" s="847" t="s">
        <v>144</v>
      </c>
      <c r="AE1495" s="847" t="s">
        <v>144</v>
      </c>
      <c r="AF1495" s="848" t="s">
        <v>144</v>
      </c>
      <c r="AG1495" s="838"/>
      <c r="AH1495" s="866" t="s">
        <v>266</v>
      </c>
      <c r="AI1495" s="385" t="s">
        <v>267</v>
      </c>
      <c r="AJ1495" s="864"/>
      <c r="AK1495" s="868" t="s">
        <v>281</v>
      </c>
      <c r="AL1495" s="867" t="s">
        <v>282</v>
      </c>
      <c r="AM1495" s="208" t="s">
        <v>283</v>
      </c>
      <c r="AN1495" s="864"/>
      <c r="AO1495" s="868" t="s">
        <v>284</v>
      </c>
      <c r="AP1495" s="914"/>
      <c r="AQ1495" s="385"/>
      <c r="AR1495" s="864"/>
      <c r="AS1495" s="868"/>
      <c r="AT1495" s="914"/>
      <c r="AU1495" s="208"/>
      <c r="AV1495" s="864"/>
      <c r="AW1495" s="868"/>
      <c r="AX1495" s="914"/>
      <c r="AY1495" s="385"/>
      <c r="AZ1495" s="864"/>
      <c r="BA1495" s="868"/>
      <c r="BB1495" s="935"/>
      <c r="BC1495" s="385"/>
      <c r="BD1495" s="864"/>
      <c r="BE1495" s="868"/>
      <c r="BF1495" s="838"/>
    </row>
    <row r="1496" spans="1:58" s="88" customFormat="1" ht="54" hidden="1" customHeight="1" x14ac:dyDescent="0.25">
      <c r="A1496" s="267" t="s">
        <v>9698</v>
      </c>
      <c r="B1496" s="268">
        <v>3</v>
      </c>
      <c r="C1496" s="240" t="s">
        <v>256</v>
      </c>
      <c r="D1496" s="270" t="s">
        <v>257</v>
      </c>
      <c r="E1496" s="268" t="s">
        <v>9701</v>
      </c>
      <c r="F1496" s="861" t="s">
        <v>286</v>
      </c>
      <c r="G1496" s="269" t="s">
        <v>287</v>
      </c>
      <c r="H1496" s="845" t="s">
        <v>288</v>
      </c>
      <c r="I1496" s="208" t="s">
        <v>289</v>
      </c>
      <c r="J1496" s="296" t="s">
        <v>140</v>
      </c>
      <c r="K1496" s="297" t="s">
        <v>140</v>
      </c>
      <c r="L1496" s="862" t="s">
        <v>144</v>
      </c>
      <c r="M1496" s="847" t="s">
        <v>142</v>
      </c>
      <c r="N1496" s="270" t="s">
        <v>143</v>
      </c>
      <c r="O1496" s="296" t="s">
        <v>144</v>
      </c>
      <c r="P1496" s="181" t="s">
        <v>290</v>
      </c>
      <c r="Q1496" s="209" t="s">
        <v>291</v>
      </c>
      <c r="R1496" s="210" t="s">
        <v>292</v>
      </c>
      <c r="S1496" s="864" t="s">
        <v>147</v>
      </c>
      <c r="T1496" s="212" t="s">
        <v>144</v>
      </c>
      <c r="U1496" s="213" t="s">
        <v>144</v>
      </c>
      <c r="V1496" s="847">
        <v>12</v>
      </c>
      <c r="W1496" s="415" t="s">
        <v>144</v>
      </c>
      <c r="X1496" s="212" t="s">
        <v>925</v>
      </c>
      <c r="Y1496" s="212" t="s">
        <v>144</v>
      </c>
      <c r="Z1496" s="212" t="s">
        <v>144</v>
      </c>
      <c r="AA1496" s="240" t="s">
        <v>148</v>
      </c>
      <c r="AB1496" s="206" t="s">
        <v>140</v>
      </c>
      <c r="AC1496" s="847" t="s">
        <v>265</v>
      </c>
      <c r="AD1496" s="847" t="s">
        <v>144</v>
      </c>
      <c r="AE1496" s="847" t="s">
        <v>144</v>
      </c>
      <c r="AF1496" s="848" t="s">
        <v>144</v>
      </c>
      <c r="AG1496" s="838"/>
      <c r="AH1496" s="866" t="s">
        <v>266</v>
      </c>
      <c r="AI1496" s="385" t="s">
        <v>267</v>
      </c>
      <c r="AJ1496" s="864"/>
      <c r="AK1496" s="868" t="s">
        <v>293</v>
      </c>
      <c r="AL1496" s="185" t="s">
        <v>294</v>
      </c>
      <c r="AM1496" s="186" t="s">
        <v>295</v>
      </c>
      <c r="AN1496" s="864"/>
      <c r="AO1496" s="848" t="s">
        <v>296</v>
      </c>
      <c r="AP1496" s="914"/>
      <c r="AQ1496" s="385"/>
      <c r="AR1496" s="864"/>
      <c r="AS1496" s="868"/>
      <c r="AT1496" s="914"/>
      <c r="AU1496" s="208"/>
      <c r="AV1496" s="864"/>
      <c r="AW1496" s="868"/>
      <c r="AX1496" s="914"/>
      <c r="AY1496" s="385"/>
      <c r="AZ1496" s="864"/>
      <c r="BA1496" s="868"/>
      <c r="BB1496" s="935"/>
      <c r="BC1496" s="385"/>
      <c r="BD1496" s="864"/>
      <c r="BE1496" s="868"/>
      <c r="BF1496" s="838"/>
    </row>
    <row r="1497" spans="1:58" s="88" customFormat="1" ht="54" hidden="1" customHeight="1" x14ac:dyDescent="0.25">
      <c r="A1497" s="267" t="s">
        <v>9698</v>
      </c>
      <c r="B1497" s="268">
        <v>4</v>
      </c>
      <c r="C1497" s="240" t="s">
        <v>297</v>
      </c>
      <c r="D1497" s="270" t="s">
        <v>298</v>
      </c>
      <c r="E1497" s="268" t="s">
        <v>9702</v>
      </c>
      <c r="F1497" s="861" t="s">
        <v>300</v>
      </c>
      <c r="G1497" s="269" t="s">
        <v>301</v>
      </c>
      <c r="H1497" s="209" t="s">
        <v>302</v>
      </c>
      <c r="I1497" s="210" t="s">
        <v>303</v>
      </c>
      <c r="J1497" s="296" t="s">
        <v>140</v>
      </c>
      <c r="K1497" s="297" t="s">
        <v>140</v>
      </c>
      <c r="L1497" s="862" t="s">
        <v>144</v>
      </c>
      <c r="M1497" s="847" t="s">
        <v>142</v>
      </c>
      <c r="N1497" s="270" t="s">
        <v>143</v>
      </c>
      <c r="O1497" s="296" t="s">
        <v>144</v>
      </c>
      <c r="P1497" s="296" t="s">
        <v>144</v>
      </c>
      <c r="Q1497" s="209" t="s">
        <v>304</v>
      </c>
      <c r="R1497" s="210" t="s">
        <v>305</v>
      </c>
      <c r="S1497" s="864" t="s">
        <v>147</v>
      </c>
      <c r="T1497" s="212" t="s">
        <v>144</v>
      </c>
      <c r="U1497" s="213" t="s">
        <v>144</v>
      </c>
      <c r="V1497" s="847">
        <v>1</v>
      </c>
      <c r="W1497" s="415" t="s">
        <v>144</v>
      </c>
      <c r="X1497" s="212" t="s">
        <v>925</v>
      </c>
      <c r="Y1497" s="212" t="s">
        <v>144</v>
      </c>
      <c r="Z1497" s="212" t="s">
        <v>144</v>
      </c>
      <c r="AA1497" s="240" t="s">
        <v>148</v>
      </c>
      <c r="AB1497" s="206" t="s">
        <v>140</v>
      </c>
      <c r="AC1497" s="847" t="s">
        <v>265</v>
      </c>
      <c r="AD1497" s="847" t="s">
        <v>144</v>
      </c>
      <c r="AE1497" s="847" t="s">
        <v>144</v>
      </c>
      <c r="AF1497" s="848" t="s">
        <v>144</v>
      </c>
      <c r="AG1497" s="838"/>
      <c r="AH1497" s="866" t="s">
        <v>266</v>
      </c>
      <c r="AI1497" s="208" t="s">
        <v>267</v>
      </c>
      <c r="AJ1497" s="864"/>
      <c r="AK1497" s="868" t="s">
        <v>306</v>
      </c>
      <c r="AL1497" s="914"/>
      <c r="AM1497" s="385"/>
      <c r="AN1497" s="864"/>
      <c r="AO1497" s="868"/>
      <c r="AP1497" s="867" t="s">
        <v>307</v>
      </c>
      <c r="AQ1497" s="208" t="s">
        <v>937</v>
      </c>
      <c r="AR1497" s="864"/>
      <c r="AS1497" s="868" t="s">
        <v>309</v>
      </c>
      <c r="AT1497" s="914"/>
      <c r="AU1497" s="208"/>
      <c r="AV1497" s="864"/>
      <c r="AW1497" s="868"/>
      <c r="AX1497" s="914"/>
      <c r="AY1497" s="385"/>
      <c r="AZ1497" s="864"/>
      <c r="BA1497" s="868"/>
      <c r="BB1497" s="935"/>
      <c r="BC1497" s="385"/>
      <c r="BD1497" s="864"/>
      <c r="BE1497" s="868"/>
      <c r="BF1497" s="838"/>
    </row>
    <row r="1498" spans="1:58" s="88" customFormat="1" ht="54" hidden="1" customHeight="1" x14ac:dyDescent="0.25">
      <c r="A1498" s="267" t="s">
        <v>9698</v>
      </c>
      <c r="B1498" s="268">
        <v>5</v>
      </c>
      <c r="C1498" s="240" t="s">
        <v>297</v>
      </c>
      <c r="D1498" s="270" t="s">
        <v>298</v>
      </c>
      <c r="E1498" s="268" t="s">
        <v>9703</v>
      </c>
      <c r="F1498" s="861" t="s">
        <v>311</v>
      </c>
      <c r="G1498" s="269" t="s">
        <v>312</v>
      </c>
      <c r="H1498" s="209" t="s">
        <v>313</v>
      </c>
      <c r="I1498" s="210" t="s">
        <v>314</v>
      </c>
      <c r="J1498" s="296" t="s">
        <v>140</v>
      </c>
      <c r="K1498" s="297" t="s">
        <v>140</v>
      </c>
      <c r="L1498" s="862" t="s">
        <v>144</v>
      </c>
      <c r="M1498" s="847" t="s">
        <v>142</v>
      </c>
      <c r="N1498" s="270" t="s">
        <v>143</v>
      </c>
      <c r="O1498" s="296" t="s">
        <v>144</v>
      </c>
      <c r="P1498" s="296" t="s">
        <v>144</v>
      </c>
      <c r="Q1498" s="209" t="s">
        <v>315</v>
      </c>
      <c r="R1498" s="210" t="s">
        <v>316</v>
      </c>
      <c r="S1498" s="864" t="s">
        <v>147</v>
      </c>
      <c r="T1498" s="212" t="s">
        <v>144</v>
      </c>
      <c r="U1498" s="213" t="s">
        <v>144</v>
      </c>
      <c r="V1498" s="847">
        <v>12</v>
      </c>
      <c r="W1498" s="415" t="s">
        <v>144</v>
      </c>
      <c r="X1498" s="212" t="s">
        <v>925</v>
      </c>
      <c r="Y1498" s="212" t="s">
        <v>144</v>
      </c>
      <c r="Z1498" s="212" t="s">
        <v>144</v>
      </c>
      <c r="AA1498" s="240" t="s">
        <v>148</v>
      </c>
      <c r="AB1498" s="206" t="s">
        <v>140</v>
      </c>
      <c r="AC1498" s="847" t="s">
        <v>265</v>
      </c>
      <c r="AD1498" s="847" t="s">
        <v>144</v>
      </c>
      <c r="AE1498" s="847" t="s">
        <v>144</v>
      </c>
      <c r="AF1498" s="848" t="s">
        <v>144</v>
      </c>
      <c r="AG1498" s="838"/>
      <c r="AH1498" s="866" t="s">
        <v>266</v>
      </c>
      <c r="AI1498" s="208" t="s">
        <v>267</v>
      </c>
      <c r="AJ1498" s="864"/>
      <c r="AK1498" s="848" t="s">
        <v>317</v>
      </c>
      <c r="AL1498" s="914"/>
      <c r="AM1498" s="385"/>
      <c r="AN1498" s="864"/>
      <c r="AO1498" s="868"/>
      <c r="AP1498" s="914"/>
      <c r="AQ1498" s="385"/>
      <c r="AR1498" s="864"/>
      <c r="AS1498" s="868"/>
      <c r="AT1498" s="867" t="s">
        <v>318</v>
      </c>
      <c r="AU1498" s="208" t="s">
        <v>319</v>
      </c>
      <c r="AV1498" s="864"/>
      <c r="AW1498" s="868" t="s">
        <v>320</v>
      </c>
      <c r="AX1498" s="914"/>
      <c r="AY1498" s="385"/>
      <c r="AZ1498" s="864"/>
      <c r="BA1498" s="868"/>
      <c r="BB1498" s="935"/>
      <c r="BC1498" s="385"/>
      <c r="BD1498" s="864"/>
      <c r="BE1498" s="868"/>
      <c r="BF1498" s="838"/>
    </row>
    <row r="1499" spans="1:58" s="88" customFormat="1" ht="54" hidden="1" customHeight="1" x14ac:dyDescent="0.25">
      <c r="A1499" s="267" t="s">
        <v>9698</v>
      </c>
      <c r="B1499" s="268">
        <v>6</v>
      </c>
      <c r="C1499" s="240" t="s">
        <v>297</v>
      </c>
      <c r="D1499" s="270" t="s">
        <v>298</v>
      </c>
      <c r="E1499" s="268" t="s">
        <v>9704</v>
      </c>
      <c r="F1499" s="861" t="s">
        <v>136</v>
      </c>
      <c r="G1499" s="269" t="s">
        <v>322</v>
      </c>
      <c r="H1499" s="846" t="s">
        <v>323</v>
      </c>
      <c r="I1499" s="210" t="s">
        <v>324</v>
      </c>
      <c r="J1499" s="296" t="s">
        <v>140</v>
      </c>
      <c r="K1499" s="297" t="s">
        <v>140</v>
      </c>
      <c r="L1499" s="862" t="s">
        <v>144</v>
      </c>
      <c r="M1499" s="847" t="s">
        <v>142</v>
      </c>
      <c r="N1499" s="270" t="s">
        <v>143</v>
      </c>
      <c r="O1499" s="296" t="s">
        <v>144</v>
      </c>
      <c r="P1499" s="296" t="s">
        <v>144</v>
      </c>
      <c r="Q1499" s="845" t="s">
        <v>144</v>
      </c>
      <c r="R1499" s="208" t="s">
        <v>144</v>
      </c>
      <c r="S1499" s="864" t="s">
        <v>147</v>
      </c>
      <c r="T1499" s="212" t="s">
        <v>144</v>
      </c>
      <c r="U1499" s="213" t="s">
        <v>144</v>
      </c>
      <c r="V1499" s="847">
        <v>2</v>
      </c>
      <c r="W1499" s="415" t="s">
        <v>144</v>
      </c>
      <c r="X1499" s="212" t="s">
        <v>925</v>
      </c>
      <c r="Y1499" s="212" t="s">
        <v>144</v>
      </c>
      <c r="Z1499" s="212" t="s">
        <v>144</v>
      </c>
      <c r="AA1499" s="240" t="s">
        <v>148</v>
      </c>
      <c r="AB1499" s="206" t="s">
        <v>140</v>
      </c>
      <c r="AC1499" s="847" t="s">
        <v>265</v>
      </c>
      <c r="AD1499" s="847" t="s">
        <v>144</v>
      </c>
      <c r="AE1499" s="847" t="s">
        <v>144</v>
      </c>
      <c r="AF1499" s="848" t="s">
        <v>144</v>
      </c>
      <c r="AG1499" s="838"/>
      <c r="AH1499" s="866" t="s">
        <v>266</v>
      </c>
      <c r="AI1499" s="208" t="s">
        <v>267</v>
      </c>
      <c r="AJ1499" s="864"/>
      <c r="AK1499" s="848" t="s">
        <v>327</v>
      </c>
      <c r="AL1499" s="914"/>
      <c r="AM1499" s="385"/>
      <c r="AN1499" s="864"/>
      <c r="AO1499" s="868"/>
      <c r="AP1499" s="867" t="s">
        <v>9705</v>
      </c>
      <c r="AQ1499" s="208" t="s">
        <v>9706</v>
      </c>
      <c r="AR1499" s="864"/>
      <c r="AS1499" s="848" t="s">
        <v>327</v>
      </c>
      <c r="AT1499" s="914"/>
      <c r="AU1499" s="208"/>
      <c r="AV1499" s="864"/>
      <c r="AW1499" s="868"/>
      <c r="AX1499" s="914"/>
      <c r="AY1499" s="385"/>
      <c r="AZ1499" s="864"/>
      <c r="BA1499" s="868"/>
      <c r="BB1499" s="935"/>
      <c r="BC1499" s="385"/>
      <c r="BD1499" s="864"/>
      <c r="BE1499" s="868"/>
      <c r="BF1499" s="838"/>
    </row>
    <row r="1500" spans="1:58" s="57" customFormat="1" ht="54" customHeight="1" x14ac:dyDescent="0.25">
      <c r="A1500" s="275" t="s">
        <v>9698</v>
      </c>
      <c r="B1500" s="276">
        <v>7</v>
      </c>
      <c r="C1500" s="253" t="s">
        <v>144</v>
      </c>
      <c r="D1500" s="253" t="s">
        <v>144</v>
      </c>
      <c r="E1500" s="276" t="s">
        <v>9707</v>
      </c>
      <c r="F1500" s="277" t="s">
        <v>251</v>
      </c>
      <c r="G1500" s="277" t="s">
        <v>251</v>
      </c>
      <c r="H1500" s="220" t="s">
        <v>336</v>
      </c>
      <c r="I1500" s="218" t="s">
        <v>337</v>
      </c>
      <c r="J1500" s="253" t="s">
        <v>144</v>
      </c>
      <c r="K1500" s="253" t="s">
        <v>144</v>
      </c>
      <c r="L1500" s="718" t="s">
        <v>144</v>
      </c>
      <c r="M1500" s="253" t="s">
        <v>144</v>
      </c>
      <c r="N1500" s="253" t="s">
        <v>144</v>
      </c>
      <c r="O1500" s="253" t="s">
        <v>144</v>
      </c>
      <c r="P1500" s="253" t="s">
        <v>144</v>
      </c>
      <c r="Q1500" s="220" t="s">
        <v>338</v>
      </c>
      <c r="R1500" s="220" t="s">
        <v>339</v>
      </c>
      <c r="S1500" s="276" t="s">
        <v>147</v>
      </c>
      <c r="T1500" s="221" t="s">
        <v>144</v>
      </c>
      <c r="U1500" s="221" t="s">
        <v>144</v>
      </c>
      <c r="V1500" s="253">
        <v>10</v>
      </c>
      <c r="W1500" s="253" t="s">
        <v>144</v>
      </c>
      <c r="X1500" s="221" t="s">
        <v>144</v>
      </c>
      <c r="Y1500" s="221" t="s">
        <v>144</v>
      </c>
      <c r="Z1500" s="374" t="s">
        <v>144</v>
      </c>
      <c r="AA1500" s="253" t="s">
        <v>144</v>
      </c>
      <c r="AB1500" s="217" t="s">
        <v>144</v>
      </c>
      <c r="AC1500" s="253" t="s">
        <v>265</v>
      </c>
      <c r="AD1500" s="253" t="s">
        <v>144</v>
      </c>
      <c r="AE1500" s="253" t="s">
        <v>144</v>
      </c>
      <c r="AF1500" s="254" t="s">
        <v>144</v>
      </c>
      <c r="AG1500" s="838"/>
      <c r="AH1500" s="386"/>
      <c r="AI1500" s="387"/>
      <c r="AJ1500" s="276"/>
      <c r="AK1500" s="388"/>
      <c r="AL1500" s="389"/>
      <c r="AM1500" s="387"/>
      <c r="AN1500" s="276"/>
      <c r="AO1500" s="388"/>
      <c r="AP1500" s="389"/>
      <c r="AQ1500" s="387"/>
      <c r="AR1500" s="276"/>
      <c r="AS1500" s="388"/>
      <c r="AT1500" s="389"/>
      <c r="AU1500" s="218"/>
      <c r="AV1500" s="276"/>
      <c r="AW1500" s="388"/>
      <c r="AX1500" s="389"/>
      <c r="AY1500" s="387"/>
      <c r="AZ1500" s="276"/>
      <c r="BA1500" s="388"/>
      <c r="BB1500" s="386"/>
      <c r="BC1500" s="387"/>
      <c r="BD1500" s="276"/>
      <c r="BE1500" s="388"/>
      <c r="BF1500" s="838"/>
    </row>
    <row r="1501" spans="1:58" s="88" customFormat="1" ht="54" hidden="1" customHeight="1" x14ac:dyDescent="0.25">
      <c r="A1501" s="267" t="s">
        <v>9698</v>
      </c>
      <c r="B1501" s="268">
        <v>8</v>
      </c>
      <c r="C1501" s="240" t="s">
        <v>297</v>
      </c>
      <c r="D1501" s="211" t="s">
        <v>298</v>
      </c>
      <c r="E1501" s="390" t="s">
        <v>9708</v>
      </c>
      <c r="F1501" s="351" t="s">
        <v>9709</v>
      </c>
      <c r="G1501" s="269" t="s">
        <v>9710</v>
      </c>
      <c r="H1501" s="845" t="s">
        <v>9711</v>
      </c>
      <c r="I1501" s="269" t="s">
        <v>9712</v>
      </c>
      <c r="J1501" s="296" t="s">
        <v>140</v>
      </c>
      <c r="K1501" s="297" t="s">
        <v>140</v>
      </c>
      <c r="L1501" s="862" t="s">
        <v>144</v>
      </c>
      <c r="M1501" s="847" t="s">
        <v>142</v>
      </c>
      <c r="N1501" s="270" t="s">
        <v>143</v>
      </c>
      <c r="O1501" s="296" t="s">
        <v>144</v>
      </c>
      <c r="P1501" s="296" t="s">
        <v>144</v>
      </c>
      <c r="Q1501" s="845" t="s">
        <v>9713</v>
      </c>
      <c r="R1501" s="208" t="s">
        <v>9714</v>
      </c>
      <c r="S1501" s="864" t="s">
        <v>147</v>
      </c>
      <c r="T1501" s="212" t="s">
        <v>144</v>
      </c>
      <c r="U1501" s="213" t="s">
        <v>144</v>
      </c>
      <c r="V1501" s="847">
        <v>12</v>
      </c>
      <c r="W1501" s="415" t="s">
        <v>144</v>
      </c>
      <c r="X1501" s="212" t="s">
        <v>925</v>
      </c>
      <c r="Y1501" s="212" t="s">
        <v>144</v>
      </c>
      <c r="Z1501" s="212" t="s">
        <v>144</v>
      </c>
      <c r="AA1501" s="240" t="s">
        <v>148</v>
      </c>
      <c r="AB1501" s="206" t="s">
        <v>140</v>
      </c>
      <c r="AC1501" s="847" t="s">
        <v>265</v>
      </c>
      <c r="AD1501" s="847" t="s">
        <v>144</v>
      </c>
      <c r="AE1501" s="847" t="s">
        <v>144</v>
      </c>
      <c r="AF1501" s="848" t="s">
        <v>144</v>
      </c>
      <c r="AG1501" s="838"/>
      <c r="AH1501" s="935"/>
      <c r="AI1501" s="385"/>
      <c r="AJ1501" s="864"/>
      <c r="AK1501" s="868"/>
      <c r="AL1501" s="914"/>
      <c r="AM1501" s="385"/>
      <c r="AN1501" s="864"/>
      <c r="AO1501" s="868"/>
      <c r="AP1501" s="914"/>
      <c r="AQ1501" s="385"/>
      <c r="AR1501" s="864"/>
      <c r="AS1501" s="868"/>
      <c r="AT1501" s="914"/>
      <c r="AU1501" s="208"/>
      <c r="AV1501" s="864"/>
      <c r="AW1501" s="868"/>
      <c r="AX1501" s="914"/>
      <c r="AY1501" s="385"/>
      <c r="AZ1501" s="864"/>
      <c r="BA1501" s="868"/>
      <c r="BB1501" s="935"/>
      <c r="BC1501" s="385"/>
      <c r="BD1501" s="864"/>
      <c r="BE1501" s="868"/>
      <c r="BF1501" s="838"/>
    </row>
    <row r="1502" spans="1:58" s="114" customFormat="1" ht="54" customHeight="1" thickBot="1" x14ac:dyDescent="0.3">
      <c r="A1502" s="587" t="s">
        <v>9698</v>
      </c>
      <c r="B1502" s="588">
        <v>9</v>
      </c>
      <c r="C1502" s="576" t="s">
        <v>144</v>
      </c>
      <c r="D1502" s="576" t="s">
        <v>144</v>
      </c>
      <c r="E1502" s="588" t="s">
        <v>9715</v>
      </c>
      <c r="F1502" s="589" t="s">
        <v>251</v>
      </c>
      <c r="G1502" s="589" t="s">
        <v>251</v>
      </c>
      <c r="H1502" s="577" t="s">
        <v>336</v>
      </c>
      <c r="I1502" s="589" t="s">
        <v>337</v>
      </c>
      <c r="J1502" s="590" t="s">
        <v>144</v>
      </c>
      <c r="K1502" s="590" t="s">
        <v>144</v>
      </c>
      <c r="L1502" s="719" t="s">
        <v>144</v>
      </c>
      <c r="M1502" s="592" t="s">
        <v>144</v>
      </c>
      <c r="N1502" s="592" t="s">
        <v>144</v>
      </c>
      <c r="O1502" s="590" t="s">
        <v>144</v>
      </c>
      <c r="P1502" s="590" t="s">
        <v>144</v>
      </c>
      <c r="Q1502" s="577" t="s">
        <v>338</v>
      </c>
      <c r="R1502" s="577" t="s">
        <v>339</v>
      </c>
      <c r="S1502" s="588" t="s">
        <v>147</v>
      </c>
      <c r="T1502" s="579" t="s">
        <v>144</v>
      </c>
      <c r="U1502" s="579" t="s">
        <v>144</v>
      </c>
      <c r="V1502" s="607">
        <f>8000-(SUM(V1494:V1501)+COUNT(V1494:V1501))</f>
        <v>7930</v>
      </c>
      <c r="W1502" s="576" t="s">
        <v>144</v>
      </c>
      <c r="X1502" s="579">
        <v>43</v>
      </c>
      <c r="Y1502" s="579" t="s">
        <v>144</v>
      </c>
      <c r="Z1502" s="581" t="s">
        <v>25</v>
      </c>
      <c r="AA1502" s="592" t="s">
        <v>144</v>
      </c>
      <c r="AB1502" s="576" t="s">
        <v>144</v>
      </c>
      <c r="AC1502" s="592" t="s">
        <v>265</v>
      </c>
      <c r="AD1502" s="592" t="s">
        <v>144</v>
      </c>
      <c r="AE1502" s="592" t="s">
        <v>144</v>
      </c>
      <c r="AF1502" s="594" t="s">
        <v>144</v>
      </c>
      <c r="AG1502" s="49"/>
      <c r="AH1502" s="602"/>
      <c r="AI1502" s="603"/>
      <c r="AJ1502" s="588"/>
      <c r="AK1502" s="604"/>
      <c r="AL1502" s="605"/>
      <c r="AM1502" s="603"/>
      <c r="AN1502" s="588"/>
      <c r="AO1502" s="604"/>
      <c r="AP1502" s="605"/>
      <c r="AQ1502" s="603"/>
      <c r="AR1502" s="588"/>
      <c r="AS1502" s="604"/>
      <c r="AT1502" s="605"/>
      <c r="AU1502" s="597"/>
      <c r="AV1502" s="588"/>
      <c r="AW1502" s="604"/>
      <c r="AX1502" s="605"/>
      <c r="AY1502" s="603"/>
      <c r="AZ1502" s="588"/>
      <c r="BA1502" s="604"/>
      <c r="BB1502" s="602"/>
      <c r="BC1502" s="603"/>
      <c r="BD1502" s="588"/>
      <c r="BE1502" s="604"/>
      <c r="BF1502" s="680"/>
    </row>
    <row r="1503" spans="1:58" s="86" customFormat="1" ht="54" hidden="1" customHeight="1" x14ac:dyDescent="0.25">
      <c r="A1503" s="391" t="s">
        <v>132</v>
      </c>
      <c r="B1503" s="392">
        <v>1</v>
      </c>
      <c r="C1503" s="392" t="s">
        <v>9716</v>
      </c>
      <c r="D1503" s="393" t="s">
        <v>9717</v>
      </c>
      <c r="E1503" s="394" t="s">
        <v>9718</v>
      </c>
      <c r="F1503" s="395" t="s">
        <v>136</v>
      </c>
      <c r="G1503" s="396" t="s">
        <v>137</v>
      </c>
      <c r="H1503" s="395" t="s">
        <v>9719</v>
      </c>
      <c r="I1503" s="396" t="s">
        <v>9720</v>
      </c>
      <c r="J1503" s="394" t="s">
        <v>140</v>
      </c>
      <c r="K1503" s="397" t="s">
        <v>140</v>
      </c>
      <c r="L1503" s="723" t="s">
        <v>141</v>
      </c>
      <c r="M1503" s="394" t="s">
        <v>142</v>
      </c>
      <c r="N1503" s="397" t="s">
        <v>143</v>
      </c>
      <c r="O1503" s="394" t="s">
        <v>144</v>
      </c>
      <c r="P1503" s="394" t="s">
        <v>144</v>
      </c>
      <c r="Q1503" s="395" t="s">
        <v>9721</v>
      </c>
      <c r="R1503" s="396" t="s">
        <v>9722</v>
      </c>
      <c r="S1503" s="394" t="s">
        <v>147</v>
      </c>
      <c r="T1503" s="398" t="s">
        <v>144</v>
      </c>
      <c r="U1503" s="399" t="s">
        <v>144</v>
      </c>
      <c r="V1503" s="394">
        <v>2</v>
      </c>
      <c r="W1503" s="394" t="s">
        <v>144</v>
      </c>
      <c r="X1503" s="398">
        <v>43</v>
      </c>
      <c r="Y1503" s="398" t="s">
        <v>144</v>
      </c>
      <c r="Z1503" s="398" t="s">
        <v>144</v>
      </c>
      <c r="AA1503" s="394" t="s">
        <v>148</v>
      </c>
      <c r="AB1503" s="262" t="s">
        <v>144</v>
      </c>
      <c r="AC1503" s="394" t="s">
        <v>144</v>
      </c>
      <c r="AD1503" s="394" t="s">
        <v>144</v>
      </c>
      <c r="AE1503" s="394" t="s">
        <v>144</v>
      </c>
      <c r="AF1503" s="400" t="s">
        <v>144</v>
      </c>
      <c r="AG1503" s="838"/>
      <c r="AH1503" s="951"/>
      <c r="AI1503" s="384"/>
      <c r="AJ1503" s="948"/>
      <c r="AK1503" s="949"/>
      <c r="AL1503" s="952"/>
      <c r="AM1503" s="401"/>
      <c r="AN1503" s="948"/>
      <c r="AO1503" s="949"/>
      <c r="AP1503" s="950"/>
      <c r="AQ1503" s="384"/>
      <c r="AR1503" s="948"/>
      <c r="AS1503" s="949"/>
      <c r="AT1503" s="950"/>
      <c r="AU1503" s="191"/>
      <c r="AV1503" s="948"/>
      <c r="AW1503" s="949"/>
      <c r="AX1503" s="950"/>
      <c r="AY1503" s="384"/>
      <c r="AZ1503" s="948"/>
      <c r="BA1503" s="949"/>
      <c r="BB1503" s="935"/>
      <c r="BC1503" s="385"/>
      <c r="BD1503" s="864"/>
      <c r="BE1503" s="868"/>
      <c r="BF1503" s="838"/>
    </row>
    <row r="1504" spans="1:58" s="86" customFormat="1" ht="54" hidden="1" customHeight="1" x14ac:dyDescent="0.25">
      <c r="A1504" s="404" t="s">
        <v>132</v>
      </c>
      <c r="B1504" s="390">
        <v>2</v>
      </c>
      <c r="C1504" s="390" t="s">
        <v>9716</v>
      </c>
      <c r="D1504" s="402" t="s">
        <v>9717</v>
      </c>
      <c r="E1504" s="902" t="s">
        <v>9723</v>
      </c>
      <c r="F1504" s="351" t="s">
        <v>9724</v>
      </c>
      <c r="G1504" s="318" t="s">
        <v>9725</v>
      </c>
      <c r="H1504" s="351" t="s">
        <v>9726</v>
      </c>
      <c r="I1504" s="318" t="s">
        <v>9727</v>
      </c>
      <c r="J1504" s="349" t="s">
        <v>140</v>
      </c>
      <c r="K1504" s="403" t="s">
        <v>140</v>
      </c>
      <c r="L1504" s="724" t="s">
        <v>9728</v>
      </c>
      <c r="M1504" s="349" t="s">
        <v>142</v>
      </c>
      <c r="N1504" s="403" t="s">
        <v>143</v>
      </c>
      <c r="O1504" s="349" t="s">
        <v>144</v>
      </c>
      <c r="P1504" s="349" t="s">
        <v>144</v>
      </c>
      <c r="Q1504" s="351" t="s">
        <v>144</v>
      </c>
      <c r="R1504" s="318" t="s">
        <v>144</v>
      </c>
      <c r="S1504" s="349" t="s">
        <v>746</v>
      </c>
      <c r="T1504" s="235" t="s">
        <v>144</v>
      </c>
      <c r="U1504" s="236" t="s">
        <v>144</v>
      </c>
      <c r="V1504" s="349">
        <v>10</v>
      </c>
      <c r="W1504" s="349" t="s">
        <v>144</v>
      </c>
      <c r="X1504" s="235">
        <v>43</v>
      </c>
      <c r="Y1504" s="235" t="s">
        <v>144</v>
      </c>
      <c r="Z1504" s="235" t="s">
        <v>144</v>
      </c>
      <c r="AA1504" s="349" t="s">
        <v>148</v>
      </c>
      <c r="AB1504" s="206" t="s">
        <v>144</v>
      </c>
      <c r="AC1504" s="349" t="s">
        <v>144</v>
      </c>
      <c r="AD1504" s="349" t="s">
        <v>144</v>
      </c>
      <c r="AE1504" s="349" t="s">
        <v>144</v>
      </c>
      <c r="AF1504" s="350" t="s">
        <v>144</v>
      </c>
      <c r="AG1504" s="838"/>
      <c r="AH1504" s="935"/>
      <c r="AI1504" s="385"/>
      <c r="AJ1504" s="864"/>
      <c r="AK1504" s="868"/>
      <c r="AL1504" s="953"/>
      <c r="AM1504" s="405"/>
      <c r="AN1504" s="864"/>
      <c r="AO1504" s="868"/>
      <c r="AP1504" s="914"/>
      <c r="AQ1504" s="385"/>
      <c r="AR1504" s="864"/>
      <c r="AS1504" s="868"/>
      <c r="AT1504" s="914"/>
      <c r="AU1504" s="208"/>
      <c r="AV1504" s="864"/>
      <c r="AW1504" s="868"/>
      <c r="AX1504" s="914"/>
      <c r="AY1504" s="385"/>
      <c r="AZ1504" s="864"/>
      <c r="BA1504" s="868"/>
      <c r="BB1504" s="935"/>
      <c r="BC1504" s="385"/>
      <c r="BD1504" s="864"/>
      <c r="BE1504" s="868"/>
      <c r="BF1504" s="838"/>
    </row>
    <row r="1505" spans="1:57" s="86" customFormat="1" ht="54" customHeight="1" thickBot="1" x14ac:dyDescent="0.3">
      <c r="A1505" s="107" t="s">
        <v>132</v>
      </c>
      <c r="B1505" s="22">
        <v>3</v>
      </c>
      <c r="C1505" s="22" t="s">
        <v>9716</v>
      </c>
      <c r="D1505" s="23" t="s">
        <v>9717</v>
      </c>
      <c r="E1505" s="954" t="s">
        <v>9729</v>
      </c>
      <c r="F1505" s="24" t="s">
        <v>251</v>
      </c>
      <c r="G1505" s="25" t="s">
        <v>251</v>
      </c>
      <c r="H1505" s="24" t="s">
        <v>252</v>
      </c>
      <c r="I1505" s="25" t="s">
        <v>253</v>
      </c>
      <c r="J1505" s="26" t="s">
        <v>144</v>
      </c>
      <c r="K1505" s="27" t="s">
        <v>144</v>
      </c>
      <c r="L1505" s="725" t="s">
        <v>254</v>
      </c>
      <c r="M1505" s="26" t="s">
        <v>193</v>
      </c>
      <c r="N1505" s="27" t="s">
        <v>194</v>
      </c>
      <c r="O1505" s="26" t="s">
        <v>144</v>
      </c>
      <c r="P1505" s="26" t="s">
        <v>144</v>
      </c>
      <c r="Q1505" s="24" t="s">
        <v>144</v>
      </c>
      <c r="R1505" s="25" t="s">
        <v>144</v>
      </c>
      <c r="S1505" s="26" t="s">
        <v>147</v>
      </c>
      <c r="T1505" s="127" t="s">
        <v>144</v>
      </c>
      <c r="U1505" s="128" t="s">
        <v>144</v>
      </c>
      <c r="V1505" s="26">
        <f>8000-(SUM(V1503:V1504)+COUNT(V1503:V1504))</f>
        <v>7986</v>
      </c>
      <c r="W1505" s="26" t="s">
        <v>144</v>
      </c>
      <c r="X1505" s="127">
        <v>43</v>
      </c>
      <c r="Y1505" s="127" t="s">
        <v>144</v>
      </c>
      <c r="Z1505" s="133" t="s">
        <v>144</v>
      </c>
      <c r="AA1505" s="26" t="s">
        <v>148</v>
      </c>
      <c r="AB1505" s="26" t="s">
        <v>144</v>
      </c>
      <c r="AC1505" s="26" t="s">
        <v>144</v>
      </c>
      <c r="AD1505" s="26" t="s">
        <v>144</v>
      </c>
      <c r="AE1505" s="26" t="s">
        <v>144</v>
      </c>
      <c r="AF1505" s="28" t="s">
        <v>144</v>
      </c>
      <c r="AG1505" s="838"/>
      <c r="AH1505" s="955"/>
      <c r="AI1505" s="29"/>
      <c r="AJ1505" s="956"/>
      <c r="AK1505" s="957"/>
      <c r="AL1505" s="958"/>
      <c r="AM1505" s="30"/>
      <c r="AN1505" s="956"/>
      <c r="AO1505" s="957"/>
      <c r="AP1505" s="959"/>
      <c r="AQ1505" s="29"/>
      <c r="AR1505" s="956"/>
      <c r="AS1505" s="957"/>
      <c r="AT1505" s="959"/>
      <c r="AU1505" s="29"/>
      <c r="AV1505" s="956"/>
      <c r="AW1505" s="957"/>
      <c r="AX1505" s="959"/>
      <c r="AY1505" s="29"/>
      <c r="AZ1505" s="956"/>
      <c r="BA1505" s="957"/>
      <c r="BB1505" s="955"/>
      <c r="BC1505" s="29"/>
      <c r="BD1505" s="956"/>
      <c r="BE1505" s="957"/>
    </row>
    <row r="1509" spans="1:57" x14ac:dyDescent="0.25">
      <c r="G1509" s="142"/>
      <c r="AK1509" s="136"/>
      <c r="AP1509" s="136" t="s">
        <v>1228</v>
      </c>
    </row>
    <row r="1510" spans="1:57" x14ac:dyDescent="0.25">
      <c r="G1510" s="142"/>
    </row>
    <row r="1511" spans="1:57" x14ac:dyDescent="0.25">
      <c r="AD1511" s="418"/>
    </row>
    <row r="1512" spans="1:57" x14ac:dyDescent="0.25">
      <c r="AD1512" s="418"/>
    </row>
  </sheetData>
  <autoFilter ref="A2:BF1505" xr:uid="{00000000-0001-0000-0100-000000000000}">
    <filterColumn colId="5">
      <filters>
        <filter val="Filler"/>
      </filters>
    </filterColumn>
  </autoFilter>
  <sortState xmlns:xlrd2="http://schemas.microsoft.com/office/spreadsheetml/2017/richdata2" ref="A578:AF1094">
    <sortCondition descending="1" ref="M578:M1453"/>
  </sortState>
  <mergeCells count="6">
    <mergeCell ref="BB1:BE1"/>
    <mergeCell ref="AX1:BA1"/>
    <mergeCell ref="AH1:AK1"/>
    <mergeCell ref="AL1:AO1"/>
    <mergeCell ref="AT1:AW1"/>
    <mergeCell ref="AP1:AS1"/>
  </mergeCells>
  <phoneticPr fontId="70" type="noConversion"/>
  <conditionalFormatting sqref="AW152">
    <cfRule type="duplicateValues" dxfId="7" priority="3"/>
  </conditionalFormatting>
  <conditionalFormatting sqref="AW274">
    <cfRule type="duplicateValues" dxfId="6" priority="5"/>
  </conditionalFormatting>
  <conditionalFormatting sqref="AW278">
    <cfRule type="duplicateValues" dxfId="5" priority="7"/>
  </conditionalFormatting>
  <conditionalFormatting sqref="AW396">
    <cfRule type="duplicateValues" dxfId="4" priority="4"/>
  </conditionalFormatting>
  <conditionalFormatting sqref="AW717">
    <cfRule type="duplicateValues" dxfId="3" priority="8"/>
  </conditionalFormatting>
  <conditionalFormatting sqref="AW940">
    <cfRule type="duplicateValues" dxfId="2" priority="6"/>
  </conditionalFormatting>
  <conditionalFormatting sqref="AZ947:BA947">
    <cfRule type="duplicateValues" dxfId="1" priority="2"/>
  </conditionalFormatting>
  <conditionalFormatting sqref="AZ1178:BA1178">
    <cfRule type="duplicateValues" dxfId="0" priority="1"/>
  </conditionalFormatting>
  <hyperlinks>
    <hyperlink ref="F911" r:id="rId1" location="'CRR Grande Clientèle'!A1" display="N:\Projets02\SEP\ZIZISOF\AppData\Local\Microsoft\Windows\AppData\AppData\Local\Microsoft\Windows\AppData\lefevan\AppData\Local\Microsoft\Windows\Temporary Internet Files\BANHDAN\AppData\Local\Microsoft\Windows\Temporary Internet Files\Content.MSO\5AA93B56.xls - 'CRR Grande Clientèle'!A1" xr:uid="{00000000-0004-0000-0100-000000000000}"/>
  </hyperlinks>
  <printOptions horizontalCentered="1"/>
  <pageMargins left="0.55118110236220474" right="0.59055118110236227" top="0.39370078740157483" bottom="0.78740157480314965" header="0.51181102362204722" footer="0.51181102362204722"/>
  <pageSetup paperSize="9" scale="12" fitToHeight="0" orientation="landscape" horizontalDpi="300" verticalDpi="300" copies="5" r:id="rId2"/>
  <headerFooter alignWithMargins="0">
    <oddFooter>&amp;L02/04/2012&amp;R&amp;P/&amp;N&amp;C&amp;"Calibri"&amp;11&amp;K000000&amp;"Arial,Gras"Domaine Tiers (C1)</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B77A5-049B-489E-97F4-57B91A086EEA}">
  <sheetPr codeName="Feuil2"/>
  <dimension ref="B2:T273"/>
  <sheetViews>
    <sheetView showGridLines="0" zoomScale="85" zoomScaleNormal="85" workbookViewId="0"/>
  </sheetViews>
  <sheetFormatPr baseColWidth="10" defaultColWidth="10.7109375" defaultRowHeight="15" x14ac:dyDescent="0.25"/>
  <cols>
    <col min="1" max="1" width="3.85546875" style="466" customWidth="1"/>
    <col min="2" max="2" width="38.85546875" style="466" bestFit="1" customWidth="1"/>
    <col min="3" max="3" width="32.5703125" style="466" bestFit="1" customWidth="1"/>
    <col min="4" max="4" width="30.42578125" style="466" bestFit="1" customWidth="1"/>
    <col min="5" max="5" width="25.5703125" style="466" bestFit="1" customWidth="1"/>
    <col min="6" max="6" width="93.5703125" style="466" bestFit="1" customWidth="1"/>
    <col min="7" max="7" width="35.5703125" style="466" bestFit="1" customWidth="1"/>
    <col min="8" max="8" width="28.85546875" style="466" bestFit="1" customWidth="1"/>
    <col min="9" max="9" width="28.140625" style="466" bestFit="1" customWidth="1"/>
    <col min="10" max="10" width="27.5703125" style="466" bestFit="1" customWidth="1"/>
    <col min="11" max="11" width="19.7109375" style="466" bestFit="1" customWidth="1"/>
    <col min="12" max="12" width="33.85546875" style="466" bestFit="1" customWidth="1"/>
    <col min="13" max="13" width="32.5703125" style="466" bestFit="1" customWidth="1"/>
    <col min="14" max="14" width="30.5703125" style="466" bestFit="1" customWidth="1"/>
    <col min="15" max="15" width="25.42578125" style="466" bestFit="1" customWidth="1"/>
    <col min="16" max="16" width="93.5703125" style="466" bestFit="1" customWidth="1"/>
    <col min="17" max="17" width="35.5703125" style="466" bestFit="1" customWidth="1"/>
    <col min="18" max="18" width="27.140625" style="466" bestFit="1" customWidth="1"/>
    <col min="19" max="20" width="28.5703125" style="466" bestFit="1" customWidth="1"/>
    <col min="21" max="16384" width="10.7109375" style="466"/>
  </cols>
  <sheetData>
    <row r="2" spans="2:17" ht="26.25" x14ac:dyDescent="0.4">
      <c r="B2" s="465" t="s">
        <v>9730</v>
      </c>
      <c r="L2" s="465" t="s">
        <v>9731</v>
      </c>
    </row>
    <row r="3" spans="2:17" ht="15.75" thickBot="1" x14ac:dyDescent="0.3">
      <c r="B3" s="467"/>
      <c r="L3" s="467"/>
    </row>
    <row r="4" spans="2:17" ht="70.5" customHeight="1" thickTop="1" x14ac:dyDescent="0.25">
      <c r="B4" s="1002" t="s">
        <v>9732</v>
      </c>
      <c r="C4" s="1003"/>
      <c r="D4" s="1003"/>
      <c r="E4" s="1003"/>
      <c r="F4" s="1004"/>
      <c r="G4" s="468"/>
      <c r="L4" s="1002" t="s">
        <v>9733</v>
      </c>
      <c r="M4" s="1003"/>
      <c r="N4" s="1003"/>
      <c r="O4" s="1003"/>
      <c r="P4" s="1004"/>
      <c r="Q4" s="468"/>
    </row>
    <row r="5" spans="2:17" x14ac:dyDescent="0.25">
      <c r="B5" s="469"/>
      <c r="C5" s="470"/>
      <c r="D5" s="470"/>
      <c r="E5" s="470"/>
      <c r="F5" s="471"/>
      <c r="G5" s="470"/>
      <c r="L5" s="469"/>
      <c r="M5" s="470"/>
      <c r="N5" s="470"/>
      <c r="O5" s="470"/>
      <c r="P5" s="471"/>
      <c r="Q5" s="470"/>
    </row>
    <row r="6" spans="2:17" ht="63" customHeight="1" x14ac:dyDescent="0.25">
      <c r="B6" s="1005" t="s">
        <v>9734</v>
      </c>
      <c r="C6" s="1006"/>
      <c r="D6" s="1006"/>
      <c r="E6" s="1006"/>
      <c r="F6" s="1007"/>
      <c r="G6" s="470"/>
      <c r="L6" s="1005" t="s">
        <v>9735</v>
      </c>
      <c r="M6" s="1006"/>
      <c r="N6" s="1006"/>
      <c r="O6" s="1006"/>
      <c r="P6" s="1007"/>
      <c r="Q6" s="470"/>
    </row>
    <row r="7" spans="2:17" x14ac:dyDescent="0.25">
      <c r="B7" s="472"/>
      <c r="F7" s="473"/>
      <c r="L7" s="472"/>
      <c r="P7" s="473"/>
    </row>
    <row r="8" spans="2:17" ht="78.95" customHeight="1" x14ac:dyDescent="0.25">
      <c r="B8" s="1008" t="s">
        <v>9736</v>
      </c>
      <c r="C8" s="1009"/>
      <c r="D8" s="1009"/>
      <c r="E8" s="1009"/>
      <c r="F8" s="1010"/>
      <c r="L8" s="1008" t="s">
        <v>9737</v>
      </c>
      <c r="M8" s="1009"/>
      <c r="N8" s="1009"/>
      <c r="O8" s="1009"/>
      <c r="P8" s="1010"/>
    </row>
    <row r="9" spans="2:17" x14ac:dyDescent="0.25">
      <c r="B9" s="474"/>
      <c r="F9" s="473"/>
      <c r="L9" s="474"/>
      <c r="P9" s="473"/>
    </row>
    <row r="10" spans="2:17" ht="15.75" x14ac:dyDescent="0.25">
      <c r="B10" s="475" t="s">
        <v>9738</v>
      </c>
      <c r="F10" s="473"/>
      <c r="L10" s="475" t="s">
        <v>9739</v>
      </c>
      <c r="P10" s="473"/>
    </row>
    <row r="11" spans="2:17" x14ac:dyDescent="0.25">
      <c r="B11" s="474" t="s">
        <v>9740</v>
      </c>
      <c r="F11" s="473"/>
      <c r="L11" s="474" t="s">
        <v>9741</v>
      </c>
      <c r="P11" s="473"/>
    </row>
    <row r="12" spans="2:17" x14ac:dyDescent="0.25">
      <c r="B12" s="476" t="s">
        <v>9742</v>
      </c>
      <c r="F12" s="473"/>
      <c r="L12" s="476" t="s">
        <v>9743</v>
      </c>
      <c r="P12" s="473"/>
    </row>
    <row r="13" spans="2:17" x14ac:dyDescent="0.25">
      <c r="B13" s="477" t="s">
        <v>9744</v>
      </c>
      <c r="F13" s="473"/>
      <c r="L13" s="477" t="s">
        <v>9745</v>
      </c>
      <c r="P13" s="473"/>
    </row>
    <row r="14" spans="2:17" ht="15.75" thickBot="1" x14ac:dyDescent="0.3">
      <c r="B14" s="478"/>
      <c r="C14" s="479"/>
      <c r="D14" s="479"/>
      <c r="E14" s="479"/>
      <c r="F14" s="480"/>
      <c r="L14" s="481"/>
      <c r="M14" s="479"/>
      <c r="N14" s="479"/>
      <c r="O14" s="479"/>
      <c r="P14" s="480"/>
    </row>
    <row r="15" spans="2:17" ht="15.75" thickTop="1" x14ac:dyDescent="0.25"/>
    <row r="17" spans="2:20" ht="15.75" x14ac:dyDescent="0.25">
      <c r="B17" s="995" t="s">
        <v>9746</v>
      </c>
      <c r="C17" s="995"/>
      <c r="D17" s="995"/>
      <c r="E17" s="995"/>
      <c r="L17" s="995" t="s">
        <v>9747</v>
      </c>
      <c r="M17" s="995"/>
      <c r="N17" s="995"/>
      <c r="O17" s="995"/>
    </row>
    <row r="18" spans="2:20" x14ac:dyDescent="0.25">
      <c r="B18" s="993" t="s">
        <v>9748</v>
      </c>
      <c r="C18" s="993"/>
      <c r="D18" s="993" t="s">
        <v>9749</v>
      </c>
      <c r="E18" s="993"/>
      <c r="L18" s="993" t="s">
        <v>9750</v>
      </c>
      <c r="M18" s="993"/>
      <c r="N18" s="993" t="s">
        <v>9751</v>
      </c>
      <c r="O18" s="993"/>
    </row>
    <row r="19" spans="2:20" x14ac:dyDescent="0.25">
      <c r="B19" s="1001" t="s">
        <v>9752</v>
      </c>
      <c r="C19" s="1001"/>
      <c r="D19" s="1011" t="s">
        <v>9753</v>
      </c>
      <c r="E19" s="994"/>
      <c r="L19" s="994" t="s">
        <v>9754</v>
      </c>
      <c r="M19" s="994"/>
      <c r="N19" s="994" t="s">
        <v>9755</v>
      </c>
      <c r="O19" s="994"/>
      <c r="P19" s="482"/>
      <c r="Q19" s="482"/>
      <c r="R19" s="482"/>
      <c r="S19" s="482"/>
      <c r="T19" s="482"/>
    </row>
    <row r="21" spans="2:20" x14ac:dyDescent="0.25">
      <c r="B21" s="483" t="s">
        <v>9756</v>
      </c>
      <c r="L21" s="483" t="s">
        <v>9756</v>
      </c>
    </row>
    <row r="22" spans="2:20" x14ac:dyDescent="0.25">
      <c r="B22" s="483"/>
      <c r="L22" s="483"/>
    </row>
    <row r="23" spans="2:20" x14ac:dyDescent="0.25">
      <c r="B23" s="484"/>
      <c r="C23" s="1000" t="s">
        <v>9757</v>
      </c>
      <c r="D23" s="1000"/>
      <c r="E23" s="1000"/>
      <c r="F23" s="485"/>
      <c r="G23" s="485"/>
      <c r="L23" s="484"/>
      <c r="M23" s="1000" t="s">
        <v>9757</v>
      </c>
      <c r="N23" s="1000"/>
      <c r="O23" s="1000"/>
      <c r="P23" s="485"/>
      <c r="Q23" s="485"/>
    </row>
    <row r="24" spans="2:20" ht="25.5" x14ac:dyDescent="0.25">
      <c r="B24" s="486" t="s">
        <v>9758</v>
      </c>
      <c r="C24" s="487" t="s">
        <v>9759</v>
      </c>
      <c r="D24" s="487" t="s">
        <v>9760</v>
      </c>
      <c r="E24" s="487" t="s">
        <v>9761</v>
      </c>
      <c r="F24" s="488" t="s">
        <v>9762</v>
      </c>
      <c r="G24" s="489" t="s">
        <v>9763</v>
      </c>
      <c r="L24" s="486" t="s">
        <v>9764</v>
      </c>
      <c r="M24" s="487" t="s">
        <v>9765</v>
      </c>
      <c r="N24" s="487" t="s">
        <v>9766</v>
      </c>
      <c r="O24" s="487" t="s">
        <v>9767</v>
      </c>
      <c r="P24" s="490" t="s">
        <v>9768</v>
      </c>
      <c r="Q24" s="489" t="s">
        <v>9769</v>
      </c>
    </row>
    <row r="25" spans="2:20" x14ac:dyDescent="0.25">
      <c r="B25" s="491" t="s">
        <v>9770</v>
      </c>
      <c r="C25" s="492" t="s">
        <v>9771</v>
      </c>
      <c r="D25" s="493" t="s">
        <v>9772</v>
      </c>
      <c r="E25" s="493" t="s">
        <v>9773</v>
      </c>
      <c r="F25" s="493" t="s">
        <v>9774</v>
      </c>
      <c r="G25" s="494" t="s">
        <v>9775</v>
      </c>
      <c r="L25" s="491" t="s">
        <v>9770</v>
      </c>
      <c r="M25" s="492" t="s">
        <v>9771</v>
      </c>
      <c r="N25" s="493" t="s">
        <v>9772</v>
      </c>
      <c r="O25" s="493" t="s">
        <v>9773</v>
      </c>
      <c r="P25" s="493" t="s">
        <v>9774</v>
      </c>
      <c r="Q25" s="494" t="s">
        <v>9775</v>
      </c>
    </row>
    <row r="26" spans="2:20" x14ac:dyDescent="0.25">
      <c r="B26" s="495"/>
      <c r="C26" s="496"/>
      <c r="D26" s="497"/>
      <c r="E26" s="497"/>
      <c r="F26" s="497"/>
      <c r="G26" s="497"/>
      <c r="L26" s="495"/>
      <c r="M26" s="496"/>
      <c r="N26" s="497"/>
      <c r="O26" s="497"/>
      <c r="P26" s="497"/>
      <c r="Q26" s="497"/>
    </row>
    <row r="27" spans="2:20" x14ac:dyDescent="0.25">
      <c r="B27" s="484"/>
      <c r="C27" s="1000" t="s">
        <v>9757</v>
      </c>
      <c r="D27" s="1000"/>
      <c r="E27" s="1000"/>
      <c r="F27" s="485"/>
      <c r="G27" s="485"/>
      <c r="L27" s="484"/>
      <c r="M27" s="1000" t="s">
        <v>9757</v>
      </c>
      <c r="N27" s="1000"/>
      <c r="O27" s="1000"/>
      <c r="P27" s="485"/>
      <c r="Q27" s="485"/>
    </row>
    <row r="28" spans="2:20" ht="38.25" x14ac:dyDescent="0.25">
      <c r="B28" s="498" t="s">
        <v>9762</v>
      </c>
      <c r="C28" s="487" t="s">
        <v>9759</v>
      </c>
      <c r="D28" s="499" t="s">
        <v>9763</v>
      </c>
      <c r="E28" s="499" t="s">
        <v>9760</v>
      </c>
      <c r="F28" s="499" t="s">
        <v>9761</v>
      </c>
      <c r="L28" s="500" t="s">
        <v>9768</v>
      </c>
      <c r="M28" s="487" t="s">
        <v>9765</v>
      </c>
      <c r="N28" s="489" t="s">
        <v>9769</v>
      </c>
      <c r="O28" s="487" t="s">
        <v>9766</v>
      </c>
      <c r="P28" s="487" t="s">
        <v>9767</v>
      </c>
    </row>
    <row r="29" spans="2:20" x14ac:dyDescent="0.25">
      <c r="B29" s="501" t="s">
        <v>9774</v>
      </c>
      <c r="C29" s="502" t="s">
        <v>9771</v>
      </c>
      <c r="D29" s="493" t="s">
        <v>9773</v>
      </c>
      <c r="E29" s="503" t="s">
        <v>9772</v>
      </c>
      <c r="F29" s="494" t="s">
        <v>9775</v>
      </c>
      <c r="L29" s="501" t="s">
        <v>9774</v>
      </c>
      <c r="M29" s="502" t="s">
        <v>9771</v>
      </c>
      <c r="N29" s="493" t="s">
        <v>9773</v>
      </c>
      <c r="O29" s="503" t="s">
        <v>9772</v>
      </c>
      <c r="P29" s="494" t="s">
        <v>9775</v>
      </c>
    </row>
    <row r="30" spans="2:20" x14ac:dyDescent="0.25">
      <c r="B30" s="495"/>
      <c r="C30" s="496"/>
      <c r="D30" s="497"/>
      <c r="E30" s="497"/>
      <c r="F30" s="497"/>
      <c r="G30" s="497"/>
      <c r="L30" s="495"/>
      <c r="M30" s="496"/>
      <c r="N30" s="497"/>
      <c r="O30" s="497"/>
      <c r="P30" s="497"/>
      <c r="Q30" s="497"/>
    </row>
    <row r="33" spans="2:20" ht="15.75" x14ac:dyDescent="0.25">
      <c r="B33" s="995" t="s">
        <v>9776</v>
      </c>
      <c r="C33" s="995"/>
      <c r="D33" s="995"/>
      <c r="E33" s="995"/>
      <c r="L33" s="995" t="s">
        <v>9777</v>
      </c>
      <c r="M33" s="995"/>
      <c r="N33" s="995"/>
      <c r="O33" s="995"/>
    </row>
    <row r="34" spans="2:20" x14ac:dyDescent="0.25">
      <c r="B34" s="993" t="s">
        <v>9748</v>
      </c>
      <c r="C34" s="993"/>
      <c r="D34" s="993" t="s">
        <v>9749</v>
      </c>
      <c r="E34" s="993"/>
      <c r="L34" s="993" t="s">
        <v>9750</v>
      </c>
      <c r="M34" s="993"/>
      <c r="N34" s="993" t="s">
        <v>9751</v>
      </c>
      <c r="O34" s="993"/>
    </row>
    <row r="35" spans="2:20" x14ac:dyDescent="0.25">
      <c r="B35" s="1001" t="s">
        <v>9778</v>
      </c>
      <c r="C35" s="1001"/>
      <c r="D35" s="994" t="s">
        <v>9779</v>
      </c>
      <c r="E35" s="994"/>
      <c r="L35" s="994" t="s">
        <v>9780</v>
      </c>
      <c r="M35" s="994"/>
      <c r="N35" s="994" t="s">
        <v>9781</v>
      </c>
      <c r="O35" s="994"/>
      <c r="P35" s="482"/>
      <c r="Q35" s="482"/>
      <c r="R35" s="482"/>
      <c r="S35" s="482"/>
      <c r="T35" s="482"/>
    </row>
    <row r="37" spans="2:20" x14ac:dyDescent="0.25">
      <c r="B37" s="483" t="s">
        <v>9756</v>
      </c>
      <c r="L37" s="483" t="s">
        <v>9756</v>
      </c>
    </row>
    <row r="39" spans="2:20" ht="25.5" x14ac:dyDescent="0.25">
      <c r="B39" s="498" t="s">
        <v>9782</v>
      </c>
      <c r="C39" s="499" t="s">
        <v>9783</v>
      </c>
      <c r="D39" s="499" t="s">
        <v>9784</v>
      </c>
      <c r="E39" s="499" t="s">
        <v>9785</v>
      </c>
      <c r="F39" s="504"/>
      <c r="G39" s="496"/>
      <c r="H39" s="496"/>
      <c r="L39" s="498" t="s">
        <v>9786</v>
      </c>
      <c r="M39" s="499" t="s">
        <v>9787</v>
      </c>
      <c r="N39" s="499" t="s">
        <v>9788</v>
      </c>
      <c r="O39" s="487" t="s">
        <v>9765</v>
      </c>
    </row>
    <row r="40" spans="2:20" ht="38.25" x14ac:dyDescent="0.25">
      <c r="B40" s="505" t="s">
        <v>9789</v>
      </c>
      <c r="C40" s="506" t="s">
        <v>9790</v>
      </c>
      <c r="D40" s="507" t="s">
        <v>9791</v>
      </c>
      <c r="E40" s="492" t="s">
        <v>9792</v>
      </c>
      <c r="F40" s="504"/>
      <c r="G40" s="496"/>
      <c r="H40" s="496"/>
      <c r="L40" s="505" t="s">
        <v>9789</v>
      </c>
      <c r="M40" s="506" t="s">
        <v>9790</v>
      </c>
      <c r="N40" s="507" t="s">
        <v>9791</v>
      </c>
      <c r="O40" s="492" t="s">
        <v>9792</v>
      </c>
    </row>
    <row r="41" spans="2:20" ht="38.25" x14ac:dyDescent="0.25">
      <c r="B41" s="505" t="s">
        <v>9793</v>
      </c>
      <c r="C41" s="506" t="s">
        <v>9794</v>
      </c>
      <c r="D41" s="507" t="s">
        <v>9791</v>
      </c>
      <c r="E41" s="492" t="s">
        <v>9795</v>
      </c>
      <c r="F41" s="504"/>
      <c r="G41" s="496"/>
      <c r="H41" s="496"/>
      <c r="L41" s="505" t="s">
        <v>9793</v>
      </c>
      <c r="M41" s="506" t="s">
        <v>9794</v>
      </c>
      <c r="N41" s="507" t="s">
        <v>9791</v>
      </c>
      <c r="O41" s="492" t="s">
        <v>9795</v>
      </c>
    </row>
    <row r="42" spans="2:20" ht="38.25" x14ac:dyDescent="0.25">
      <c r="B42" s="506" t="s">
        <v>9796</v>
      </c>
      <c r="C42" s="506" t="s">
        <v>9797</v>
      </c>
      <c r="D42" s="508" t="s">
        <v>9791</v>
      </c>
      <c r="E42" s="492" t="s">
        <v>9798</v>
      </c>
      <c r="F42" s="504"/>
      <c r="G42" s="496"/>
      <c r="H42" s="496"/>
      <c r="L42" s="506" t="s">
        <v>9796</v>
      </c>
      <c r="M42" s="506" t="s">
        <v>9797</v>
      </c>
      <c r="N42" s="508" t="s">
        <v>9791</v>
      </c>
      <c r="O42" s="492" t="s">
        <v>9798</v>
      </c>
    </row>
    <row r="43" spans="2:20" ht="63.75" x14ac:dyDescent="0.25">
      <c r="B43" s="509" t="s">
        <v>9799</v>
      </c>
      <c r="C43" s="509" t="s">
        <v>9794</v>
      </c>
      <c r="D43" s="505" t="s">
        <v>9800</v>
      </c>
      <c r="E43" s="492" t="s">
        <v>9795</v>
      </c>
      <c r="F43" s="504"/>
      <c r="G43" s="496"/>
      <c r="H43" s="496"/>
      <c r="L43" s="509" t="s">
        <v>9799</v>
      </c>
      <c r="M43" s="509" t="s">
        <v>9794</v>
      </c>
      <c r="N43" s="505" t="s">
        <v>9800</v>
      </c>
      <c r="O43" s="492" t="s">
        <v>9795</v>
      </c>
    </row>
    <row r="44" spans="2:20" ht="25.5" x14ac:dyDescent="0.25">
      <c r="B44" s="509" t="s">
        <v>9799</v>
      </c>
      <c r="C44" s="509" t="s">
        <v>9801</v>
      </c>
      <c r="D44" s="505" t="s">
        <v>9802</v>
      </c>
      <c r="E44" s="492" t="s">
        <v>9792</v>
      </c>
      <c r="F44" s="504"/>
      <c r="G44" s="496"/>
      <c r="H44" s="496"/>
      <c r="L44" s="509" t="s">
        <v>9799</v>
      </c>
      <c r="M44" s="509" t="s">
        <v>9801</v>
      </c>
      <c r="N44" s="505" t="s">
        <v>9802</v>
      </c>
      <c r="O44" s="492" t="s">
        <v>9792</v>
      </c>
    </row>
    <row r="45" spans="2:20" ht="102" x14ac:dyDescent="0.25">
      <c r="B45" s="509" t="s">
        <v>9799</v>
      </c>
      <c r="C45" s="509" t="s">
        <v>9803</v>
      </c>
      <c r="D45" s="505" t="s">
        <v>9804</v>
      </c>
      <c r="E45" s="492" t="s">
        <v>9792</v>
      </c>
      <c r="F45" s="504"/>
      <c r="G45" s="496"/>
      <c r="H45" s="496"/>
      <c r="L45" s="509" t="s">
        <v>9799</v>
      </c>
      <c r="M45" s="509" t="s">
        <v>9803</v>
      </c>
      <c r="N45" s="505" t="s">
        <v>9804</v>
      </c>
      <c r="O45" s="492" t="s">
        <v>9792</v>
      </c>
    </row>
    <row r="46" spans="2:20" x14ac:dyDescent="0.25">
      <c r="B46" s="509" t="s">
        <v>9799</v>
      </c>
      <c r="C46" s="509" t="s">
        <v>9805</v>
      </c>
      <c r="D46" s="510" t="s">
        <v>9806</v>
      </c>
      <c r="E46" s="492" t="s">
        <v>9792</v>
      </c>
      <c r="F46" s="504"/>
      <c r="G46" s="496"/>
      <c r="H46" s="496"/>
      <c r="L46" s="509" t="s">
        <v>9799</v>
      </c>
      <c r="M46" s="509" t="s">
        <v>9805</v>
      </c>
      <c r="N46" s="510" t="s">
        <v>9806</v>
      </c>
      <c r="O46" s="492" t="s">
        <v>9792</v>
      </c>
    </row>
    <row r="47" spans="2:20" x14ac:dyDescent="0.25">
      <c r="B47" s="511"/>
      <c r="C47" s="511"/>
      <c r="D47" s="511"/>
      <c r="E47" s="504"/>
      <c r="F47" s="504"/>
      <c r="G47" s="496"/>
      <c r="H47" s="496"/>
      <c r="L47" s="511"/>
      <c r="M47" s="511"/>
      <c r="N47" s="511"/>
      <c r="O47" s="504"/>
    </row>
    <row r="48" spans="2:20" x14ac:dyDescent="0.25">
      <c r="B48" s="511"/>
      <c r="C48" s="511"/>
      <c r="D48" s="511"/>
      <c r="E48" s="504"/>
      <c r="F48" s="504"/>
      <c r="G48" s="496"/>
      <c r="H48" s="496"/>
      <c r="L48" s="512"/>
      <c r="M48" s="512"/>
      <c r="N48" s="513"/>
      <c r="O48" s="514"/>
    </row>
    <row r="49" spans="2:20" ht="15.75" x14ac:dyDescent="0.25">
      <c r="B49" s="995" t="s">
        <v>9807</v>
      </c>
      <c r="C49" s="995"/>
      <c r="D49" s="995"/>
      <c r="E49" s="995"/>
      <c r="L49" s="995" t="s">
        <v>9808</v>
      </c>
      <c r="M49" s="995"/>
      <c r="N49" s="995"/>
      <c r="O49" s="995"/>
    </row>
    <row r="50" spans="2:20" x14ac:dyDescent="0.25">
      <c r="B50" s="993" t="s">
        <v>9748</v>
      </c>
      <c r="C50" s="993"/>
      <c r="D50" s="993" t="s">
        <v>9749</v>
      </c>
      <c r="E50" s="993"/>
      <c r="L50" s="993" t="s">
        <v>9750</v>
      </c>
      <c r="M50" s="993"/>
      <c r="N50" s="993" t="s">
        <v>9751</v>
      </c>
      <c r="O50" s="993"/>
    </row>
    <row r="51" spans="2:20" x14ac:dyDescent="0.25">
      <c r="B51" s="994" t="s">
        <v>9809</v>
      </c>
      <c r="C51" s="994"/>
      <c r="D51" s="994" t="s">
        <v>9810</v>
      </c>
      <c r="E51" s="994"/>
      <c r="L51" s="994" t="s">
        <v>9811</v>
      </c>
      <c r="M51" s="994"/>
      <c r="N51" s="994" t="s">
        <v>9812</v>
      </c>
      <c r="O51" s="994"/>
      <c r="P51" s="482"/>
      <c r="Q51" s="482"/>
      <c r="R51" s="482"/>
      <c r="S51" s="482"/>
      <c r="T51" s="482"/>
    </row>
    <row r="53" spans="2:20" x14ac:dyDescent="0.25">
      <c r="B53" s="483" t="s">
        <v>9813</v>
      </c>
      <c r="E53" s="483"/>
      <c r="G53" s="483"/>
      <c r="L53" s="483" t="s">
        <v>9813</v>
      </c>
      <c r="O53" s="483"/>
      <c r="Q53" s="483"/>
    </row>
    <row r="54" spans="2:20" x14ac:dyDescent="0.25">
      <c r="B54" s="483"/>
      <c r="E54" s="483"/>
      <c r="G54" s="483"/>
      <c r="L54" s="483"/>
      <c r="O54" s="483"/>
      <c r="Q54" s="483"/>
    </row>
    <row r="55" spans="2:20" ht="25.5" x14ac:dyDescent="0.25">
      <c r="B55" s="515"/>
      <c r="C55" s="498" t="s">
        <v>9814</v>
      </c>
      <c r="D55" s="499" t="s">
        <v>9815</v>
      </c>
      <c r="E55" s="483"/>
      <c r="G55" s="483"/>
      <c r="L55" s="515"/>
      <c r="M55" s="498" t="s">
        <v>9816</v>
      </c>
      <c r="N55" s="499" t="s">
        <v>9817</v>
      </c>
      <c r="O55" s="483"/>
      <c r="Q55" s="483"/>
    </row>
    <row r="56" spans="2:20" ht="102" x14ac:dyDescent="0.25">
      <c r="B56" s="516" t="s">
        <v>1847</v>
      </c>
      <c r="C56" s="517" t="s">
        <v>9818</v>
      </c>
      <c r="D56" s="518" t="s">
        <v>1687</v>
      </c>
      <c r="E56" s="483"/>
      <c r="G56" s="483"/>
      <c r="L56" s="516" t="s">
        <v>1847</v>
      </c>
      <c r="M56" s="517" t="s">
        <v>9818</v>
      </c>
      <c r="N56" s="518" t="s">
        <v>1687</v>
      </c>
      <c r="O56" s="483"/>
      <c r="Q56" s="483"/>
    </row>
    <row r="57" spans="2:20" x14ac:dyDescent="0.25">
      <c r="B57" s="519" t="s">
        <v>7460</v>
      </c>
      <c r="C57" s="520" t="s">
        <v>9819</v>
      </c>
      <c r="D57" s="518" t="s">
        <v>7374</v>
      </c>
      <c r="E57" s="483"/>
      <c r="G57" s="483"/>
      <c r="L57" s="519" t="s">
        <v>7460</v>
      </c>
      <c r="M57" s="520" t="s">
        <v>9819</v>
      </c>
      <c r="N57" s="518" t="s">
        <v>7374</v>
      </c>
      <c r="O57" s="483"/>
      <c r="Q57" s="483"/>
    </row>
    <row r="58" spans="2:20" x14ac:dyDescent="0.25">
      <c r="B58" s="519" t="s">
        <v>8578</v>
      </c>
      <c r="C58" s="520" t="s">
        <v>9820</v>
      </c>
      <c r="D58" s="518" t="s">
        <v>8525</v>
      </c>
      <c r="E58" s="483"/>
      <c r="G58" s="483"/>
      <c r="L58" s="519" t="s">
        <v>8578</v>
      </c>
      <c r="M58" s="520" t="s">
        <v>9820</v>
      </c>
      <c r="N58" s="518" t="s">
        <v>8525</v>
      </c>
      <c r="O58" s="483"/>
      <c r="Q58" s="483"/>
    </row>
    <row r="59" spans="2:20" x14ac:dyDescent="0.25">
      <c r="B59" s="483"/>
      <c r="E59" s="483"/>
      <c r="G59" s="483"/>
      <c r="L59" s="483"/>
      <c r="O59" s="483"/>
      <c r="Q59" s="483"/>
    </row>
    <row r="63" spans="2:20" ht="15.75" x14ac:dyDescent="0.25">
      <c r="B63" s="995" t="s">
        <v>9821</v>
      </c>
      <c r="C63" s="995"/>
      <c r="D63" s="995"/>
      <c r="E63" s="995"/>
      <c r="L63" s="995" t="s">
        <v>9822</v>
      </c>
      <c r="M63" s="995"/>
      <c r="N63" s="995"/>
      <c r="O63" s="995"/>
    </row>
    <row r="64" spans="2:20" x14ac:dyDescent="0.25">
      <c r="B64" s="993" t="s">
        <v>9748</v>
      </c>
      <c r="C64" s="993"/>
      <c r="D64" s="993" t="s">
        <v>9749</v>
      </c>
      <c r="E64" s="993"/>
      <c r="L64" s="993" t="s">
        <v>9750</v>
      </c>
      <c r="M64" s="993"/>
      <c r="N64" s="993" t="s">
        <v>9751</v>
      </c>
      <c r="O64" s="993"/>
    </row>
    <row r="65" spans="2:20" x14ac:dyDescent="0.25">
      <c r="B65" s="994" t="s">
        <v>9823</v>
      </c>
      <c r="C65" s="994"/>
      <c r="D65" s="994" t="s">
        <v>9779</v>
      </c>
      <c r="E65" s="994"/>
      <c r="L65" s="994" t="s">
        <v>9824</v>
      </c>
      <c r="M65" s="994"/>
      <c r="N65" s="994" t="s">
        <v>9781</v>
      </c>
      <c r="O65" s="994"/>
      <c r="P65" s="482"/>
      <c r="Q65" s="482"/>
      <c r="R65" s="482"/>
      <c r="S65" s="482"/>
      <c r="T65" s="482"/>
    </row>
    <row r="67" spans="2:20" x14ac:dyDescent="0.25">
      <c r="B67" s="483" t="s">
        <v>9813</v>
      </c>
      <c r="C67" s="522"/>
      <c r="D67" s="522"/>
      <c r="L67" s="483" t="s">
        <v>9813</v>
      </c>
      <c r="M67" s="522"/>
      <c r="N67" s="522"/>
    </row>
    <row r="68" spans="2:20" x14ac:dyDescent="0.25">
      <c r="B68" s="523"/>
      <c r="C68" s="522"/>
      <c r="D68" s="522"/>
      <c r="L68" s="523"/>
      <c r="M68" s="522"/>
      <c r="N68" s="522"/>
    </row>
    <row r="69" spans="2:20" ht="25.5" x14ac:dyDescent="0.25">
      <c r="B69" s="524" t="s">
        <v>9825</v>
      </c>
      <c r="C69" s="525" t="s">
        <v>9815</v>
      </c>
      <c r="D69" s="525" t="s">
        <v>9826</v>
      </c>
      <c r="L69" s="524" t="s">
        <v>9827</v>
      </c>
      <c r="M69" s="525" t="s">
        <v>9817</v>
      </c>
      <c r="N69" s="525" t="s">
        <v>9828</v>
      </c>
    </row>
    <row r="70" spans="2:20" x14ac:dyDescent="0.25">
      <c r="B70" s="526" t="s">
        <v>9770</v>
      </c>
      <c r="C70" s="526" t="s">
        <v>9829</v>
      </c>
      <c r="D70" s="527" t="s">
        <v>9830</v>
      </c>
      <c r="L70" s="526" t="s">
        <v>9770</v>
      </c>
      <c r="M70" s="526" t="s">
        <v>9829</v>
      </c>
      <c r="N70" s="527" t="s">
        <v>9830</v>
      </c>
    </row>
    <row r="71" spans="2:20" x14ac:dyDescent="0.25">
      <c r="B71" s="523"/>
      <c r="C71" s="522"/>
      <c r="D71" s="522"/>
      <c r="L71" s="523"/>
      <c r="M71" s="522"/>
      <c r="N71" s="522"/>
    </row>
    <row r="72" spans="2:20" x14ac:dyDescent="0.25">
      <c r="B72" s="523"/>
      <c r="C72" s="522"/>
      <c r="D72" s="522"/>
      <c r="L72" s="523"/>
      <c r="M72" s="522"/>
      <c r="N72" s="522"/>
    </row>
    <row r="73" spans="2:20" x14ac:dyDescent="0.25">
      <c r="B73" s="523"/>
      <c r="C73" s="522"/>
      <c r="D73" s="522"/>
      <c r="L73" s="523"/>
      <c r="M73" s="522"/>
      <c r="N73" s="522"/>
    </row>
    <row r="74" spans="2:20" ht="15.75" x14ac:dyDescent="0.25">
      <c r="B74" s="995" t="s">
        <v>9831</v>
      </c>
      <c r="C74" s="995"/>
      <c r="D74" s="995"/>
      <c r="E74" s="995"/>
      <c r="L74" s="995" t="s">
        <v>9832</v>
      </c>
      <c r="M74" s="995"/>
      <c r="N74" s="995"/>
      <c r="O74" s="995"/>
    </row>
    <row r="75" spans="2:20" x14ac:dyDescent="0.25">
      <c r="B75" s="993" t="s">
        <v>9748</v>
      </c>
      <c r="C75" s="993"/>
      <c r="D75" s="993" t="s">
        <v>9749</v>
      </c>
      <c r="E75" s="993"/>
      <c r="L75" s="993" t="s">
        <v>9750</v>
      </c>
      <c r="M75" s="993"/>
      <c r="N75" s="993" t="s">
        <v>9751</v>
      </c>
      <c r="O75" s="993"/>
    </row>
    <row r="76" spans="2:20" x14ac:dyDescent="0.25">
      <c r="B76" s="994" t="s">
        <v>9833</v>
      </c>
      <c r="C76" s="994"/>
      <c r="D76" s="994" t="s">
        <v>9834</v>
      </c>
      <c r="E76" s="994"/>
      <c r="L76" s="994" t="s">
        <v>9835</v>
      </c>
      <c r="M76" s="994"/>
      <c r="N76" s="994" t="s">
        <v>9836</v>
      </c>
      <c r="O76" s="994"/>
      <c r="P76" s="482"/>
      <c r="Q76" s="482"/>
      <c r="R76" s="482"/>
      <c r="S76" s="482"/>
      <c r="T76" s="482"/>
    </row>
    <row r="78" spans="2:20" s="529" customFormat="1" x14ac:dyDescent="0.2">
      <c r="B78" s="532" t="s">
        <v>1687</v>
      </c>
      <c r="C78" s="531"/>
      <c r="D78" s="531"/>
      <c r="E78" s="531"/>
      <c r="F78" s="531"/>
      <c r="G78" s="531"/>
      <c r="H78" s="531"/>
      <c r="I78" s="531"/>
      <c r="J78" s="531"/>
      <c r="L78" s="532" t="s">
        <v>1687</v>
      </c>
      <c r="M78" s="531"/>
      <c r="N78" s="531"/>
      <c r="O78" s="531"/>
      <c r="P78" s="531"/>
      <c r="Q78" s="531"/>
      <c r="R78" s="531"/>
      <c r="S78" s="531"/>
      <c r="T78" s="531"/>
    </row>
    <row r="80" spans="2:20" ht="51" x14ac:dyDescent="0.25">
      <c r="B80" s="524" t="s">
        <v>9837</v>
      </c>
      <c r="C80" s="525" t="s">
        <v>9838</v>
      </c>
      <c r="D80" s="525" t="s">
        <v>9839</v>
      </c>
      <c r="E80" s="525" t="s">
        <v>9840</v>
      </c>
      <c r="F80" s="525" t="s">
        <v>9841</v>
      </c>
      <c r="G80" s="525" t="s">
        <v>9842</v>
      </c>
      <c r="H80" s="525" t="s">
        <v>9843</v>
      </c>
      <c r="I80" s="525" t="s">
        <v>9844</v>
      </c>
      <c r="J80" s="525" t="s">
        <v>9845</v>
      </c>
      <c r="L80" s="524" t="s">
        <v>9846</v>
      </c>
      <c r="M80" s="525" t="s">
        <v>9847</v>
      </c>
      <c r="N80" s="525" t="s">
        <v>9848</v>
      </c>
      <c r="O80" s="525" t="s">
        <v>9849</v>
      </c>
      <c r="P80" s="525" t="s">
        <v>9850</v>
      </c>
      <c r="Q80" s="525" t="s">
        <v>9851</v>
      </c>
      <c r="R80" s="525" t="s">
        <v>9852</v>
      </c>
      <c r="S80" s="525" t="s">
        <v>9853</v>
      </c>
      <c r="T80" s="525" t="s">
        <v>9854</v>
      </c>
    </row>
    <row r="81" spans="2:20" s="529" customFormat="1" x14ac:dyDescent="0.2">
      <c r="B81" s="530">
        <v>1</v>
      </c>
      <c r="C81" s="530" t="s">
        <v>9855</v>
      </c>
      <c r="D81" s="530">
        <v>1</v>
      </c>
      <c r="E81" s="528" t="s">
        <v>9856</v>
      </c>
      <c r="F81" s="530" t="s">
        <v>9857</v>
      </c>
      <c r="G81" s="528" t="s">
        <v>9856</v>
      </c>
      <c r="H81" s="530" t="s">
        <v>9857</v>
      </c>
      <c r="I81" s="528" t="s">
        <v>9856</v>
      </c>
      <c r="J81" s="530" t="s">
        <v>9857</v>
      </c>
      <c r="L81" s="530">
        <v>1</v>
      </c>
      <c r="M81" s="530" t="s">
        <v>9855</v>
      </c>
      <c r="N81" s="530">
        <v>1</v>
      </c>
      <c r="O81" s="528" t="s">
        <v>9856</v>
      </c>
      <c r="P81" s="530" t="s">
        <v>9857</v>
      </c>
      <c r="Q81" s="528" t="s">
        <v>9856</v>
      </c>
      <c r="R81" s="530" t="s">
        <v>9857</v>
      </c>
      <c r="S81" s="528" t="s">
        <v>9856</v>
      </c>
      <c r="T81" s="530" t="s">
        <v>9857</v>
      </c>
    </row>
    <row r="82" spans="2:20" s="529" customFormat="1" x14ac:dyDescent="0.2">
      <c r="B82" s="530">
        <v>2</v>
      </c>
      <c r="C82" s="530" t="s">
        <v>9855</v>
      </c>
      <c r="D82" s="530">
        <v>1</v>
      </c>
      <c r="E82" s="530" t="s">
        <v>9770</v>
      </c>
      <c r="F82" s="530" t="s">
        <v>9770</v>
      </c>
      <c r="G82" s="528" t="s">
        <v>9856</v>
      </c>
      <c r="H82" s="530" t="s">
        <v>9857</v>
      </c>
      <c r="I82" s="528" t="s">
        <v>9856</v>
      </c>
      <c r="J82" s="530" t="s">
        <v>9857</v>
      </c>
      <c r="L82" s="530">
        <v>2</v>
      </c>
      <c r="M82" s="530" t="s">
        <v>9855</v>
      </c>
      <c r="N82" s="530">
        <v>1</v>
      </c>
      <c r="O82" s="530" t="s">
        <v>9770</v>
      </c>
      <c r="P82" s="530" t="s">
        <v>9770</v>
      </c>
      <c r="Q82" s="528" t="s">
        <v>9856</v>
      </c>
      <c r="R82" s="530" t="s">
        <v>9857</v>
      </c>
      <c r="S82" s="528" t="s">
        <v>9856</v>
      </c>
      <c r="T82" s="530" t="s">
        <v>9857</v>
      </c>
    </row>
    <row r="83" spans="2:20" s="529" customFormat="1" x14ac:dyDescent="0.2">
      <c r="B83" s="530">
        <v>1</v>
      </c>
      <c r="C83" s="530" t="s">
        <v>9855</v>
      </c>
      <c r="D83" s="530">
        <v>2</v>
      </c>
      <c r="E83" s="528" t="s">
        <v>9856</v>
      </c>
      <c r="F83" s="530" t="s">
        <v>9857</v>
      </c>
      <c r="G83" s="530" t="s">
        <v>9770</v>
      </c>
      <c r="H83" s="530" t="s">
        <v>9770</v>
      </c>
      <c r="I83" s="528" t="s">
        <v>9856</v>
      </c>
      <c r="J83" s="530" t="s">
        <v>9857</v>
      </c>
      <c r="L83" s="530">
        <v>1</v>
      </c>
      <c r="M83" s="530" t="s">
        <v>9855</v>
      </c>
      <c r="N83" s="530">
        <v>2</v>
      </c>
      <c r="O83" s="528" t="s">
        <v>9856</v>
      </c>
      <c r="P83" s="530" t="s">
        <v>9857</v>
      </c>
      <c r="Q83" s="530" t="s">
        <v>9770</v>
      </c>
      <c r="R83" s="530" t="s">
        <v>9770</v>
      </c>
      <c r="S83" s="528" t="s">
        <v>9856</v>
      </c>
      <c r="T83" s="530" t="s">
        <v>9857</v>
      </c>
    </row>
    <row r="84" spans="2:20" s="529" customFormat="1" x14ac:dyDescent="0.2">
      <c r="B84" s="530">
        <v>2</v>
      </c>
      <c r="C84" s="530" t="s">
        <v>9855</v>
      </c>
      <c r="D84" s="530">
        <v>2</v>
      </c>
      <c r="E84" s="530" t="s">
        <v>9770</v>
      </c>
      <c r="F84" s="530" t="s">
        <v>9770</v>
      </c>
      <c r="G84" s="530" t="s">
        <v>9770</v>
      </c>
      <c r="H84" s="530" t="s">
        <v>9770</v>
      </c>
      <c r="I84" s="528" t="s">
        <v>9856</v>
      </c>
      <c r="J84" s="530" t="s">
        <v>9857</v>
      </c>
      <c r="L84" s="530">
        <v>2</v>
      </c>
      <c r="M84" s="530" t="s">
        <v>9855</v>
      </c>
      <c r="N84" s="530">
        <v>2</v>
      </c>
      <c r="O84" s="530" t="s">
        <v>9770</v>
      </c>
      <c r="P84" s="530" t="s">
        <v>9770</v>
      </c>
      <c r="Q84" s="530" t="s">
        <v>9770</v>
      </c>
      <c r="R84" s="530" t="s">
        <v>9770</v>
      </c>
      <c r="S84" s="528" t="s">
        <v>9856</v>
      </c>
      <c r="T84" s="530" t="s">
        <v>9857</v>
      </c>
    </row>
    <row r="85" spans="2:20" s="529" customFormat="1" x14ac:dyDescent="0.2">
      <c r="B85" s="530">
        <v>1</v>
      </c>
      <c r="C85" s="530" t="s">
        <v>9858</v>
      </c>
      <c r="D85" s="530" t="s">
        <v>9770</v>
      </c>
      <c r="E85" s="530" t="s">
        <v>9856</v>
      </c>
      <c r="F85" s="530" t="s">
        <v>9857</v>
      </c>
      <c r="G85" s="530" t="s">
        <v>9770</v>
      </c>
      <c r="H85" s="530" t="s">
        <v>9770</v>
      </c>
      <c r="I85" s="530" t="s">
        <v>9770</v>
      </c>
      <c r="J85" s="530" t="s">
        <v>9770</v>
      </c>
      <c r="L85" s="530">
        <v>1</v>
      </c>
      <c r="M85" s="530" t="s">
        <v>9858</v>
      </c>
      <c r="N85" s="530" t="s">
        <v>9770</v>
      </c>
      <c r="O85" s="530" t="s">
        <v>9856</v>
      </c>
      <c r="P85" s="530" t="s">
        <v>9857</v>
      </c>
      <c r="Q85" s="530" t="s">
        <v>9770</v>
      </c>
      <c r="R85" s="530" t="s">
        <v>9770</v>
      </c>
      <c r="S85" s="530" t="s">
        <v>9770</v>
      </c>
      <c r="T85" s="530" t="s">
        <v>9770</v>
      </c>
    </row>
    <row r="86" spans="2:20" s="534" customFormat="1" x14ac:dyDescent="0.2">
      <c r="B86" s="533"/>
      <c r="C86" s="533"/>
      <c r="D86" s="533"/>
      <c r="E86" s="533"/>
      <c r="F86" s="533"/>
      <c r="G86" s="533"/>
      <c r="H86" s="533"/>
      <c r="I86" s="533"/>
      <c r="J86" s="533"/>
      <c r="L86" s="533"/>
      <c r="M86" s="533"/>
      <c r="N86" s="533"/>
      <c r="O86" s="533"/>
      <c r="P86" s="533"/>
      <c r="Q86" s="533"/>
      <c r="R86" s="533"/>
      <c r="S86" s="533"/>
      <c r="T86" s="533"/>
    </row>
    <row r="90" spans="2:20" ht="15.75" x14ac:dyDescent="0.25">
      <c r="B90" s="995" t="s">
        <v>9859</v>
      </c>
      <c r="C90" s="995"/>
      <c r="D90" s="995"/>
      <c r="E90" s="995"/>
      <c r="L90" s="995" t="s">
        <v>9860</v>
      </c>
      <c r="M90" s="995"/>
      <c r="N90" s="995"/>
      <c r="O90" s="995"/>
    </row>
    <row r="91" spans="2:20" x14ac:dyDescent="0.25">
      <c r="B91" s="993" t="s">
        <v>9748</v>
      </c>
      <c r="C91" s="993"/>
      <c r="D91" s="993" t="s">
        <v>9749</v>
      </c>
      <c r="E91" s="993"/>
      <c r="L91" s="993" t="s">
        <v>9750</v>
      </c>
      <c r="M91" s="993"/>
      <c r="N91" s="993" t="s">
        <v>9751</v>
      </c>
      <c r="O91" s="993"/>
    </row>
    <row r="92" spans="2:20" x14ac:dyDescent="0.25">
      <c r="B92" s="994" t="s">
        <v>9861</v>
      </c>
      <c r="C92" s="994"/>
      <c r="D92" s="994" t="s">
        <v>9779</v>
      </c>
      <c r="E92" s="994"/>
      <c r="L92" s="994" t="s">
        <v>9862</v>
      </c>
      <c r="M92" s="994"/>
      <c r="N92" s="994" t="s">
        <v>9781</v>
      </c>
      <c r="O92" s="994"/>
      <c r="P92" s="482"/>
      <c r="Q92" s="482"/>
      <c r="R92" s="482"/>
      <c r="S92" s="482"/>
      <c r="T92" s="482"/>
    </row>
    <row r="94" spans="2:20" x14ac:dyDescent="0.25">
      <c r="B94" s="483" t="s">
        <v>1687</v>
      </c>
      <c r="L94" s="483" t="s">
        <v>1687</v>
      </c>
    </row>
    <row r="95" spans="2:20" x14ac:dyDescent="0.25">
      <c r="B95" s="483"/>
    </row>
    <row r="96" spans="2:20" ht="30" x14ac:dyDescent="0.25">
      <c r="B96" s="524" t="s">
        <v>9863</v>
      </c>
      <c r="C96" s="525" t="s">
        <v>9815</v>
      </c>
      <c r="D96" s="525" t="s">
        <v>9864</v>
      </c>
      <c r="E96" s="525" t="s">
        <v>9865</v>
      </c>
      <c r="F96" s="525" t="s">
        <v>9866</v>
      </c>
      <c r="G96" s="525" t="s">
        <v>9867</v>
      </c>
      <c r="H96" s="525" t="s">
        <v>9868</v>
      </c>
      <c r="L96" s="535" t="s">
        <v>9786</v>
      </c>
      <c r="M96" s="525" t="s">
        <v>9817</v>
      </c>
      <c r="N96" s="536" t="s">
        <v>9869</v>
      </c>
      <c r="O96" s="536" t="s">
        <v>9870</v>
      </c>
      <c r="P96" s="536" t="s">
        <v>9871</v>
      </c>
      <c r="Q96" s="536" t="s">
        <v>9872</v>
      </c>
      <c r="R96" s="536" t="s">
        <v>9873</v>
      </c>
    </row>
    <row r="97" spans="2:18" ht="38.25" x14ac:dyDescent="0.25">
      <c r="B97" s="537" t="s">
        <v>9874</v>
      </c>
      <c r="C97" s="537" t="s">
        <v>1687</v>
      </c>
      <c r="D97" s="526" t="s">
        <v>9875</v>
      </c>
      <c r="E97" s="526" t="s">
        <v>9798</v>
      </c>
      <c r="F97" s="527" t="s">
        <v>9876</v>
      </c>
      <c r="G97" s="538" t="s">
        <v>9877</v>
      </c>
      <c r="H97" s="538" t="s">
        <v>9878</v>
      </c>
      <c r="L97" s="537" t="s">
        <v>9874</v>
      </c>
      <c r="M97" s="537" t="s">
        <v>1687</v>
      </c>
      <c r="N97" s="526" t="s">
        <v>9875</v>
      </c>
      <c r="O97" s="526" t="s">
        <v>9798</v>
      </c>
      <c r="P97" s="527" t="s">
        <v>9876</v>
      </c>
      <c r="Q97" s="538" t="s">
        <v>9877</v>
      </c>
      <c r="R97" s="538" t="s">
        <v>9878</v>
      </c>
    </row>
    <row r="98" spans="2:18" ht="38.25" x14ac:dyDescent="0.25">
      <c r="B98" s="537" t="s">
        <v>9770</v>
      </c>
      <c r="C98" s="537" t="s">
        <v>1687</v>
      </c>
      <c r="D98" s="526" t="s">
        <v>9875</v>
      </c>
      <c r="E98" s="526" t="s">
        <v>9879</v>
      </c>
      <c r="F98" s="527" t="s">
        <v>9880</v>
      </c>
      <c r="G98" s="538" t="s">
        <v>9877</v>
      </c>
      <c r="H98" s="539" t="s">
        <v>9881</v>
      </c>
      <c r="L98" s="537" t="s">
        <v>9770</v>
      </c>
      <c r="M98" s="537" t="s">
        <v>1687</v>
      </c>
      <c r="N98" s="526" t="s">
        <v>9875</v>
      </c>
      <c r="O98" s="526" t="s">
        <v>9879</v>
      </c>
      <c r="P98" s="527" t="s">
        <v>9880</v>
      </c>
      <c r="Q98" s="538" t="s">
        <v>9877</v>
      </c>
      <c r="R98" s="539" t="s">
        <v>9881</v>
      </c>
    </row>
    <row r="99" spans="2:18" x14ac:dyDescent="0.25">
      <c r="B99" s="537" t="s">
        <v>9874</v>
      </c>
      <c r="C99" s="537" t="s">
        <v>1687</v>
      </c>
      <c r="D99" s="526" t="s">
        <v>2466</v>
      </c>
      <c r="E99" s="526" t="s">
        <v>9798</v>
      </c>
      <c r="F99" s="527" t="s">
        <v>9876</v>
      </c>
      <c r="G99" s="538" t="s">
        <v>9882</v>
      </c>
      <c r="H99" s="537" t="s">
        <v>9770</v>
      </c>
      <c r="L99" s="537" t="s">
        <v>9874</v>
      </c>
      <c r="M99" s="537" t="s">
        <v>1687</v>
      </c>
      <c r="N99" s="526" t="s">
        <v>2466</v>
      </c>
      <c r="O99" s="526" t="s">
        <v>9798</v>
      </c>
      <c r="P99" s="527" t="s">
        <v>9876</v>
      </c>
      <c r="Q99" s="538" t="s">
        <v>9882</v>
      </c>
      <c r="R99" s="537" t="s">
        <v>9770</v>
      </c>
    </row>
    <row r="100" spans="2:18" x14ac:dyDescent="0.25">
      <c r="B100" s="537">
        <v>900</v>
      </c>
      <c r="C100" s="537" t="s">
        <v>1687</v>
      </c>
      <c r="D100" s="540" t="s">
        <v>9883</v>
      </c>
      <c r="E100" s="539" t="s">
        <v>9798</v>
      </c>
      <c r="F100" s="527" t="s">
        <v>9876</v>
      </c>
      <c r="G100" s="538" t="s">
        <v>9884</v>
      </c>
      <c r="H100" s="537" t="s">
        <v>9770</v>
      </c>
      <c r="L100" s="537">
        <v>900</v>
      </c>
      <c r="M100" s="537" t="s">
        <v>1687</v>
      </c>
      <c r="N100" s="540" t="s">
        <v>9883</v>
      </c>
      <c r="O100" s="539" t="s">
        <v>9798</v>
      </c>
      <c r="P100" s="527" t="s">
        <v>9876</v>
      </c>
      <c r="Q100" s="538" t="s">
        <v>9884</v>
      </c>
      <c r="R100" s="537" t="s">
        <v>9770</v>
      </c>
    </row>
    <row r="101" spans="2:18" x14ac:dyDescent="0.25">
      <c r="B101" s="537">
        <v>900</v>
      </c>
      <c r="C101" s="537" t="s">
        <v>1687</v>
      </c>
      <c r="D101" s="540" t="s">
        <v>9883</v>
      </c>
      <c r="E101" s="539" t="s">
        <v>9885</v>
      </c>
      <c r="F101" s="527" t="s">
        <v>9876</v>
      </c>
      <c r="G101" s="538" t="s">
        <v>9886</v>
      </c>
      <c r="H101" s="537" t="s">
        <v>9770</v>
      </c>
      <c r="L101" s="537">
        <v>900</v>
      </c>
      <c r="M101" s="537" t="s">
        <v>1687</v>
      </c>
      <c r="N101" s="540" t="s">
        <v>9883</v>
      </c>
      <c r="O101" s="539" t="s">
        <v>9885</v>
      </c>
      <c r="P101" s="527" t="s">
        <v>9876</v>
      </c>
      <c r="Q101" s="538" t="s">
        <v>9886</v>
      </c>
      <c r="R101" s="537" t="s">
        <v>9770</v>
      </c>
    </row>
    <row r="102" spans="2:18" x14ac:dyDescent="0.25">
      <c r="B102" s="537" t="s">
        <v>9799</v>
      </c>
      <c r="C102" s="537" t="s">
        <v>7374</v>
      </c>
      <c r="D102" s="540" t="s">
        <v>9883</v>
      </c>
      <c r="E102" s="540" t="s">
        <v>9887</v>
      </c>
      <c r="F102" s="527" t="s">
        <v>9876</v>
      </c>
      <c r="G102" s="538" t="s">
        <v>9888</v>
      </c>
      <c r="H102" s="537" t="s">
        <v>9770</v>
      </c>
      <c r="L102" s="537" t="s">
        <v>9799</v>
      </c>
      <c r="M102" s="537" t="s">
        <v>7374</v>
      </c>
      <c r="N102" s="540" t="s">
        <v>9883</v>
      </c>
      <c r="O102" s="540" t="s">
        <v>9887</v>
      </c>
      <c r="P102" s="527" t="s">
        <v>9876</v>
      </c>
      <c r="Q102" s="538" t="s">
        <v>9888</v>
      </c>
      <c r="R102" s="537" t="s">
        <v>9770</v>
      </c>
    </row>
    <row r="103" spans="2:18" ht="25.5" x14ac:dyDescent="0.25">
      <c r="B103" s="541" t="s">
        <v>9874</v>
      </c>
      <c r="C103" s="541" t="s">
        <v>1687</v>
      </c>
      <c r="D103" s="542" t="s">
        <v>9889</v>
      </c>
      <c r="E103" s="526" t="s">
        <v>9798</v>
      </c>
      <c r="F103" s="543" t="s">
        <v>9876</v>
      </c>
      <c r="G103" s="538" t="s">
        <v>9890</v>
      </c>
      <c r="H103" s="537" t="s">
        <v>9770</v>
      </c>
      <c r="L103" s="541" t="s">
        <v>9874</v>
      </c>
      <c r="M103" s="541" t="s">
        <v>1687</v>
      </c>
      <c r="N103" s="542" t="s">
        <v>9889</v>
      </c>
      <c r="O103" s="526" t="s">
        <v>9798</v>
      </c>
      <c r="P103" s="543" t="s">
        <v>9876</v>
      </c>
      <c r="Q103" s="538" t="s">
        <v>9890</v>
      </c>
      <c r="R103" s="537" t="s">
        <v>9770</v>
      </c>
    </row>
    <row r="104" spans="2:18" x14ac:dyDescent="0.25">
      <c r="B104" s="537" t="s">
        <v>9891</v>
      </c>
      <c r="C104" s="537" t="s">
        <v>1687</v>
      </c>
      <c r="D104" s="540" t="s">
        <v>9892</v>
      </c>
      <c r="E104" s="539" t="s">
        <v>9893</v>
      </c>
      <c r="F104" s="527" t="s">
        <v>9876</v>
      </c>
      <c r="G104" s="538" t="s">
        <v>9894</v>
      </c>
      <c r="H104" s="537" t="s">
        <v>9770</v>
      </c>
      <c r="L104" s="537" t="s">
        <v>9891</v>
      </c>
      <c r="M104" s="537" t="s">
        <v>1687</v>
      </c>
      <c r="N104" s="540" t="s">
        <v>9892</v>
      </c>
      <c r="O104" s="539" t="s">
        <v>9893</v>
      </c>
      <c r="P104" s="527" t="s">
        <v>9876</v>
      </c>
      <c r="Q104" s="538" t="s">
        <v>9894</v>
      </c>
      <c r="R104" s="537" t="s">
        <v>9770</v>
      </c>
    </row>
    <row r="105" spans="2:18" x14ac:dyDescent="0.25">
      <c r="B105" s="537" t="s">
        <v>9891</v>
      </c>
      <c r="C105" s="537" t="s">
        <v>1687</v>
      </c>
      <c r="D105" s="540" t="s">
        <v>9892</v>
      </c>
      <c r="E105" s="539" t="s">
        <v>9798</v>
      </c>
      <c r="F105" s="527" t="s">
        <v>9876</v>
      </c>
      <c r="G105" s="538" t="s">
        <v>9895</v>
      </c>
      <c r="H105" s="537" t="s">
        <v>9770</v>
      </c>
      <c r="L105" s="537" t="s">
        <v>9891</v>
      </c>
      <c r="M105" s="537" t="s">
        <v>1687</v>
      </c>
      <c r="N105" s="540" t="s">
        <v>9892</v>
      </c>
      <c r="O105" s="539" t="s">
        <v>9798</v>
      </c>
      <c r="P105" s="527" t="s">
        <v>9876</v>
      </c>
      <c r="Q105" s="538" t="s">
        <v>9895</v>
      </c>
      <c r="R105" s="537" t="s">
        <v>9770</v>
      </c>
    </row>
    <row r="106" spans="2:18" x14ac:dyDescent="0.25">
      <c r="B106" s="537" t="s">
        <v>9891</v>
      </c>
      <c r="C106" s="537" t="s">
        <v>7374</v>
      </c>
      <c r="D106" s="540" t="s">
        <v>9892</v>
      </c>
      <c r="E106" s="539" t="s">
        <v>9896</v>
      </c>
      <c r="F106" s="527" t="s">
        <v>9876</v>
      </c>
      <c r="G106" s="538" t="s">
        <v>9888</v>
      </c>
      <c r="H106" s="537" t="s">
        <v>9770</v>
      </c>
      <c r="L106" s="537" t="s">
        <v>9891</v>
      </c>
      <c r="M106" s="537" t="s">
        <v>7374</v>
      </c>
      <c r="N106" s="540" t="s">
        <v>9892</v>
      </c>
      <c r="O106" s="539" t="s">
        <v>9896</v>
      </c>
      <c r="P106" s="527" t="s">
        <v>9876</v>
      </c>
      <c r="Q106" s="538" t="s">
        <v>9888</v>
      </c>
      <c r="R106" s="537" t="s">
        <v>9770</v>
      </c>
    </row>
    <row r="107" spans="2:18" x14ac:dyDescent="0.25">
      <c r="B107" s="537" t="s">
        <v>9897</v>
      </c>
      <c r="C107" s="537" t="s">
        <v>1687</v>
      </c>
      <c r="D107" s="540" t="s">
        <v>9898</v>
      </c>
      <c r="E107" s="540" t="s">
        <v>9893</v>
      </c>
      <c r="F107" s="527" t="s">
        <v>9876</v>
      </c>
      <c r="G107" s="538" t="s">
        <v>9894</v>
      </c>
      <c r="H107" s="537" t="s">
        <v>9770</v>
      </c>
      <c r="L107" s="537" t="s">
        <v>9897</v>
      </c>
      <c r="M107" s="537" t="s">
        <v>1687</v>
      </c>
      <c r="N107" s="540" t="s">
        <v>9898</v>
      </c>
      <c r="O107" s="540" t="s">
        <v>9893</v>
      </c>
      <c r="P107" s="527" t="s">
        <v>9876</v>
      </c>
      <c r="Q107" s="538" t="s">
        <v>9894</v>
      </c>
      <c r="R107" s="537" t="s">
        <v>9770</v>
      </c>
    </row>
    <row r="108" spans="2:18" x14ac:dyDescent="0.25">
      <c r="B108" s="537" t="s">
        <v>9897</v>
      </c>
      <c r="C108" s="537" t="s">
        <v>1687</v>
      </c>
      <c r="D108" s="540" t="s">
        <v>9898</v>
      </c>
      <c r="E108" s="540" t="s">
        <v>9798</v>
      </c>
      <c r="F108" s="527" t="s">
        <v>9876</v>
      </c>
      <c r="G108" s="538" t="s">
        <v>9895</v>
      </c>
      <c r="H108" s="537" t="s">
        <v>9770</v>
      </c>
      <c r="L108" s="537" t="s">
        <v>9897</v>
      </c>
      <c r="M108" s="537" t="s">
        <v>1687</v>
      </c>
      <c r="N108" s="540" t="s">
        <v>9898</v>
      </c>
      <c r="O108" s="540" t="s">
        <v>9798</v>
      </c>
      <c r="P108" s="527" t="s">
        <v>9876</v>
      </c>
      <c r="Q108" s="538" t="s">
        <v>9895</v>
      </c>
      <c r="R108" s="537" t="s">
        <v>9770</v>
      </c>
    </row>
    <row r="109" spans="2:18" x14ac:dyDescent="0.25">
      <c r="B109" s="537" t="s">
        <v>9897</v>
      </c>
      <c r="C109" s="537" t="s">
        <v>7374</v>
      </c>
      <c r="D109" s="540" t="s">
        <v>9898</v>
      </c>
      <c r="E109" s="539" t="s">
        <v>9896</v>
      </c>
      <c r="F109" s="527" t="s">
        <v>9876</v>
      </c>
      <c r="G109" s="538" t="s">
        <v>9888</v>
      </c>
      <c r="H109" s="537" t="s">
        <v>9770</v>
      </c>
      <c r="L109" s="537" t="s">
        <v>9897</v>
      </c>
      <c r="M109" s="537" t="s">
        <v>7374</v>
      </c>
      <c r="N109" s="540" t="s">
        <v>9898</v>
      </c>
      <c r="O109" s="539" t="s">
        <v>9896</v>
      </c>
      <c r="P109" s="527" t="s">
        <v>9876</v>
      </c>
      <c r="Q109" s="538" t="s">
        <v>9888</v>
      </c>
      <c r="R109" s="537" t="s">
        <v>9770</v>
      </c>
    </row>
    <row r="110" spans="2:18" x14ac:dyDescent="0.25">
      <c r="B110" s="537" t="s">
        <v>9897</v>
      </c>
      <c r="C110" s="537" t="s">
        <v>1687</v>
      </c>
      <c r="D110" s="540" t="s">
        <v>9899</v>
      </c>
      <c r="E110" s="539" t="s">
        <v>9896</v>
      </c>
      <c r="F110" s="527" t="s">
        <v>9876</v>
      </c>
      <c r="G110" s="538" t="s">
        <v>9888</v>
      </c>
      <c r="H110" s="537" t="s">
        <v>9770</v>
      </c>
      <c r="L110" s="537" t="s">
        <v>9897</v>
      </c>
      <c r="M110" s="537" t="s">
        <v>1687</v>
      </c>
      <c r="N110" s="540" t="s">
        <v>9899</v>
      </c>
      <c r="O110" s="539" t="s">
        <v>9896</v>
      </c>
      <c r="P110" s="527" t="s">
        <v>9876</v>
      </c>
      <c r="Q110" s="538" t="s">
        <v>9888</v>
      </c>
      <c r="R110" s="537" t="s">
        <v>9770</v>
      </c>
    </row>
    <row r="111" spans="2:18" x14ac:dyDescent="0.25">
      <c r="B111" s="537" t="s">
        <v>9897</v>
      </c>
      <c r="C111" s="537" t="s">
        <v>1687</v>
      </c>
      <c r="D111" s="540" t="s">
        <v>9900</v>
      </c>
      <c r="E111" s="539" t="s">
        <v>9896</v>
      </c>
      <c r="F111" s="527" t="s">
        <v>9876</v>
      </c>
      <c r="G111" s="538" t="s">
        <v>9901</v>
      </c>
      <c r="H111" s="537" t="s">
        <v>9770</v>
      </c>
      <c r="L111" s="537" t="s">
        <v>9897</v>
      </c>
      <c r="M111" s="537" t="s">
        <v>1687</v>
      </c>
      <c r="N111" s="540" t="s">
        <v>9900</v>
      </c>
      <c r="O111" s="539" t="s">
        <v>9896</v>
      </c>
      <c r="P111" s="527" t="s">
        <v>9876</v>
      </c>
      <c r="Q111" s="538" t="s">
        <v>9901</v>
      </c>
      <c r="R111" s="537" t="s">
        <v>9770</v>
      </c>
    </row>
    <row r="112" spans="2:18" x14ac:dyDescent="0.25">
      <c r="B112" s="537" t="s">
        <v>9891</v>
      </c>
      <c r="C112" s="537" t="s">
        <v>1687</v>
      </c>
      <c r="D112" s="540" t="s">
        <v>9902</v>
      </c>
      <c r="E112" s="539" t="s">
        <v>9896</v>
      </c>
      <c r="F112" s="527" t="s">
        <v>9876</v>
      </c>
      <c r="G112" s="538" t="s">
        <v>9901</v>
      </c>
      <c r="H112" s="537" t="s">
        <v>9770</v>
      </c>
      <c r="L112" s="537" t="s">
        <v>9891</v>
      </c>
      <c r="M112" s="537" t="s">
        <v>1687</v>
      </c>
      <c r="N112" s="540" t="s">
        <v>9902</v>
      </c>
      <c r="O112" s="539" t="s">
        <v>9896</v>
      </c>
      <c r="P112" s="527" t="s">
        <v>9876</v>
      </c>
      <c r="Q112" s="538" t="s">
        <v>9901</v>
      </c>
      <c r="R112" s="537" t="s">
        <v>9770</v>
      </c>
    </row>
    <row r="113" spans="2:18" x14ac:dyDescent="0.25">
      <c r="B113" s="537" t="s">
        <v>9897</v>
      </c>
      <c r="C113" s="537" t="s">
        <v>7374</v>
      </c>
      <c r="D113" s="540" t="s">
        <v>9899</v>
      </c>
      <c r="E113" s="539" t="s">
        <v>9896</v>
      </c>
      <c r="F113" s="527" t="s">
        <v>9876</v>
      </c>
      <c r="G113" s="538" t="s">
        <v>9888</v>
      </c>
      <c r="H113" s="537" t="s">
        <v>9770</v>
      </c>
      <c r="L113" s="537" t="s">
        <v>9897</v>
      </c>
      <c r="M113" s="537" t="s">
        <v>7374</v>
      </c>
      <c r="N113" s="540" t="s">
        <v>9899</v>
      </c>
      <c r="O113" s="539" t="s">
        <v>9896</v>
      </c>
      <c r="P113" s="527" t="s">
        <v>9876</v>
      </c>
      <c r="Q113" s="538" t="s">
        <v>9888</v>
      </c>
      <c r="R113" s="537" t="s">
        <v>9770</v>
      </c>
    </row>
    <row r="114" spans="2:18" x14ac:dyDescent="0.25">
      <c r="B114" s="537" t="s">
        <v>9897</v>
      </c>
      <c r="C114" s="537" t="s">
        <v>7374</v>
      </c>
      <c r="D114" s="540" t="s">
        <v>9903</v>
      </c>
      <c r="E114" s="539" t="s">
        <v>9896</v>
      </c>
      <c r="F114" s="527" t="s">
        <v>9876</v>
      </c>
      <c r="G114" s="538" t="s">
        <v>9904</v>
      </c>
      <c r="H114" s="537" t="s">
        <v>9770</v>
      </c>
      <c r="L114" s="537" t="s">
        <v>9897</v>
      </c>
      <c r="M114" s="537" t="s">
        <v>7374</v>
      </c>
      <c r="N114" s="540" t="s">
        <v>9903</v>
      </c>
      <c r="O114" s="539" t="s">
        <v>9896</v>
      </c>
      <c r="P114" s="527" t="s">
        <v>9876</v>
      </c>
      <c r="Q114" s="538" t="s">
        <v>9904</v>
      </c>
      <c r="R114" s="537" t="s">
        <v>9770</v>
      </c>
    </row>
    <row r="115" spans="2:18" x14ac:dyDescent="0.25">
      <c r="B115" s="537" t="s">
        <v>9891</v>
      </c>
      <c r="C115" s="537" t="s">
        <v>7374</v>
      </c>
      <c r="D115" s="540" t="s">
        <v>9902</v>
      </c>
      <c r="E115" s="539" t="s">
        <v>9896</v>
      </c>
      <c r="F115" s="527" t="s">
        <v>9876</v>
      </c>
      <c r="G115" s="538" t="s">
        <v>9904</v>
      </c>
      <c r="H115" s="537" t="s">
        <v>9770</v>
      </c>
      <c r="L115" s="537" t="s">
        <v>9891</v>
      </c>
      <c r="M115" s="537" t="s">
        <v>7374</v>
      </c>
      <c r="N115" s="540" t="s">
        <v>9902</v>
      </c>
      <c r="O115" s="539" t="s">
        <v>9896</v>
      </c>
      <c r="P115" s="527" t="s">
        <v>9876</v>
      </c>
      <c r="Q115" s="538" t="s">
        <v>9904</v>
      </c>
      <c r="R115" s="537" t="s">
        <v>9770</v>
      </c>
    </row>
    <row r="116" spans="2:18" x14ac:dyDescent="0.25">
      <c r="B116" s="537" t="s">
        <v>9891</v>
      </c>
      <c r="C116" s="537" t="s">
        <v>1687</v>
      </c>
      <c r="D116" s="540" t="s">
        <v>9905</v>
      </c>
      <c r="E116" s="539" t="s">
        <v>9893</v>
      </c>
      <c r="F116" s="527" t="s">
        <v>9906</v>
      </c>
      <c r="G116" s="538" t="s">
        <v>9907</v>
      </c>
      <c r="H116" s="539" t="s">
        <v>9770</v>
      </c>
      <c r="L116" s="537" t="s">
        <v>9891</v>
      </c>
      <c r="M116" s="537" t="s">
        <v>1687</v>
      </c>
      <c r="N116" s="540" t="s">
        <v>9905</v>
      </c>
      <c r="O116" s="539" t="s">
        <v>9893</v>
      </c>
      <c r="P116" s="527" t="s">
        <v>9906</v>
      </c>
      <c r="Q116" s="538" t="s">
        <v>9907</v>
      </c>
      <c r="R116" s="539" t="s">
        <v>9770</v>
      </c>
    </row>
    <row r="117" spans="2:18" x14ac:dyDescent="0.25">
      <c r="B117" s="537" t="s">
        <v>9891</v>
      </c>
      <c r="C117" s="537" t="s">
        <v>1687</v>
      </c>
      <c r="D117" s="540" t="s">
        <v>9905</v>
      </c>
      <c r="E117" s="539" t="s">
        <v>9798</v>
      </c>
      <c r="F117" s="527" t="s">
        <v>9906</v>
      </c>
      <c r="G117" s="538" t="s">
        <v>9908</v>
      </c>
      <c r="H117" s="539" t="s">
        <v>9770</v>
      </c>
      <c r="L117" s="537" t="s">
        <v>9891</v>
      </c>
      <c r="M117" s="537" t="s">
        <v>1687</v>
      </c>
      <c r="N117" s="540" t="s">
        <v>9905</v>
      </c>
      <c r="O117" s="539" t="s">
        <v>9798</v>
      </c>
      <c r="P117" s="527" t="s">
        <v>9906</v>
      </c>
      <c r="Q117" s="538" t="s">
        <v>9908</v>
      </c>
      <c r="R117" s="539" t="s">
        <v>9770</v>
      </c>
    </row>
    <row r="118" spans="2:18" x14ac:dyDescent="0.25">
      <c r="B118" s="541" t="s">
        <v>9799</v>
      </c>
      <c r="C118" s="541" t="s">
        <v>1687</v>
      </c>
      <c r="D118" s="544" t="s">
        <v>9909</v>
      </c>
      <c r="E118" s="539" t="s">
        <v>9896</v>
      </c>
      <c r="F118" s="543" t="s">
        <v>9906</v>
      </c>
      <c r="G118" s="545" t="s">
        <v>9910</v>
      </c>
      <c r="H118" s="546" t="s">
        <v>9770</v>
      </c>
      <c r="L118" s="541" t="s">
        <v>9799</v>
      </c>
      <c r="M118" s="541" t="s">
        <v>1687</v>
      </c>
      <c r="N118" s="544" t="s">
        <v>9909</v>
      </c>
      <c r="O118" s="539" t="s">
        <v>9896</v>
      </c>
      <c r="P118" s="543" t="s">
        <v>9906</v>
      </c>
      <c r="Q118" s="545" t="s">
        <v>9910</v>
      </c>
      <c r="R118" s="546" t="s">
        <v>9770</v>
      </c>
    </row>
    <row r="119" spans="2:18" x14ac:dyDescent="0.25">
      <c r="B119" s="541" t="s">
        <v>9799</v>
      </c>
      <c r="C119" s="541" t="s">
        <v>1687</v>
      </c>
      <c r="D119" s="544" t="s">
        <v>9911</v>
      </c>
      <c r="E119" s="539" t="s">
        <v>9896</v>
      </c>
      <c r="F119" s="543" t="s">
        <v>9906</v>
      </c>
      <c r="G119" s="545" t="s">
        <v>9912</v>
      </c>
      <c r="H119" s="546" t="s">
        <v>9770</v>
      </c>
      <c r="L119" s="541" t="s">
        <v>9799</v>
      </c>
      <c r="M119" s="541" t="s">
        <v>1687</v>
      </c>
      <c r="N119" s="544" t="s">
        <v>9911</v>
      </c>
      <c r="O119" s="539" t="s">
        <v>9896</v>
      </c>
      <c r="P119" s="543" t="s">
        <v>9906</v>
      </c>
      <c r="Q119" s="545" t="s">
        <v>9912</v>
      </c>
      <c r="R119" s="546" t="s">
        <v>9770</v>
      </c>
    </row>
    <row r="120" spans="2:18" ht="38.25" x14ac:dyDescent="0.25">
      <c r="B120" s="537" t="s">
        <v>9770</v>
      </c>
      <c r="C120" s="537" t="s">
        <v>1687</v>
      </c>
      <c r="D120" s="542" t="s">
        <v>9913</v>
      </c>
      <c r="E120" s="542" t="s">
        <v>9879</v>
      </c>
      <c r="F120" s="543" t="s">
        <v>9880</v>
      </c>
      <c r="G120" s="538" t="s">
        <v>9914</v>
      </c>
      <c r="H120" s="539" t="s">
        <v>9915</v>
      </c>
      <c r="L120" s="537" t="s">
        <v>9770</v>
      </c>
      <c r="M120" s="537" t="s">
        <v>1687</v>
      </c>
      <c r="N120" s="542" t="s">
        <v>9913</v>
      </c>
      <c r="O120" s="542" t="s">
        <v>9879</v>
      </c>
      <c r="P120" s="543" t="s">
        <v>9880</v>
      </c>
      <c r="Q120" s="538" t="s">
        <v>9914</v>
      </c>
      <c r="R120" s="539" t="s">
        <v>9915</v>
      </c>
    </row>
    <row r="121" spans="2:18" ht="38.25" x14ac:dyDescent="0.25">
      <c r="B121" s="541" t="s">
        <v>9799</v>
      </c>
      <c r="C121" s="537" t="s">
        <v>1687</v>
      </c>
      <c r="D121" s="540" t="s">
        <v>9916</v>
      </c>
      <c r="E121" s="539" t="s">
        <v>9896</v>
      </c>
      <c r="F121" s="527" t="s">
        <v>9876</v>
      </c>
      <c r="G121" s="538" t="s">
        <v>9914</v>
      </c>
      <c r="H121" s="547" t="s">
        <v>9917</v>
      </c>
      <c r="L121" s="541" t="s">
        <v>9799</v>
      </c>
      <c r="M121" s="537" t="s">
        <v>1687</v>
      </c>
      <c r="N121" s="540" t="s">
        <v>9916</v>
      </c>
      <c r="O121" s="539" t="s">
        <v>9896</v>
      </c>
      <c r="P121" s="527" t="s">
        <v>9876</v>
      </c>
      <c r="Q121" s="538" t="s">
        <v>9914</v>
      </c>
      <c r="R121" s="547" t="s">
        <v>9917</v>
      </c>
    </row>
    <row r="122" spans="2:18" x14ac:dyDescent="0.25">
      <c r="B122" s="541" t="s">
        <v>9918</v>
      </c>
      <c r="C122" s="541" t="s">
        <v>1687</v>
      </c>
      <c r="D122" s="544" t="s">
        <v>9916</v>
      </c>
      <c r="E122" s="539" t="s">
        <v>9896</v>
      </c>
      <c r="F122" s="527" t="s">
        <v>9876</v>
      </c>
      <c r="G122" s="538" t="s">
        <v>9919</v>
      </c>
      <c r="H122" s="539" t="s">
        <v>9770</v>
      </c>
      <c r="L122" s="541" t="s">
        <v>9918</v>
      </c>
      <c r="M122" s="541" t="s">
        <v>1687</v>
      </c>
      <c r="N122" s="544" t="s">
        <v>9916</v>
      </c>
      <c r="O122" s="539" t="s">
        <v>9896</v>
      </c>
      <c r="P122" s="527" t="s">
        <v>9876</v>
      </c>
      <c r="Q122" s="538" t="s">
        <v>9919</v>
      </c>
      <c r="R122" s="539" t="s">
        <v>9770</v>
      </c>
    </row>
    <row r="123" spans="2:18" x14ac:dyDescent="0.25">
      <c r="B123" s="541" t="s">
        <v>9920</v>
      </c>
      <c r="C123" s="541" t="s">
        <v>1687</v>
      </c>
      <c r="D123" s="544" t="s">
        <v>9916</v>
      </c>
      <c r="E123" s="539" t="s">
        <v>9896</v>
      </c>
      <c r="F123" s="543" t="s">
        <v>9876</v>
      </c>
      <c r="G123" s="538" t="s">
        <v>9921</v>
      </c>
      <c r="H123" s="546" t="s">
        <v>9922</v>
      </c>
      <c r="L123" s="541" t="s">
        <v>9920</v>
      </c>
      <c r="M123" s="541" t="s">
        <v>1687</v>
      </c>
      <c r="N123" s="544" t="s">
        <v>9916</v>
      </c>
      <c r="O123" s="539" t="s">
        <v>9896</v>
      </c>
      <c r="P123" s="543" t="s">
        <v>9876</v>
      </c>
      <c r="Q123" s="538" t="s">
        <v>9921</v>
      </c>
      <c r="R123" s="546" t="s">
        <v>9922</v>
      </c>
    </row>
    <row r="124" spans="2:18" x14ac:dyDescent="0.25">
      <c r="B124" s="541" t="s">
        <v>9923</v>
      </c>
      <c r="C124" s="541" t="s">
        <v>1687</v>
      </c>
      <c r="D124" s="542" t="s">
        <v>9916</v>
      </c>
      <c r="E124" s="526" t="s">
        <v>9798</v>
      </c>
      <c r="F124" s="543" t="s">
        <v>9876</v>
      </c>
      <c r="G124" s="545" t="s">
        <v>9924</v>
      </c>
      <c r="H124" s="539" t="s">
        <v>9925</v>
      </c>
      <c r="L124" s="541" t="s">
        <v>9923</v>
      </c>
      <c r="M124" s="541" t="s">
        <v>1687</v>
      </c>
      <c r="N124" s="542" t="s">
        <v>9916</v>
      </c>
      <c r="O124" s="526" t="s">
        <v>9798</v>
      </c>
      <c r="P124" s="543" t="s">
        <v>9876</v>
      </c>
      <c r="Q124" s="545" t="s">
        <v>9924</v>
      </c>
      <c r="R124" s="539" t="s">
        <v>9925</v>
      </c>
    </row>
    <row r="128" spans="2:18" ht="15.75" x14ac:dyDescent="0.25">
      <c r="B128" s="995" t="s">
        <v>9926</v>
      </c>
      <c r="C128" s="995"/>
      <c r="D128" s="995"/>
      <c r="E128" s="995"/>
      <c r="L128" s="995" t="s">
        <v>9927</v>
      </c>
      <c r="M128" s="995"/>
      <c r="N128" s="995"/>
      <c r="O128" s="995"/>
    </row>
    <row r="129" spans="2:20" x14ac:dyDescent="0.25">
      <c r="B129" s="993" t="s">
        <v>9748</v>
      </c>
      <c r="C129" s="993"/>
      <c r="D129" s="993" t="s">
        <v>9749</v>
      </c>
      <c r="E129" s="993"/>
      <c r="L129" s="993" t="s">
        <v>9750</v>
      </c>
      <c r="M129" s="993"/>
      <c r="N129" s="993" t="s">
        <v>9751</v>
      </c>
      <c r="O129" s="993"/>
    </row>
    <row r="130" spans="2:20" x14ac:dyDescent="0.25">
      <c r="B130" s="994" t="s">
        <v>9928</v>
      </c>
      <c r="C130" s="994"/>
      <c r="D130" s="994" t="s">
        <v>9929</v>
      </c>
      <c r="E130" s="994"/>
      <c r="L130" s="994" t="s">
        <v>9930</v>
      </c>
      <c r="M130" s="994"/>
      <c r="N130" s="994" t="s">
        <v>9931</v>
      </c>
      <c r="O130" s="994"/>
      <c r="P130" s="482"/>
      <c r="Q130" s="482"/>
      <c r="R130" s="482"/>
      <c r="S130" s="482"/>
      <c r="T130" s="482"/>
    </row>
    <row r="132" spans="2:20" x14ac:dyDescent="0.25">
      <c r="B132" s="550"/>
      <c r="C132" s="551"/>
      <c r="L132" s="550"/>
      <c r="M132" s="551"/>
    </row>
    <row r="133" spans="2:20" x14ac:dyDescent="0.25">
      <c r="B133" s="483" t="s">
        <v>9536</v>
      </c>
      <c r="L133" s="483" t="s">
        <v>9536</v>
      </c>
      <c r="M133" s="551"/>
    </row>
    <row r="134" spans="2:20" x14ac:dyDescent="0.25">
      <c r="L134" s="550"/>
      <c r="M134" s="551"/>
    </row>
    <row r="135" spans="2:20" ht="30" x14ac:dyDescent="0.25">
      <c r="B135" s="535" t="s">
        <v>9932</v>
      </c>
      <c r="C135" s="536" t="s">
        <v>9838</v>
      </c>
      <c r="L135" s="535" t="s">
        <v>9933</v>
      </c>
      <c r="M135" s="536" t="s">
        <v>9847</v>
      </c>
    </row>
    <row r="136" spans="2:20" ht="38.25" x14ac:dyDescent="0.25">
      <c r="B136" s="548" t="s">
        <v>9934</v>
      </c>
      <c r="C136" s="549" t="s">
        <v>9935</v>
      </c>
      <c r="L136" s="548" t="s">
        <v>9934</v>
      </c>
      <c r="M136" s="549" t="s">
        <v>9935</v>
      </c>
    </row>
    <row r="137" spans="2:20" x14ac:dyDescent="0.25">
      <c r="B137" s="550"/>
      <c r="C137" s="551"/>
    </row>
    <row r="138" spans="2:20" x14ac:dyDescent="0.25">
      <c r="B138" s="550"/>
      <c r="C138" s="551"/>
    </row>
    <row r="140" spans="2:20" ht="15.75" x14ac:dyDescent="0.25">
      <c r="B140" s="995" t="s">
        <v>9936</v>
      </c>
      <c r="C140" s="995"/>
      <c r="D140" s="995"/>
      <c r="E140" s="995"/>
      <c r="L140" s="995" t="s">
        <v>9937</v>
      </c>
      <c r="M140" s="995"/>
      <c r="N140" s="995"/>
      <c r="O140" s="995"/>
    </row>
    <row r="141" spans="2:20" x14ac:dyDescent="0.25">
      <c r="B141" s="993" t="s">
        <v>9748</v>
      </c>
      <c r="C141" s="993"/>
      <c r="D141" s="993" t="s">
        <v>9749</v>
      </c>
      <c r="E141" s="993"/>
      <c r="L141" s="993" t="s">
        <v>9750</v>
      </c>
      <c r="M141" s="993"/>
      <c r="N141" s="993" t="s">
        <v>9751</v>
      </c>
      <c r="O141" s="993"/>
    </row>
    <row r="142" spans="2:20" x14ac:dyDescent="0.25">
      <c r="B142" s="994" t="s">
        <v>9938</v>
      </c>
      <c r="C142" s="994"/>
      <c r="D142" s="994" t="s">
        <v>9939</v>
      </c>
      <c r="E142" s="994"/>
      <c r="L142" s="994" t="s">
        <v>9940</v>
      </c>
      <c r="M142" s="994"/>
      <c r="N142" s="994" t="s">
        <v>9941</v>
      </c>
      <c r="O142" s="994"/>
      <c r="P142" s="482"/>
      <c r="Q142" s="482"/>
      <c r="R142" s="482"/>
      <c r="S142" s="482"/>
      <c r="T142" s="482"/>
    </row>
    <row r="144" spans="2:20" ht="30" x14ac:dyDescent="0.25">
      <c r="B144" s="535" t="s">
        <v>9942</v>
      </c>
      <c r="C144" s="536" t="s">
        <v>9943</v>
      </c>
      <c r="L144" s="535" t="s">
        <v>9847</v>
      </c>
      <c r="M144" s="536" t="s">
        <v>9944</v>
      </c>
    </row>
    <row r="145" spans="2:20" x14ac:dyDescent="0.25">
      <c r="B145" s="552" t="s">
        <v>9883</v>
      </c>
      <c r="C145" s="553" t="s">
        <v>9945</v>
      </c>
      <c r="L145" s="552" t="s">
        <v>9883</v>
      </c>
      <c r="M145" s="553" t="s">
        <v>9946</v>
      </c>
    </row>
    <row r="149" spans="2:20" ht="15.75" x14ac:dyDescent="0.25">
      <c r="B149" s="995" t="s">
        <v>9947</v>
      </c>
      <c r="C149" s="995"/>
      <c r="D149" s="995"/>
      <c r="E149" s="995"/>
      <c r="L149" s="995" t="s">
        <v>9948</v>
      </c>
      <c r="M149" s="995"/>
      <c r="N149" s="995"/>
      <c r="O149" s="995"/>
    </row>
    <row r="150" spans="2:20" x14ac:dyDescent="0.25">
      <c r="B150" s="993" t="s">
        <v>9748</v>
      </c>
      <c r="C150" s="993"/>
      <c r="D150" s="993" t="s">
        <v>9749</v>
      </c>
      <c r="E150" s="993"/>
      <c r="L150" s="993" t="s">
        <v>9750</v>
      </c>
      <c r="M150" s="993"/>
      <c r="N150" s="993" t="s">
        <v>9751</v>
      </c>
      <c r="O150" s="993"/>
    </row>
    <row r="151" spans="2:20" x14ac:dyDescent="0.25">
      <c r="B151" s="994" t="s">
        <v>9949</v>
      </c>
      <c r="C151" s="994"/>
      <c r="D151" s="994" t="s">
        <v>9950</v>
      </c>
      <c r="E151" s="994"/>
      <c r="L151" s="994" t="s">
        <v>9951</v>
      </c>
      <c r="M151" s="994"/>
      <c r="N151" s="994" t="s">
        <v>9952</v>
      </c>
      <c r="O151" s="994"/>
      <c r="P151" s="482"/>
      <c r="Q151" s="482"/>
      <c r="R151" s="482"/>
      <c r="S151" s="482"/>
      <c r="T151" s="482"/>
    </row>
    <row r="154" spans="2:20" x14ac:dyDescent="0.25">
      <c r="B154" s="483" t="s">
        <v>9756</v>
      </c>
      <c r="L154" s="483" t="s">
        <v>9756</v>
      </c>
    </row>
    <row r="156" spans="2:20" ht="30" x14ac:dyDescent="0.25">
      <c r="B156" s="535" t="s">
        <v>9953</v>
      </c>
      <c r="C156" s="536" t="s">
        <v>9954</v>
      </c>
      <c r="L156" s="535" t="s">
        <v>9955</v>
      </c>
      <c r="M156" s="555" t="s">
        <v>9956</v>
      </c>
    </row>
    <row r="157" spans="2:20" x14ac:dyDescent="0.25">
      <c r="B157" s="552" t="s">
        <v>9957</v>
      </c>
      <c r="C157" s="554" t="s">
        <v>265</v>
      </c>
      <c r="L157" s="552" t="s">
        <v>9957</v>
      </c>
      <c r="M157" s="554" t="s">
        <v>265</v>
      </c>
    </row>
    <row r="158" spans="2:20" x14ac:dyDescent="0.25">
      <c r="B158" s="552" t="s">
        <v>9958</v>
      </c>
      <c r="C158" s="554" t="s">
        <v>9774</v>
      </c>
      <c r="L158" s="552" t="s">
        <v>9958</v>
      </c>
      <c r="M158" s="554" t="s">
        <v>9774</v>
      </c>
    </row>
    <row r="159" spans="2:20" x14ac:dyDescent="0.25">
      <c r="B159" s="556"/>
      <c r="C159" s="557"/>
      <c r="L159" s="556"/>
      <c r="M159" s="557"/>
    </row>
    <row r="162" spans="2:20" ht="15.75" x14ac:dyDescent="0.25">
      <c r="B162" s="995" t="s">
        <v>9959</v>
      </c>
      <c r="C162" s="995"/>
      <c r="D162" s="995"/>
      <c r="E162" s="995"/>
      <c r="L162" s="995" t="s">
        <v>9960</v>
      </c>
      <c r="M162" s="995"/>
      <c r="N162" s="995"/>
      <c r="O162" s="995"/>
    </row>
    <row r="163" spans="2:20" x14ac:dyDescent="0.25">
      <c r="B163" s="993" t="s">
        <v>9748</v>
      </c>
      <c r="C163" s="993"/>
      <c r="D163" s="993" t="s">
        <v>9749</v>
      </c>
      <c r="E163" s="993"/>
      <c r="L163" s="993" t="s">
        <v>9750</v>
      </c>
      <c r="M163" s="993"/>
      <c r="N163" s="993" t="s">
        <v>9751</v>
      </c>
      <c r="O163" s="993"/>
    </row>
    <row r="164" spans="2:20" x14ac:dyDescent="0.25">
      <c r="B164" s="994" t="s">
        <v>9961</v>
      </c>
      <c r="C164" s="994"/>
      <c r="D164" s="994" t="s">
        <v>9779</v>
      </c>
      <c r="E164" s="994"/>
      <c r="L164" s="994" t="s">
        <v>9962</v>
      </c>
      <c r="M164" s="994"/>
      <c r="N164" s="994" t="s">
        <v>9931</v>
      </c>
      <c r="O164" s="994"/>
      <c r="P164" s="482"/>
      <c r="Q164" s="482"/>
      <c r="R164" s="482"/>
      <c r="S164" s="482"/>
      <c r="T164" s="482"/>
    </row>
    <row r="166" spans="2:20" x14ac:dyDescent="0.25">
      <c r="B166" s="483" t="s">
        <v>9756</v>
      </c>
      <c r="L166" s="483" t="s">
        <v>9756</v>
      </c>
    </row>
    <row r="168" spans="2:20" ht="30" x14ac:dyDescent="0.25">
      <c r="B168" s="535" t="s">
        <v>9963</v>
      </c>
      <c r="C168" s="536" t="s">
        <v>9964</v>
      </c>
      <c r="D168" s="536" t="s">
        <v>9965</v>
      </c>
      <c r="E168" s="536" t="s">
        <v>9954</v>
      </c>
      <c r="L168" s="535" t="s">
        <v>9966</v>
      </c>
      <c r="M168" s="536" t="s">
        <v>9967</v>
      </c>
      <c r="N168" s="536" t="s">
        <v>9968</v>
      </c>
      <c r="O168" s="555" t="s">
        <v>9956</v>
      </c>
    </row>
    <row r="169" spans="2:20" x14ac:dyDescent="0.25">
      <c r="B169" s="558">
        <v>1</v>
      </c>
      <c r="C169" s="559" t="s">
        <v>9969</v>
      </c>
      <c r="D169" s="560" t="s">
        <v>9970</v>
      </c>
      <c r="E169" s="558" t="s">
        <v>9770</v>
      </c>
      <c r="L169" s="558">
        <v>1</v>
      </c>
      <c r="M169" s="559" t="s">
        <v>9969</v>
      </c>
      <c r="N169" s="560" t="s">
        <v>9971</v>
      </c>
      <c r="O169" s="558" t="s">
        <v>9770</v>
      </c>
    </row>
    <row r="170" spans="2:20" x14ac:dyDescent="0.25">
      <c r="B170" s="558">
        <v>2</v>
      </c>
      <c r="C170" s="559" t="s">
        <v>9972</v>
      </c>
      <c r="D170" s="560" t="s">
        <v>9970</v>
      </c>
      <c r="E170" s="559" t="s">
        <v>265</v>
      </c>
      <c r="L170" s="558">
        <v>2</v>
      </c>
      <c r="M170" s="559" t="s">
        <v>9972</v>
      </c>
      <c r="N170" s="560" t="s">
        <v>9971</v>
      </c>
      <c r="O170" s="559" t="s">
        <v>265</v>
      </c>
    </row>
    <row r="171" spans="2:20" x14ac:dyDescent="0.25">
      <c r="B171" s="558">
        <v>3</v>
      </c>
      <c r="C171" s="561" t="s">
        <v>9770</v>
      </c>
      <c r="D171" s="560" t="s">
        <v>9770</v>
      </c>
      <c r="E171" s="558" t="s">
        <v>9770</v>
      </c>
      <c r="L171" s="558">
        <v>3</v>
      </c>
      <c r="M171" s="561" t="s">
        <v>9770</v>
      </c>
      <c r="N171" s="560" t="s">
        <v>9770</v>
      </c>
      <c r="O171" s="558" t="s">
        <v>9770</v>
      </c>
    </row>
    <row r="172" spans="2:20" x14ac:dyDescent="0.25">
      <c r="B172" s="558">
        <v>4</v>
      </c>
      <c r="C172" s="561" t="s">
        <v>9770</v>
      </c>
      <c r="D172" s="560" t="s">
        <v>9973</v>
      </c>
      <c r="E172" s="558" t="s">
        <v>9770</v>
      </c>
      <c r="L172" s="558">
        <v>4</v>
      </c>
      <c r="M172" s="561" t="s">
        <v>9770</v>
      </c>
      <c r="N172" s="560" t="s">
        <v>9974</v>
      </c>
      <c r="O172" s="558" t="s">
        <v>9770</v>
      </c>
    </row>
    <row r="176" spans="2:20" ht="15.75" x14ac:dyDescent="0.25">
      <c r="B176" s="995" t="s">
        <v>9975</v>
      </c>
      <c r="C176" s="995"/>
      <c r="D176" s="995"/>
      <c r="E176" s="995"/>
      <c r="L176" s="995" t="s">
        <v>9976</v>
      </c>
      <c r="M176" s="995"/>
      <c r="N176" s="995"/>
      <c r="O176" s="995"/>
    </row>
    <row r="177" spans="2:20" x14ac:dyDescent="0.25">
      <c r="B177" s="993" t="s">
        <v>9748</v>
      </c>
      <c r="C177" s="993"/>
      <c r="D177" s="993" t="s">
        <v>9749</v>
      </c>
      <c r="E177" s="993"/>
      <c r="L177" s="993" t="s">
        <v>9750</v>
      </c>
      <c r="M177" s="993"/>
      <c r="N177" s="993" t="s">
        <v>9751</v>
      </c>
      <c r="O177" s="993"/>
    </row>
    <row r="178" spans="2:20" ht="14.45" customHeight="1" x14ac:dyDescent="0.25">
      <c r="B178" s="994" t="s">
        <v>9977</v>
      </c>
      <c r="C178" s="994"/>
      <c r="D178" s="994" t="s">
        <v>9779</v>
      </c>
      <c r="E178" s="994"/>
      <c r="L178" s="994" t="s">
        <v>9978</v>
      </c>
      <c r="M178" s="994"/>
      <c r="N178" s="994" t="s">
        <v>9931</v>
      </c>
      <c r="O178" s="994"/>
      <c r="P178" s="482"/>
      <c r="Q178" s="482"/>
      <c r="R178" s="482"/>
      <c r="S178" s="482"/>
      <c r="T178" s="482"/>
    </row>
    <row r="180" spans="2:20" x14ac:dyDescent="0.25">
      <c r="B180" s="483" t="s">
        <v>9813</v>
      </c>
      <c r="L180" s="483" t="s">
        <v>9813</v>
      </c>
    </row>
    <row r="181" spans="2:20" x14ac:dyDescent="0.25">
      <c r="B181" s="483"/>
      <c r="L181" s="483"/>
    </row>
    <row r="182" spans="2:20" x14ac:dyDescent="0.25">
      <c r="B182" s="998" t="s">
        <v>9979</v>
      </c>
      <c r="C182" s="999"/>
      <c r="L182" s="998" t="s">
        <v>9980</v>
      </c>
      <c r="M182" s="999"/>
    </row>
    <row r="183" spans="2:20" ht="27.75" x14ac:dyDescent="0.25">
      <c r="B183" s="535" t="s">
        <v>9981</v>
      </c>
      <c r="C183" s="536" t="s">
        <v>9815</v>
      </c>
      <c r="D183" s="536" t="s">
        <v>9982</v>
      </c>
      <c r="L183" s="524" t="s">
        <v>9983</v>
      </c>
      <c r="M183" s="525" t="s">
        <v>9817</v>
      </c>
      <c r="N183" s="536" t="s">
        <v>9984</v>
      </c>
    </row>
    <row r="184" spans="2:20" x14ac:dyDescent="0.25">
      <c r="B184" s="562" t="s">
        <v>9985</v>
      </c>
      <c r="C184" s="518" t="s">
        <v>9986</v>
      </c>
      <c r="D184" s="519" t="s">
        <v>9945</v>
      </c>
      <c r="L184" s="562" t="s">
        <v>9985</v>
      </c>
      <c r="M184" s="518" t="s">
        <v>9986</v>
      </c>
      <c r="N184" s="519" t="s">
        <v>9945</v>
      </c>
    </row>
    <row r="185" spans="2:20" ht="89.25" x14ac:dyDescent="0.25">
      <c r="B185" s="562" t="s">
        <v>9987</v>
      </c>
      <c r="C185" s="518" t="s">
        <v>9986</v>
      </c>
      <c r="D185" s="519" t="s">
        <v>9988</v>
      </c>
      <c r="L185" s="562" t="s">
        <v>9987</v>
      </c>
      <c r="M185" s="518" t="s">
        <v>9986</v>
      </c>
      <c r="N185" s="519" t="s">
        <v>9988</v>
      </c>
    </row>
    <row r="186" spans="2:20" x14ac:dyDescent="0.25">
      <c r="B186" s="563" t="s">
        <v>9989</v>
      </c>
      <c r="C186" s="521" t="s">
        <v>8525</v>
      </c>
      <c r="D186" s="564" t="s">
        <v>9988</v>
      </c>
      <c r="L186" s="563" t="s">
        <v>9989</v>
      </c>
      <c r="M186" s="521" t="s">
        <v>8525</v>
      </c>
      <c r="N186" s="564" t="s">
        <v>9988</v>
      </c>
    </row>
    <row r="187" spans="2:20" x14ac:dyDescent="0.25">
      <c r="B187" s="563" t="s">
        <v>9990</v>
      </c>
      <c r="C187" s="521" t="s">
        <v>8525</v>
      </c>
      <c r="D187" s="564" t="s">
        <v>9991</v>
      </c>
      <c r="L187" s="563" t="s">
        <v>9990</v>
      </c>
      <c r="M187" s="521" t="s">
        <v>8525</v>
      </c>
      <c r="N187" s="564" t="s">
        <v>9991</v>
      </c>
    </row>
    <row r="190" spans="2:20" ht="15.75" x14ac:dyDescent="0.25">
      <c r="B190" s="995" t="s">
        <v>9992</v>
      </c>
      <c r="C190" s="995"/>
      <c r="D190" s="995"/>
      <c r="E190" s="995"/>
      <c r="L190" s="995" t="s">
        <v>9993</v>
      </c>
      <c r="M190" s="995"/>
      <c r="N190" s="995"/>
      <c r="O190" s="995"/>
    </row>
    <row r="191" spans="2:20" x14ac:dyDescent="0.25">
      <c r="B191" s="993" t="s">
        <v>9748</v>
      </c>
      <c r="C191" s="993"/>
      <c r="D191" s="993" t="s">
        <v>9749</v>
      </c>
      <c r="E191" s="993"/>
      <c r="L191" s="993" t="s">
        <v>9750</v>
      </c>
      <c r="M191" s="993"/>
      <c r="N191" s="993" t="s">
        <v>9751</v>
      </c>
      <c r="O191" s="993"/>
    </row>
    <row r="192" spans="2:20" ht="14.45" customHeight="1" x14ac:dyDescent="0.25">
      <c r="B192" s="994" t="s">
        <v>9994</v>
      </c>
      <c r="C192" s="994"/>
      <c r="D192" s="994" t="s">
        <v>9779</v>
      </c>
      <c r="E192" s="994"/>
      <c r="L192" s="994" t="s">
        <v>9995</v>
      </c>
      <c r="M192" s="994"/>
      <c r="N192" s="994" t="s">
        <v>9931</v>
      </c>
      <c r="O192" s="994"/>
      <c r="P192" s="482"/>
      <c r="Q192" s="482"/>
      <c r="R192" s="482"/>
      <c r="S192" s="482"/>
      <c r="T192" s="482"/>
    </row>
    <row r="194" spans="2:15" x14ac:dyDescent="0.25">
      <c r="B194" s="483" t="s">
        <v>8525</v>
      </c>
      <c r="L194" s="483" t="s">
        <v>8525</v>
      </c>
    </row>
    <row r="196" spans="2:15" x14ac:dyDescent="0.25">
      <c r="B196" s="996" t="s">
        <v>9996</v>
      </c>
      <c r="C196" s="996"/>
      <c r="D196" s="997"/>
      <c r="L196" s="996" t="s">
        <v>9980</v>
      </c>
      <c r="M196" s="996"/>
      <c r="N196" s="997"/>
    </row>
    <row r="197" spans="2:15" ht="45" x14ac:dyDescent="0.25">
      <c r="B197" s="535" t="s">
        <v>9997</v>
      </c>
      <c r="C197" s="536" t="s">
        <v>9998</v>
      </c>
      <c r="D197" s="536" t="s">
        <v>9999</v>
      </c>
      <c r="E197" s="536" t="s">
        <v>10000</v>
      </c>
      <c r="L197" s="535" t="s">
        <v>10001</v>
      </c>
      <c r="M197" s="536" t="s">
        <v>10002</v>
      </c>
      <c r="N197" s="536" t="s">
        <v>10003</v>
      </c>
      <c r="O197" s="536" t="s">
        <v>10004</v>
      </c>
    </row>
    <row r="198" spans="2:15" x14ac:dyDescent="0.25">
      <c r="B198" s="565" t="s">
        <v>10005</v>
      </c>
      <c r="C198" s="566" t="s">
        <v>10006</v>
      </c>
      <c r="D198" s="565">
        <v>1</v>
      </c>
      <c r="E198" s="565" t="s">
        <v>10007</v>
      </c>
      <c r="L198" s="565" t="s">
        <v>10005</v>
      </c>
      <c r="M198" s="566" t="s">
        <v>10006</v>
      </c>
      <c r="N198" s="565">
        <v>1</v>
      </c>
      <c r="O198" s="565" t="s">
        <v>10007</v>
      </c>
    </row>
    <row r="199" spans="2:15" x14ac:dyDescent="0.25">
      <c r="B199" s="565" t="s">
        <v>10005</v>
      </c>
      <c r="C199" s="566" t="s">
        <v>10006</v>
      </c>
      <c r="D199" s="565">
        <v>2</v>
      </c>
      <c r="E199" s="565" t="s">
        <v>10008</v>
      </c>
      <c r="L199" s="565" t="s">
        <v>10005</v>
      </c>
      <c r="M199" s="566" t="s">
        <v>10006</v>
      </c>
      <c r="N199" s="565">
        <v>2</v>
      </c>
      <c r="O199" s="565" t="s">
        <v>10008</v>
      </c>
    </row>
    <row r="200" spans="2:15" x14ac:dyDescent="0.25">
      <c r="B200" s="567" t="s">
        <v>10009</v>
      </c>
      <c r="C200" s="566" t="s">
        <v>9774</v>
      </c>
      <c r="D200" s="568" t="s">
        <v>9770</v>
      </c>
      <c r="E200" s="565" t="s">
        <v>10010</v>
      </c>
      <c r="L200" s="567" t="s">
        <v>10009</v>
      </c>
      <c r="M200" s="566" t="s">
        <v>9774</v>
      </c>
      <c r="N200" s="568" t="s">
        <v>9770</v>
      </c>
      <c r="O200" s="565" t="s">
        <v>10010</v>
      </c>
    </row>
    <row r="201" spans="2:15" x14ac:dyDescent="0.25">
      <c r="B201" s="567" t="s">
        <v>10011</v>
      </c>
      <c r="C201" s="566" t="s">
        <v>9774</v>
      </c>
      <c r="D201" s="569" t="s">
        <v>10012</v>
      </c>
      <c r="E201" s="565" t="s">
        <v>10010</v>
      </c>
      <c r="L201" s="567" t="s">
        <v>10011</v>
      </c>
      <c r="M201" s="566" t="s">
        <v>9774</v>
      </c>
      <c r="N201" s="569" t="s">
        <v>10012</v>
      </c>
      <c r="O201" s="565" t="s">
        <v>10010</v>
      </c>
    </row>
    <row r="202" spans="2:15" x14ac:dyDescent="0.25">
      <c r="B202" s="567" t="s">
        <v>10009</v>
      </c>
      <c r="C202" s="566" t="s">
        <v>265</v>
      </c>
      <c r="D202" s="568" t="s">
        <v>9770</v>
      </c>
      <c r="E202" s="565" t="s">
        <v>10008</v>
      </c>
      <c r="L202" s="567" t="s">
        <v>10009</v>
      </c>
      <c r="M202" s="566" t="s">
        <v>265</v>
      </c>
      <c r="N202" s="568" t="s">
        <v>9770</v>
      </c>
      <c r="O202" s="565" t="s">
        <v>10008</v>
      </c>
    </row>
    <row r="203" spans="2:15" x14ac:dyDescent="0.25">
      <c r="B203" s="567" t="s">
        <v>10011</v>
      </c>
      <c r="C203" s="566" t="s">
        <v>265</v>
      </c>
      <c r="D203" s="569" t="s">
        <v>10012</v>
      </c>
      <c r="E203" s="565" t="s">
        <v>10008</v>
      </c>
      <c r="L203" s="567" t="s">
        <v>10011</v>
      </c>
      <c r="M203" s="566" t="s">
        <v>265</v>
      </c>
      <c r="N203" s="569" t="s">
        <v>10012</v>
      </c>
      <c r="O203" s="565" t="s">
        <v>10008</v>
      </c>
    </row>
    <row r="207" spans="2:15" ht="15.75" x14ac:dyDescent="0.25">
      <c r="B207" s="995" t="s">
        <v>10013</v>
      </c>
      <c r="C207" s="995"/>
      <c r="D207" s="995"/>
      <c r="E207" s="995"/>
      <c r="L207" s="995" t="s">
        <v>10014</v>
      </c>
      <c r="M207" s="995"/>
      <c r="N207" s="995"/>
      <c r="O207" s="995"/>
    </row>
    <row r="208" spans="2:15" x14ac:dyDescent="0.25">
      <c r="B208" s="993" t="s">
        <v>9748</v>
      </c>
      <c r="C208" s="993"/>
      <c r="D208" s="993" t="s">
        <v>9749</v>
      </c>
      <c r="E208" s="993"/>
      <c r="L208" s="993" t="s">
        <v>9750</v>
      </c>
      <c r="M208" s="993"/>
      <c r="N208" s="993" t="s">
        <v>9751</v>
      </c>
      <c r="O208" s="993"/>
    </row>
    <row r="209" spans="2:20" ht="14.45" customHeight="1" x14ac:dyDescent="0.25">
      <c r="B209" s="994" t="s">
        <v>10015</v>
      </c>
      <c r="C209" s="994"/>
      <c r="D209" s="994" t="s">
        <v>9779</v>
      </c>
      <c r="E209" s="994"/>
      <c r="L209" s="994" t="s">
        <v>10016</v>
      </c>
      <c r="M209" s="994"/>
      <c r="N209" s="994" t="s">
        <v>9931</v>
      </c>
      <c r="O209" s="994"/>
      <c r="P209" s="482"/>
      <c r="Q209" s="482"/>
      <c r="R209" s="482"/>
      <c r="S209" s="482"/>
      <c r="T209" s="482"/>
    </row>
    <row r="211" spans="2:20" x14ac:dyDescent="0.25">
      <c r="B211" s="483" t="s">
        <v>1687</v>
      </c>
      <c r="L211" s="483" t="s">
        <v>1687</v>
      </c>
    </row>
    <row r="213" spans="2:20" ht="27.75" x14ac:dyDescent="0.25">
      <c r="B213" s="535" t="s">
        <v>10017</v>
      </c>
      <c r="C213" s="536" t="s">
        <v>10018</v>
      </c>
      <c r="D213" s="536" t="s">
        <v>10019</v>
      </c>
      <c r="L213" s="524" t="s">
        <v>10020</v>
      </c>
      <c r="M213" s="536" t="s">
        <v>10021</v>
      </c>
      <c r="N213" s="525" t="s">
        <v>10022</v>
      </c>
    </row>
    <row r="214" spans="2:20" x14ac:dyDescent="0.25">
      <c r="B214" s="570" t="s">
        <v>10023</v>
      </c>
      <c r="C214" s="570" t="s">
        <v>10024</v>
      </c>
      <c r="D214" s="571" t="s">
        <v>10025</v>
      </c>
      <c r="L214" s="570" t="s">
        <v>10023</v>
      </c>
      <c r="M214" s="570" t="s">
        <v>10024</v>
      </c>
      <c r="N214" s="571" t="s">
        <v>10025</v>
      </c>
    </row>
    <row r="215" spans="2:20" x14ac:dyDescent="0.25">
      <c r="B215" s="570" t="s">
        <v>10026</v>
      </c>
      <c r="C215" s="570" t="s">
        <v>10024</v>
      </c>
      <c r="D215" s="571" t="s">
        <v>10027</v>
      </c>
      <c r="L215" s="570" t="s">
        <v>10026</v>
      </c>
      <c r="M215" s="570" t="s">
        <v>10024</v>
      </c>
      <c r="N215" s="571" t="s">
        <v>10027</v>
      </c>
    </row>
    <row r="216" spans="2:20" x14ac:dyDescent="0.25">
      <c r="B216" s="570" t="s">
        <v>10028</v>
      </c>
      <c r="C216" s="570" t="s">
        <v>10024</v>
      </c>
      <c r="D216" s="571" t="s">
        <v>10029</v>
      </c>
      <c r="L216" s="570" t="s">
        <v>10028</v>
      </c>
      <c r="M216" s="570" t="s">
        <v>10024</v>
      </c>
      <c r="N216" s="571" t="s">
        <v>10029</v>
      </c>
    </row>
    <row r="217" spans="2:20" x14ac:dyDescent="0.25">
      <c r="B217" s="570" t="s">
        <v>10030</v>
      </c>
      <c r="C217" s="570" t="s">
        <v>10031</v>
      </c>
      <c r="D217" s="571" t="s">
        <v>10032</v>
      </c>
      <c r="L217" s="570" t="s">
        <v>10030</v>
      </c>
      <c r="M217" s="570" t="s">
        <v>10031</v>
      </c>
      <c r="N217" s="571" t="s">
        <v>10032</v>
      </c>
    </row>
    <row r="218" spans="2:20" x14ac:dyDescent="0.25">
      <c r="B218" s="570" t="s">
        <v>10033</v>
      </c>
      <c r="C218" s="570" t="s">
        <v>10034</v>
      </c>
      <c r="D218" s="571" t="s">
        <v>10035</v>
      </c>
      <c r="L218" s="570" t="s">
        <v>10033</v>
      </c>
      <c r="M218" s="570" t="s">
        <v>10034</v>
      </c>
      <c r="N218" s="571" t="s">
        <v>10035</v>
      </c>
    </row>
    <row r="219" spans="2:20" x14ac:dyDescent="0.25">
      <c r="B219" s="570" t="s">
        <v>10036</v>
      </c>
      <c r="C219" s="570" t="s">
        <v>10037</v>
      </c>
      <c r="D219" s="571" t="s">
        <v>9922</v>
      </c>
      <c r="L219" s="570" t="s">
        <v>10036</v>
      </c>
      <c r="M219" s="570" t="s">
        <v>10037</v>
      </c>
      <c r="N219" s="571" t="s">
        <v>9922</v>
      </c>
    </row>
    <row r="220" spans="2:20" x14ac:dyDescent="0.25">
      <c r="B220" s="570" t="s">
        <v>10038</v>
      </c>
      <c r="C220" s="570" t="s">
        <v>10039</v>
      </c>
      <c r="D220" s="571" t="s">
        <v>10040</v>
      </c>
      <c r="L220" s="570" t="s">
        <v>10038</v>
      </c>
      <c r="M220" s="570" t="s">
        <v>10039</v>
      </c>
      <c r="N220" s="571" t="s">
        <v>10040</v>
      </c>
    </row>
    <row r="221" spans="2:20" x14ac:dyDescent="0.25">
      <c r="B221" s="570" t="s">
        <v>10041</v>
      </c>
      <c r="C221" s="570" t="s">
        <v>10042</v>
      </c>
      <c r="D221" s="571" t="s">
        <v>10043</v>
      </c>
      <c r="L221" s="570" t="s">
        <v>10041</v>
      </c>
      <c r="M221" s="570" t="s">
        <v>10042</v>
      </c>
      <c r="N221" s="571" t="s">
        <v>10043</v>
      </c>
    </row>
    <row r="222" spans="2:20" x14ac:dyDescent="0.25">
      <c r="B222" s="570" t="s">
        <v>10044</v>
      </c>
      <c r="C222" s="570" t="s">
        <v>10045</v>
      </c>
      <c r="D222" s="571" t="s">
        <v>10046</v>
      </c>
      <c r="L222" s="570" t="s">
        <v>10044</v>
      </c>
      <c r="M222" s="570" t="s">
        <v>10045</v>
      </c>
      <c r="N222" s="571" t="s">
        <v>10046</v>
      </c>
    </row>
    <row r="223" spans="2:20" x14ac:dyDescent="0.25">
      <c r="B223" s="570" t="s">
        <v>10047</v>
      </c>
      <c r="C223" s="570" t="s">
        <v>10048</v>
      </c>
      <c r="D223" s="571" t="s">
        <v>10043</v>
      </c>
      <c r="L223" s="570" t="s">
        <v>10047</v>
      </c>
      <c r="M223" s="570" t="s">
        <v>10048</v>
      </c>
      <c r="N223" s="571" t="s">
        <v>10043</v>
      </c>
    </row>
    <row r="224" spans="2:20" x14ac:dyDescent="0.25">
      <c r="B224" s="570" t="s">
        <v>255</v>
      </c>
      <c r="C224" s="570" t="s">
        <v>10049</v>
      </c>
      <c r="D224" s="571" t="s">
        <v>10050</v>
      </c>
      <c r="L224" s="570" t="s">
        <v>255</v>
      </c>
      <c r="M224" s="570" t="s">
        <v>10049</v>
      </c>
      <c r="N224" s="571" t="s">
        <v>10050</v>
      </c>
    </row>
    <row r="225" spans="2:14" x14ac:dyDescent="0.25">
      <c r="B225" s="570" t="s">
        <v>10051</v>
      </c>
      <c r="C225" s="570" t="s">
        <v>10052</v>
      </c>
      <c r="D225" s="571" t="s">
        <v>10053</v>
      </c>
      <c r="L225" s="570" t="s">
        <v>10051</v>
      </c>
      <c r="M225" s="570" t="s">
        <v>10052</v>
      </c>
      <c r="N225" s="571" t="s">
        <v>10053</v>
      </c>
    </row>
    <row r="226" spans="2:14" x14ac:dyDescent="0.25">
      <c r="B226" s="570" t="s">
        <v>10054</v>
      </c>
      <c r="C226" s="570" t="s">
        <v>10055</v>
      </c>
      <c r="D226" s="571" t="s">
        <v>10053</v>
      </c>
      <c r="L226" s="570" t="s">
        <v>10054</v>
      </c>
      <c r="M226" s="570" t="s">
        <v>10055</v>
      </c>
      <c r="N226" s="571" t="s">
        <v>10053</v>
      </c>
    </row>
    <row r="227" spans="2:14" x14ac:dyDescent="0.25">
      <c r="B227" s="570" t="s">
        <v>10056</v>
      </c>
      <c r="C227" s="570" t="s">
        <v>10057</v>
      </c>
      <c r="D227" s="571" t="s">
        <v>10058</v>
      </c>
      <c r="L227" s="570" t="s">
        <v>10056</v>
      </c>
      <c r="M227" s="570" t="s">
        <v>10057</v>
      </c>
      <c r="N227" s="571" t="s">
        <v>10058</v>
      </c>
    </row>
    <row r="228" spans="2:14" x14ac:dyDescent="0.25">
      <c r="B228" s="570" t="s">
        <v>10059</v>
      </c>
      <c r="C228" s="570" t="s">
        <v>10060</v>
      </c>
      <c r="D228" s="571" t="s">
        <v>10061</v>
      </c>
      <c r="L228" s="570" t="s">
        <v>10059</v>
      </c>
      <c r="M228" s="570" t="s">
        <v>10060</v>
      </c>
      <c r="N228" s="571" t="s">
        <v>10061</v>
      </c>
    </row>
    <row r="229" spans="2:14" x14ac:dyDescent="0.25">
      <c r="B229" s="570" t="s">
        <v>9881</v>
      </c>
      <c r="C229" s="570" t="s">
        <v>10062</v>
      </c>
      <c r="D229" s="571" t="s">
        <v>10063</v>
      </c>
      <c r="L229" s="570" t="s">
        <v>9881</v>
      </c>
      <c r="M229" s="570" t="s">
        <v>10062</v>
      </c>
      <c r="N229" s="571" t="s">
        <v>10063</v>
      </c>
    </row>
    <row r="230" spans="2:14" x14ac:dyDescent="0.25">
      <c r="B230" s="570" t="s">
        <v>10064</v>
      </c>
      <c r="C230" s="570" t="s">
        <v>10065</v>
      </c>
      <c r="D230" s="571" t="s">
        <v>10063</v>
      </c>
      <c r="L230" s="570" t="s">
        <v>10064</v>
      </c>
      <c r="M230" s="570" t="s">
        <v>10065</v>
      </c>
      <c r="N230" s="571" t="s">
        <v>10063</v>
      </c>
    </row>
    <row r="231" spans="2:14" x14ac:dyDescent="0.25">
      <c r="B231" s="570" t="s">
        <v>10066</v>
      </c>
      <c r="C231" s="570" t="s">
        <v>10067</v>
      </c>
      <c r="D231" s="571" t="s">
        <v>10063</v>
      </c>
      <c r="L231" s="570" t="s">
        <v>10066</v>
      </c>
      <c r="M231" s="570" t="s">
        <v>10067</v>
      </c>
      <c r="N231" s="571" t="s">
        <v>10063</v>
      </c>
    </row>
    <row r="232" spans="2:14" x14ac:dyDescent="0.25">
      <c r="B232" s="570" t="s">
        <v>10068</v>
      </c>
      <c r="C232" s="570" t="s">
        <v>10069</v>
      </c>
      <c r="D232" s="571" t="s">
        <v>10070</v>
      </c>
      <c r="L232" s="570" t="s">
        <v>10068</v>
      </c>
      <c r="M232" s="570" t="s">
        <v>10069</v>
      </c>
      <c r="N232" s="571" t="s">
        <v>10070</v>
      </c>
    </row>
    <row r="233" spans="2:14" x14ac:dyDescent="0.25">
      <c r="B233" s="570" t="s">
        <v>10071</v>
      </c>
      <c r="C233" s="570" t="s">
        <v>10072</v>
      </c>
      <c r="D233" s="571" t="s">
        <v>10063</v>
      </c>
      <c r="L233" s="570" t="s">
        <v>10071</v>
      </c>
      <c r="M233" s="570" t="s">
        <v>10072</v>
      </c>
      <c r="N233" s="571" t="s">
        <v>10063</v>
      </c>
    </row>
    <row r="234" spans="2:14" x14ac:dyDescent="0.25">
      <c r="B234" s="570" t="s">
        <v>10073</v>
      </c>
      <c r="C234" s="570" t="s">
        <v>10074</v>
      </c>
      <c r="D234" s="571" t="s">
        <v>10075</v>
      </c>
      <c r="L234" s="570" t="s">
        <v>10073</v>
      </c>
      <c r="M234" s="570" t="s">
        <v>10074</v>
      </c>
      <c r="N234" s="571" t="s">
        <v>10075</v>
      </c>
    </row>
    <row r="235" spans="2:14" x14ac:dyDescent="0.25">
      <c r="B235" s="570" t="s">
        <v>10076</v>
      </c>
      <c r="C235" s="570" t="s">
        <v>10077</v>
      </c>
      <c r="D235" s="571" t="s">
        <v>10075</v>
      </c>
      <c r="L235" s="570" t="s">
        <v>10076</v>
      </c>
      <c r="M235" s="570" t="s">
        <v>10077</v>
      </c>
      <c r="N235" s="571" t="s">
        <v>10075</v>
      </c>
    </row>
    <row r="236" spans="2:14" x14ac:dyDescent="0.25">
      <c r="B236" s="570" t="s">
        <v>10078</v>
      </c>
      <c r="C236" s="570" t="s">
        <v>10074</v>
      </c>
      <c r="D236" s="571" t="s">
        <v>9881</v>
      </c>
      <c r="L236" s="570" t="s">
        <v>10078</v>
      </c>
      <c r="M236" s="570" t="s">
        <v>10074</v>
      </c>
      <c r="N236" s="571" t="s">
        <v>9881</v>
      </c>
    </row>
    <row r="237" spans="2:14" x14ac:dyDescent="0.25">
      <c r="B237" s="570" t="s">
        <v>10079</v>
      </c>
      <c r="C237" s="570" t="s">
        <v>10077</v>
      </c>
      <c r="D237" s="571" t="s">
        <v>9881</v>
      </c>
      <c r="L237" s="570" t="s">
        <v>10079</v>
      </c>
      <c r="M237" s="570" t="s">
        <v>10077</v>
      </c>
      <c r="N237" s="571" t="s">
        <v>9881</v>
      </c>
    </row>
    <row r="238" spans="2:14" x14ac:dyDescent="0.25">
      <c r="B238" s="570" t="s">
        <v>10080</v>
      </c>
      <c r="C238" s="570" t="s">
        <v>10067</v>
      </c>
      <c r="D238" s="571" t="s">
        <v>10081</v>
      </c>
      <c r="L238" s="570" t="s">
        <v>10080</v>
      </c>
      <c r="M238" s="570" t="s">
        <v>10067</v>
      </c>
      <c r="N238" s="571" t="s">
        <v>10081</v>
      </c>
    </row>
    <row r="239" spans="2:14" x14ac:dyDescent="0.25">
      <c r="B239" s="570" t="s">
        <v>10082</v>
      </c>
      <c r="C239" s="570" t="s">
        <v>10072</v>
      </c>
      <c r="D239" s="571" t="s">
        <v>10081</v>
      </c>
      <c r="L239" s="570" t="s">
        <v>10082</v>
      </c>
      <c r="M239" s="570" t="s">
        <v>10072</v>
      </c>
      <c r="N239" s="571" t="s">
        <v>10081</v>
      </c>
    </row>
    <row r="240" spans="2:14" x14ac:dyDescent="0.25">
      <c r="B240" s="570" t="s">
        <v>10083</v>
      </c>
      <c r="C240" s="570" t="s">
        <v>10084</v>
      </c>
      <c r="D240" s="571" t="s">
        <v>10085</v>
      </c>
      <c r="L240" s="570" t="s">
        <v>10083</v>
      </c>
      <c r="M240" s="570" t="s">
        <v>10084</v>
      </c>
      <c r="N240" s="571" t="s">
        <v>10085</v>
      </c>
    </row>
    <row r="241" spans="2:20" x14ac:dyDescent="0.25">
      <c r="B241" s="570" t="s">
        <v>10086</v>
      </c>
      <c r="C241" s="570" t="s">
        <v>10067</v>
      </c>
      <c r="D241" s="571" t="s">
        <v>10085</v>
      </c>
      <c r="L241" s="570" t="s">
        <v>10086</v>
      </c>
      <c r="M241" s="570" t="s">
        <v>10067</v>
      </c>
      <c r="N241" s="571" t="s">
        <v>10085</v>
      </c>
    </row>
    <row r="245" spans="2:20" ht="15.75" x14ac:dyDescent="0.25">
      <c r="B245" s="995" t="s">
        <v>10087</v>
      </c>
      <c r="C245" s="995"/>
      <c r="D245" s="995"/>
      <c r="E245" s="995"/>
      <c r="L245" s="995" t="s">
        <v>10088</v>
      </c>
      <c r="M245" s="995"/>
      <c r="N245" s="995"/>
      <c r="O245" s="995"/>
    </row>
    <row r="246" spans="2:20" x14ac:dyDescent="0.25">
      <c r="B246" s="993" t="s">
        <v>9748</v>
      </c>
      <c r="C246" s="993"/>
      <c r="D246" s="993" t="s">
        <v>9749</v>
      </c>
      <c r="E246" s="993"/>
      <c r="L246" s="993" t="s">
        <v>9750</v>
      </c>
      <c r="M246" s="993"/>
      <c r="N246" s="993" t="s">
        <v>9751</v>
      </c>
      <c r="O246" s="993"/>
    </row>
    <row r="247" spans="2:20" ht="14.45" customHeight="1" x14ac:dyDescent="0.25">
      <c r="B247" s="994" t="s">
        <v>10089</v>
      </c>
      <c r="C247" s="994"/>
      <c r="D247" s="994" t="s">
        <v>9779</v>
      </c>
      <c r="E247" s="994"/>
      <c r="L247" s="994" t="s">
        <v>10090</v>
      </c>
      <c r="M247" s="994"/>
      <c r="N247" s="994" t="s">
        <v>9931</v>
      </c>
      <c r="O247" s="994"/>
      <c r="P247" s="482"/>
      <c r="Q247" s="482"/>
      <c r="R247" s="482"/>
      <c r="S247" s="482"/>
      <c r="T247" s="482"/>
    </row>
    <row r="249" spans="2:20" x14ac:dyDescent="0.25">
      <c r="B249" s="483" t="s">
        <v>9756</v>
      </c>
      <c r="L249" s="483" t="s">
        <v>9756</v>
      </c>
    </row>
    <row r="251" spans="2:20" ht="38.25" x14ac:dyDescent="0.25">
      <c r="B251" s="535" t="s">
        <v>10091</v>
      </c>
      <c r="C251" s="536" t="s">
        <v>10092</v>
      </c>
      <c r="D251" s="536" t="s">
        <v>9863</v>
      </c>
      <c r="E251" s="536" t="s">
        <v>10093</v>
      </c>
      <c r="L251" s="524" t="s">
        <v>10094</v>
      </c>
      <c r="M251" s="525" t="s">
        <v>10095</v>
      </c>
      <c r="N251" s="525" t="s">
        <v>10096</v>
      </c>
      <c r="O251" s="525" t="s">
        <v>10097</v>
      </c>
    </row>
    <row r="252" spans="2:20" x14ac:dyDescent="0.25">
      <c r="B252" s="518" t="s">
        <v>10098</v>
      </c>
      <c r="C252" s="571" t="s">
        <v>10099</v>
      </c>
      <c r="D252" s="570" t="s">
        <v>10100</v>
      </c>
      <c r="E252" s="570" t="s">
        <v>10101</v>
      </c>
      <c r="L252" s="518" t="s">
        <v>10098</v>
      </c>
      <c r="M252" s="571" t="s">
        <v>10099</v>
      </c>
      <c r="N252" s="570" t="s">
        <v>10100</v>
      </c>
      <c r="O252" s="570" t="s">
        <v>10101</v>
      </c>
    </row>
    <row r="253" spans="2:20" x14ac:dyDescent="0.25">
      <c r="B253" s="518" t="s">
        <v>10098</v>
      </c>
      <c r="C253" s="570" t="s">
        <v>10102</v>
      </c>
      <c r="D253" s="570" t="s">
        <v>10100</v>
      </c>
      <c r="E253" s="570" t="s">
        <v>10103</v>
      </c>
      <c r="L253" s="518" t="s">
        <v>10098</v>
      </c>
      <c r="M253" s="570" t="s">
        <v>10102</v>
      </c>
      <c r="N253" s="570" t="s">
        <v>10100</v>
      </c>
      <c r="O253" s="570" t="s">
        <v>10103</v>
      </c>
    </row>
    <row r="255" spans="2:20" ht="38.25" x14ac:dyDescent="0.25">
      <c r="B255" s="535" t="s">
        <v>9864</v>
      </c>
      <c r="C255" s="536" t="s">
        <v>10092</v>
      </c>
      <c r="D255" s="536" t="s">
        <v>9863</v>
      </c>
      <c r="E255" s="536" t="s">
        <v>10093</v>
      </c>
      <c r="L255" s="524" t="s">
        <v>10104</v>
      </c>
      <c r="M255" s="525" t="s">
        <v>10095</v>
      </c>
      <c r="N255" s="525" t="s">
        <v>10096</v>
      </c>
      <c r="O255" s="525" t="s">
        <v>10097</v>
      </c>
    </row>
    <row r="256" spans="2:20" x14ac:dyDescent="0.25">
      <c r="B256" s="518" t="s">
        <v>9855</v>
      </c>
      <c r="C256" s="571" t="s">
        <v>10099</v>
      </c>
      <c r="D256" s="570" t="s">
        <v>10100</v>
      </c>
      <c r="E256" s="570" t="s">
        <v>10101</v>
      </c>
      <c r="L256" s="518" t="s">
        <v>9855</v>
      </c>
      <c r="M256" s="571" t="s">
        <v>10099</v>
      </c>
      <c r="N256" s="570" t="s">
        <v>10100</v>
      </c>
      <c r="O256" s="570" t="s">
        <v>10101</v>
      </c>
    </row>
    <row r="257" spans="2:20" x14ac:dyDescent="0.25">
      <c r="B257" s="518" t="s">
        <v>9855</v>
      </c>
      <c r="C257" s="572" t="s">
        <v>10102</v>
      </c>
      <c r="D257" s="570" t="s">
        <v>10100</v>
      </c>
      <c r="E257" s="572" t="s">
        <v>10105</v>
      </c>
      <c r="L257" s="518" t="s">
        <v>9855</v>
      </c>
      <c r="M257" s="572" t="s">
        <v>10102</v>
      </c>
      <c r="N257" s="570" t="s">
        <v>10100</v>
      </c>
      <c r="O257" s="572" t="s">
        <v>10105</v>
      </c>
    </row>
    <row r="261" spans="2:20" ht="15.75" x14ac:dyDescent="0.25">
      <c r="B261" s="995" t="s">
        <v>10106</v>
      </c>
      <c r="C261" s="995"/>
      <c r="D261" s="995"/>
      <c r="E261" s="995"/>
      <c r="L261" s="995" t="s">
        <v>10107</v>
      </c>
      <c r="M261" s="995"/>
      <c r="N261" s="995"/>
      <c r="O261" s="995"/>
    </row>
    <row r="262" spans="2:20" x14ac:dyDescent="0.25">
      <c r="B262" s="993" t="s">
        <v>9748</v>
      </c>
      <c r="C262" s="993"/>
      <c r="D262" s="993" t="s">
        <v>9749</v>
      </c>
      <c r="E262" s="993"/>
      <c r="L262" s="993" t="s">
        <v>9750</v>
      </c>
      <c r="M262" s="993"/>
      <c r="N262" s="993" t="s">
        <v>9751</v>
      </c>
      <c r="O262" s="993"/>
    </row>
    <row r="263" spans="2:20" ht="14.45" customHeight="1" x14ac:dyDescent="0.25">
      <c r="B263" s="994" t="s">
        <v>10108</v>
      </c>
      <c r="C263" s="994"/>
      <c r="D263" s="994" t="s">
        <v>9779</v>
      </c>
      <c r="E263" s="994"/>
      <c r="L263" s="994" t="s">
        <v>10109</v>
      </c>
      <c r="M263" s="994"/>
      <c r="N263" s="994" t="s">
        <v>9931</v>
      </c>
      <c r="O263" s="994"/>
      <c r="P263" s="482"/>
      <c r="Q263" s="482"/>
      <c r="R263" s="482"/>
      <c r="S263" s="482"/>
      <c r="T263" s="482"/>
    </row>
    <row r="265" spans="2:20" x14ac:dyDescent="0.25">
      <c r="B265" s="483" t="s">
        <v>9536</v>
      </c>
      <c r="L265" s="483" t="s">
        <v>10110</v>
      </c>
    </row>
    <row r="267" spans="2:20" ht="55.5" x14ac:dyDescent="0.25">
      <c r="B267" s="535" t="s">
        <v>10111</v>
      </c>
      <c r="C267" s="536" t="s">
        <v>9815</v>
      </c>
      <c r="D267" s="536" t="s">
        <v>10112</v>
      </c>
      <c r="E267" s="536" t="s">
        <v>10113</v>
      </c>
      <c r="L267" s="535" t="s">
        <v>10114</v>
      </c>
      <c r="M267" s="525" t="s">
        <v>9817</v>
      </c>
      <c r="N267" s="536" t="s">
        <v>10115</v>
      </c>
      <c r="O267" s="555" t="s">
        <v>10116</v>
      </c>
    </row>
    <row r="268" spans="2:20" x14ac:dyDescent="0.25">
      <c r="B268" s="518" t="s">
        <v>10117</v>
      </c>
      <c r="C268" s="518" t="s">
        <v>10118</v>
      </c>
      <c r="D268" s="518" t="s">
        <v>10030</v>
      </c>
      <c r="E268" s="518" t="s">
        <v>265</v>
      </c>
      <c r="L268" s="518" t="s">
        <v>10117</v>
      </c>
      <c r="M268" s="518" t="s">
        <v>10118</v>
      </c>
      <c r="N268" s="518" t="s">
        <v>10030</v>
      </c>
      <c r="O268" s="518" t="s">
        <v>265</v>
      </c>
    </row>
    <row r="269" spans="2:20" x14ac:dyDescent="0.25">
      <c r="B269" s="518" t="s">
        <v>10117</v>
      </c>
      <c r="C269" s="518" t="s">
        <v>10119</v>
      </c>
      <c r="D269" s="518" t="s">
        <v>10030</v>
      </c>
      <c r="E269" s="573" t="s">
        <v>10012</v>
      </c>
      <c r="L269" s="518" t="s">
        <v>10117</v>
      </c>
      <c r="M269" s="518" t="s">
        <v>10119</v>
      </c>
      <c r="N269" s="518" t="s">
        <v>10030</v>
      </c>
      <c r="O269" s="573" t="s">
        <v>10012</v>
      </c>
    </row>
    <row r="270" spans="2:20" x14ac:dyDescent="0.25">
      <c r="B270" s="518" t="s">
        <v>10120</v>
      </c>
      <c r="C270" s="518" t="s">
        <v>10118</v>
      </c>
      <c r="D270" s="518" t="s">
        <v>10033</v>
      </c>
      <c r="E270" s="518" t="s">
        <v>265</v>
      </c>
      <c r="L270" s="518" t="s">
        <v>10120</v>
      </c>
      <c r="M270" s="518" t="s">
        <v>10118</v>
      </c>
      <c r="N270" s="518" t="s">
        <v>10033</v>
      </c>
      <c r="O270" s="518" t="s">
        <v>265</v>
      </c>
    </row>
    <row r="271" spans="2:20" x14ac:dyDescent="0.25">
      <c r="B271" s="518" t="s">
        <v>10120</v>
      </c>
      <c r="C271" s="518" t="s">
        <v>10119</v>
      </c>
      <c r="D271" s="518" t="s">
        <v>10033</v>
      </c>
      <c r="E271" s="573" t="s">
        <v>10012</v>
      </c>
      <c r="L271" s="518" t="s">
        <v>10120</v>
      </c>
      <c r="M271" s="518" t="s">
        <v>10119</v>
      </c>
      <c r="N271" s="518" t="s">
        <v>10033</v>
      </c>
      <c r="O271" s="573" t="s">
        <v>10012</v>
      </c>
    </row>
    <row r="272" spans="2:20" x14ac:dyDescent="0.25">
      <c r="B272" s="518" t="s">
        <v>10121</v>
      </c>
      <c r="C272" s="518" t="s">
        <v>10118</v>
      </c>
      <c r="D272" s="518" t="s">
        <v>10036</v>
      </c>
      <c r="E272" s="518" t="s">
        <v>9774</v>
      </c>
      <c r="L272" s="518" t="s">
        <v>10121</v>
      </c>
      <c r="M272" s="518" t="s">
        <v>10118</v>
      </c>
      <c r="N272" s="518" t="s">
        <v>10036</v>
      </c>
      <c r="O272" s="518" t="s">
        <v>9774</v>
      </c>
    </row>
    <row r="273" spans="2:15" x14ac:dyDescent="0.25">
      <c r="B273" s="518" t="s">
        <v>10121</v>
      </c>
      <c r="C273" s="518" t="s">
        <v>10119</v>
      </c>
      <c r="D273" s="518" t="s">
        <v>10036</v>
      </c>
      <c r="E273" s="573" t="s">
        <v>10012</v>
      </c>
      <c r="L273" s="518" t="s">
        <v>10121</v>
      </c>
      <c r="M273" s="518" t="s">
        <v>10119</v>
      </c>
      <c r="N273" s="518" t="s">
        <v>10036</v>
      </c>
      <c r="O273" s="573" t="s">
        <v>10012</v>
      </c>
    </row>
  </sheetData>
  <mergeCells count="164">
    <mergeCell ref="B4:F4"/>
    <mergeCell ref="L4:P4"/>
    <mergeCell ref="B6:F6"/>
    <mergeCell ref="L6:P6"/>
    <mergeCell ref="B8:F8"/>
    <mergeCell ref="L8:P8"/>
    <mergeCell ref="B19:C19"/>
    <mergeCell ref="D19:E19"/>
    <mergeCell ref="L19:M19"/>
    <mergeCell ref="N19:O19"/>
    <mergeCell ref="C23:E23"/>
    <mergeCell ref="M23:O23"/>
    <mergeCell ref="B17:E17"/>
    <mergeCell ref="L17:O17"/>
    <mergeCell ref="B18:C18"/>
    <mergeCell ref="D18:E18"/>
    <mergeCell ref="L18:M18"/>
    <mergeCell ref="N18:O18"/>
    <mergeCell ref="B35:C35"/>
    <mergeCell ref="D35:E35"/>
    <mergeCell ref="L35:M35"/>
    <mergeCell ref="N35:O35"/>
    <mergeCell ref="B49:E49"/>
    <mergeCell ref="L49:O49"/>
    <mergeCell ref="C27:E27"/>
    <mergeCell ref="M27:O27"/>
    <mergeCell ref="B33:E33"/>
    <mergeCell ref="L33:O33"/>
    <mergeCell ref="B34:C34"/>
    <mergeCell ref="D34:E34"/>
    <mergeCell ref="L34:M34"/>
    <mergeCell ref="N34:O34"/>
    <mergeCell ref="B63:E63"/>
    <mergeCell ref="L63:O63"/>
    <mergeCell ref="B64:C64"/>
    <mergeCell ref="D64:E64"/>
    <mergeCell ref="L64:M64"/>
    <mergeCell ref="N64:O64"/>
    <mergeCell ref="B50:C50"/>
    <mergeCell ref="D50:E50"/>
    <mergeCell ref="L50:M50"/>
    <mergeCell ref="N50:O50"/>
    <mergeCell ref="B51:C51"/>
    <mergeCell ref="D51:E51"/>
    <mergeCell ref="L51:M51"/>
    <mergeCell ref="N51:O51"/>
    <mergeCell ref="B75:C75"/>
    <mergeCell ref="D75:E75"/>
    <mergeCell ref="L75:M75"/>
    <mergeCell ref="N75:O75"/>
    <mergeCell ref="B76:C76"/>
    <mergeCell ref="D76:E76"/>
    <mergeCell ref="L76:M76"/>
    <mergeCell ref="N76:O76"/>
    <mergeCell ref="B65:C65"/>
    <mergeCell ref="D65:E65"/>
    <mergeCell ref="L65:M65"/>
    <mergeCell ref="N65:O65"/>
    <mergeCell ref="B74:E74"/>
    <mergeCell ref="L74:O74"/>
    <mergeCell ref="B92:C92"/>
    <mergeCell ref="D92:E92"/>
    <mergeCell ref="L92:M92"/>
    <mergeCell ref="N92:O92"/>
    <mergeCell ref="B128:E128"/>
    <mergeCell ref="L128:O128"/>
    <mergeCell ref="B90:E90"/>
    <mergeCell ref="L90:O90"/>
    <mergeCell ref="B91:C91"/>
    <mergeCell ref="D91:E91"/>
    <mergeCell ref="L91:M91"/>
    <mergeCell ref="N91:O91"/>
    <mergeCell ref="B140:E140"/>
    <mergeCell ref="L140:O140"/>
    <mergeCell ref="B141:C141"/>
    <mergeCell ref="D141:E141"/>
    <mergeCell ref="L141:M141"/>
    <mergeCell ref="N141:O141"/>
    <mergeCell ref="B129:C129"/>
    <mergeCell ref="D129:E129"/>
    <mergeCell ref="L129:M129"/>
    <mergeCell ref="N129:O129"/>
    <mergeCell ref="B130:C130"/>
    <mergeCell ref="D130:E130"/>
    <mergeCell ref="L130:M130"/>
    <mergeCell ref="N130:O130"/>
    <mergeCell ref="B150:C150"/>
    <mergeCell ref="D150:E150"/>
    <mergeCell ref="L150:M150"/>
    <mergeCell ref="N150:O150"/>
    <mergeCell ref="B151:C151"/>
    <mergeCell ref="D151:E151"/>
    <mergeCell ref="L151:M151"/>
    <mergeCell ref="N151:O151"/>
    <mergeCell ref="B142:C142"/>
    <mergeCell ref="D142:E142"/>
    <mergeCell ref="L142:M142"/>
    <mergeCell ref="N142:O142"/>
    <mergeCell ref="B149:E149"/>
    <mergeCell ref="L149:O149"/>
    <mergeCell ref="B164:C164"/>
    <mergeCell ref="D164:E164"/>
    <mergeCell ref="L164:M164"/>
    <mergeCell ref="N164:O164"/>
    <mergeCell ref="B176:E176"/>
    <mergeCell ref="L176:O176"/>
    <mergeCell ref="B162:E162"/>
    <mergeCell ref="L162:O162"/>
    <mergeCell ref="B163:C163"/>
    <mergeCell ref="D163:E163"/>
    <mergeCell ref="L163:M163"/>
    <mergeCell ref="N163:O163"/>
    <mergeCell ref="B182:C182"/>
    <mergeCell ref="L182:M182"/>
    <mergeCell ref="B190:E190"/>
    <mergeCell ref="L190:O190"/>
    <mergeCell ref="B177:C177"/>
    <mergeCell ref="D177:E177"/>
    <mergeCell ref="L177:M177"/>
    <mergeCell ref="N177:O177"/>
    <mergeCell ref="B178:C178"/>
    <mergeCell ref="D178:E178"/>
    <mergeCell ref="L178:M178"/>
    <mergeCell ref="N178:O178"/>
    <mergeCell ref="B196:D196"/>
    <mergeCell ref="L196:N196"/>
    <mergeCell ref="B207:E207"/>
    <mergeCell ref="L207:O207"/>
    <mergeCell ref="B191:C191"/>
    <mergeCell ref="D191:E191"/>
    <mergeCell ref="L191:M191"/>
    <mergeCell ref="N191:O191"/>
    <mergeCell ref="B192:C192"/>
    <mergeCell ref="D192:E192"/>
    <mergeCell ref="L192:M192"/>
    <mergeCell ref="N192:O192"/>
    <mergeCell ref="B245:E245"/>
    <mergeCell ref="L245:O245"/>
    <mergeCell ref="B246:C246"/>
    <mergeCell ref="D246:E246"/>
    <mergeCell ref="L246:M246"/>
    <mergeCell ref="N246:O246"/>
    <mergeCell ref="B208:C208"/>
    <mergeCell ref="D208:E208"/>
    <mergeCell ref="L208:M208"/>
    <mergeCell ref="N208:O208"/>
    <mergeCell ref="B209:C209"/>
    <mergeCell ref="D209:E209"/>
    <mergeCell ref="L209:M209"/>
    <mergeCell ref="N209:O209"/>
    <mergeCell ref="B262:C262"/>
    <mergeCell ref="D262:E262"/>
    <mergeCell ref="L262:M262"/>
    <mergeCell ref="N262:O262"/>
    <mergeCell ref="B263:C263"/>
    <mergeCell ref="D263:E263"/>
    <mergeCell ref="L263:M263"/>
    <mergeCell ref="N263:O263"/>
    <mergeCell ref="B247:C247"/>
    <mergeCell ref="D247:E247"/>
    <mergeCell ref="L247:M247"/>
    <mergeCell ref="N247:O247"/>
    <mergeCell ref="B261:E261"/>
    <mergeCell ref="L261:O261"/>
  </mergeCells>
  <pageMargins left="0.7" right="0.7" top="0.75" bottom="0.75" header="0.3" footer="0.3"/>
  <pageSetup paperSize="9" orientation="portrait" r:id="rId1"/>
  <headerFooter>
    <oddFooter>&amp;C_x000D_&amp;1#&amp;"Calibri"&amp;10&amp;K000000 Usage Interne / Internal Use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A4CDF58239F0F468C9E6E53C5056C4A" ma:contentTypeVersion="16" ma:contentTypeDescription="Crée un document." ma:contentTypeScope="" ma:versionID="2c84dcab6167d216d26f5d339cac68a8">
  <xsd:schema xmlns:xsd="http://www.w3.org/2001/XMLSchema" xmlns:xs="http://www.w3.org/2001/XMLSchema" xmlns:p="http://schemas.microsoft.com/office/2006/metadata/properties" xmlns:ns2="9058d174-5387-46c9-b3a4-420acd982c52" xmlns:ns3="10864e6e-1b11-4715-a872-4bef1c0649f2" targetNamespace="http://schemas.microsoft.com/office/2006/metadata/properties" ma:root="true" ma:fieldsID="c608b6f113527916f6677aeda3ff0c28" ns2:_="" ns3:_="">
    <xsd:import namespace="9058d174-5387-46c9-b3a4-420acd982c52"/>
    <xsd:import namespace="10864e6e-1b11-4715-a872-4bef1c0649f2"/>
    <xsd:element name="properties">
      <xsd:complexType>
        <xsd:sequence>
          <xsd:element name="documentManagement">
            <xsd:complexType>
              <xsd:all>
                <xsd:element ref="ns2:Nom_x0020_du_x0020_flux" minOccurs="0"/>
                <xsd:element ref="ns2:Description_x0020_du_x0020_flux" minOccurs="0"/>
                <xsd:element ref="ns2:Num_x00e9_ro_x0020_de_x0020_version" minOccurs="0"/>
                <xsd:element ref="ns2:Date_x0020_de_x0020_publication" minOccurs="0"/>
                <xsd:element ref="ns2:Statut_x0020__x002f__x0020_Status" minOccurs="0"/>
                <xsd:element ref="ns2:Type_x0020_de_x0020_flux" minOccurs="0"/>
                <xsd:element ref="ns2:Commentaires_x002f_Comments" minOccurs="0"/>
                <xsd:element ref="ns2:N_x00b0__x0020_de_x0020_release_x0020__x002f__x0020_Release_x0020_Nr" minOccurs="0"/>
                <xsd:element ref="ns2:TEST" minOccurs="0"/>
                <xsd:element ref="ns2:Description_x0020_EN" minOccurs="0"/>
                <xsd:element ref="ns2:Comments" minOccurs="0"/>
                <xsd:element ref="ns2:Status" minOccurs="0"/>
                <xsd:element ref="ns2:Famille_x0020_de_x0020_flux"/>
                <xsd:element ref="ns2:Flow_x0020_family"/>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58d174-5387-46c9-b3a4-420acd982c52" elementFormDefault="qualified">
    <xsd:import namespace="http://schemas.microsoft.com/office/2006/documentManagement/types"/>
    <xsd:import namespace="http://schemas.microsoft.com/office/infopath/2007/PartnerControls"/>
    <xsd:element name="Nom_x0020_du_x0020_flux" ma:index="8" nillable="true" ma:displayName="Nom / Name" ma:description="Nom court du flux (exemple CRR, PEMP...)" ma:internalName="Nom_x0020_du_x0020_flux">
      <xsd:simpleType>
        <xsd:restriction base="dms:Text">
          <xsd:maxLength value="100"/>
        </xsd:restriction>
      </xsd:simpleType>
    </xsd:element>
    <xsd:element name="Description_x0020_du_x0020_flux" ma:index="9" nillable="true" ma:displayName="Description" ma:description="Description succincte du contenu du flux" ma:internalName="Description_x0020_du_x0020_flux">
      <xsd:simpleType>
        <xsd:restriction base="dms:Text">
          <xsd:maxLength value="255"/>
        </xsd:restriction>
      </xsd:simpleType>
    </xsd:element>
    <xsd:element name="Num_x00e9_ro_x0020_de_x0020_version" ma:index="10" nillable="true" ma:displayName="N° Version" ma:description="numéro de version du flux correspondant à la valeur de &quot;VERBLOC&quot; dans l'entête du flux" ma:internalName="Num_x00e9_ro_x0020_de_x0020_version">
      <xsd:simpleType>
        <xsd:restriction base="dms:Text">
          <xsd:maxLength value="3"/>
        </xsd:restriction>
      </xsd:simpleType>
    </xsd:element>
    <xsd:element name="Date_x0020_de_x0020_publication" ma:index="11" nillable="true" ma:displayName="Date publication" ma:format="DateOnly" ma:internalName="Date_x0020_de_x0020_publication">
      <xsd:simpleType>
        <xsd:restriction base="dms:DateTime"/>
      </xsd:simpleType>
    </xsd:element>
    <xsd:element name="Statut_x0020__x002f__x0020_Status" ma:index="12" nillable="true" ma:displayName="Statut" ma:description="Statut de la notice" ma:internalName="Statut_x0020__x002f__x0020_Status">
      <xsd:simpleType>
        <xsd:restriction base="dms:Choice">
          <xsd:enumeration value="A venir (MEP Janvier 2027)"/>
          <xsd:enumeration value="A venir (MEP Mai 2027)"/>
          <xsd:enumeration value="En production"/>
          <xsd:enumeration value="Archivée"/>
        </xsd:restriction>
      </xsd:simpleType>
    </xsd:element>
    <xsd:element name="Type_x0020_de_x0020_flux" ma:index="13" nillable="true" ma:displayName="Description famille" ma:description="pour regrouper les flux sur lesquels les communications sont faites conjointement" ma:format="Dropdown" ma:internalName="Type_x0020_de_x0020_flux">
      <xsd:simpleType>
        <xsd:restriction base="dms:Choice">
          <xsd:enumeration value="1. ACTIF dont DERIVES et REPOS et HORS-BILAN"/>
          <xsd:enumeration value="2. TIERS"/>
          <xsd:enumeration value="3. PASSIF et HORS-BILAN complémentaire"/>
          <xsd:enumeration value="4. ECHEANCIERS"/>
          <xsd:enumeration value="5. SPECIFIQUES"/>
          <xsd:enumeration value="6. COLLECTE FLASH"/>
          <xsd:enumeration value="7. EXTRA-FINANCIER"/>
          <xsd:enumeration value="Z. Données des moteurs centraux à disposition des usages de la ZP"/>
        </xsd:restriction>
      </xsd:simpleType>
    </xsd:element>
    <xsd:element name="Commentaires_x002f_Comments" ma:index="14" nillable="true" ma:displayName="Commentaires" ma:internalName="Commentaires_x002f_Comments">
      <xsd:simpleType>
        <xsd:restriction base="dms:Text">
          <xsd:maxLength value="255"/>
        </xsd:restriction>
      </xsd:simpleType>
    </xsd:element>
    <xsd:element name="N_x00b0__x0020_de_x0020_release_x0020__x002f__x0020_Release_x0020_Nr" ma:index="15" nillable="true" ma:displayName="N° Publication" ma:internalName="N_x00b0__x0020_de_x0020_release_x0020__x002f__x0020_Release_x0020_Nr">
      <xsd:simpleType>
        <xsd:restriction base="dms:Text">
          <xsd:maxLength value="10"/>
        </xsd:restriction>
      </xsd:simpleType>
    </xsd:element>
    <xsd:element name="TEST" ma:index="16" nillable="true" ma:displayName="Family description" ma:format="Dropdown" ma:internalName="TEST">
      <xsd:simpleType>
        <xsd:restriction base="dms:Choice">
          <xsd:enumeration value="1. ASSETS including DERIVATIVES AND REPOS and OFF BALANCE SHEET"/>
          <xsd:enumeration value="2. THIRD PARTIES"/>
          <xsd:enumeration value="3. LIABILITIES and Off Balance Sheet complements)"/>
          <xsd:enumeration value="4. SCHEDULES"/>
          <xsd:enumeration value="5. SPECIFIC"/>
          <xsd:enumeration value="6. COLLECTE FLASH"/>
          <xsd:enumeration value="7. EXTRA-FINANCIAL"/>
          <xsd:enumeration value="Z. Data from the central engines available to the uses of the ZP"/>
        </xsd:restriction>
      </xsd:simpleType>
    </xsd:element>
    <xsd:element name="Description_x0020_EN" ma:index="17" nillable="true" ma:displayName="Description EN" ma:internalName="Description_x0020_EN">
      <xsd:simpleType>
        <xsd:restriction base="dms:Text">
          <xsd:maxLength value="255"/>
        </xsd:restriction>
      </xsd:simpleType>
    </xsd:element>
    <xsd:element name="Comments" ma:index="18" nillable="true" ma:displayName="Comments" ma:internalName="Comments">
      <xsd:simpleType>
        <xsd:restriction base="dms:Text">
          <xsd:maxLength value="255"/>
        </xsd:restriction>
      </xsd:simpleType>
    </xsd:element>
    <xsd:element name="Status" ma:index="19" nillable="true" ma:displayName="Status" ma:internalName="Status">
      <xsd:simpleType>
        <xsd:restriction base="dms:Choice">
          <xsd:enumeration value="In production"/>
          <xsd:enumeration value="Upcoming (May 2027 Release)"/>
          <xsd:enumeration value="Upcoming (January 2027 Release)"/>
          <xsd:enumeration value="Old"/>
        </xsd:restriction>
      </xsd:simpleType>
    </xsd:element>
    <xsd:element name="Famille_x0020_de_x0020_flux" ma:index="20" ma:displayName="Famille de flux" ma:default="1. Tiers" ma:format="Dropdown" ma:internalName="Famille_x0020_de_x0020_flux">
      <xsd:simpleType>
        <xsd:restriction base="dms:Choice">
          <xsd:enumeration value="1. Tiers"/>
          <xsd:enumeration value="2. CRR"/>
          <xsd:enumeration value="3. C3RD"/>
          <xsd:enumeration value="4. C2RE"/>
          <xsd:enumeration value="5. Flux passif"/>
          <xsd:enumeration value="6. Flux pivot finance"/>
          <xsd:enumeration value="7. Retours Moteurs"/>
          <xsd:enumeration value="8. Collecte flash"/>
          <xsd:enumeration value="9. Extra-Financier"/>
          <xsd:enumeration value="10. PACT"/>
        </xsd:restriction>
      </xsd:simpleType>
    </xsd:element>
    <xsd:element name="Flow_x0020_family" ma:index="21" ma:displayName="Flow family" ma:default="1. Third-parties" ma:format="Dropdown" ma:internalName="Flow_x0020_family">
      <xsd:simpleType>
        <xsd:restriction base="dms:Choice">
          <xsd:enumeration value="1. Third-parties"/>
          <xsd:enumeration value="2. CRR"/>
          <xsd:enumeration value="3. C3RD"/>
          <xsd:enumeration value="4. C2RE"/>
          <xsd:enumeration value="5. Liability flows"/>
          <xsd:enumeration value="6. Finance Pivot flows"/>
          <xsd:enumeration value="7. Calculation engines flows"/>
          <xsd:enumeration value="8. Collecte flash"/>
          <xsd:enumeration value="9. Extra-Financial"/>
          <xsd:enumeration value="10. PACT"/>
        </xsd:restriction>
      </xsd:simpleType>
    </xsd:element>
  </xsd:schema>
  <xsd:schema xmlns:xsd="http://www.w3.org/2001/XMLSchema" xmlns:xs="http://www.w3.org/2001/XMLSchema" xmlns:dms="http://schemas.microsoft.com/office/2006/documentManagement/types" xmlns:pc="http://schemas.microsoft.com/office/infopath/2007/PartnerControls" targetNamespace="10864e6e-1b11-4715-a872-4bef1c0649f2" elementFormDefault="qualified">
    <xsd:import namespace="http://schemas.microsoft.com/office/2006/documentManagement/types"/>
    <xsd:import namespace="http://schemas.microsoft.com/office/infopath/2007/PartnerControls"/>
    <xsd:element name="SharedWithUsers" ma:index="2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N_x00b0__x0020_de_x0020_release_x0020__x002f__x0020_Release_x0020_Nr xmlns="9058d174-5387-46c9-b3a4-420acd982c52">02</N_x00b0__x0020_de_x0020_release_x0020__x002f__x0020_Release_x0020_Nr>
    <TEST xmlns="9058d174-5387-46c9-b3a4-420acd982c52">1. ASSETS including DERIVATIVES AND REPOS and OFF BALANCE SHEET</TEST>
    <Description_x0020_EN xmlns="9058d174-5387-46c9-b3a4-420acd982c52">Detailed PACT CORPORATE</Description_x0020_EN>
    <Flow_x0020_family xmlns="9058d174-5387-46c9-b3a4-420acd982c52">10. PACT</Flow_x0020_family>
    <Type_x0020_de_x0020_flux xmlns="9058d174-5387-46c9-b3a4-420acd982c52">1. ACTIF dont DERIVES et REPOS et HORS-BILAN</Type_x0020_de_x0020_flux>
    <Date_x0020_de_x0020_publication xmlns="9058d174-5387-46c9-b3a4-420acd982c52">2026-07-16T22:00:00+00:00</Date_x0020_de_x0020_publication>
    <Status xmlns="9058d174-5387-46c9-b3a4-420acd982c52">Upcoming (May 2027 Release)</Status>
    <Commentaires_x002f_Comments xmlns="9058d174-5387-46c9-b3a4-420acd982c52">Annule et remplace la version diffusée le 07/05/2026</Commentaires_x002f_Comments>
    <Nom_x0020_du_x0020_flux xmlns="9058d174-5387-46c9-b3a4-420acd982c52">PACT Corporate</Nom_x0020_du_x0020_flux>
    <Statut_x0020__x002f__x0020_Status xmlns="9058d174-5387-46c9-b3a4-420acd982c52">A venir (MEP Mai 2027)</Statut_x0020__x002f__x0020_Status>
    <Famille_x0020_de_x0020_flux xmlns="9058d174-5387-46c9-b3a4-420acd982c52">10. PACT</Famille_x0020_de_x0020_flux>
    <Description_x0020_du_x0020_flux xmlns="9058d174-5387-46c9-b3a4-420acd982c52">Compte Rendu Risque détaillé pour les clients CORPORATE</Description_x0020_du_x0020_flux>
    <Num_x00e9_ro_x0020_de_x0020_version xmlns="9058d174-5387-46c9-b3a4-420acd982c52">45</Num_x00e9_ro_x0020_de_x0020_version>
    <Comments xmlns="9058d174-5387-46c9-b3a4-420acd982c52">Cancels and replaces 05/07/2026 publication</Comments>
  </documentManagement>
</p:properties>
</file>

<file path=customXml/itemProps1.xml><?xml version="1.0" encoding="utf-8"?>
<ds:datastoreItem xmlns:ds="http://schemas.openxmlformats.org/officeDocument/2006/customXml" ds:itemID="{81E73E7C-0D26-4E9A-B9C1-BA0883C3B635}">
  <ds:schemaRefs>
    <ds:schemaRef ds:uri="http://schemas.microsoft.com/sharepoint/v3/contenttype/forms"/>
  </ds:schemaRefs>
</ds:datastoreItem>
</file>

<file path=customXml/itemProps2.xml><?xml version="1.0" encoding="utf-8"?>
<ds:datastoreItem xmlns:ds="http://schemas.openxmlformats.org/officeDocument/2006/customXml" ds:itemID="{33A31EBA-CC3D-4AA4-AF9D-7175C33D01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58d174-5387-46c9-b3a4-420acd982c52"/>
    <ds:schemaRef ds:uri="10864e6e-1b11-4715-a872-4bef1c0649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52C8742-9DDB-4C88-800B-B03C185C7A2E}">
  <ds:schemaRefs>
    <ds:schemaRef ds:uri="http://schemas.microsoft.com/office/2006/metadata/properties"/>
    <ds:schemaRef ds:uri="http://schemas.microsoft.com/office/infopath/2007/PartnerControls"/>
    <ds:schemaRef ds:uri="9058d174-5387-46c9-b3a4-420acd982c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Modifications</vt:lpstr>
      <vt:lpstr>PACT Corp</vt:lpstr>
      <vt:lpstr>Ctrl cohérence-consistency ctr </vt:lpstr>
    </vt:vector>
  </TitlesOfParts>
  <Manager/>
  <Company>SILCA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SILCA</dc:creator>
  <cp:keywords/>
  <dc:description/>
  <cp:lastModifiedBy>GOMES Hugo</cp:lastModifiedBy>
  <cp:revision/>
  <dcterms:created xsi:type="dcterms:W3CDTF">2010-06-29T12:18:31Z</dcterms:created>
  <dcterms:modified xsi:type="dcterms:W3CDTF">2026-07-20T15:15:38Z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cad6431-53ea-4466-8111-3fefa470bcb9_Enabled">
    <vt:lpwstr>true</vt:lpwstr>
  </property>
  <property fmtid="{D5CDD505-2E9C-101B-9397-08002B2CF9AE}" pid="3" name="MSIP_Label_4cad6431-53ea-4466-8111-3fefa470bcb9_SetDate">
    <vt:lpwstr>2022-02-23T15:40:07Z</vt:lpwstr>
  </property>
  <property fmtid="{D5CDD505-2E9C-101B-9397-08002B2CF9AE}" pid="4" name="MSIP_Label_4cad6431-53ea-4466-8111-3fefa470bcb9_Method">
    <vt:lpwstr>Privileged</vt:lpwstr>
  </property>
  <property fmtid="{D5CDD505-2E9C-101B-9397-08002B2CF9AE}" pid="5" name="MSIP_Label_4cad6431-53ea-4466-8111-3fefa470bcb9_Name">
    <vt:lpwstr>Usage Interne</vt:lpwstr>
  </property>
  <property fmtid="{D5CDD505-2E9C-101B-9397-08002B2CF9AE}" pid="6" name="MSIP_Label_4cad6431-53ea-4466-8111-3fefa470bcb9_SiteId">
    <vt:lpwstr>fb3baf17-c313-474c-8d5d-577a3ec97a32</vt:lpwstr>
  </property>
  <property fmtid="{D5CDD505-2E9C-101B-9397-08002B2CF9AE}" pid="7" name="MSIP_Label_4cad6431-53ea-4466-8111-3fefa470bcb9_ActionId">
    <vt:lpwstr>ad767650-8934-4750-bc1b-6b499733098f</vt:lpwstr>
  </property>
  <property fmtid="{D5CDD505-2E9C-101B-9397-08002B2CF9AE}" pid="8" name="MSIP_Label_4cad6431-53ea-4466-8111-3fefa470bcb9_ContentBits">
    <vt:lpwstr>0</vt:lpwstr>
  </property>
  <property fmtid="{D5CDD505-2E9C-101B-9397-08002B2CF9AE}" pid="9" name="ContentTypeId">
    <vt:lpwstr>0x0101006A4CDF58239F0F468C9E6E53C5056C4A</vt:lpwstr>
  </property>
</Properties>
</file>